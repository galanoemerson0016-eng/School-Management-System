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School Forms\"/>
    </mc:Choice>
  </mc:AlternateContent>
  <xr:revisionPtr revIDLastSave="0" documentId="13_ncr:1_{A24A0167-4B6D-49C6-9667-BB1B6A87E240}" xr6:coauthVersionLast="47" xr6:coauthVersionMax="47" xr10:uidLastSave="{00000000-0000-0000-0000-000000000000}"/>
  <bookViews>
    <workbookView xWindow="24" yWindow="24" windowWidth="23016" windowHeight="12216" tabRatio="776" xr2:uid="{00000000-000D-0000-FFFF-FFFF00000000}"/>
  </bookViews>
  <sheets>
    <sheet name="Home" sheetId="1" r:id="rId1"/>
    <sheet name="INPUT DATA" sheetId="2" r:id="rId2"/>
    <sheet name="TERM 1 SUMMARY" sheetId="17" r:id="rId3"/>
    <sheet name="TERM 2 SUMMARY" sheetId="24" r:id="rId4"/>
    <sheet name="TERM 3 SUMMARY" sheetId="25" r:id="rId5"/>
    <sheet name="FINAL GRADES" sheetId="12" r:id="rId6"/>
    <sheet name="ATTENDANCE RECORD SUMMARY" sheetId="8" r:id="rId7"/>
    <sheet name="SF9 - GRADE 11 TechPro" sheetId="9" r:id="rId8"/>
  </sheets>
  <definedNames>
    <definedName name="_xlnm.Print_Area" localSheetId="1">'INPUT DATA'!$A$1:$U$62</definedName>
    <definedName name="_xlnm.Print_Area" localSheetId="7">'SF9 - GRADE 11 TechPro'!$A$2:$AD$53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1" i="9" l="1"/>
  <c r="G41" i="9"/>
  <c r="E19" i="9"/>
  <c r="N9" i="25"/>
  <c r="N9" i="24"/>
  <c r="N9" i="17"/>
  <c r="F68" i="17"/>
  <c r="F67" i="17"/>
  <c r="F66" i="17"/>
  <c r="F68" i="24"/>
  <c r="F67" i="24"/>
  <c r="F66" i="24"/>
  <c r="F68" i="25"/>
  <c r="F67" i="25"/>
  <c r="F66" i="25"/>
  <c r="M70" i="12" l="1"/>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R115" i="25"/>
  <c r="S115" i="25" s="1"/>
  <c r="I115" i="25"/>
  <c r="H115" i="25"/>
  <c r="F115" i="25"/>
  <c r="C115" i="25"/>
  <c r="S114" i="25"/>
  <c r="R114" i="25"/>
  <c r="H114" i="25"/>
  <c r="I114" i="25" s="1"/>
  <c r="F114" i="25"/>
  <c r="C114" i="25"/>
  <c r="R113" i="25"/>
  <c r="S113" i="25" s="1"/>
  <c r="I113" i="25"/>
  <c r="H113" i="25"/>
  <c r="F113" i="25"/>
  <c r="C113" i="25"/>
  <c r="S112" i="25"/>
  <c r="R112" i="25"/>
  <c r="H112" i="25"/>
  <c r="I112" i="25" s="1"/>
  <c r="F112" i="25"/>
  <c r="C112" i="25"/>
  <c r="R111" i="25"/>
  <c r="S111" i="25" s="1"/>
  <c r="I111" i="25"/>
  <c r="H111" i="25"/>
  <c r="F111" i="25"/>
  <c r="C111" i="25"/>
  <c r="S110" i="25"/>
  <c r="R110" i="25"/>
  <c r="H110" i="25"/>
  <c r="I110" i="25" s="1"/>
  <c r="F110" i="25"/>
  <c r="C110" i="25"/>
  <c r="R109" i="25"/>
  <c r="S109" i="25" s="1"/>
  <c r="I109" i="25"/>
  <c r="H109" i="25"/>
  <c r="F109" i="25"/>
  <c r="C109" i="25"/>
  <c r="S108" i="25"/>
  <c r="R108" i="25"/>
  <c r="H108" i="25"/>
  <c r="I108" i="25" s="1"/>
  <c r="F108" i="25"/>
  <c r="C108" i="25"/>
  <c r="R107" i="25"/>
  <c r="S107" i="25" s="1"/>
  <c r="I107" i="25"/>
  <c r="H107" i="25"/>
  <c r="F107" i="25"/>
  <c r="C107" i="25"/>
  <c r="S106" i="25"/>
  <c r="R106" i="25"/>
  <c r="H106" i="25"/>
  <c r="I106" i="25" s="1"/>
  <c r="F106" i="25"/>
  <c r="C106" i="25"/>
  <c r="R105" i="25"/>
  <c r="S105" i="25" s="1"/>
  <c r="I105" i="25"/>
  <c r="H105" i="25"/>
  <c r="F105" i="25"/>
  <c r="C105" i="25"/>
  <c r="S104" i="25"/>
  <c r="R104" i="25"/>
  <c r="H104" i="25"/>
  <c r="I104" i="25" s="1"/>
  <c r="F104" i="25"/>
  <c r="C104" i="25"/>
  <c r="R103" i="25"/>
  <c r="S103" i="25" s="1"/>
  <c r="I103" i="25"/>
  <c r="H103" i="25"/>
  <c r="F103" i="25"/>
  <c r="C103" i="25"/>
  <c r="S102" i="25"/>
  <c r="R102" i="25"/>
  <c r="H102" i="25"/>
  <c r="I102" i="25" s="1"/>
  <c r="F102" i="25"/>
  <c r="C102" i="25"/>
  <c r="R101" i="25"/>
  <c r="S101" i="25" s="1"/>
  <c r="I101" i="25"/>
  <c r="H101" i="25"/>
  <c r="F101" i="25"/>
  <c r="C101" i="25"/>
  <c r="S100" i="25"/>
  <c r="R100" i="25"/>
  <c r="H100" i="25"/>
  <c r="I100" i="25" s="1"/>
  <c r="F100" i="25"/>
  <c r="C100" i="25"/>
  <c r="R99" i="25"/>
  <c r="S99" i="25" s="1"/>
  <c r="I99" i="25"/>
  <c r="H99" i="25"/>
  <c r="F99" i="25"/>
  <c r="C99" i="25"/>
  <c r="S98" i="25"/>
  <c r="R98" i="25"/>
  <c r="H98" i="25"/>
  <c r="I98" i="25" s="1"/>
  <c r="F98" i="25"/>
  <c r="C98" i="25"/>
  <c r="R97" i="25"/>
  <c r="S97" i="25" s="1"/>
  <c r="I97" i="25"/>
  <c r="H97" i="25"/>
  <c r="F97" i="25"/>
  <c r="C97" i="25"/>
  <c r="S96" i="25"/>
  <c r="R96" i="25"/>
  <c r="H96" i="25"/>
  <c r="I96" i="25" s="1"/>
  <c r="F96" i="25"/>
  <c r="C96" i="25"/>
  <c r="R95" i="25"/>
  <c r="S95" i="25" s="1"/>
  <c r="I95" i="25"/>
  <c r="H95" i="25"/>
  <c r="F95" i="25"/>
  <c r="C95" i="25"/>
  <c r="S94" i="25"/>
  <c r="R94" i="25"/>
  <c r="H94" i="25"/>
  <c r="I94" i="25" s="1"/>
  <c r="F94" i="25"/>
  <c r="C94" i="25"/>
  <c r="R93" i="25"/>
  <c r="S93" i="25" s="1"/>
  <c r="I93" i="25"/>
  <c r="H93" i="25"/>
  <c r="F93" i="25"/>
  <c r="C93" i="25"/>
  <c r="S92" i="25"/>
  <c r="R92" i="25"/>
  <c r="H92" i="25"/>
  <c r="I92" i="25" s="1"/>
  <c r="F92" i="25"/>
  <c r="C92" i="25"/>
  <c r="R91" i="25"/>
  <c r="S91" i="25" s="1"/>
  <c r="I91" i="25"/>
  <c r="H91" i="25"/>
  <c r="F91" i="25"/>
  <c r="C91" i="25"/>
  <c r="S90" i="25"/>
  <c r="R90" i="25"/>
  <c r="H90" i="25"/>
  <c r="I90" i="25" s="1"/>
  <c r="F90" i="25"/>
  <c r="C90" i="25"/>
  <c r="R89" i="25"/>
  <c r="S89" i="25" s="1"/>
  <c r="I89" i="25"/>
  <c r="H89" i="25"/>
  <c r="F89" i="25"/>
  <c r="C89" i="25"/>
  <c r="S88" i="25"/>
  <c r="R88" i="25"/>
  <c r="H88" i="25"/>
  <c r="I88" i="25" s="1"/>
  <c r="F88" i="25"/>
  <c r="C88" i="25"/>
  <c r="R87" i="25"/>
  <c r="S87" i="25" s="1"/>
  <c r="I87" i="25"/>
  <c r="H87" i="25"/>
  <c r="F87" i="25"/>
  <c r="C87" i="25"/>
  <c r="S86" i="25"/>
  <c r="R86" i="25"/>
  <c r="H86" i="25"/>
  <c r="I86" i="25" s="1"/>
  <c r="F86" i="25"/>
  <c r="C86" i="25"/>
  <c r="R85" i="25"/>
  <c r="S85" i="25" s="1"/>
  <c r="I85" i="25"/>
  <c r="H85" i="25"/>
  <c r="F85" i="25"/>
  <c r="C85" i="25"/>
  <c r="S84" i="25"/>
  <c r="R84" i="25"/>
  <c r="H84" i="25"/>
  <c r="I84" i="25" s="1"/>
  <c r="F84" i="25"/>
  <c r="C84" i="25"/>
  <c r="R83" i="25"/>
  <c r="S83" i="25" s="1"/>
  <c r="I83" i="25"/>
  <c r="H83" i="25"/>
  <c r="F83" i="25"/>
  <c r="C83" i="25"/>
  <c r="S82" i="25"/>
  <c r="R82" i="25"/>
  <c r="H82" i="25"/>
  <c r="I82" i="25" s="1"/>
  <c r="F82" i="25"/>
  <c r="C82" i="25"/>
  <c r="R81" i="25"/>
  <c r="S81" i="25" s="1"/>
  <c r="I81" i="25"/>
  <c r="H81" i="25"/>
  <c r="F81" i="25"/>
  <c r="C81" i="25"/>
  <c r="S80" i="25"/>
  <c r="R80" i="25"/>
  <c r="H80" i="25"/>
  <c r="I80" i="25" s="1"/>
  <c r="F80" i="25"/>
  <c r="C80" i="25"/>
  <c r="R79" i="25"/>
  <c r="S79" i="25" s="1"/>
  <c r="I79" i="25"/>
  <c r="H79" i="25"/>
  <c r="F79" i="25"/>
  <c r="C79" i="25"/>
  <c r="S78" i="25"/>
  <c r="R78" i="25"/>
  <c r="H78" i="25"/>
  <c r="I78" i="25" s="1"/>
  <c r="F78" i="25"/>
  <c r="C78" i="25"/>
  <c r="R77" i="25"/>
  <c r="S77" i="25" s="1"/>
  <c r="I77" i="25"/>
  <c r="H77" i="25"/>
  <c r="F77" i="25"/>
  <c r="C77" i="25"/>
  <c r="S76" i="25"/>
  <c r="R76" i="25"/>
  <c r="H76" i="25"/>
  <c r="I76" i="25" s="1"/>
  <c r="F76" i="25"/>
  <c r="C76" i="25"/>
  <c r="R75" i="25"/>
  <c r="S75" i="25" s="1"/>
  <c r="I75" i="25"/>
  <c r="H75" i="25"/>
  <c r="F75" i="25"/>
  <c r="C75" i="25"/>
  <c r="S74" i="25"/>
  <c r="R74" i="25"/>
  <c r="H74" i="25"/>
  <c r="I74" i="25" s="1"/>
  <c r="F74" i="25"/>
  <c r="C74" i="25"/>
  <c r="R73" i="25"/>
  <c r="S73" i="25" s="1"/>
  <c r="I73" i="25"/>
  <c r="H73" i="25"/>
  <c r="F73" i="25"/>
  <c r="C73" i="25"/>
  <c r="S72" i="25"/>
  <c r="R72" i="25"/>
  <c r="H72" i="25"/>
  <c r="I72" i="25" s="1"/>
  <c r="F72" i="25"/>
  <c r="C72" i="25"/>
  <c r="R71" i="25"/>
  <c r="S71" i="25" s="1"/>
  <c r="I71" i="25"/>
  <c r="H71" i="25"/>
  <c r="F71" i="25"/>
  <c r="C71" i="25"/>
  <c r="S70" i="25"/>
  <c r="R70" i="25"/>
  <c r="H70" i="25"/>
  <c r="I70" i="25" s="1"/>
  <c r="F70" i="25"/>
  <c r="C70" i="25"/>
  <c r="R69" i="25"/>
  <c r="S69" i="25" s="1"/>
  <c r="H69" i="25"/>
  <c r="I69" i="25" s="1"/>
  <c r="F69" i="25"/>
  <c r="C69" i="25"/>
  <c r="R68" i="25"/>
  <c r="H68" i="25"/>
  <c r="I68" i="25" s="1"/>
  <c r="C68" i="25"/>
  <c r="R67" i="25"/>
  <c r="H67" i="25"/>
  <c r="I67" i="25" s="1"/>
  <c r="C67" i="25"/>
  <c r="R66" i="25"/>
  <c r="H66" i="25"/>
  <c r="I66" i="25" s="1"/>
  <c r="C66" i="25"/>
  <c r="R64" i="25"/>
  <c r="S64" i="25" s="1"/>
  <c r="I64" i="25"/>
  <c r="H64" i="25"/>
  <c r="F64" i="25"/>
  <c r="C64" i="25"/>
  <c r="S63" i="25"/>
  <c r="R63" i="25"/>
  <c r="H63" i="25"/>
  <c r="I63" i="25" s="1"/>
  <c r="F63" i="25"/>
  <c r="C63" i="25"/>
  <c r="R62" i="25"/>
  <c r="S62" i="25" s="1"/>
  <c r="I62" i="25"/>
  <c r="H62" i="25"/>
  <c r="F62" i="25"/>
  <c r="C62" i="25"/>
  <c r="S61" i="25"/>
  <c r="R61" i="25"/>
  <c r="H61" i="25"/>
  <c r="I61" i="25" s="1"/>
  <c r="F61" i="25"/>
  <c r="C61" i="25"/>
  <c r="R60" i="25"/>
  <c r="S60" i="25" s="1"/>
  <c r="I60" i="25"/>
  <c r="H60" i="25"/>
  <c r="F60" i="25"/>
  <c r="C60" i="25"/>
  <c r="S59" i="25"/>
  <c r="R59" i="25"/>
  <c r="H59" i="25"/>
  <c r="I59" i="25" s="1"/>
  <c r="F59" i="25"/>
  <c r="C59" i="25"/>
  <c r="R58" i="25"/>
  <c r="S58" i="25" s="1"/>
  <c r="I58" i="25"/>
  <c r="H58" i="25"/>
  <c r="F58" i="25"/>
  <c r="C58" i="25"/>
  <c r="S57" i="25"/>
  <c r="R57" i="25"/>
  <c r="H57" i="25"/>
  <c r="I57" i="25" s="1"/>
  <c r="F57" i="25"/>
  <c r="C57" i="25"/>
  <c r="R56" i="25"/>
  <c r="S56" i="25" s="1"/>
  <c r="I56" i="25"/>
  <c r="H56" i="25"/>
  <c r="F56" i="25"/>
  <c r="C56" i="25"/>
  <c r="S55" i="25"/>
  <c r="R55" i="25"/>
  <c r="H55" i="25"/>
  <c r="I55" i="25" s="1"/>
  <c r="F55" i="25"/>
  <c r="C55" i="25"/>
  <c r="R54" i="25"/>
  <c r="S54" i="25" s="1"/>
  <c r="I54" i="25"/>
  <c r="H54" i="25"/>
  <c r="F54" i="25"/>
  <c r="C54" i="25"/>
  <c r="S53" i="25"/>
  <c r="R53" i="25"/>
  <c r="H53" i="25"/>
  <c r="I53" i="25" s="1"/>
  <c r="F53" i="25"/>
  <c r="C53" i="25"/>
  <c r="R52" i="25"/>
  <c r="S52" i="25" s="1"/>
  <c r="I52" i="25"/>
  <c r="H52" i="25"/>
  <c r="F52" i="25"/>
  <c r="C52" i="25"/>
  <c r="S51" i="25"/>
  <c r="R51" i="25"/>
  <c r="H51" i="25"/>
  <c r="I51" i="25" s="1"/>
  <c r="F51" i="25"/>
  <c r="C51" i="25"/>
  <c r="R50" i="25"/>
  <c r="S50" i="25" s="1"/>
  <c r="I50" i="25"/>
  <c r="H50" i="25"/>
  <c r="F50" i="25"/>
  <c r="C50" i="25"/>
  <c r="S49" i="25"/>
  <c r="R49" i="25"/>
  <c r="H49" i="25"/>
  <c r="I49" i="25" s="1"/>
  <c r="F49" i="25"/>
  <c r="C49" i="25"/>
  <c r="R48" i="25"/>
  <c r="S48" i="25" s="1"/>
  <c r="I48" i="25"/>
  <c r="H48" i="25"/>
  <c r="F48" i="25"/>
  <c r="C48" i="25"/>
  <c r="S47" i="25"/>
  <c r="R47" i="25"/>
  <c r="H47" i="25"/>
  <c r="I47" i="25" s="1"/>
  <c r="F47" i="25"/>
  <c r="C47" i="25"/>
  <c r="R46" i="25"/>
  <c r="S46" i="25" s="1"/>
  <c r="I46" i="25"/>
  <c r="H46" i="25"/>
  <c r="F46" i="25"/>
  <c r="C46" i="25"/>
  <c r="S45" i="25"/>
  <c r="R45" i="25"/>
  <c r="H45" i="25"/>
  <c r="I45" i="25" s="1"/>
  <c r="F45" i="25"/>
  <c r="C45" i="25"/>
  <c r="R44" i="25"/>
  <c r="S44" i="25" s="1"/>
  <c r="I44" i="25"/>
  <c r="H44" i="25"/>
  <c r="F44" i="25"/>
  <c r="C44" i="25"/>
  <c r="S43" i="25"/>
  <c r="R43" i="25"/>
  <c r="H43" i="25"/>
  <c r="I43" i="25" s="1"/>
  <c r="F43" i="25"/>
  <c r="C43" i="25"/>
  <c r="R42" i="25"/>
  <c r="S42" i="25" s="1"/>
  <c r="I42" i="25"/>
  <c r="H42" i="25"/>
  <c r="F42" i="25"/>
  <c r="C42" i="25"/>
  <c r="S41" i="25"/>
  <c r="R41" i="25"/>
  <c r="H41" i="25"/>
  <c r="I41" i="25" s="1"/>
  <c r="F41" i="25"/>
  <c r="C41" i="25"/>
  <c r="R40" i="25"/>
  <c r="S40" i="25" s="1"/>
  <c r="I40" i="25"/>
  <c r="H40" i="25"/>
  <c r="F40" i="25"/>
  <c r="C40" i="25"/>
  <c r="S39" i="25"/>
  <c r="R39" i="25"/>
  <c r="H39" i="25"/>
  <c r="I39" i="25" s="1"/>
  <c r="F39" i="25"/>
  <c r="C39" i="25"/>
  <c r="R38" i="25"/>
  <c r="S38" i="25" s="1"/>
  <c r="I38" i="25"/>
  <c r="H38" i="25"/>
  <c r="F38" i="25"/>
  <c r="C38" i="25"/>
  <c r="S37" i="25"/>
  <c r="R37" i="25"/>
  <c r="H37" i="25"/>
  <c r="I37" i="25" s="1"/>
  <c r="F37" i="25"/>
  <c r="C37" i="25"/>
  <c r="R36" i="25"/>
  <c r="S36" i="25" s="1"/>
  <c r="I36" i="25"/>
  <c r="H36" i="25"/>
  <c r="F36" i="25"/>
  <c r="C36" i="25"/>
  <c r="S35" i="25"/>
  <c r="R35" i="25"/>
  <c r="H35" i="25"/>
  <c r="I35" i="25" s="1"/>
  <c r="F35" i="25"/>
  <c r="C35" i="25"/>
  <c r="R34" i="25"/>
  <c r="S34" i="25" s="1"/>
  <c r="I34" i="25"/>
  <c r="H34" i="25"/>
  <c r="F34" i="25"/>
  <c r="C34" i="25"/>
  <c r="S33" i="25"/>
  <c r="R33" i="25"/>
  <c r="H33" i="25"/>
  <c r="I33" i="25" s="1"/>
  <c r="F33" i="25"/>
  <c r="C33" i="25"/>
  <c r="R32" i="25"/>
  <c r="S32" i="25" s="1"/>
  <c r="I32" i="25"/>
  <c r="H32" i="25"/>
  <c r="F32" i="25"/>
  <c r="C32" i="25"/>
  <c r="S31" i="25"/>
  <c r="R31" i="25"/>
  <c r="H31" i="25"/>
  <c r="I31" i="25" s="1"/>
  <c r="F31" i="25"/>
  <c r="C31" i="25"/>
  <c r="R30" i="25"/>
  <c r="S30" i="25" s="1"/>
  <c r="I30" i="25"/>
  <c r="H30" i="25"/>
  <c r="F30" i="25"/>
  <c r="C30" i="25"/>
  <c r="S29" i="25"/>
  <c r="R29" i="25"/>
  <c r="H29" i="25"/>
  <c r="I29" i="25" s="1"/>
  <c r="F29" i="25"/>
  <c r="C29" i="25"/>
  <c r="R28" i="25"/>
  <c r="S28" i="25" s="1"/>
  <c r="I28" i="25"/>
  <c r="H28" i="25"/>
  <c r="F28" i="25"/>
  <c r="C28" i="25"/>
  <c r="S27" i="25"/>
  <c r="R27" i="25"/>
  <c r="H27" i="25"/>
  <c r="I27" i="25" s="1"/>
  <c r="F27" i="25"/>
  <c r="C27" i="25"/>
  <c r="R26" i="25"/>
  <c r="S26" i="25" s="1"/>
  <c r="I26" i="25"/>
  <c r="H26" i="25"/>
  <c r="F26" i="25"/>
  <c r="C26" i="25"/>
  <c r="S25" i="25"/>
  <c r="R25" i="25"/>
  <c r="H25" i="25"/>
  <c r="I25" i="25" s="1"/>
  <c r="F25" i="25"/>
  <c r="C25" i="25"/>
  <c r="R24" i="25"/>
  <c r="S24" i="25" s="1"/>
  <c r="I24" i="25"/>
  <c r="H24" i="25"/>
  <c r="F24" i="25"/>
  <c r="C24" i="25"/>
  <c r="S23" i="25"/>
  <c r="R23" i="25"/>
  <c r="H23" i="25"/>
  <c r="I23" i="25" s="1"/>
  <c r="F23" i="25"/>
  <c r="C23" i="25"/>
  <c r="R22" i="25"/>
  <c r="S22" i="25" s="1"/>
  <c r="I22" i="25"/>
  <c r="H22" i="25"/>
  <c r="F22" i="25"/>
  <c r="C22" i="25"/>
  <c r="S21" i="25"/>
  <c r="R21" i="25"/>
  <c r="H21" i="25"/>
  <c r="I21" i="25" s="1"/>
  <c r="F21" i="25"/>
  <c r="C21" i="25"/>
  <c r="R20" i="25"/>
  <c r="S20" i="25" s="1"/>
  <c r="I20" i="25"/>
  <c r="H20" i="25"/>
  <c r="F20" i="25"/>
  <c r="C20" i="25"/>
  <c r="S19" i="25"/>
  <c r="R19" i="25"/>
  <c r="H19" i="25"/>
  <c r="I19" i="25" s="1"/>
  <c r="F19" i="25"/>
  <c r="C19" i="25"/>
  <c r="R18" i="25"/>
  <c r="S18" i="25" s="1"/>
  <c r="I18" i="25"/>
  <c r="H18" i="25"/>
  <c r="F18" i="25"/>
  <c r="C18" i="25"/>
  <c r="S17" i="25"/>
  <c r="R17" i="25"/>
  <c r="H17" i="25"/>
  <c r="I17" i="25" s="1"/>
  <c r="F17" i="25"/>
  <c r="C17" i="25"/>
  <c r="R16" i="25"/>
  <c r="S16" i="25" s="1"/>
  <c r="I16" i="25"/>
  <c r="H16" i="25"/>
  <c r="F16" i="25"/>
  <c r="C16" i="25"/>
  <c r="R15" i="25"/>
  <c r="S68" i="25" s="1"/>
  <c r="H15" i="25"/>
  <c r="I15" i="25" s="1"/>
  <c r="F15" i="25"/>
  <c r="C15" i="25"/>
  <c r="G10" i="25"/>
  <c r="N10" i="25"/>
  <c r="G9" i="25"/>
  <c r="Q6" i="25"/>
  <c r="J6" i="25"/>
  <c r="E6" i="25"/>
  <c r="J5" i="25"/>
  <c r="E5" i="25"/>
  <c r="R115" i="24"/>
  <c r="S115" i="24" s="1"/>
  <c r="H115" i="24"/>
  <c r="I115" i="24" s="1"/>
  <c r="F115" i="24"/>
  <c r="C115" i="24"/>
  <c r="R114" i="24"/>
  <c r="S114" i="24" s="1"/>
  <c r="H114" i="24"/>
  <c r="I114" i="24" s="1"/>
  <c r="F114" i="24"/>
  <c r="C114" i="24"/>
  <c r="R113" i="24"/>
  <c r="S113" i="24" s="1"/>
  <c r="H113" i="24"/>
  <c r="I113" i="24" s="1"/>
  <c r="F113" i="24"/>
  <c r="C113" i="24"/>
  <c r="S112" i="24"/>
  <c r="R112" i="24"/>
  <c r="H112" i="24"/>
  <c r="I112" i="24" s="1"/>
  <c r="F112" i="24"/>
  <c r="C112" i="24"/>
  <c r="R111" i="24"/>
  <c r="S111" i="24" s="1"/>
  <c r="H111" i="24"/>
  <c r="I111" i="24" s="1"/>
  <c r="F111" i="24"/>
  <c r="C111" i="24"/>
  <c r="S110" i="24"/>
  <c r="R110" i="24"/>
  <c r="H110" i="24"/>
  <c r="I110" i="24" s="1"/>
  <c r="F110" i="24"/>
  <c r="C110" i="24"/>
  <c r="R109" i="24"/>
  <c r="S109" i="24" s="1"/>
  <c r="H109" i="24"/>
  <c r="I109" i="24" s="1"/>
  <c r="F109" i="24"/>
  <c r="C109" i="24"/>
  <c r="S108" i="24"/>
  <c r="R108" i="24"/>
  <c r="H108" i="24"/>
  <c r="I108" i="24" s="1"/>
  <c r="F108" i="24"/>
  <c r="C108" i="24"/>
  <c r="R107" i="24"/>
  <c r="S107" i="24" s="1"/>
  <c r="H107" i="24"/>
  <c r="I107" i="24" s="1"/>
  <c r="F107" i="24"/>
  <c r="C107" i="24"/>
  <c r="S106" i="24"/>
  <c r="R106" i="24"/>
  <c r="H106" i="24"/>
  <c r="I106" i="24" s="1"/>
  <c r="F106" i="24"/>
  <c r="C106" i="24"/>
  <c r="R105" i="24"/>
  <c r="S105" i="24" s="1"/>
  <c r="H105" i="24"/>
  <c r="I105" i="24" s="1"/>
  <c r="F105" i="24"/>
  <c r="C105" i="24"/>
  <c r="S104" i="24"/>
  <c r="R104" i="24"/>
  <c r="I104" i="24"/>
  <c r="H104" i="24"/>
  <c r="F104" i="24"/>
  <c r="C104" i="24"/>
  <c r="R103" i="24"/>
  <c r="S103" i="24" s="1"/>
  <c r="H103" i="24"/>
  <c r="I103" i="24" s="1"/>
  <c r="F103" i="24"/>
  <c r="C103" i="24"/>
  <c r="S102" i="24"/>
  <c r="R102" i="24"/>
  <c r="I102" i="24"/>
  <c r="H102" i="24"/>
  <c r="F102" i="24"/>
  <c r="C102" i="24"/>
  <c r="R101" i="24"/>
  <c r="S101" i="24" s="1"/>
  <c r="H101" i="24"/>
  <c r="I101" i="24" s="1"/>
  <c r="F101" i="24"/>
  <c r="C101" i="24"/>
  <c r="S100" i="24"/>
  <c r="R100" i="24"/>
  <c r="I100" i="24"/>
  <c r="H100" i="24"/>
  <c r="F100" i="24"/>
  <c r="C100" i="24"/>
  <c r="R99" i="24"/>
  <c r="S99" i="24" s="1"/>
  <c r="H99" i="24"/>
  <c r="I99" i="24" s="1"/>
  <c r="F99" i="24"/>
  <c r="C99" i="24"/>
  <c r="S98" i="24"/>
  <c r="R98" i="24"/>
  <c r="I98" i="24"/>
  <c r="H98" i="24"/>
  <c r="F98" i="24"/>
  <c r="C98" i="24"/>
  <c r="R97" i="24"/>
  <c r="S97" i="24" s="1"/>
  <c r="H97" i="24"/>
  <c r="I97" i="24" s="1"/>
  <c r="F97" i="24"/>
  <c r="C97" i="24"/>
  <c r="S96" i="24"/>
  <c r="R96" i="24"/>
  <c r="I96" i="24"/>
  <c r="H96" i="24"/>
  <c r="F96" i="24"/>
  <c r="C96" i="24"/>
  <c r="R95" i="24"/>
  <c r="S95" i="24" s="1"/>
  <c r="H95" i="24"/>
  <c r="I95" i="24" s="1"/>
  <c r="F95" i="24"/>
  <c r="C95" i="24"/>
  <c r="S94" i="24"/>
  <c r="R94" i="24"/>
  <c r="I94" i="24"/>
  <c r="H94" i="24"/>
  <c r="F94" i="24"/>
  <c r="C94" i="24"/>
  <c r="R93" i="24"/>
  <c r="S93" i="24" s="1"/>
  <c r="H93" i="24"/>
  <c r="I93" i="24" s="1"/>
  <c r="F93" i="24"/>
  <c r="C93" i="24"/>
  <c r="S92" i="24"/>
  <c r="R92" i="24"/>
  <c r="I92" i="24"/>
  <c r="H92" i="24"/>
  <c r="F92" i="24"/>
  <c r="C92" i="24"/>
  <c r="R91" i="24"/>
  <c r="S91" i="24" s="1"/>
  <c r="H91" i="24"/>
  <c r="I91" i="24" s="1"/>
  <c r="F91" i="24"/>
  <c r="C91" i="24"/>
  <c r="S90" i="24"/>
  <c r="R90" i="24"/>
  <c r="I90" i="24"/>
  <c r="H90" i="24"/>
  <c r="F90" i="24"/>
  <c r="C90" i="24"/>
  <c r="R89" i="24"/>
  <c r="S89" i="24" s="1"/>
  <c r="H89" i="24"/>
  <c r="I89" i="24" s="1"/>
  <c r="F89" i="24"/>
  <c r="C89" i="24"/>
  <c r="S88" i="24"/>
  <c r="R88" i="24"/>
  <c r="I88" i="24"/>
  <c r="H88" i="24"/>
  <c r="F88" i="24"/>
  <c r="C88" i="24"/>
  <c r="R87" i="24"/>
  <c r="S87" i="24" s="1"/>
  <c r="H87" i="24"/>
  <c r="I87" i="24" s="1"/>
  <c r="F87" i="24"/>
  <c r="C87" i="24"/>
  <c r="S86" i="24"/>
  <c r="R86" i="24"/>
  <c r="I86" i="24"/>
  <c r="H86" i="24"/>
  <c r="F86" i="24"/>
  <c r="C86" i="24"/>
  <c r="R85" i="24"/>
  <c r="S85" i="24" s="1"/>
  <c r="H85" i="24"/>
  <c r="I85" i="24" s="1"/>
  <c r="F85" i="24"/>
  <c r="C85" i="24"/>
  <c r="S84" i="24"/>
  <c r="R84" i="24"/>
  <c r="I84" i="24"/>
  <c r="H84" i="24"/>
  <c r="F84" i="24"/>
  <c r="C84" i="24"/>
  <c r="R83" i="24"/>
  <c r="S83" i="24" s="1"/>
  <c r="H83" i="24"/>
  <c r="I83" i="24" s="1"/>
  <c r="F83" i="24"/>
  <c r="C83" i="24"/>
  <c r="S82" i="24"/>
  <c r="R82" i="24"/>
  <c r="I82" i="24"/>
  <c r="H82" i="24"/>
  <c r="F82" i="24"/>
  <c r="C82" i="24"/>
  <c r="R81" i="24"/>
  <c r="S81" i="24" s="1"/>
  <c r="H81" i="24"/>
  <c r="I81" i="24" s="1"/>
  <c r="F81" i="24"/>
  <c r="C81" i="24"/>
  <c r="S80" i="24"/>
  <c r="R80" i="24"/>
  <c r="I80" i="24"/>
  <c r="H80" i="24"/>
  <c r="F80" i="24"/>
  <c r="C80" i="24"/>
  <c r="R79" i="24"/>
  <c r="S79" i="24" s="1"/>
  <c r="H79" i="24"/>
  <c r="I79" i="24" s="1"/>
  <c r="F79" i="24"/>
  <c r="C79" i="24"/>
  <c r="S78" i="24"/>
  <c r="R78" i="24"/>
  <c r="I78" i="24"/>
  <c r="H78" i="24"/>
  <c r="F78" i="24"/>
  <c r="C78" i="24"/>
  <c r="R77" i="24"/>
  <c r="S77" i="24" s="1"/>
  <c r="H77" i="24"/>
  <c r="I77" i="24" s="1"/>
  <c r="F77" i="24"/>
  <c r="C77" i="24"/>
  <c r="S76" i="24"/>
  <c r="R76" i="24"/>
  <c r="I76" i="24"/>
  <c r="H76" i="24"/>
  <c r="F76" i="24"/>
  <c r="C76" i="24"/>
  <c r="R75" i="24"/>
  <c r="S75" i="24" s="1"/>
  <c r="H75" i="24"/>
  <c r="I75" i="24" s="1"/>
  <c r="F75" i="24"/>
  <c r="C75" i="24"/>
  <c r="S74" i="24"/>
  <c r="R74" i="24"/>
  <c r="I74" i="24"/>
  <c r="H74" i="24"/>
  <c r="F74" i="24"/>
  <c r="C74" i="24"/>
  <c r="R73" i="24"/>
  <c r="S73" i="24" s="1"/>
  <c r="H73" i="24"/>
  <c r="I73" i="24" s="1"/>
  <c r="F73" i="24"/>
  <c r="C73" i="24"/>
  <c r="S72" i="24"/>
  <c r="R72" i="24"/>
  <c r="I72" i="24"/>
  <c r="H72" i="24"/>
  <c r="F72" i="24"/>
  <c r="C72" i="24"/>
  <c r="R71" i="24"/>
  <c r="S71" i="24" s="1"/>
  <c r="H71" i="24"/>
  <c r="I71" i="24" s="1"/>
  <c r="F71" i="24"/>
  <c r="C71" i="24"/>
  <c r="S70" i="24"/>
  <c r="R70" i="24"/>
  <c r="I70" i="24"/>
  <c r="H70" i="24"/>
  <c r="F70" i="24"/>
  <c r="C70" i="24"/>
  <c r="R69" i="24"/>
  <c r="S69" i="24" s="1"/>
  <c r="H69" i="24"/>
  <c r="I69" i="24" s="1"/>
  <c r="F69" i="24"/>
  <c r="C69" i="24"/>
  <c r="R68" i="24"/>
  <c r="H68" i="24"/>
  <c r="I68" i="24" s="1"/>
  <c r="C68" i="24"/>
  <c r="R67" i="24"/>
  <c r="H67" i="24"/>
  <c r="I67" i="24" s="1"/>
  <c r="C67" i="24"/>
  <c r="R66" i="24"/>
  <c r="H66" i="24"/>
  <c r="I66" i="24" s="1"/>
  <c r="C66" i="24"/>
  <c r="R64" i="24"/>
  <c r="S64" i="24" s="1"/>
  <c r="H64" i="24"/>
  <c r="I64" i="24" s="1"/>
  <c r="F64" i="24"/>
  <c r="C64" i="24"/>
  <c r="S63" i="24"/>
  <c r="R63" i="24"/>
  <c r="I63" i="24"/>
  <c r="H63" i="24"/>
  <c r="F63" i="24"/>
  <c r="C63" i="24"/>
  <c r="R62" i="24"/>
  <c r="S62" i="24" s="1"/>
  <c r="H62" i="24"/>
  <c r="I62" i="24" s="1"/>
  <c r="F62" i="24"/>
  <c r="C62" i="24"/>
  <c r="S61" i="24"/>
  <c r="R61" i="24"/>
  <c r="I61" i="24"/>
  <c r="H61" i="24"/>
  <c r="F61" i="24"/>
  <c r="C61" i="24"/>
  <c r="R60" i="24"/>
  <c r="S60" i="24" s="1"/>
  <c r="H60" i="24"/>
  <c r="I60" i="24" s="1"/>
  <c r="F60" i="24"/>
  <c r="C60" i="24"/>
  <c r="S59" i="24"/>
  <c r="R59" i="24"/>
  <c r="I59" i="24"/>
  <c r="H59" i="24"/>
  <c r="F59" i="24"/>
  <c r="C59" i="24"/>
  <c r="R58" i="24"/>
  <c r="S58" i="24" s="1"/>
  <c r="H58" i="24"/>
  <c r="I58" i="24" s="1"/>
  <c r="F58" i="24"/>
  <c r="C58" i="24"/>
  <c r="S57" i="24"/>
  <c r="R57" i="24"/>
  <c r="I57" i="24"/>
  <c r="H57" i="24"/>
  <c r="F57" i="24"/>
  <c r="C57" i="24"/>
  <c r="R56" i="24"/>
  <c r="S56" i="24" s="1"/>
  <c r="H56" i="24"/>
  <c r="I56" i="24" s="1"/>
  <c r="F56" i="24"/>
  <c r="C56" i="24"/>
  <c r="R55" i="24"/>
  <c r="S55" i="24" s="1"/>
  <c r="I55" i="24"/>
  <c r="H55" i="24"/>
  <c r="F55" i="24"/>
  <c r="C55" i="24"/>
  <c r="R54" i="24"/>
  <c r="S54" i="24" s="1"/>
  <c r="H54" i="24"/>
  <c r="I54" i="24" s="1"/>
  <c r="F54" i="24"/>
  <c r="C54" i="24"/>
  <c r="R53" i="24"/>
  <c r="S53" i="24" s="1"/>
  <c r="I53" i="24"/>
  <c r="H53" i="24"/>
  <c r="F53" i="24"/>
  <c r="C53" i="24"/>
  <c r="R52" i="24"/>
  <c r="S52" i="24" s="1"/>
  <c r="H52" i="24"/>
  <c r="I52" i="24" s="1"/>
  <c r="F52" i="24"/>
  <c r="C52" i="24"/>
  <c r="R51" i="24"/>
  <c r="S51" i="24" s="1"/>
  <c r="I51" i="24"/>
  <c r="H51" i="24"/>
  <c r="F51" i="24"/>
  <c r="C51" i="24"/>
  <c r="R50" i="24"/>
  <c r="S50" i="24" s="1"/>
  <c r="H50" i="24"/>
  <c r="I50" i="24" s="1"/>
  <c r="F50" i="24"/>
  <c r="C50" i="24"/>
  <c r="R49" i="24"/>
  <c r="S49" i="24" s="1"/>
  <c r="I49" i="24"/>
  <c r="H49" i="24"/>
  <c r="F49" i="24"/>
  <c r="C49" i="24"/>
  <c r="R48" i="24"/>
  <c r="S48" i="24" s="1"/>
  <c r="H48" i="24"/>
  <c r="I48" i="24" s="1"/>
  <c r="F48" i="24"/>
  <c r="C48" i="24"/>
  <c r="R47" i="24"/>
  <c r="S47" i="24" s="1"/>
  <c r="I47" i="24"/>
  <c r="H47" i="24"/>
  <c r="F47" i="24"/>
  <c r="C47" i="24"/>
  <c r="R46" i="24"/>
  <c r="S46" i="24" s="1"/>
  <c r="H46" i="24"/>
  <c r="I46" i="24" s="1"/>
  <c r="F46" i="24"/>
  <c r="C46" i="24"/>
  <c r="R45" i="24"/>
  <c r="S45" i="24" s="1"/>
  <c r="I45" i="24"/>
  <c r="H45" i="24"/>
  <c r="F45" i="24"/>
  <c r="C45" i="24"/>
  <c r="R44" i="24"/>
  <c r="S44" i="24" s="1"/>
  <c r="H44" i="24"/>
  <c r="I44" i="24" s="1"/>
  <c r="F44" i="24"/>
  <c r="C44" i="24"/>
  <c r="R43" i="24"/>
  <c r="S43" i="24" s="1"/>
  <c r="H43" i="24"/>
  <c r="I43" i="24" s="1"/>
  <c r="F43" i="24"/>
  <c r="C43" i="24"/>
  <c r="R42" i="24"/>
  <c r="S42" i="24" s="1"/>
  <c r="H42" i="24"/>
  <c r="I42" i="24" s="1"/>
  <c r="F42" i="24"/>
  <c r="C42" i="24"/>
  <c r="R41" i="24"/>
  <c r="S41" i="24" s="1"/>
  <c r="H41" i="24"/>
  <c r="I41" i="24" s="1"/>
  <c r="F41" i="24"/>
  <c r="C41" i="24"/>
  <c r="R40" i="24"/>
  <c r="S40" i="24" s="1"/>
  <c r="H40" i="24"/>
  <c r="I40" i="24" s="1"/>
  <c r="F40" i="24"/>
  <c r="C40" i="24"/>
  <c r="R39" i="24"/>
  <c r="S39" i="24" s="1"/>
  <c r="H39" i="24"/>
  <c r="I39" i="24" s="1"/>
  <c r="F39" i="24"/>
  <c r="C39" i="24"/>
  <c r="R38" i="24"/>
  <c r="S38" i="24" s="1"/>
  <c r="H38" i="24"/>
  <c r="I38" i="24" s="1"/>
  <c r="F38" i="24"/>
  <c r="C38" i="24"/>
  <c r="R37" i="24"/>
  <c r="S37" i="24" s="1"/>
  <c r="H37" i="24"/>
  <c r="I37" i="24" s="1"/>
  <c r="F37" i="24"/>
  <c r="C37" i="24"/>
  <c r="R36" i="24"/>
  <c r="S36" i="24" s="1"/>
  <c r="H36" i="24"/>
  <c r="I36" i="24" s="1"/>
  <c r="F36" i="24"/>
  <c r="C36" i="24"/>
  <c r="R35" i="24"/>
  <c r="S35" i="24" s="1"/>
  <c r="H35" i="24"/>
  <c r="I35" i="24" s="1"/>
  <c r="F35" i="24"/>
  <c r="C35" i="24"/>
  <c r="R34" i="24"/>
  <c r="S34" i="24" s="1"/>
  <c r="H34" i="24"/>
  <c r="I34" i="24" s="1"/>
  <c r="F34" i="24"/>
  <c r="C34" i="24"/>
  <c r="R33" i="24"/>
  <c r="S33" i="24" s="1"/>
  <c r="H33" i="24"/>
  <c r="I33" i="24" s="1"/>
  <c r="F33" i="24"/>
  <c r="C33" i="24"/>
  <c r="R32" i="24"/>
  <c r="S32" i="24" s="1"/>
  <c r="H32" i="24"/>
  <c r="I32" i="24" s="1"/>
  <c r="F32" i="24"/>
  <c r="C32" i="24"/>
  <c r="R31" i="24"/>
  <c r="S31" i="24" s="1"/>
  <c r="H31" i="24"/>
  <c r="I31" i="24" s="1"/>
  <c r="F31" i="24"/>
  <c r="C31" i="24"/>
  <c r="R30" i="24"/>
  <c r="S30" i="24" s="1"/>
  <c r="H30" i="24"/>
  <c r="I30" i="24" s="1"/>
  <c r="F30" i="24"/>
  <c r="C30" i="24"/>
  <c r="R29" i="24"/>
  <c r="S29" i="24" s="1"/>
  <c r="H29" i="24"/>
  <c r="I29" i="24" s="1"/>
  <c r="F29" i="24"/>
  <c r="C29" i="24"/>
  <c r="R28" i="24"/>
  <c r="S28" i="24" s="1"/>
  <c r="H28" i="24"/>
  <c r="I28" i="24" s="1"/>
  <c r="F28" i="24"/>
  <c r="C28" i="24"/>
  <c r="R27" i="24"/>
  <c r="S27" i="24" s="1"/>
  <c r="H27" i="24"/>
  <c r="I27" i="24" s="1"/>
  <c r="F27" i="24"/>
  <c r="C27" i="24"/>
  <c r="R26" i="24"/>
  <c r="S26" i="24" s="1"/>
  <c r="H26" i="24"/>
  <c r="I26" i="24" s="1"/>
  <c r="F26" i="24"/>
  <c r="C26" i="24"/>
  <c r="R25" i="24"/>
  <c r="S25" i="24" s="1"/>
  <c r="H25" i="24"/>
  <c r="I25" i="24" s="1"/>
  <c r="F25" i="24"/>
  <c r="C25" i="24"/>
  <c r="R24" i="24"/>
  <c r="S24" i="24" s="1"/>
  <c r="H24" i="24"/>
  <c r="I24" i="24" s="1"/>
  <c r="F24" i="24"/>
  <c r="C24" i="24"/>
  <c r="R23" i="24"/>
  <c r="S23" i="24" s="1"/>
  <c r="H23" i="24"/>
  <c r="I23" i="24" s="1"/>
  <c r="F23" i="24"/>
  <c r="C23" i="24"/>
  <c r="R22" i="24"/>
  <c r="S22" i="24" s="1"/>
  <c r="H22" i="24"/>
  <c r="I22" i="24" s="1"/>
  <c r="F22" i="24"/>
  <c r="C22" i="24"/>
  <c r="R21" i="24"/>
  <c r="S21" i="24" s="1"/>
  <c r="H21" i="24"/>
  <c r="I21" i="24" s="1"/>
  <c r="F21" i="24"/>
  <c r="C21" i="24"/>
  <c r="R20" i="24"/>
  <c r="S20" i="24" s="1"/>
  <c r="H20" i="24"/>
  <c r="I20" i="24" s="1"/>
  <c r="F20" i="24"/>
  <c r="C20" i="24"/>
  <c r="R19" i="24"/>
  <c r="S19" i="24" s="1"/>
  <c r="H19" i="24"/>
  <c r="I19" i="24" s="1"/>
  <c r="F19" i="24"/>
  <c r="C19" i="24"/>
  <c r="R18" i="24"/>
  <c r="S18" i="24" s="1"/>
  <c r="H18" i="24"/>
  <c r="I18" i="24" s="1"/>
  <c r="F18" i="24"/>
  <c r="C18" i="24"/>
  <c r="R17" i="24"/>
  <c r="S17" i="24" s="1"/>
  <c r="H17" i="24"/>
  <c r="I17" i="24" s="1"/>
  <c r="F17" i="24"/>
  <c r="C17" i="24"/>
  <c r="R16" i="24"/>
  <c r="S16" i="24" s="1"/>
  <c r="H16" i="24"/>
  <c r="I16" i="24" s="1"/>
  <c r="F16" i="24"/>
  <c r="C16" i="24"/>
  <c r="R15" i="24"/>
  <c r="H15" i="24"/>
  <c r="I15" i="24" s="1"/>
  <c r="F15" i="24"/>
  <c r="C15" i="24"/>
  <c r="G10" i="24"/>
  <c r="N10" i="24"/>
  <c r="G9" i="24"/>
  <c r="Q6" i="24"/>
  <c r="J6" i="24"/>
  <c r="E6" i="24"/>
  <c r="J5" i="24"/>
  <c r="E5" i="24"/>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66" i="17"/>
  <c r="R16" i="17"/>
  <c r="R17" i="17"/>
  <c r="S15" i="17" s="1"/>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15" i="17"/>
  <c r="X39" i="9"/>
  <c r="S15" i="25" l="1"/>
  <c r="S67" i="25"/>
  <c r="S66" i="24"/>
  <c r="S67" i="24"/>
  <c r="G36" i="9"/>
  <c r="G35" i="9"/>
  <c r="G34" i="9"/>
  <c r="G37" i="9"/>
  <c r="G39" i="9"/>
  <c r="G38" i="9"/>
  <c r="H39" i="9"/>
  <c r="H38" i="9"/>
  <c r="H37" i="9"/>
  <c r="H36" i="9"/>
  <c r="H35" i="9"/>
  <c r="H34" i="9"/>
  <c r="S66" i="25"/>
  <c r="S68" i="24"/>
  <c r="S15" i="24"/>
  <c r="S71" i="17"/>
  <c r="S72" i="17"/>
  <c r="S75" i="17"/>
  <c r="S78" i="17"/>
  <c r="S83" i="17"/>
  <c r="S84" i="17"/>
  <c r="S87" i="17"/>
  <c r="S90" i="17"/>
  <c r="S95" i="17"/>
  <c r="S96" i="17"/>
  <c r="S102" i="17"/>
  <c r="S104" i="17"/>
  <c r="S105" i="17"/>
  <c r="S107" i="17"/>
  <c r="S108" i="17"/>
  <c r="S113" i="17"/>
  <c r="S114" i="17"/>
  <c r="S20" i="17"/>
  <c r="S21" i="17"/>
  <c r="S29" i="17"/>
  <c r="S32" i="17"/>
  <c r="S33" i="17"/>
  <c r="S39" i="17"/>
  <c r="S41" i="17"/>
  <c r="S44" i="17"/>
  <c r="S45" i="17"/>
  <c r="S51" i="17"/>
  <c r="S53" i="17"/>
  <c r="S56" i="17"/>
  <c r="S57" i="17"/>
  <c r="S63" i="17"/>
  <c r="F113" i="12"/>
  <c r="F114" i="12"/>
  <c r="F115"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S115" i="17"/>
  <c r="H115" i="17"/>
  <c r="I115" i="17" s="1"/>
  <c r="F115" i="17"/>
  <c r="C115" i="17"/>
  <c r="H114" i="17"/>
  <c r="I114" i="17" s="1"/>
  <c r="F114" i="17"/>
  <c r="C114" i="17"/>
  <c r="H113" i="17"/>
  <c r="I113" i="17" s="1"/>
  <c r="F113" i="17"/>
  <c r="C113" i="17"/>
  <c r="S112" i="17"/>
  <c r="H112" i="17"/>
  <c r="I112" i="17" s="1"/>
  <c r="F112" i="17"/>
  <c r="C112" i="17"/>
  <c r="S111" i="17"/>
  <c r="H111" i="17"/>
  <c r="I111" i="17" s="1"/>
  <c r="F111" i="17"/>
  <c r="C111" i="17"/>
  <c r="S110" i="17"/>
  <c r="H110" i="17"/>
  <c r="I110" i="17" s="1"/>
  <c r="F110" i="17"/>
  <c r="C110" i="17"/>
  <c r="S109" i="17"/>
  <c r="H109" i="17"/>
  <c r="I109" i="17" s="1"/>
  <c r="F109" i="17"/>
  <c r="C109" i="17"/>
  <c r="H108" i="17"/>
  <c r="I108" i="17" s="1"/>
  <c r="F108" i="17"/>
  <c r="C108" i="17"/>
  <c r="H107" i="17"/>
  <c r="I107" i="17" s="1"/>
  <c r="F107" i="17"/>
  <c r="C107" i="17"/>
  <c r="S106" i="17"/>
  <c r="H106" i="17"/>
  <c r="I106" i="17" s="1"/>
  <c r="F106" i="17"/>
  <c r="C106" i="17"/>
  <c r="H105" i="17"/>
  <c r="I105" i="17" s="1"/>
  <c r="F105" i="17"/>
  <c r="C105" i="17"/>
  <c r="H104" i="17"/>
  <c r="I104" i="17" s="1"/>
  <c r="F104" i="17"/>
  <c r="C104" i="17"/>
  <c r="S103" i="17"/>
  <c r="H103" i="17"/>
  <c r="I103" i="17" s="1"/>
  <c r="F103" i="17"/>
  <c r="C103" i="17"/>
  <c r="H102" i="17"/>
  <c r="I102" i="17" s="1"/>
  <c r="F102" i="17"/>
  <c r="C102" i="17"/>
  <c r="S101" i="17"/>
  <c r="H101" i="17"/>
  <c r="I101" i="17" s="1"/>
  <c r="F101" i="17"/>
  <c r="C101" i="17"/>
  <c r="S100" i="17"/>
  <c r="H100" i="17"/>
  <c r="I100" i="17" s="1"/>
  <c r="F100" i="17"/>
  <c r="C100" i="17"/>
  <c r="S99" i="17"/>
  <c r="H99" i="17"/>
  <c r="I99" i="17" s="1"/>
  <c r="F99" i="17"/>
  <c r="C99" i="17"/>
  <c r="S98" i="17"/>
  <c r="H98" i="17"/>
  <c r="I98" i="17" s="1"/>
  <c r="F98" i="17"/>
  <c r="C98" i="17"/>
  <c r="S97" i="17"/>
  <c r="H97" i="17"/>
  <c r="I97" i="17" s="1"/>
  <c r="F97" i="17"/>
  <c r="C97" i="17"/>
  <c r="H96" i="17"/>
  <c r="I96" i="17" s="1"/>
  <c r="F96" i="17"/>
  <c r="C96" i="17"/>
  <c r="H95" i="17"/>
  <c r="I95" i="17" s="1"/>
  <c r="F95" i="17"/>
  <c r="C95" i="17"/>
  <c r="S94" i="17"/>
  <c r="H94" i="17"/>
  <c r="I94" i="17" s="1"/>
  <c r="F94" i="17"/>
  <c r="C94" i="17"/>
  <c r="S93" i="17"/>
  <c r="H93" i="17"/>
  <c r="I93" i="17" s="1"/>
  <c r="F93" i="17"/>
  <c r="C93" i="17"/>
  <c r="S92" i="17"/>
  <c r="H92" i="17"/>
  <c r="I92" i="17" s="1"/>
  <c r="F92" i="17"/>
  <c r="C92" i="17"/>
  <c r="S91" i="17"/>
  <c r="H91" i="17"/>
  <c r="I91" i="17" s="1"/>
  <c r="F91" i="17"/>
  <c r="C91" i="17"/>
  <c r="H90" i="17"/>
  <c r="I90" i="17" s="1"/>
  <c r="F90" i="17"/>
  <c r="C90" i="17"/>
  <c r="S89" i="17"/>
  <c r="H89" i="17"/>
  <c r="I89" i="17" s="1"/>
  <c r="F89" i="17"/>
  <c r="C89" i="17"/>
  <c r="S88" i="17"/>
  <c r="H88" i="17"/>
  <c r="I88" i="17" s="1"/>
  <c r="F88" i="17"/>
  <c r="C88" i="17"/>
  <c r="H87" i="17"/>
  <c r="I87" i="17" s="1"/>
  <c r="F87" i="17"/>
  <c r="C87" i="17"/>
  <c r="S86" i="17"/>
  <c r="H86" i="17"/>
  <c r="I86" i="17" s="1"/>
  <c r="F86" i="17"/>
  <c r="C86" i="17"/>
  <c r="S85" i="17"/>
  <c r="H85" i="17"/>
  <c r="I85" i="17" s="1"/>
  <c r="F85" i="17"/>
  <c r="C85" i="17"/>
  <c r="H84" i="17"/>
  <c r="I84" i="17" s="1"/>
  <c r="F84" i="17"/>
  <c r="C84" i="17"/>
  <c r="H83" i="17"/>
  <c r="I83" i="17" s="1"/>
  <c r="F83" i="17"/>
  <c r="C83" i="17"/>
  <c r="S82" i="17"/>
  <c r="H82" i="17"/>
  <c r="I82" i="17" s="1"/>
  <c r="F82" i="17"/>
  <c r="C82" i="17"/>
  <c r="S81" i="17"/>
  <c r="H81" i="17"/>
  <c r="I81" i="17" s="1"/>
  <c r="F81" i="17"/>
  <c r="C81" i="17"/>
  <c r="S80" i="17"/>
  <c r="H80" i="17"/>
  <c r="I80" i="17" s="1"/>
  <c r="F80" i="17"/>
  <c r="C80" i="17"/>
  <c r="S79" i="17"/>
  <c r="H79" i="17"/>
  <c r="I79" i="17" s="1"/>
  <c r="F79" i="17"/>
  <c r="C79" i="17"/>
  <c r="H78" i="17"/>
  <c r="I78" i="17" s="1"/>
  <c r="F78" i="17"/>
  <c r="C78" i="17"/>
  <c r="S77" i="17"/>
  <c r="H77" i="17"/>
  <c r="I77" i="17" s="1"/>
  <c r="F77" i="17"/>
  <c r="C77" i="17"/>
  <c r="S76" i="17"/>
  <c r="H76" i="17"/>
  <c r="I76" i="17" s="1"/>
  <c r="F76" i="17"/>
  <c r="C76" i="17"/>
  <c r="H75" i="17"/>
  <c r="I75" i="17" s="1"/>
  <c r="F75" i="17"/>
  <c r="C75" i="17"/>
  <c r="S74" i="17"/>
  <c r="H74" i="17"/>
  <c r="I74" i="17" s="1"/>
  <c r="F74" i="17"/>
  <c r="C74" i="17"/>
  <c r="S73" i="17"/>
  <c r="H73" i="17"/>
  <c r="I73" i="17" s="1"/>
  <c r="F73" i="17"/>
  <c r="C73" i="17"/>
  <c r="H72" i="17"/>
  <c r="I72" i="17" s="1"/>
  <c r="F72" i="17"/>
  <c r="C72" i="17"/>
  <c r="H71" i="17"/>
  <c r="I71" i="17" s="1"/>
  <c r="F71" i="17"/>
  <c r="C71" i="17"/>
  <c r="S70" i="17"/>
  <c r="H70" i="17"/>
  <c r="I70" i="17" s="1"/>
  <c r="F70" i="17"/>
  <c r="C70" i="17"/>
  <c r="S69" i="17"/>
  <c r="H69" i="17"/>
  <c r="I69" i="17" s="1"/>
  <c r="F69" i="17"/>
  <c r="C69" i="17"/>
  <c r="H68" i="17"/>
  <c r="I68" i="17" s="1"/>
  <c r="C68" i="17"/>
  <c r="H67" i="17"/>
  <c r="I67" i="17" s="1"/>
  <c r="C67" i="17"/>
  <c r="H66" i="17"/>
  <c r="I66" i="17" s="1"/>
  <c r="C66" i="17"/>
  <c r="S64" i="17"/>
  <c r="H64" i="17"/>
  <c r="I64" i="17" s="1"/>
  <c r="F64" i="17"/>
  <c r="C64" i="17"/>
  <c r="H63" i="17"/>
  <c r="I63" i="17" s="1"/>
  <c r="F63" i="17"/>
  <c r="C63" i="17"/>
  <c r="S62" i="17"/>
  <c r="H62" i="17"/>
  <c r="I62" i="17" s="1"/>
  <c r="F62" i="17"/>
  <c r="C62" i="17"/>
  <c r="S61" i="17"/>
  <c r="H61" i="17"/>
  <c r="I61" i="17" s="1"/>
  <c r="F61" i="17"/>
  <c r="C61" i="17"/>
  <c r="S60" i="17"/>
  <c r="H60" i="17"/>
  <c r="I60" i="17" s="1"/>
  <c r="F60" i="17"/>
  <c r="C60" i="17"/>
  <c r="S59" i="17"/>
  <c r="H59" i="17"/>
  <c r="I59" i="17" s="1"/>
  <c r="F59" i="17"/>
  <c r="C59" i="17"/>
  <c r="S58" i="17"/>
  <c r="H58" i="17"/>
  <c r="I58" i="17" s="1"/>
  <c r="F58" i="17"/>
  <c r="C58" i="17"/>
  <c r="H57" i="17"/>
  <c r="I57" i="17" s="1"/>
  <c r="F57" i="17"/>
  <c r="C57" i="17"/>
  <c r="H56" i="17"/>
  <c r="I56" i="17" s="1"/>
  <c r="F56" i="17"/>
  <c r="C56" i="17"/>
  <c r="S55" i="17"/>
  <c r="H55" i="17"/>
  <c r="I55" i="17" s="1"/>
  <c r="F55" i="17"/>
  <c r="C55" i="17"/>
  <c r="S54" i="17"/>
  <c r="H54" i="17"/>
  <c r="I54" i="17" s="1"/>
  <c r="F54" i="17"/>
  <c r="C54" i="17"/>
  <c r="H53" i="17"/>
  <c r="I53" i="17" s="1"/>
  <c r="F53" i="17"/>
  <c r="C53" i="17"/>
  <c r="S52" i="17"/>
  <c r="H52" i="17"/>
  <c r="I52" i="17" s="1"/>
  <c r="F52" i="17"/>
  <c r="C52" i="17"/>
  <c r="H51" i="17"/>
  <c r="I51" i="17" s="1"/>
  <c r="F51" i="17"/>
  <c r="C51" i="17"/>
  <c r="S50" i="17"/>
  <c r="H50" i="17"/>
  <c r="I50" i="17" s="1"/>
  <c r="F50" i="17"/>
  <c r="C50" i="17"/>
  <c r="S49" i="17"/>
  <c r="H49" i="17"/>
  <c r="I49" i="17" s="1"/>
  <c r="F49" i="17"/>
  <c r="C49" i="17"/>
  <c r="S48" i="17"/>
  <c r="H48" i="17"/>
  <c r="I48" i="17" s="1"/>
  <c r="F48" i="17"/>
  <c r="C48" i="17"/>
  <c r="S47" i="17"/>
  <c r="H47" i="17"/>
  <c r="I47" i="17" s="1"/>
  <c r="F47" i="17"/>
  <c r="C47" i="17"/>
  <c r="S46" i="17"/>
  <c r="H46" i="17"/>
  <c r="I46" i="17" s="1"/>
  <c r="F46" i="17"/>
  <c r="C46" i="17"/>
  <c r="H45" i="17"/>
  <c r="I45" i="17" s="1"/>
  <c r="F45" i="17"/>
  <c r="C45" i="17"/>
  <c r="H44" i="17"/>
  <c r="I44" i="17" s="1"/>
  <c r="F44" i="17"/>
  <c r="C44" i="17"/>
  <c r="S43" i="17"/>
  <c r="H43" i="17"/>
  <c r="I43" i="17" s="1"/>
  <c r="F43" i="17"/>
  <c r="C43" i="17"/>
  <c r="S42" i="17"/>
  <c r="H42" i="17"/>
  <c r="I42" i="17" s="1"/>
  <c r="F42" i="17"/>
  <c r="C42" i="17"/>
  <c r="H41" i="17"/>
  <c r="I41" i="17" s="1"/>
  <c r="F41" i="17"/>
  <c r="C41" i="17"/>
  <c r="S40" i="17"/>
  <c r="H40" i="17"/>
  <c r="I40" i="17" s="1"/>
  <c r="F40" i="17"/>
  <c r="C40" i="17"/>
  <c r="H39" i="17"/>
  <c r="I39" i="17" s="1"/>
  <c r="F39" i="17"/>
  <c r="C39" i="17"/>
  <c r="S38" i="17"/>
  <c r="H38" i="17"/>
  <c r="I38" i="17" s="1"/>
  <c r="F38" i="17"/>
  <c r="C38" i="17"/>
  <c r="S37" i="17"/>
  <c r="H37" i="17"/>
  <c r="I37" i="17" s="1"/>
  <c r="F37" i="17"/>
  <c r="C37" i="17"/>
  <c r="S36" i="17"/>
  <c r="H36" i="17"/>
  <c r="I36" i="17" s="1"/>
  <c r="F36" i="17"/>
  <c r="C36" i="17"/>
  <c r="S35" i="17"/>
  <c r="H35" i="17"/>
  <c r="I35" i="17" s="1"/>
  <c r="F35" i="17"/>
  <c r="C35" i="17"/>
  <c r="S34" i="17"/>
  <c r="H34" i="17"/>
  <c r="I34" i="17" s="1"/>
  <c r="F34" i="17"/>
  <c r="C34" i="17"/>
  <c r="H33" i="17"/>
  <c r="I33" i="17" s="1"/>
  <c r="F33" i="17"/>
  <c r="C33" i="17"/>
  <c r="H32" i="17"/>
  <c r="I32" i="17" s="1"/>
  <c r="F32" i="17"/>
  <c r="C32" i="17"/>
  <c r="S31" i="17"/>
  <c r="H31" i="17"/>
  <c r="I31" i="17" s="1"/>
  <c r="F31" i="17"/>
  <c r="C31" i="17"/>
  <c r="S30" i="17"/>
  <c r="H30" i="17"/>
  <c r="I30" i="17" s="1"/>
  <c r="F30" i="17"/>
  <c r="C30" i="17"/>
  <c r="H29" i="17"/>
  <c r="I29" i="17" s="1"/>
  <c r="F29" i="17"/>
  <c r="C29" i="17"/>
  <c r="S28" i="17"/>
  <c r="H28" i="17"/>
  <c r="I28" i="17" s="1"/>
  <c r="F28" i="17"/>
  <c r="C28" i="17"/>
  <c r="S27" i="17"/>
  <c r="H27" i="17"/>
  <c r="I27" i="17" s="1"/>
  <c r="F27" i="17"/>
  <c r="C27" i="17"/>
  <c r="S26" i="17"/>
  <c r="H26" i="17"/>
  <c r="I26" i="17" s="1"/>
  <c r="F26" i="17"/>
  <c r="C26" i="17"/>
  <c r="S25" i="17"/>
  <c r="H25" i="17"/>
  <c r="I25" i="17" s="1"/>
  <c r="F25" i="17"/>
  <c r="C25" i="17"/>
  <c r="S24" i="17"/>
  <c r="H24" i="17"/>
  <c r="I24" i="17" s="1"/>
  <c r="F24" i="17"/>
  <c r="C24" i="17"/>
  <c r="S23" i="17"/>
  <c r="H23" i="17"/>
  <c r="I23" i="17" s="1"/>
  <c r="F23" i="17"/>
  <c r="C23" i="17"/>
  <c r="S22" i="17"/>
  <c r="H22" i="17"/>
  <c r="I22" i="17" s="1"/>
  <c r="F22" i="17"/>
  <c r="C22" i="17"/>
  <c r="H21" i="17"/>
  <c r="I21" i="17" s="1"/>
  <c r="F21" i="17"/>
  <c r="C21" i="17"/>
  <c r="H20" i="17"/>
  <c r="I20" i="17" s="1"/>
  <c r="F20" i="17"/>
  <c r="C20" i="17"/>
  <c r="S19" i="17"/>
  <c r="H19" i="17"/>
  <c r="I19" i="17" s="1"/>
  <c r="F19" i="17"/>
  <c r="C19" i="17"/>
  <c r="S18" i="17"/>
  <c r="H18" i="17"/>
  <c r="I18" i="17" s="1"/>
  <c r="F18" i="17"/>
  <c r="C18" i="17"/>
  <c r="H17" i="17"/>
  <c r="I17" i="17" s="1"/>
  <c r="F17" i="17"/>
  <c r="C17" i="17"/>
  <c r="H16" i="17"/>
  <c r="I16" i="17" s="1"/>
  <c r="F16" i="17"/>
  <c r="C16" i="17"/>
  <c r="H15" i="17"/>
  <c r="I15" i="17" s="1"/>
  <c r="F15" i="17"/>
  <c r="C15" i="17"/>
  <c r="G10" i="17"/>
  <c r="K18" i="9" s="1"/>
  <c r="N10" i="17"/>
  <c r="G9" i="17"/>
  <c r="I18" i="9" s="1"/>
  <c r="Q6" i="17"/>
  <c r="J6" i="17"/>
  <c r="E6" i="17"/>
  <c r="J5" i="17"/>
  <c r="E5" i="17"/>
  <c r="R7" i="12"/>
  <c r="L7" i="12"/>
  <c r="L6" i="12"/>
  <c r="K17" i="9" l="1"/>
  <c r="F35" i="9"/>
  <c r="F41" i="9"/>
  <c r="F39" i="9"/>
  <c r="F36" i="9"/>
  <c r="F38" i="9"/>
  <c r="F34" i="9"/>
  <c r="F37" i="9"/>
  <c r="C18" i="9"/>
  <c r="I17" i="9"/>
  <c r="S68" i="17"/>
  <c r="S17" i="17"/>
  <c r="S66" i="17"/>
  <c r="S16" i="17"/>
  <c r="S67" i="17"/>
  <c r="H27" i="9" l="1"/>
  <c r="B27" i="9"/>
  <c r="AE35" i="9"/>
  <c r="Q50" i="9"/>
  <c r="Q41" i="9"/>
  <c r="N7" i="8"/>
  <c r="I7" i="8"/>
  <c r="I5" i="8"/>
  <c r="E7" i="8"/>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R9" i="9" s="1"/>
  <c r="C67" i="12"/>
  <c r="C68" i="12"/>
  <c r="C69" i="12"/>
  <c r="C70" i="12"/>
  <c r="P70" i="12" s="1"/>
  <c r="S70" i="12" s="1"/>
  <c r="C71" i="12"/>
  <c r="P71" i="12" s="1"/>
  <c r="S71" i="12" s="1"/>
  <c r="C72" i="12"/>
  <c r="P72" i="12" s="1"/>
  <c r="S72" i="12" s="1"/>
  <c r="C73" i="12"/>
  <c r="P73" i="12" s="1"/>
  <c r="S73" i="12" s="1"/>
  <c r="C74" i="12"/>
  <c r="C75" i="12"/>
  <c r="C76" i="12"/>
  <c r="C77" i="12"/>
  <c r="C78" i="12"/>
  <c r="C79" i="12"/>
  <c r="P79" i="12" s="1"/>
  <c r="S79" i="12" s="1"/>
  <c r="C80" i="12"/>
  <c r="P80" i="12" s="1"/>
  <c r="S80" i="12" s="1"/>
  <c r="C81" i="12"/>
  <c r="P81" i="12" s="1"/>
  <c r="S81" i="12" s="1"/>
  <c r="C82" i="12"/>
  <c r="P82" i="12" s="1"/>
  <c r="S82" i="12" s="1"/>
  <c r="C83" i="12"/>
  <c r="P83" i="12" s="1"/>
  <c r="S83" i="12" s="1"/>
  <c r="C84" i="12"/>
  <c r="P84" i="12" s="1"/>
  <c r="S84" i="12" s="1"/>
  <c r="C85" i="12"/>
  <c r="P85" i="12" s="1"/>
  <c r="S85" i="12" s="1"/>
  <c r="C86" i="12"/>
  <c r="C87" i="12"/>
  <c r="C88" i="12"/>
  <c r="C89" i="12"/>
  <c r="C90" i="12"/>
  <c r="C91" i="12"/>
  <c r="P91" i="12" s="1"/>
  <c r="S91" i="12" s="1"/>
  <c r="C92" i="12"/>
  <c r="P92" i="12" s="1"/>
  <c r="S92" i="12" s="1"/>
  <c r="C93" i="12"/>
  <c r="P93" i="12" s="1"/>
  <c r="S93" i="12" s="1"/>
  <c r="C94" i="12"/>
  <c r="P94" i="12" s="1"/>
  <c r="S94" i="12" s="1"/>
  <c r="C95" i="12"/>
  <c r="P95" i="12" s="1"/>
  <c r="S95" i="12" s="1"/>
  <c r="C96" i="12"/>
  <c r="P96" i="12" s="1"/>
  <c r="S96" i="12" s="1"/>
  <c r="C97" i="12"/>
  <c r="P97" i="12" s="1"/>
  <c r="S97" i="12" s="1"/>
  <c r="C98" i="12"/>
  <c r="C99" i="12"/>
  <c r="C100" i="12"/>
  <c r="C101" i="12"/>
  <c r="C102" i="12"/>
  <c r="C103" i="12"/>
  <c r="P103" i="12" s="1"/>
  <c r="S103" i="12" s="1"/>
  <c r="C104" i="12"/>
  <c r="P104" i="12" s="1"/>
  <c r="S104" i="12" s="1"/>
  <c r="C105" i="12"/>
  <c r="P105" i="12" s="1"/>
  <c r="S105" i="12" s="1"/>
  <c r="C106" i="12"/>
  <c r="P106" i="12" s="1"/>
  <c r="S106" i="12" s="1"/>
  <c r="C107" i="12"/>
  <c r="C108" i="12"/>
  <c r="P108" i="12" s="1"/>
  <c r="S108" i="12" s="1"/>
  <c r="C109" i="12"/>
  <c r="P109" i="12" s="1"/>
  <c r="S109" i="12" s="1"/>
  <c r="C110" i="12"/>
  <c r="C111" i="12"/>
  <c r="C112" i="12"/>
  <c r="C113" i="12"/>
  <c r="C114" i="12"/>
  <c r="C115" i="12"/>
  <c r="P115" i="12" s="1"/>
  <c r="S115" i="12" s="1"/>
  <c r="C66" i="12"/>
  <c r="C23" i="12"/>
  <c r="P23" i="12" s="1"/>
  <c r="S23" i="12" s="1"/>
  <c r="C24" i="12"/>
  <c r="P24" i="12" s="1"/>
  <c r="S24" i="12" s="1"/>
  <c r="C25" i="12"/>
  <c r="P25" i="12" s="1"/>
  <c r="S25" i="12" s="1"/>
  <c r="C26" i="12"/>
  <c r="P26" i="12" s="1"/>
  <c r="S26" i="12" s="1"/>
  <c r="C27" i="12"/>
  <c r="P27" i="12" s="1"/>
  <c r="S27" i="12" s="1"/>
  <c r="C28" i="12"/>
  <c r="P28" i="12" s="1"/>
  <c r="S28" i="12" s="1"/>
  <c r="C29" i="12"/>
  <c r="P29" i="12" s="1"/>
  <c r="S29" i="12" s="1"/>
  <c r="C30" i="12"/>
  <c r="P30" i="12" s="1"/>
  <c r="S30" i="12" s="1"/>
  <c r="C31" i="12"/>
  <c r="P31" i="12" s="1"/>
  <c r="S31" i="12" s="1"/>
  <c r="C32" i="12"/>
  <c r="P32" i="12" s="1"/>
  <c r="S32" i="12" s="1"/>
  <c r="C33" i="12"/>
  <c r="C34" i="12"/>
  <c r="C35" i="12"/>
  <c r="P35" i="12" s="1"/>
  <c r="S35" i="12" s="1"/>
  <c r="C36" i="12"/>
  <c r="P36" i="12" s="1"/>
  <c r="S36" i="12" s="1"/>
  <c r="C37" i="12"/>
  <c r="P37" i="12" s="1"/>
  <c r="S37" i="12" s="1"/>
  <c r="C38" i="12"/>
  <c r="P38" i="12" s="1"/>
  <c r="S38" i="12" s="1"/>
  <c r="C39" i="12"/>
  <c r="P39" i="12" s="1"/>
  <c r="S39" i="12" s="1"/>
  <c r="C40" i="12"/>
  <c r="P40" i="12" s="1"/>
  <c r="S40" i="12" s="1"/>
  <c r="C41" i="12"/>
  <c r="P41" i="12" s="1"/>
  <c r="S41" i="12" s="1"/>
  <c r="C42" i="12"/>
  <c r="P42" i="12" s="1"/>
  <c r="S42" i="12" s="1"/>
  <c r="C43" i="12"/>
  <c r="P43" i="12" s="1"/>
  <c r="S43" i="12" s="1"/>
  <c r="C44" i="12"/>
  <c r="P44" i="12" s="1"/>
  <c r="S44" i="12" s="1"/>
  <c r="C45" i="12"/>
  <c r="C46" i="12"/>
  <c r="C47" i="12"/>
  <c r="P47" i="12" s="1"/>
  <c r="S47" i="12" s="1"/>
  <c r="C48" i="12"/>
  <c r="P48" i="12" s="1"/>
  <c r="S48" i="12" s="1"/>
  <c r="C49" i="12"/>
  <c r="P49" i="12" s="1"/>
  <c r="S49" i="12" s="1"/>
  <c r="C50" i="12"/>
  <c r="P50" i="12" s="1"/>
  <c r="S50" i="12" s="1"/>
  <c r="C51" i="12"/>
  <c r="P51" i="12" s="1"/>
  <c r="S51" i="12" s="1"/>
  <c r="C52" i="12"/>
  <c r="P52" i="12" s="1"/>
  <c r="S52" i="12" s="1"/>
  <c r="C53" i="12"/>
  <c r="P53" i="12" s="1"/>
  <c r="S53" i="12" s="1"/>
  <c r="C54" i="12"/>
  <c r="P54" i="12" s="1"/>
  <c r="S54" i="12" s="1"/>
  <c r="C55" i="12"/>
  <c r="P55" i="12" s="1"/>
  <c r="S55" i="12" s="1"/>
  <c r="C56" i="12"/>
  <c r="P56" i="12" s="1"/>
  <c r="S56" i="12" s="1"/>
  <c r="C57" i="12"/>
  <c r="C58" i="12"/>
  <c r="C59" i="12"/>
  <c r="P59" i="12" s="1"/>
  <c r="S59" i="12" s="1"/>
  <c r="C60" i="12"/>
  <c r="P60" i="12" s="1"/>
  <c r="S60" i="12" s="1"/>
  <c r="C61" i="12"/>
  <c r="P61" i="12" s="1"/>
  <c r="S61" i="12" s="1"/>
  <c r="C62" i="12"/>
  <c r="P62" i="12" s="1"/>
  <c r="S62" i="12" s="1"/>
  <c r="C63" i="12"/>
  <c r="P63" i="12" s="1"/>
  <c r="S63" i="12" s="1"/>
  <c r="C64" i="12"/>
  <c r="P64" i="12" s="1"/>
  <c r="S64" i="12" s="1"/>
  <c r="C16" i="12"/>
  <c r="C17" i="12"/>
  <c r="C18" i="12"/>
  <c r="C19" i="12"/>
  <c r="C20" i="12"/>
  <c r="P20" i="12" s="1"/>
  <c r="S20" i="12" s="1"/>
  <c r="C21" i="12"/>
  <c r="P21" i="12" s="1"/>
  <c r="S21" i="12" s="1"/>
  <c r="C22" i="12"/>
  <c r="P22" i="12" s="1"/>
  <c r="S22" i="12" s="1"/>
  <c r="C15" i="12"/>
  <c r="M66" i="12" l="1"/>
  <c r="J66" i="12"/>
  <c r="F66" i="12"/>
  <c r="P69" i="12"/>
  <c r="S69" i="12" s="1"/>
  <c r="M69" i="12"/>
  <c r="J69" i="12"/>
  <c r="F69" i="12"/>
  <c r="M67" i="12"/>
  <c r="J67" i="12"/>
  <c r="F67" i="12"/>
  <c r="M68" i="12"/>
  <c r="J68" i="12"/>
  <c r="F68" i="12"/>
  <c r="M15" i="12"/>
  <c r="J15" i="12"/>
  <c r="F15" i="12"/>
  <c r="M18" i="12"/>
  <c r="J18" i="12"/>
  <c r="F18" i="12"/>
  <c r="M17" i="12"/>
  <c r="J17" i="12"/>
  <c r="F17" i="12"/>
  <c r="M16" i="12"/>
  <c r="J16" i="12"/>
  <c r="F16" i="12"/>
  <c r="S9" i="9"/>
  <c r="T9" i="9"/>
  <c r="V9" i="9"/>
  <c r="U9" i="9"/>
  <c r="W9" i="9"/>
  <c r="X9" i="9"/>
  <c r="Y9" i="9"/>
  <c r="Z9" i="9"/>
  <c r="AA9" i="9"/>
  <c r="AB9" i="9"/>
  <c r="P19" i="12"/>
  <c r="S19" i="12" s="1"/>
  <c r="P114" i="12"/>
  <c r="S114" i="12" s="1"/>
  <c r="P102" i="12"/>
  <c r="S102" i="12" s="1"/>
  <c r="P90" i="12"/>
  <c r="S90" i="12" s="1"/>
  <c r="P78" i="12"/>
  <c r="S78" i="12" s="1"/>
  <c r="P113" i="12"/>
  <c r="S113" i="12" s="1"/>
  <c r="P101" i="12"/>
  <c r="S101" i="12" s="1"/>
  <c r="P89" i="12"/>
  <c r="S89" i="12" s="1"/>
  <c r="P77" i="12"/>
  <c r="S77" i="12" s="1"/>
  <c r="P112" i="12"/>
  <c r="S112" i="12" s="1"/>
  <c r="P100" i="12"/>
  <c r="S100" i="12" s="1"/>
  <c r="P88" i="12"/>
  <c r="S88" i="12" s="1"/>
  <c r="P76" i="12"/>
  <c r="S76" i="12" s="1"/>
  <c r="P111" i="12"/>
  <c r="S111" i="12" s="1"/>
  <c r="P99" i="12"/>
  <c r="S99" i="12" s="1"/>
  <c r="P87" i="12"/>
  <c r="S87" i="12" s="1"/>
  <c r="P75" i="12"/>
  <c r="S75" i="12" s="1"/>
  <c r="P110" i="12"/>
  <c r="S110" i="12" s="1"/>
  <c r="P98" i="12"/>
  <c r="S98" i="12" s="1"/>
  <c r="P86" i="12"/>
  <c r="S86" i="12" s="1"/>
  <c r="P74" i="12"/>
  <c r="S74" i="12" s="1"/>
  <c r="P107" i="12"/>
  <c r="S107" i="12" s="1"/>
  <c r="P58" i="12"/>
  <c r="S58" i="12" s="1"/>
  <c r="P46" i="12"/>
  <c r="S46" i="12" s="1"/>
  <c r="P34" i="12"/>
  <c r="S34" i="12" s="1"/>
  <c r="P57" i="12"/>
  <c r="S57" i="12" s="1"/>
  <c r="P45" i="12"/>
  <c r="S45" i="12" s="1"/>
  <c r="P33" i="12"/>
  <c r="S33" i="12" s="1"/>
  <c r="H11" i="12"/>
  <c r="H10" i="12"/>
  <c r="E7" i="12"/>
  <c r="E6" i="12"/>
  <c r="B10" i="9"/>
  <c r="B8" i="9"/>
  <c r="B7" i="9"/>
  <c r="E117" i="8"/>
  <c r="G11" i="8"/>
  <c r="L10" i="8"/>
  <c r="G10" i="8"/>
  <c r="E5" i="8"/>
  <c r="P15" i="12" l="1"/>
  <c r="AC7" i="9"/>
  <c r="AC9" i="9" s="1"/>
  <c r="P18" i="12"/>
  <c r="P68" i="12"/>
  <c r="P66" i="12"/>
  <c r="P67" i="12"/>
  <c r="P17" i="12"/>
  <c r="P16" i="12"/>
  <c r="S18" i="12" l="1"/>
  <c r="S16" i="12"/>
  <c r="S15" i="12"/>
  <c r="S67" i="12"/>
  <c r="S66" i="12"/>
  <c r="S68" i="12"/>
  <c r="S17" i="12"/>
</calcChain>
</file>

<file path=xl/sharedStrings.xml><?xml version="1.0" encoding="utf-8"?>
<sst xmlns="http://schemas.openxmlformats.org/spreadsheetml/2006/main" count="291" uniqueCount="145">
  <si>
    <t>Input Data Sheet for Electronic-Class Record (ECR) for Class Adviser</t>
  </si>
  <si>
    <t>ABC ELEMENTARY SCHOOL</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</si>
  <si>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</si>
  <si>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</si>
  <si>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</si>
  <si>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</si>
  <si>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</si>
  <si>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</si>
  <si>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</si>
  <si>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</si>
  <si>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</si>
  <si>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</si>
  <si>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</si>
  <si>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</si>
  <si>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</si>
  <si>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</si>
  <si>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</si>
  <si>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</si>
  <si>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</si>
  <si>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</si>
  <si>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</si>
  <si>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</si>
  <si>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</si>
  <si>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</si>
  <si>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</si>
  <si>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</si>
  <si>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</si>
  <si>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SCHOOL HEAD</t>
  </si>
  <si>
    <t>EUNICE FERNANDEZ</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</si>
  <si>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</si>
  <si>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</si>
  <si>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</si>
  <si>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</si>
  <si>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</si>
  <si>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</si>
  <si>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</si>
  <si>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</si>
  <si>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</si>
  <si>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</si>
  <si>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</si>
  <si>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</si>
  <si>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</si>
  <si>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</si>
  <si>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</si>
  <si>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</si>
  <si>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</si>
  <si>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</si>
  <si>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</si>
  <si>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</si>
  <si>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</si>
  <si>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</si>
  <si>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</si>
  <si>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</si>
  <si>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</si>
  <si>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</si>
  <si>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</si>
  <si>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</si>
  <si>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</si>
  <si>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</si>
  <si>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</si>
  <si>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</si>
  <si>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</si>
  <si>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</si>
  <si>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</si>
  <si>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</si>
  <si>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</si>
  <si>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</si>
  <si>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</si>
  <si>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</si>
  <si>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</si>
  <si>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</si>
  <si>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</si>
  <si>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</si>
  <si>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</si>
  <si>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</si>
  <si>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</si>
  <si>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</si>
  <si>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</si>
  <si>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</si>
  <si>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</si>
  <si>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</si>
  <si>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</si>
  <si>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</si>
  <si>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</si>
  <si>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</si>
  <si>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</si>
  <si>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</si>
  <si>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</si>
  <si>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</si>
  <si>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</si>
  <si>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</si>
  <si>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</si>
  <si>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</si>
  <si>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</si>
  <si>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</si>
  <si>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</si>
  <si>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</si>
  <si>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</si>
  <si>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</si>
  <si>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</si>
  <si>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</si>
  <si>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</si>
  <si>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</si>
  <si>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</si>
  <si>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</si>
  <si>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</si>
  <si>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</si>
  <si>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</si>
  <si>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</si>
  <si>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</si>
  <si>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</si>
  <si>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</si>
  <si>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</si>
  <si>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</si>
  <si>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Sta. Maria District</t>
  </si>
  <si>
    <t xml:space="preserve">  Age:</t>
  </si>
  <si>
    <t xml:space="preserve">  Grade:</t>
  </si>
  <si>
    <t>RANK</t>
  </si>
  <si>
    <t>AVERAGE</t>
  </si>
  <si>
    <t>THIRD TERM</t>
  </si>
  <si>
    <t>SECOND TERM</t>
  </si>
  <si>
    <t>FINAL GRADES</t>
  </si>
  <si>
    <t>School  Head</t>
  </si>
  <si>
    <t>Sex</t>
  </si>
  <si>
    <t>M</t>
  </si>
  <si>
    <t>F</t>
  </si>
  <si>
    <t>Core Subjects</t>
  </si>
  <si>
    <t>General Mathematics</t>
  </si>
  <si>
    <t>Effective Communication /Mabisang Komunikasyon</t>
  </si>
  <si>
    <t xml:space="preserve">       Effective Communication</t>
  </si>
  <si>
    <t xml:space="preserve">      Mabisang Komunikasyon</t>
  </si>
  <si>
    <t>General Science</t>
  </si>
  <si>
    <t>Life and Career Skills</t>
  </si>
  <si>
    <t>Pag-Aaral ng Kasanayan at Lipunang Pilipino</t>
  </si>
  <si>
    <t>Elective Subjects</t>
  </si>
  <si>
    <t>(Accepts Grade 11 only)</t>
  </si>
  <si>
    <t>Effective Communication</t>
  </si>
  <si>
    <t>Mabisang Komunikasyon</t>
  </si>
  <si>
    <t>PKLP</t>
  </si>
  <si>
    <t>AE 1</t>
  </si>
  <si>
    <t>AE 2</t>
  </si>
  <si>
    <t>AE 3</t>
  </si>
  <si>
    <t>CLASS SUMMARY</t>
  </si>
  <si>
    <t>TRACK</t>
  </si>
  <si>
    <t>TechPro Elective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</si>
</sst>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66">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ont>
    <font>
      <sz val="10"/>
      <name val="Arial"/>
    </font>
    <font>
      <sz val="11"/>
      <color theme="1"/>
      <name val="Bookman Old Style"/>
    </font>
    <font>
      <b/>
      <sz val="12"/>
      <color theme="1"/>
      <name val="Bookman Old Style"/>
    </font>
    <font>
      <sz val="11"/>
      <color theme="1"/>
      <name val="Arial"/>
    </font>
    <font>
      <sz val="12"/>
      <color theme="1"/>
      <name val="Bookman Old Style"/>
    </font>
    <font>
      <sz val="10"/>
      <color theme="1"/>
      <name val="Arial"/>
      <scheme val="minor"/>
    </font>
    <font>
      <sz val="12"/>
      <color theme="1"/>
      <name val="Arial"/>
      <scheme val="minor"/>
    </font>
    <font>
      <b/>
      <sz val="12"/>
      <color theme="1"/>
      <name val="Arial"/>
      <scheme val="minor"/>
    </font>
    <font>
      <b/>
      <sz val="11"/>
      <color rgb="FFFFFFFF"/>
      <name val="Arial"/>
    </font>
    <font>
      <b/>
      <sz val="11"/>
      <color rgb="FF002060"/>
      <name val="Arial"/>
    </font>
    <font>
      <b/>
      <sz val="10"/>
      <color theme="1"/>
      <name val="Arial"/>
      <scheme val="minor"/>
    </font>
    <font>
      <sz val="10"/>
      <color theme="1"/>
      <name val="Arial"/>
    </font>
    <font>
      <b/>
      <sz val="15"/>
      <color theme="1"/>
      <name val="Arial"/>
      <scheme val="minor"/>
    </font>
    <font>
      <sz val="11"/>
      <color theme="1"/>
      <name val="Arial"/>
      <scheme val="minor"/>
    </font>
    <font>
      <i/>
      <sz val="9"/>
      <color rgb="FF002060"/>
      <name val="Arial"/>
    </font>
    <font>
      <i/>
      <sz val="8"/>
      <color theme="1"/>
      <name val="Arial"/>
    </font>
    <font>
      <b/>
      <sz val="21"/>
      <color theme="1"/>
      <name val="Arial"/>
    </font>
    <font>
      <b/>
      <sz val="16"/>
      <color theme="1"/>
      <name val="Arial"/>
      <scheme val="minor"/>
    </font>
    <font>
      <b/>
      <sz val="10"/>
      <color theme="1"/>
      <name val="Arial"/>
    </font>
    <font>
      <b/>
      <sz val="11"/>
      <color theme="1"/>
      <name val="Arial"/>
      <scheme val="minor"/>
    </font>
    <font>
      <b/>
      <sz val="11"/>
      <color rgb="FF000000"/>
      <name val="Arial"/>
    </font>
    <font>
      <b/>
      <sz val="13"/>
      <color theme="1"/>
      <name val="Arial"/>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i/>
      <sz val="11"/>
      <color rgb="FF002060"/>
      <name val="Arial"/>
      <family val="2"/>
    </font>
    <font>
      <b/>
      <sz val="12"/>
      <color theme="1"/>
      <name val="Bookman Old Style"/>
      <family val="1"/>
    </font>
    <font>
      <sz val="12"/>
      <color theme="1"/>
      <name val="Bookman Old Style"/>
      <family val="1"/>
    </font>
    <font>
      <sz val="12"/>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sz val="12"/>
      <color theme="1"/>
      <name val="Arial"/>
      <family val="2"/>
      <scheme val="minor"/>
    </font>
    <font>
      <b/>
      <sz val="12"/>
      <color theme="1"/>
      <name val="Arial"/>
      <family val="2"/>
    </font>
    <font>
      <sz val="12"/>
      <color theme="1"/>
      <name val="Arial"/>
      <family val="2"/>
    </font>
    <font>
      <b/>
      <sz val="12"/>
      <color rgb="FF000000"/>
      <name val="Arial"/>
      <family val="2"/>
    </font>
    <font>
      <b/>
      <sz val="12"/>
      <color theme="1"/>
      <name val="Arial"/>
      <family val="2"/>
      <scheme val="minor"/>
    </font>
    <font>
      <b/>
      <sz val="10"/>
      <name val="Arial"/>
      <family val="2"/>
    </font>
    <font>
      <b/>
      <sz val="12"/>
      <name val="Arial"/>
      <family val="2"/>
    </font>
    <font>
      <sz val="12"/>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b/>
      <i/>
      <sz val="14"/>
      <color rgb="FF000000"/>
      <name val="Bookman Old Style'"/>
    </font>
    <font>
      <b/>
      <i/>
      <sz val="12"/>
      <color theme="1"/>
      <name val="Bookman Old Style"/>
      <family val="1"/>
    </font>
    <font>
      <i/>
      <sz val="12"/>
      <color rgb="FF000000"/>
      <name val="Bookman Old Style"/>
      <family val="1"/>
    </font>
    <font>
      <sz val="11"/>
      <color rgb="FF000000"/>
      <name val="Bookman Old Style"/>
      <family val="1"/>
    </font>
    <font>
      <b/>
      <i/>
      <sz val="12"/>
      <color rgb="FF000000"/>
      <name val="Bookman Old Style"/>
      <family val="1"/>
    </font>
    <font>
      <b/>
      <sz val="9"/>
      <color theme="1"/>
      <name val="Arial"/>
      <family val="2"/>
      <scheme val="minor"/>
    </font>
    <font>
      <b/>
      <i/>
      <sz val="9"/>
      <color theme="1"/>
      <name val="Arial"/>
      <family val="2"/>
      <scheme val="minor"/>
    </font>
    <font>
      <b/>
      <sz val="11"/>
      <color rgb="FF000000"/>
      <name val="Arial"/>
      <family val="2"/>
      <scheme val="minor"/>
    </font>
  </fonts>
  <fills count="10">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ECECEC"/>
      </patternFill>
    </fill>
  </fills>
  <borders count="146">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medium">
        <color rgb="FF000000"/>
      </top>
      <bottom style="medium">
        <color rgb="FF000000"/>
      </bottom>
      <diagonal/>
    </border>
    <border>
      <left style="medium">
        <color indexed="64"/>
      </left>
      <right/>
      <top style="thin">
        <color indexed="64"/>
      </top>
      <bottom style="thin">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45" fillId="0" borderId="68"/>
  </cellStyleXfs>
  <cellXfs count="631">
    <xf numFmtId="0" fontId="0" fillId="0" borderId="0" xfId="0" applyFont="1" applyAlignment="1"/>
    <xf numFmtId="0" fontId="8" fillId="0" borderId="0" xfId="0" applyFont="1" applyAlignment="1">
      <alignment vertical="center"/>
    </xf>
    <xf numFmtId="0" fontId="10"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left" vertical="center"/>
    </xf>
    <xf numFmtId="0" fontId="8" fillId="4" borderId="30" xfId="0" applyFont="1" applyFill="1" applyBorder="1" applyAlignment="1">
      <alignment vertical="center"/>
    </xf>
    <xf numFmtId="0" fontId="8" fillId="4" borderId="31" xfId="0" applyFont="1" applyFill="1" applyBorder="1" applyAlignment="1">
      <alignment vertical="center"/>
    </xf>
    <xf numFmtId="0" fontId="8" fillId="4" borderId="32" xfId="0" applyFont="1" applyFill="1" applyBorder="1" applyAlignment="1">
      <alignment vertical="center"/>
    </xf>
    <xf numFmtId="0" fontId="11" fillId="0" borderId="0" xfId="0" applyFont="1" applyAlignment="1">
      <alignment horizontal="left" vertical="center" wrapText="1"/>
    </xf>
    <xf numFmtId="0" fontId="8" fillId="4" borderId="33" xfId="0" applyFont="1" applyFill="1" applyBorder="1" applyAlignment="1">
      <alignment vertical="center"/>
    </xf>
    <xf numFmtId="0" fontId="12" fillId="0" borderId="0" xfId="0" applyFont="1" applyAlignment="1">
      <alignment horizontal="right" vertical="center"/>
    </xf>
    <xf numFmtId="0" fontId="14" fillId="5" borderId="35" xfId="0" applyFont="1" applyFill="1" applyBorder="1" applyAlignment="1">
      <alignment horizontal="center" vertical="center"/>
    </xf>
    <xf numFmtId="0" fontId="13" fillId="3" borderId="38" xfId="0" applyFont="1" applyFill="1" applyBorder="1" applyAlignment="1">
      <alignment vertical="center"/>
    </xf>
    <xf numFmtId="0" fontId="15" fillId="0" borderId="0" xfId="0" applyFont="1" applyAlignment="1">
      <alignment horizontal="center" vertical="center"/>
    </xf>
    <xf numFmtId="0" fontId="8" fillId="3" borderId="39" xfId="0" applyFont="1" applyFill="1" applyBorder="1" applyAlignment="1">
      <alignment vertical="center"/>
    </xf>
    <xf numFmtId="0" fontId="10" fillId="0" borderId="0" xfId="0" applyFont="1" applyAlignment="1">
      <alignment horizontal="center" vertical="center" wrapText="1"/>
    </xf>
    <xf numFmtId="0" fontId="13" fillId="3" borderId="11" xfId="0" applyFont="1" applyFill="1" applyBorder="1" applyAlignment="1">
      <alignment horizontal="center"/>
    </xf>
    <xf numFmtId="0" fontId="13" fillId="3" borderId="11" xfId="0" applyFont="1" applyFill="1" applyBorder="1" applyAlignment="1">
      <alignment horizontal="center"/>
    </xf>
    <xf numFmtId="0" fontId="15" fillId="0" borderId="0" xfId="0" applyFont="1" applyAlignment="1">
      <alignment horizontal="center" vertical="center" wrapText="1"/>
    </xf>
    <xf numFmtId="0" fontId="8" fillId="3" borderId="40" xfId="0" applyFont="1" applyFill="1" applyBorder="1" applyAlignment="1">
      <alignment vertical="center"/>
    </xf>
    <xf numFmtId="0" fontId="10" fillId="0" borderId="0" xfId="0" applyFont="1" applyAlignment="1">
      <alignment horizontal="center" vertical="center" wrapText="1"/>
    </xf>
    <xf numFmtId="0" fontId="8" fillId="5" borderId="35" xfId="0" applyFont="1" applyFill="1" applyBorder="1" applyAlignment="1">
      <alignment vertical="center"/>
    </xf>
    <xf numFmtId="0" fontId="8" fillId="5" borderId="39" xfId="0" applyFont="1" applyFill="1" applyBorder="1" applyAlignment="1">
      <alignment vertical="center"/>
    </xf>
    <xf numFmtId="0" fontId="8" fillId="5" borderId="40" xfId="0" applyFont="1" applyFill="1" applyBorder="1" applyAlignment="1">
      <alignment vertical="center"/>
    </xf>
    <xf numFmtId="0" fontId="8" fillId="5" borderId="40" xfId="0" applyFont="1" applyFill="1" applyBorder="1" applyAlignment="1">
      <alignment horizontal="center"/>
    </xf>
    <xf numFmtId="164" fontId="8" fillId="5" borderId="40" xfId="0" applyNumberFormat="1" applyFont="1" applyFill="1" applyBorder="1" applyAlignment="1">
      <alignment horizontal="center"/>
    </xf>
    <xf numFmtId="165" fontId="8" fillId="5" borderId="40" xfId="0" applyNumberFormat="1" applyFont="1" applyFill="1" applyBorder="1" applyAlignment="1">
      <alignment horizontal="center"/>
    </xf>
    <xf numFmtId="0" fontId="8" fillId="5" borderId="40" xfId="0" applyFont="1" applyFill="1" applyBorder="1" applyAlignment="1">
      <alignment vertical="center"/>
    </xf>
    <xf numFmtId="0" fontId="16" fillId="5" borderId="40" xfId="0" applyFont="1" applyFill="1" applyBorder="1"/>
    <xf numFmtId="0" fontId="16" fillId="5" borderId="40" xfId="0" applyFont="1" applyFill="1" applyBorder="1" applyAlignment="1"/>
    <xf numFmtId="164" fontId="16" fillId="5" borderId="40" xfId="0" applyNumberFormat="1" applyFont="1" applyFill="1" applyBorder="1" applyAlignment="1"/>
    <xf numFmtId="0" fontId="8" fillId="5" borderId="49" xfId="0" applyFont="1" applyFill="1" applyBorder="1" applyAlignment="1">
      <alignment horizontal="left" vertical="center"/>
    </xf>
    <xf numFmtId="0" fontId="18" fillId="0" borderId="0" xfId="0" applyFont="1" applyAlignment="1">
      <alignment horizontal="center" vertical="center"/>
    </xf>
    <xf numFmtId="0" fontId="12" fillId="0" borderId="41" xfId="0" applyFont="1" applyBorder="1" applyAlignment="1">
      <alignment horizontal="center" vertical="center"/>
    </xf>
    <xf numFmtId="0" fontId="8" fillId="4" borderId="59" xfId="0" applyFont="1" applyFill="1" applyBorder="1" applyAlignment="1">
      <alignment vertical="center"/>
    </xf>
    <xf numFmtId="0" fontId="8" fillId="4" borderId="60" xfId="0" applyFont="1" applyFill="1" applyBorder="1" applyAlignment="1">
      <alignment vertical="center"/>
    </xf>
    <xf numFmtId="0" fontId="8" fillId="4" borderId="61" xfId="0" applyFont="1" applyFill="1" applyBorder="1" applyAlignment="1">
      <alignment vertical="center"/>
    </xf>
    <xf numFmtId="0" fontId="16" fillId="0" borderId="0" xfId="0" applyFont="1"/>
    <xf numFmtId="0" fontId="8" fillId="4" borderId="64" xfId="0" applyFont="1" applyFill="1" applyBorder="1" applyAlignment="1">
      <alignment vertical="center"/>
    </xf>
    <xf numFmtId="0" fontId="8" fillId="4" borderId="65" xfId="0" applyFont="1" applyFill="1" applyBorder="1" applyAlignment="1">
      <alignment vertical="center"/>
    </xf>
    <xf numFmtId="0" fontId="8" fillId="5" borderId="66" xfId="0" applyFont="1" applyFill="1" applyBorder="1" applyAlignment="1">
      <alignment vertical="center"/>
    </xf>
    <xf numFmtId="0" fontId="14" fillId="5" borderId="66" xfId="0" applyFont="1" applyFill="1" applyBorder="1" applyAlignment="1">
      <alignment horizontal="center" vertical="center"/>
    </xf>
    <xf numFmtId="0" fontId="8" fillId="4" borderId="67" xfId="0" applyFont="1" applyFill="1" applyBorder="1" applyAlignment="1">
      <alignment vertical="center"/>
    </xf>
    <xf numFmtId="0" fontId="14" fillId="5" borderId="15" xfId="0" applyFont="1" applyFill="1" applyBorder="1" applyAlignment="1">
      <alignment horizontal="center" vertical="center"/>
    </xf>
    <xf numFmtId="0" fontId="14" fillId="5" borderId="8" xfId="0" applyFont="1" applyFill="1" applyBorder="1" applyAlignment="1">
      <alignment vertical="center"/>
    </xf>
    <xf numFmtId="0" fontId="8" fillId="5" borderId="9" xfId="0" applyFont="1" applyFill="1" applyBorder="1" applyAlignment="1">
      <alignment vertical="center"/>
    </xf>
    <xf numFmtId="0" fontId="14" fillId="5" borderId="9" xfId="0" applyFont="1" applyFill="1" applyBorder="1" applyAlignment="1">
      <alignment horizontal="center" vertical="center"/>
    </xf>
    <xf numFmtId="0" fontId="8" fillId="4" borderId="70" xfId="0" applyFont="1" applyFill="1" applyBorder="1" applyAlignment="1">
      <alignment vertical="center"/>
    </xf>
    <xf numFmtId="0" fontId="20" fillId="0" borderId="0" xfId="0" applyFont="1" applyAlignment="1">
      <alignment horizontal="righ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23" fillId="0" borderId="41" xfId="0" applyFont="1" applyBorder="1" applyAlignment="1">
      <alignment vertical="center"/>
    </xf>
    <xf numFmtId="0" fontId="24" fillId="0" borderId="41" xfId="0" applyFont="1" applyBorder="1" applyAlignment="1">
      <alignment horizontal="center" vertical="center"/>
    </xf>
    <xf numFmtId="0" fontId="15" fillId="6" borderId="3" xfId="0" applyFont="1" applyFill="1" applyBorder="1" applyAlignment="1">
      <alignment horizontal="left" vertical="center"/>
    </xf>
    <xf numFmtId="0" fontId="25" fillId="5" borderId="6" xfId="0" applyFont="1" applyFill="1" applyBorder="1" applyAlignment="1">
      <alignment horizontal="center" vertical="center"/>
    </xf>
    <xf numFmtId="0" fontId="10" fillId="0" borderId="78" xfId="0" applyFont="1" applyBorder="1" applyAlignment="1">
      <alignment horizontal="center" vertical="center"/>
    </xf>
    <xf numFmtId="0" fontId="10" fillId="0" borderId="79" xfId="0" applyFont="1" applyBorder="1" applyAlignment="1">
      <alignment horizontal="center" vertical="center"/>
    </xf>
    <xf numFmtId="0" fontId="10" fillId="0" borderId="74" xfId="0" applyFont="1" applyBorder="1" applyAlignment="1">
      <alignment horizontal="center" vertical="center"/>
    </xf>
    <xf numFmtId="0" fontId="25" fillId="5" borderId="12" xfId="0" applyFont="1" applyFill="1" applyBorder="1" applyAlignment="1">
      <alignment horizontal="center" vertical="center"/>
    </xf>
    <xf numFmtId="0" fontId="10" fillId="0" borderId="12" xfId="0" applyFont="1" applyBorder="1" applyAlignment="1">
      <alignment horizontal="center" vertical="center"/>
    </xf>
    <xf numFmtId="0" fontId="10" fillId="0" borderId="40" xfId="0" applyFont="1" applyBorder="1" applyAlignment="1">
      <alignment horizontal="center" vertical="center"/>
    </xf>
    <xf numFmtId="0" fontId="10" fillId="0" borderId="75" xfId="0" applyFont="1" applyBorder="1" applyAlignment="1">
      <alignment horizontal="center" vertical="center"/>
    </xf>
    <xf numFmtId="0" fontId="10" fillId="0" borderId="75" xfId="0" applyFont="1" applyBorder="1" applyAlignment="1">
      <alignment horizontal="center" vertical="center"/>
    </xf>
    <xf numFmtId="0" fontId="25" fillId="5" borderId="71" xfId="0" applyFont="1" applyFill="1" applyBorder="1" applyAlignment="1">
      <alignment horizontal="center" vertical="center"/>
    </xf>
    <xf numFmtId="0" fontId="25" fillId="5" borderId="71" xfId="0" applyFont="1" applyFill="1" applyBorder="1" applyAlignment="1">
      <alignment horizontal="center" vertical="center"/>
    </xf>
    <xf numFmtId="0" fontId="10" fillId="0" borderId="71" xfId="0" applyFont="1" applyBorder="1" applyAlignment="1">
      <alignment horizontal="center" vertical="center"/>
    </xf>
    <xf numFmtId="0" fontId="10" fillId="0" borderId="80" xfId="0" applyFont="1" applyBorder="1" applyAlignment="1">
      <alignment horizontal="center" vertical="center"/>
    </xf>
    <xf numFmtId="0" fontId="10" fillId="0" borderId="76" xfId="0" applyFont="1" applyBorder="1" applyAlignment="1">
      <alignment horizontal="center" vertical="center"/>
    </xf>
    <xf numFmtId="0" fontId="15" fillId="6" borderId="4" xfId="0" applyFont="1" applyFill="1" applyBorder="1" applyAlignment="1">
      <alignment horizontal="left" vertical="center"/>
    </xf>
    <xf numFmtId="0" fontId="11" fillId="0" borderId="0" xfId="0" applyFont="1"/>
    <xf numFmtId="0" fontId="25" fillId="5" borderId="21" xfId="0" applyFont="1" applyFill="1" applyBorder="1" applyAlignment="1">
      <alignment horizontal="center" vertical="center"/>
    </xf>
    <xf numFmtId="0" fontId="10" fillId="0" borderId="21" xfId="0" applyFont="1" applyBorder="1" applyAlignment="1">
      <alignment horizontal="center" vertical="center"/>
    </xf>
    <xf numFmtId="0" fontId="10" fillId="0" borderId="84" xfId="0" applyFont="1" applyBorder="1" applyAlignment="1">
      <alignment horizontal="center" vertical="center"/>
    </xf>
    <xf numFmtId="0" fontId="18" fillId="0" borderId="41" xfId="0" applyFont="1" applyBorder="1" applyAlignment="1">
      <alignment horizontal="center" vertical="center"/>
    </xf>
    <xf numFmtId="0" fontId="14" fillId="5" borderId="40" xfId="0" applyFont="1" applyFill="1" applyBorder="1" applyAlignment="1">
      <alignment horizontal="center" vertical="center"/>
    </xf>
    <xf numFmtId="0" fontId="3" fillId="0" borderId="63" xfId="0" applyFont="1" applyBorder="1" applyAlignment="1">
      <alignment horizontal="center" vertical="center"/>
    </xf>
    <xf numFmtId="0" fontId="3" fillId="0" borderId="69" xfId="0" applyFont="1" applyBorder="1" applyAlignment="1">
      <alignment horizontal="center" vertical="center"/>
    </xf>
    <xf numFmtId="0" fontId="3" fillId="0" borderId="72" xfId="0" applyFont="1" applyBorder="1" applyAlignment="1">
      <alignment horizontal="center" vertical="center"/>
    </xf>
    <xf numFmtId="0" fontId="3" fillId="0" borderId="73" xfId="0" applyFont="1" applyBorder="1" applyAlignment="1">
      <alignment horizontal="center" vertical="center"/>
    </xf>
    <xf numFmtId="0" fontId="37" fillId="5" borderId="6" xfId="0" applyFont="1" applyFill="1" applyBorder="1" applyAlignment="1">
      <alignment horizontal="center" vertical="center"/>
    </xf>
    <xf numFmtId="0" fontId="37" fillId="5" borderId="12" xfId="0" applyFont="1" applyFill="1" applyBorder="1" applyAlignment="1">
      <alignment horizontal="center" vertical="center"/>
    </xf>
    <xf numFmtId="0" fontId="37" fillId="5" borderId="71" xfId="0" applyFont="1" applyFill="1" applyBorder="1" applyAlignment="1">
      <alignment horizontal="center" vertical="center"/>
    </xf>
    <xf numFmtId="0" fontId="37" fillId="5" borderId="21" xfId="0" applyFont="1" applyFill="1" applyBorder="1" applyAlignment="1">
      <alignment horizontal="center" vertical="center"/>
    </xf>
    <xf numFmtId="0" fontId="5" fillId="0" borderId="39" xfId="0" applyFont="1" applyBorder="1" applyAlignment="1">
      <alignment horizontal="left"/>
    </xf>
    <xf numFmtId="0" fontId="12" fillId="6" borderId="59" xfId="0" applyFont="1" applyFill="1" applyBorder="1" applyAlignment="1">
      <alignment horizontal="left" vertical="center"/>
    </xf>
    <xf numFmtId="0" fontId="12" fillId="6" borderId="70" xfId="0" applyFont="1" applyFill="1" applyBorder="1" applyAlignment="1">
      <alignment horizontal="left" vertical="center"/>
    </xf>
    <xf numFmtId="0" fontId="10" fillId="0" borderId="0" xfId="0" applyFont="1" applyAlignment="1">
      <alignment horizontal="left" vertical="center"/>
    </xf>
    <xf numFmtId="0" fontId="30" fillId="8" borderId="69" xfId="0" applyFont="1" applyFill="1" applyBorder="1" applyAlignment="1" applyProtection="1">
      <alignment horizontal="center" vertical="center"/>
      <protection hidden="1"/>
    </xf>
    <xf numFmtId="0" fontId="30" fillId="8" borderId="10" xfId="0" applyFont="1" applyFill="1" applyBorder="1" applyAlignment="1" applyProtection="1">
      <alignment horizontal="center" vertical="center"/>
      <protection hidden="1"/>
    </xf>
    <xf numFmtId="164" fontId="34" fillId="8" borderId="62" xfId="0" applyNumberFormat="1" applyFont="1" applyFill="1" applyBorder="1" applyAlignment="1" applyProtection="1">
      <alignment horizontal="center" vertical="center"/>
      <protection hidden="1"/>
    </xf>
    <xf numFmtId="164" fontId="34" fillId="8" borderId="14" xfId="0" applyNumberFormat="1" applyFont="1" applyFill="1" applyBorder="1" applyAlignment="1" applyProtection="1">
      <alignment horizontal="center" vertical="center"/>
      <protection hidden="1"/>
    </xf>
    <xf numFmtId="164" fontId="34" fillId="8" borderId="76" xfId="0" applyNumberFormat="1" applyFont="1" applyFill="1" applyBorder="1" applyAlignment="1" applyProtection="1">
      <alignment horizontal="center" vertical="center"/>
      <protection hidden="1"/>
    </xf>
    <xf numFmtId="164" fontId="34" fillId="8" borderId="74" xfId="0" applyNumberFormat="1" applyFont="1" applyFill="1" applyBorder="1" applyAlignment="1" applyProtection="1">
      <alignment horizontal="center" vertical="center"/>
      <protection hidden="1"/>
    </xf>
    <xf numFmtId="165" fontId="34" fillId="8" borderId="75" xfId="0" applyNumberFormat="1" applyFont="1" applyFill="1" applyBorder="1" applyAlignment="1" applyProtection="1">
      <alignment horizontal="center" vertical="center"/>
      <protection hidden="1"/>
    </xf>
    <xf numFmtId="165" fontId="34" fillId="8" borderId="76" xfId="0" applyNumberFormat="1" applyFont="1" applyFill="1" applyBorder="1" applyAlignment="1" applyProtection="1">
      <alignment horizontal="center" vertical="center"/>
      <protection hidden="1"/>
    </xf>
    <xf numFmtId="0" fontId="30" fillId="0" borderId="59" xfId="0" applyFont="1" applyBorder="1" applyAlignment="1" applyProtection="1">
      <alignment horizontal="left" vertical="center"/>
      <protection hidden="1"/>
    </xf>
    <xf numFmtId="0" fontId="30" fillId="0" borderId="41" xfId="0" applyFont="1" applyBorder="1" applyAlignment="1" applyProtection="1">
      <alignment horizontal="left" vertical="center"/>
      <protection hidden="1"/>
    </xf>
    <xf numFmtId="0" fontId="30" fillId="8" borderId="26" xfId="0" applyFont="1" applyFill="1" applyBorder="1" applyAlignment="1" applyProtection="1">
      <alignment horizontal="center" vertical="center"/>
      <protection hidden="1"/>
    </xf>
    <xf numFmtId="0" fontId="38" fillId="5" borderId="39" xfId="0" applyFont="1" applyFill="1" applyBorder="1" applyAlignment="1">
      <alignment vertical="center"/>
    </xf>
    <xf numFmtId="0" fontId="8" fillId="5" borderId="36" xfId="0" applyFont="1" applyFill="1" applyBorder="1" applyAlignment="1" applyProtection="1">
      <alignment horizontal="left" vertical="center"/>
    </xf>
    <xf numFmtId="0" fontId="45" fillId="0" borderId="68" xfId="1"/>
    <xf numFmtId="0" fontId="46" fillId="0" borderId="68" xfId="1" applyFont="1" applyAlignment="1">
      <alignment horizontal="center" vertical="center"/>
    </xf>
    <xf numFmtId="0" fontId="46" fillId="0" borderId="68" xfId="1" applyFont="1" applyAlignment="1">
      <alignment horizontal="left" vertical="center"/>
    </xf>
    <xf numFmtId="0" fontId="49" fillId="5" borderId="21" xfId="1" applyFont="1" applyFill="1" applyBorder="1" applyAlignment="1">
      <alignment horizontal="center" vertical="center"/>
    </xf>
    <xf numFmtId="0" fontId="49" fillId="5" borderId="71" xfId="1" applyFont="1" applyFill="1" applyBorder="1" applyAlignment="1">
      <alignment horizontal="center" vertical="center"/>
    </xf>
    <xf numFmtId="0" fontId="49" fillId="5" borderId="12" xfId="1" applyFont="1" applyFill="1" applyBorder="1" applyAlignment="1">
      <alignment horizontal="center" vertical="center"/>
    </xf>
    <xf numFmtId="0" fontId="49" fillId="5" borderId="6" xfId="1" applyFont="1" applyFill="1" applyBorder="1" applyAlignment="1">
      <alignment horizontal="center" vertical="center"/>
    </xf>
    <xf numFmtId="0" fontId="46" fillId="0" borderId="68" xfId="1" applyFont="1" applyAlignment="1">
      <alignment horizontal="center" vertical="center" wrapText="1"/>
    </xf>
    <xf numFmtId="0" fontId="46" fillId="0" borderId="68" xfId="1" applyFont="1"/>
    <xf numFmtId="0" fontId="50" fillId="0" borderId="68" xfId="1" applyFont="1" applyAlignment="1">
      <alignment horizontal="center" vertical="center"/>
    </xf>
    <xf numFmtId="0" fontId="50" fillId="0" borderId="68" xfId="1" applyFont="1" applyAlignment="1">
      <alignment horizontal="right" vertical="center"/>
    </xf>
    <xf numFmtId="0" fontId="36" fillId="0" borderId="68" xfId="1" applyFont="1" applyBorder="1"/>
    <xf numFmtId="0" fontId="46" fillId="0" borderId="68" xfId="1" applyFont="1" applyBorder="1" applyAlignment="1">
      <alignment vertical="center"/>
    </xf>
    <xf numFmtId="0" fontId="36" fillId="0" borderId="68" xfId="1" applyFont="1" applyBorder="1" applyAlignment="1">
      <alignment horizontal="left"/>
    </xf>
    <xf numFmtId="0" fontId="52" fillId="0" borderId="94" xfId="1" applyFont="1" applyBorder="1" applyAlignment="1">
      <alignment horizontal="center" vertical="center"/>
    </xf>
    <xf numFmtId="0" fontId="34" fillId="5" borderId="40" xfId="0" applyFont="1" applyFill="1" applyBorder="1" applyAlignment="1">
      <alignment vertical="center"/>
    </xf>
    <xf numFmtId="0" fontId="3" fillId="0" borderId="127" xfId="0" applyFont="1" applyBorder="1" applyAlignment="1">
      <alignment horizontal="center" vertical="center"/>
    </xf>
    <xf numFmtId="0" fontId="3" fillId="0" borderId="20" xfId="0" applyFont="1" applyBorder="1" applyAlignment="1">
      <alignment horizontal="center" vertical="center"/>
    </xf>
    <xf numFmtId="0" fontId="3" fillId="0" borderId="128" xfId="0" applyFont="1" applyBorder="1" applyAlignment="1">
      <alignment horizontal="center" vertical="center"/>
    </xf>
    <xf numFmtId="0" fontId="3" fillId="0" borderId="85" xfId="0" applyFont="1" applyBorder="1" applyAlignment="1">
      <alignment horizontal="center" vertical="center"/>
    </xf>
    <xf numFmtId="0" fontId="12" fillId="6" borderId="24" xfId="0" applyFont="1" applyFill="1" applyBorder="1" applyAlignment="1">
      <alignment horizontal="left" vertical="center"/>
    </xf>
    <xf numFmtId="0" fontId="30" fillId="8" borderId="129" xfId="0" applyFont="1" applyFill="1" applyBorder="1" applyAlignment="1" applyProtection="1">
      <alignment horizontal="center" vertical="center"/>
      <protection hidden="1"/>
    </xf>
    <xf numFmtId="0" fontId="30" fillId="8" borderId="130" xfId="0" applyFont="1" applyFill="1" applyBorder="1" applyAlignment="1" applyProtection="1">
      <alignment horizontal="center" vertical="center"/>
      <protection hidden="1"/>
    </xf>
    <xf numFmtId="0" fontId="30" fillId="8" borderId="131" xfId="0" applyFont="1" applyFill="1" applyBorder="1" applyAlignment="1" applyProtection="1">
      <alignment horizontal="center" vertical="center"/>
      <protection hidden="1"/>
    </xf>
    <xf numFmtId="0" fontId="0" fillId="0" borderId="0" xfId="0" applyFont="1" applyAlignment="1"/>
    <xf numFmtId="0" fontId="10" fillId="0" borderId="0" xfId="0" applyFont="1" applyAlignment="1">
      <alignment horizontal="center" vertical="center"/>
    </xf>
    <xf numFmtId="0" fontId="0" fillId="0" borderId="68" xfId="0" applyFont="1" applyBorder="1" applyAlignment="1"/>
    <xf numFmtId="0" fontId="5" fillId="0" borderId="68" xfId="0" applyFont="1" applyBorder="1" applyAlignment="1"/>
    <xf numFmtId="0" fontId="56" fillId="5" borderId="50" xfId="0" applyFont="1" applyFill="1" applyBorder="1" applyAlignment="1">
      <alignment vertical="center"/>
    </xf>
    <xf numFmtId="0" fontId="11" fillId="0" borderId="0" xfId="0" applyFont="1" applyFill="1"/>
    <xf numFmtId="0" fontId="0" fillId="0" borderId="0" xfId="0" applyFont="1" applyFill="1" applyAlignment="1"/>
    <xf numFmtId="0" fontId="11" fillId="0" borderId="22" xfId="0" applyFont="1" applyFill="1" applyBorder="1"/>
    <xf numFmtId="0" fontId="11" fillId="0" borderId="24" xfId="0" applyFont="1" applyFill="1" applyBorder="1"/>
    <xf numFmtId="0" fontId="11" fillId="0" borderId="27" xfId="0" applyFont="1" applyFill="1" applyBorder="1"/>
    <xf numFmtId="0" fontId="11" fillId="0" borderId="68" xfId="0" applyFont="1" applyFill="1" applyBorder="1"/>
    <xf numFmtId="0" fontId="9" fillId="0" borderId="65" xfId="0" applyFont="1" applyFill="1" applyBorder="1"/>
    <xf numFmtId="0" fontId="9" fillId="0" borderId="0" xfId="0" applyFont="1" applyFill="1"/>
    <xf numFmtId="0" fontId="9" fillId="0" borderId="44" xfId="0" applyFont="1" applyFill="1" applyBorder="1"/>
    <xf numFmtId="0" fontId="9" fillId="0" borderId="68" xfId="0" applyFont="1" applyFill="1" applyBorder="1"/>
    <xf numFmtId="0" fontId="9" fillId="0" borderId="43" xfId="0" applyFont="1" applyFill="1" applyBorder="1"/>
    <xf numFmtId="0" fontId="11" fillId="0" borderId="44" xfId="0" applyFont="1" applyFill="1" applyBorder="1"/>
    <xf numFmtId="0" fontId="9" fillId="0" borderId="65" xfId="0" applyFont="1" applyFill="1" applyBorder="1" applyAlignment="1">
      <alignment horizontal="center"/>
    </xf>
    <xf numFmtId="0" fontId="0" fillId="0" borderId="0" xfId="0" applyFont="1" applyFill="1" applyAlignment="1"/>
    <xf numFmtId="0" fontId="9" fillId="0" borderId="44" xfId="0" applyFont="1" applyFill="1" applyBorder="1" applyAlignment="1">
      <alignment horizontal="center"/>
    </xf>
    <xf numFmtId="0" fontId="9" fillId="0" borderId="68" xfId="0" applyFont="1" applyFill="1" applyBorder="1" applyAlignment="1">
      <alignment horizontal="center"/>
    </xf>
    <xf numFmtId="0" fontId="9" fillId="0" borderId="0" xfId="0" applyFont="1" applyFill="1" applyAlignment="1">
      <alignment horizontal="center"/>
    </xf>
    <xf numFmtId="0" fontId="9" fillId="0" borderId="43" xfId="0" applyFont="1" applyFill="1" applyBorder="1" applyAlignment="1">
      <alignment horizontal="center"/>
    </xf>
    <xf numFmtId="0" fontId="7" fillId="0" borderId="40" xfId="0" applyFont="1" applyFill="1" applyBorder="1" applyAlignment="1">
      <alignment horizontal="center" vertical="center"/>
    </xf>
    <xf numFmtId="0" fontId="11" fillId="0" borderId="43" xfId="0" applyFont="1" applyFill="1" applyBorder="1"/>
    <xf numFmtId="0" fontId="11" fillId="0" borderId="65" xfId="0" applyFont="1" applyFill="1" applyBorder="1"/>
    <xf numFmtId="0" fontId="7" fillId="0" borderId="65" xfId="0" applyFont="1" applyFill="1" applyBorder="1" applyAlignment="1">
      <alignment horizontal="center"/>
    </xf>
    <xf numFmtId="0" fontId="9" fillId="0" borderId="44" xfId="0" applyFont="1" applyFill="1" applyBorder="1" applyAlignment="1">
      <alignment horizontal="left"/>
    </xf>
    <xf numFmtId="0" fontId="9" fillId="0" borderId="68" xfId="0" applyFont="1" applyFill="1" applyBorder="1" applyAlignment="1">
      <alignment horizontal="left"/>
    </xf>
    <xf numFmtId="0" fontId="9" fillId="0" borderId="0" xfId="0" applyFont="1" applyFill="1" applyAlignment="1">
      <alignment horizontal="left"/>
    </xf>
    <xf numFmtId="0" fontId="9" fillId="0" borderId="43" xfId="0" applyFont="1" applyFill="1" applyBorder="1" applyAlignment="1">
      <alignment horizontal="left"/>
    </xf>
    <xf numFmtId="0" fontId="7" fillId="0" borderId="44" xfId="0" applyFont="1" applyFill="1" applyBorder="1" applyAlignment="1">
      <alignment horizontal="center"/>
    </xf>
    <xf numFmtId="0" fontId="7" fillId="0" borderId="68" xfId="0" applyFont="1" applyFill="1" applyBorder="1" applyAlignment="1">
      <alignment horizontal="center"/>
    </xf>
    <xf numFmtId="0" fontId="7" fillId="0" borderId="0" xfId="0" applyFont="1" applyFill="1" applyAlignment="1">
      <alignment horizontal="center"/>
    </xf>
    <xf numFmtId="0" fontId="7" fillId="0" borderId="43" xfId="0" applyFont="1" applyFill="1" applyBorder="1" applyAlignment="1">
      <alignment horizontal="center"/>
    </xf>
    <xf numFmtId="0" fontId="9" fillId="0" borderId="65" xfId="0" applyFont="1" applyFill="1" applyBorder="1" applyAlignment="1">
      <alignment horizontal="left"/>
    </xf>
    <xf numFmtId="0" fontId="40" fillId="0" borderId="68" xfId="0" applyFont="1" applyFill="1" applyBorder="1" applyAlignment="1">
      <alignment horizontal="left"/>
    </xf>
    <xf numFmtId="0" fontId="9" fillId="0" borderId="9" xfId="0" applyFont="1" applyFill="1" applyBorder="1" applyAlignment="1" applyProtection="1">
      <alignment horizontal="center"/>
      <protection hidden="1"/>
    </xf>
    <xf numFmtId="0" fontId="9" fillId="0" borderId="44" xfId="0" applyFont="1" applyFill="1" applyBorder="1" applyAlignment="1">
      <alignment horizontal="right"/>
    </xf>
    <xf numFmtId="0" fontId="9" fillId="0" borderId="68" xfId="0" applyFont="1" applyFill="1" applyBorder="1" applyAlignment="1">
      <alignment horizontal="right"/>
    </xf>
    <xf numFmtId="0" fontId="9" fillId="0" borderId="66" xfId="0" applyFont="1" applyFill="1" applyBorder="1" applyAlignment="1"/>
    <xf numFmtId="0" fontId="5" fillId="0" borderId="66" xfId="0" applyFont="1" applyFill="1" applyBorder="1" applyAlignment="1"/>
    <xf numFmtId="0" fontId="40" fillId="0" borderId="0" xfId="0" applyFont="1" applyFill="1" applyAlignment="1">
      <alignment horizontal="left"/>
    </xf>
    <xf numFmtId="0" fontId="9" fillId="0" borderId="65" xfId="0" applyFont="1" applyFill="1" applyBorder="1" applyAlignment="1"/>
    <xf numFmtId="0" fontId="9" fillId="0" borderId="0" xfId="0" applyFont="1" applyFill="1" applyAlignment="1"/>
    <xf numFmtId="0" fontId="9" fillId="0" borderId="9" xfId="0" applyFont="1" applyFill="1" applyBorder="1"/>
    <xf numFmtId="0" fontId="9" fillId="0" borderId="43" xfId="0" applyFont="1" applyFill="1" applyBorder="1" applyAlignment="1"/>
    <xf numFmtId="0" fontId="9" fillId="0" borderId="65" xfId="0" applyFont="1" applyFill="1" applyBorder="1" applyAlignment="1">
      <alignment wrapText="1"/>
    </xf>
    <xf numFmtId="0" fontId="9" fillId="0" borderId="0" xfId="0" applyFont="1" applyFill="1" applyAlignment="1">
      <alignment wrapText="1"/>
    </xf>
    <xf numFmtId="0" fontId="9" fillId="0" borderId="44" xfId="0" applyFont="1" applyFill="1" applyBorder="1" applyAlignment="1">
      <alignment wrapText="1"/>
    </xf>
    <xf numFmtId="0" fontId="9" fillId="0" borderId="68" xfId="0" applyFont="1" applyFill="1" applyBorder="1" applyAlignment="1">
      <alignment wrapText="1"/>
    </xf>
    <xf numFmtId="0" fontId="9" fillId="0" borderId="43" xfId="0" applyFont="1" applyFill="1" applyBorder="1" applyAlignment="1">
      <alignment wrapText="1"/>
    </xf>
    <xf numFmtId="0" fontId="7" fillId="0" borderId="65" xfId="0" applyFont="1" applyFill="1" applyBorder="1" applyAlignment="1">
      <alignment horizontal="center" vertical="center"/>
    </xf>
    <xf numFmtId="0" fontId="7" fillId="0" borderId="44" xfId="0" applyFont="1" applyFill="1" applyBorder="1" applyAlignment="1">
      <alignment horizontal="center" vertical="center"/>
    </xf>
    <xf numFmtId="0" fontId="7" fillId="0" borderId="68" xfId="0" applyFont="1" applyFill="1" applyBorder="1" applyAlignment="1">
      <alignment horizontal="center" vertical="center"/>
    </xf>
    <xf numFmtId="0" fontId="7" fillId="0" borderId="0" xfId="0" applyFont="1" applyFill="1" applyAlignment="1">
      <alignment horizontal="center" vertical="center"/>
    </xf>
    <xf numFmtId="0" fontId="7" fillId="0" borderId="43" xfId="0" applyFont="1" applyFill="1" applyBorder="1" applyAlignment="1">
      <alignment horizontal="center" vertical="center"/>
    </xf>
    <xf numFmtId="0" fontId="11" fillId="0" borderId="9" xfId="0" applyFont="1" applyFill="1" applyBorder="1"/>
    <xf numFmtId="4" fontId="27" fillId="0" borderId="65" xfId="0" applyNumberFormat="1" applyFont="1" applyFill="1" applyBorder="1" applyAlignment="1">
      <alignment horizontal="left" wrapText="1"/>
    </xf>
    <xf numFmtId="0" fontId="9" fillId="0" borderId="109" xfId="0" applyFont="1" applyFill="1" applyBorder="1"/>
    <xf numFmtId="4" fontId="28" fillId="0" borderId="65" xfId="0" applyNumberFormat="1" applyFont="1" applyFill="1" applyBorder="1" applyAlignment="1">
      <alignment horizontal="left" wrapText="1"/>
    </xf>
    <xf numFmtId="4" fontId="29" fillId="0" borderId="65" xfId="0" applyNumberFormat="1" applyFont="1" applyFill="1" applyBorder="1" applyAlignment="1">
      <alignment horizontal="center" wrapText="1"/>
    </xf>
    <xf numFmtId="0" fontId="7" fillId="0" borderId="65" xfId="0" applyFont="1" applyFill="1" applyBorder="1" applyAlignment="1"/>
    <xf numFmtId="0" fontId="10" fillId="0" borderId="44" xfId="0" applyFont="1" applyFill="1" applyBorder="1"/>
    <xf numFmtId="0" fontId="10" fillId="0" borderId="68" xfId="0" applyFont="1" applyFill="1" applyBorder="1"/>
    <xf numFmtId="0" fontId="11" fillId="0" borderId="59" xfId="0" applyFont="1" applyFill="1" applyBorder="1"/>
    <xf numFmtId="0" fontId="11" fillId="0" borderId="47" xfId="0" applyFont="1" applyFill="1" applyBorder="1"/>
    <xf numFmtId="0" fontId="11" fillId="0" borderId="70" xfId="0" applyFont="1" applyFill="1" applyBorder="1"/>
    <xf numFmtId="0" fontId="11" fillId="0" borderId="48" xfId="0" applyFont="1" applyFill="1" applyBorder="1"/>
    <xf numFmtId="0" fontId="11" fillId="0" borderId="46" xfId="0" applyFont="1" applyFill="1" applyBorder="1"/>
    <xf numFmtId="0" fontId="10" fillId="0" borderId="68" xfId="0" applyFont="1" applyBorder="1" applyAlignment="1">
      <alignment horizontal="center" vertical="center" wrapText="1"/>
    </xf>
    <xf numFmtId="0" fontId="55" fillId="0" borderId="68" xfId="0" applyFont="1" applyBorder="1" applyAlignment="1">
      <alignment horizontal="left" vertical="center"/>
    </xf>
    <xf numFmtId="0" fontId="55" fillId="0" borderId="68" xfId="0" applyFont="1" applyBorder="1" applyAlignment="1">
      <alignment horizontal="center" vertical="center"/>
    </xf>
    <xf numFmtId="0" fontId="36" fillId="0" borderId="68" xfId="0" applyFont="1" applyBorder="1" applyAlignment="1">
      <alignment horizontal="center"/>
    </xf>
    <xf numFmtId="0" fontId="15" fillId="0" borderId="68" xfId="0" applyFont="1" applyBorder="1" applyAlignment="1">
      <alignment horizontal="right" vertical="center"/>
    </xf>
    <xf numFmtId="0" fontId="35" fillId="0" borderId="68" xfId="0" applyFont="1" applyBorder="1" applyAlignment="1">
      <alignment horizontal="right" vertical="center"/>
    </xf>
    <xf numFmtId="0" fontId="23" fillId="0" borderId="45" xfId="0" applyFont="1" applyBorder="1" applyAlignment="1">
      <alignment vertical="center"/>
    </xf>
    <xf numFmtId="0" fontId="46" fillId="0" borderId="68" xfId="1" applyFont="1" applyAlignment="1">
      <alignment horizontal="center"/>
    </xf>
    <xf numFmtId="0" fontId="3" fillId="8" borderId="127" xfId="0" applyFont="1" applyFill="1" applyBorder="1" applyAlignment="1" applyProtection="1">
      <alignment horizontal="center" vertical="center"/>
      <protection hidden="1"/>
    </xf>
    <xf numFmtId="0" fontId="3" fillId="0" borderId="77" xfId="0" applyFont="1" applyBorder="1" applyAlignment="1">
      <alignment horizontal="center" vertical="center"/>
    </xf>
    <xf numFmtId="0" fontId="3" fillId="0" borderId="16" xfId="0" applyFont="1" applyBorder="1" applyAlignment="1">
      <alignment horizontal="center" vertical="center"/>
    </xf>
    <xf numFmtId="0" fontId="3" fillId="0" borderId="136" xfId="0" applyFont="1" applyBorder="1" applyAlignment="1">
      <alignment horizontal="center" vertical="center"/>
    </xf>
    <xf numFmtId="0" fontId="3" fillId="0" borderId="26" xfId="0" applyFont="1" applyBorder="1" applyAlignment="1">
      <alignment horizontal="center" vertical="center"/>
    </xf>
    <xf numFmtId="0" fontId="3" fillId="8" borderId="129" xfId="0" applyFont="1" applyFill="1" applyBorder="1" applyAlignment="1" applyProtection="1">
      <alignment horizontal="center" vertical="center"/>
      <protection hidden="1"/>
    </xf>
    <xf numFmtId="0" fontId="3" fillId="8" borderId="130" xfId="0" applyFont="1" applyFill="1" applyBorder="1" applyAlignment="1" applyProtection="1">
      <alignment horizontal="center" vertical="center"/>
      <protection hidden="1"/>
    </xf>
    <xf numFmtId="0" fontId="3" fillId="8" borderId="131" xfId="0" applyFont="1" applyFill="1" applyBorder="1" applyAlignment="1" applyProtection="1">
      <alignment horizontal="center" vertical="center"/>
      <protection hidden="1"/>
    </xf>
    <xf numFmtId="0" fontId="12" fillId="6" borderId="68" xfId="0" applyFont="1" applyFill="1" applyBorder="1" applyAlignment="1">
      <alignment horizontal="left" vertical="center"/>
    </xf>
    <xf numFmtId="0" fontId="40" fillId="0" borderId="0" xfId="0" applyFont="1" applyFill="1"/>
    <xf numFmtId="0" fontId="26" fillId="0" borderId="41" xfId="0" applyFont="1" applyBorder="1" applyAlignment="1" applyProtection="1">
      <alignment horizontal="center" vertical="center"/>
      <protection hidden="1"/>
    </xf>
    <xf numFmtId="0" fontId="11" fillId="0" borderId="0" xfId="0" applyFont="1" applyFill="1" applyProtection="1">
      <protection hidden="1"/>
    </xf>
    <xf numFmtId="0" fontId="46" fillId="0" borderId="68" xfId="1" applyFont="1" applyAlignment="1" applyProtection="1">
      <alignment horizontal="left" vertical="center"/>
      <protection hidden="1"/>
    </xf>
    <xf numFmtId="0" fontId="50" fillId="0" borderId="68" xfId="1" applyFont="1" applyAlignment="1" applyProtection="1">
      <alignment horizontal="left" vertical="center"/>
      <protection hidden="1"/>
    </xf>
    <xf numFmtId="0" fontId="46" fillId="0" borderId="68" xfId="1" applyFont="1" applyAlignment="1" applyProtection="1">
      <alignment horizontal="center" vertical="center"/>
      <protection hidden="1"/>
    </xf>
    <xf numFmtId="0" fontId="45" fillId="0" borderId="68" xfId="1" applyProtection="1">
      <protection hidden="1"/>
    </xf>
    <xf numFmtId="0" fontId="0" fillId="0" borderId="0" xfId="0" applyFont="1" applyAlignment="1"/>
    <xf numFmtId="0" fontId="3" fillId="8" borderId="20" xfId="0" applyFont="1" applyFill="1" applyBorder="1" applyAlignment="1" applyProtection="1">
      <alignment horizontal="center" vertical="center"/>
      <protection hidden="1"/>
    </xf>
    <xf numFmtId="0" fontId="3" fillId="8" borderId="85" xfId="0" applyFont="1" applyFill="1" applyBorder="1" applyAlignment="1" applyProtection="1">
      <alignment horizontal="center" vertical="center"/>
      <protection hidden="1"/>
    </xf>
    <xf numFmtId="0" fontId="10" fillId="0" borderId="0" xfId="0" applyFont="1" applyAlignment="1">
      <alignment horizontal="center" vertical="center"/>
    </xf>
    <xf numFmtId="0" fontId="0" fillId="0" borderId="0" xfId="0" applyFont="1" applyAlignment="1"/>
    <xf numFmtId="0" fontId="10" fillId="0" borderId="0" xfId="0" applyFont="1" applyAlignment="1">
      <alignment horizontal="center" vertical="center"/>
    </xf>
    <xf numFmtId="0" fontId="2" fillId="0" borderId="68" xfId="0" applyFont="1" applyBorder="1" applyAlignment="1" applyProtection="1">
      <alignment horizontal="center" vertical="center"/>
      <protection hidden="1"/>
    </xf>
    <xf numFmtId="0" fontId="33" fillId="0" borderId="68" xfId="0" applyFont="1" applyBorder="1" applyAlignment="1" applyProtection="1">
      <alignment horizontal="center"/>
      <protection hidden="1"/>
    </xf>
    <xf numFmtId="0" fontId="1" fillId="8" borderId="129" xfId="0" applyFont="1" applyFill="1" applyBorder="1" applyAlignment="1" applyProtection="1">
      <alignment horizontal="center" vertical="center"/>
      <protection hidden="1"/>
    </xf>
    <xf numFmtId="0" fontId="1" fillId="8" borderId="130" xfId="0" applyFont="1" applyFill="1" applyBorder="1" applyAlignment="1" applyProtection="1">
      <alignment horizontal="center" vertical="center"/>
      <protection hidden="1"/>
    </xf>
    <xf numFmtId="0" fontId="0" fillId="0" borderId="0" xfId="0" applyFont="1" applyAlignment="1"/>
    <xf numFmtId="0" fontId="10" fillId="0" borderId="0" xfId="0" applyFont="1" applyAlignment="1">
      <alignment horizontal="center" vertical="center"/>
    </xf>
    <xf numFmtId="0" fontId="0" fillId="0" borderId="0" xfId="0" applyFont="1" applyFill="1" applyAlignment="1"/>
    <xf numFmtId="0" fontId="40" fillId="0" borderId="68" xfId="0" applyFont="1" applyFill="1" applyBorder="1" applyAlignment="1">
      <alignment horizontal="center"/>
    </xf>
    <xf numFmtId="0" fontId="9" fillId="0" borderId="68" xfId="0" applyFont="1" applyFill="1" applyBorder="1" applyAlignment="1">
      <alignment horizontal="center"/>
    </xf>
    <xf numFmtId="0" fontId="39" fillId="0" borderId="97" xfId="0" applyFont="1" applyBorder="1" applyAlignment="1">
      <alignment horizontal="center" vertical="center"/>
    </xf>
    <xf numFmtId="3" fontId="41" fillId="0" borderId="97" xfId="0" applyNumberFormat="1" applyFont="1" applyBorder="1" applyAlignment="1">
      <alignment horizontal="center" vertical="center" wrapText="1"/>
    </xf>
    <xf numFmtId="3" fontId="41" fillId="0" borderId="97" xfId="0" applyNumberFormat="1" applyFont="1" applyFill="1" applyBorder="1" applyAlignment="1">
      <alignment horizontal="center" vertical="center" wrapText="1"/>
    </xf>
    <xf numFmtId="0" fontId="0" fillId="0" borderId="0" xfId="0" applyFont="1" applyAlignment="1"/>
    <xf numFmtId="0" fontId="3" fillId="8" borderId="20" xfId="0" applyFont="1" applyFill="1" applyBorder="1" applyAlignment="1" applyProtection="1">
      <alignment horizontal="center" vertical="center"/>
      <protection hidden="1"/>
    </xf>
    <xf numFmtId="0" fontId="3" fillId="8" borderId="85" xfId="0" applyFont="1" applyFill="1" applyBorder="1" applyAlignment="1" applyProtection="1">
      <alignment horizontal="center" vertical="center"/>
      <protection hidden="1"/>
    </xf>
    <xf numFmtId="0" fontId="10" fillId="0" borderId="0" xfId="0" applyFont="1" applyAlignment="1">
      <alignment horizontal="center" vertical="center"/>
    </xf>
    <xf numFmtId="3" fontId="54" fillId="0" borderId="97" xfId="0" applyNumberFormat="1" applyFont="1" applyFill="1" applyBorder="1" applyAlignment="1">
      <alignment vertical="center" wrapText="1"/>
    </xf>
    <xf numFmtId="0" fontId="11" fillId="0" borderId="67" xfId="0" applyFont="1" applyFill="1" applyBorder="1"/>
    <xf numFmtId="3" fontId="40" fillId="0" borderId="97" xfId="0" applyNumberFormat="1" applyFont="1" applyBorder="1" applyAlignment="1" applyProtection="1">
      <alignment horizontal="center" vertical="center"/>
      <protection hidden="1"/>
    </xf>
    <xf numFmtId="3" fontId="39" fillId="0" borderId="97" xfId="0" applyNumberFormat="1" applyFont="1" applyBorder="1" applyAlignment="1" applyProtection="1">
      <alignment horizontal="center" vertical="center"/>
      <protection hidden="1"/>
    </xf>
    <xf numFmtId="3" fontId="40" fillId="0" borderId="97" xfId="0" applyNumberFormat="1" applyFont="1" applyFill="1" applyBorder="1" applyAlignment="1" applyProtection="1">
      <alignment horizontal="center" vertical="center"/>
      <protection hidden="1"/>
    </xf>
    <xf numFmtId="0" fontId="63" fillId="0" borderId="45" xfId="0" applyFont="1" applyBorder="1" applyAlignment="1" applyProtection="1">
      <alignment horizontal="center" vertical="center"/>
      <protection hidden="1"/>
    </xf>
    <xf numFmtId="0" fontId="63" fillId="0" borderId="42" xfId="0" applyFont="1" applyBorder="1" applyAlignment="1" applyProtection="1">
      <alignment horizontal="center" vertical="center" wrapText="1"/>
      <protection hidden="1"/>
    </xf>
    <xf numFmtId="0" fontId="63" fillId="0" borderId="22" xfId="0" applyFont="1" applyBorder="1" applyAlignment="1" applyProtection="1">
      <alignment horizontal="center" vertical="center"/>
      <protection hidden="1"/>
    </xf>
    <xf numFmtId="0" fontId="33" fillId="0" borderId="68" xfId="0" applyFont="1" applyBorder="1" applyAlignment="1" applyProtection="1">
      <protection hidden="1"/>
    </xf>
    <xf numFmtId="0" fontId="64" fillId="0" borderId="91" xfId="0" applyFont="1" applyBorder="1" applyAlignment="1" applyProtection="1">
      <alignment horizontal="center" vertical="center" wrapText="1"/>
      <protection hidden="1"/>
    </xf>
    <xf numFmtId="0" fontId="32" fillId="9" borderId="1" xfId="0" applyFont="1" applyFill="1" applyBorder="1" applyAlignment="1">
      <alignment wrapText="1"/>
    </xf>
    <xf numFmtId="0" fontId="5" fillId="8" borderId="2" xfId="0" applyFont="1" applyFill="1" applyBorder="1" applyAlignment="1"/>
    <xf numFmtId="0" fontId="5" fillId="8" borderId="7" xfId="0" applyFont="1" applyFill="1" applyBorder="1" applyAlignment="1"/>
    <xf numFmtId="0" fontId="8" fillId="9" borderId="30" xfId="0" applyFont="1" applyFill="1" applyBorder="1" applyAlignment="1">
      <alignment vertical="center"/>
    </xf>
    <xf numFmtId="0" fontId="8" fillId="9" borderId="32" xfId="0" applyFont="1" applyFill="1" applyBorder="1" applyAlignment="1">
      <alignment vertical="center"/>
    </xf>
    <xf numFmtId="0" fontId="8" fillId="9" borderId="65" xfId="0" applyFont="1" applyFill="1" applyBorder="1" applyAlignment="1">
      <alignment vertical="center"/>
    </xf>
    <xf numFmtId="0" fontId="8" fillId="9" borderId="67" xfId="0" applyFont="1" applyFill="1" applyBorder="1" applyAlignment="1">
      <alignment vertical="center"/>
    </xf>
    <xf numFmtId="0" fontId="56" fillId="5" borderId="8" xfId="0" applyFont="1" applyFill="1" applyBorder="1" applyAlignment="1">
      <alignment vertical="center"/>
    </xf>
    <xf numFmtId="0" fontId="8" fillId="9" borderId="143" xfId="0" applyFont="1" applyFill="1" applyBorder="1" applyAlignment="1">
      <alignment vertical="center"/>
    </xf>
    <xf numFmtId="0" fontId="5" fillId="8" borderId="94" xfId="0" applyFont="1" applyFill="1" applyBorder="1" applyAlignment="1"/>
    <xf numFmtId="0" fontId="8" fillId="9" borderId="144" xfId="0" applyFont="1" applyFill="1" applyBorder="1" applyAlignment="1">
      <alignment vertical="center"/>
    </xf>
    <xf numFmtId="3" fontId="41" fillId="0" borderId="145" xfId="0" applyNumberFormat="1" applyFont="1" applyFill="1" applyBorder="1" applyAlignment="1">
      <alignment horizontal="center" vertical="center" wrapText="1"/>
    </xf>
    <xf numFmtId="3" fontId="54" fillId="0" borderId="68" xfId="0" applyNumberFormat="1" applyFont="1" applyFill="1" applyBorder="1" applyAlignment="1">
      <alignment vertical="center" wrapText="1"/>
    </xf>
    <xf numFmtId="3" fontId="54" fillId="0" borderId="145" xfId="0" applyNumberFormat="1" applyFont="1" applyFill="1" applyBorder="1" applyAlignment="1">
      <alignment vertical="center" wrapText="1"/>
    </xf>
    <xf numFmtId="3" fontId="58" fillId="0" borderId="145" xfId="0" applyNumberFormat="1" applyFont="1" applyFill="1" applyBorder="1" applyAlignment="1">
      <alignment vertical="center" wrapText="1"/>
    </xf>
    <xf numFmtId="0" fontId="8" fillId="5" borderId="53" xfId="0" applyFont="1" applyFill="1" applyBorder="1" applyAlignment="1">
      <alignment vertical="center" wrapText="1"/>
    </xf>
    <xf numFmtId="0" fontId="5" fillId="0" borderId="54" xfId="0" applyFont="1" applyBorder="1" applyAlignment="1">
      <alignment wrapText="1"/>
    </xf>
    <xf numFmtId="0" fontId="5" fillId="0" borderId="57" xfId="0" applyFont="1" applyBorder="1" applyAlignment="1">
      <alignment wrapText="1"/>
    </xf>
    <xf numFmtId="0" fontId="5" fillId="0" borderId="58" xfId="0" applyFont="1" applyBorder="1" applyAlignment="1">
      <alignment wrapText="1"/>
    </xf>
    <xf numFmtId="0" fontId="8" fillId="5" borderId="15" xfId="0" applyFont="1" applyFill="1" applyBorder="1" applyAlignment="1">
      <alignment vertical="center"/>
    </xf>
    <xf numFmtId="0" fontId="5" fillId="0" borderId="37" xfId="0" applyFont="1" applyBorder="1"/>
    <xf numFmtId="0" fontId="32" fillId="9" borderId="1" xfId="0" applyFont="1" applyFill="1" applyBorder="1" applyAlignment="1">
      <alignment horizontal="left" wrapText="1"/>
    </xf>
    <xf numFmtId="0" fontId="14" fillId="5" borderId="14" xfId="0" applyFont="1" applyFill="1" applyBorder="1" applyAlignment="1">
      <alignment vertical="center"/>
    </xf>
    <xf numFmtId="0" fontId="5" fillId="0" borderId="15" xfId="0" applyFont="1" applyBorder="1"/>
    <xf numFmtId="0" fontId="13" fillId="3" borderId="22" xfId="0" applyFont="1" applyFill="1" applyBorder="1" applyAlignment="1">
      <alignment horizontal="center" vertical="center"/>
    </xf>
    <xf numFmtId="0" fontId="5" fillId="0" borderId="24" xfId="0" applyFont="1" applyBorder="1"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18" xfId="0" applyFont="1" applyBorder="1" applyAlignment="1">
      <alignment horizontal="center"/>
    </xf>
    <xf numFmtId="0" fontId="5" fillId="0" borderId="29" xfId="0" applyFont="1" applyBorder="1" applyAlignment="1">
      <alignment horizontal="center"/>
    </xf>
    <xf numFmtId="0" fontId="4" fillId="2" borderId="1" xfId="0" applyFont="1" applyFill="1" applyBorder="1" applyAlignment="1">
      <alignment horizontal="center" vertical="center"/>
    </xf>
    <xf numFmtId="0" fontId="5" fillId="0" borderId="2" xfId="0" applyFont="1" applyBorder="1"/>
    <xf numFmtId="0" fontId="5" fillId="0" borderId="7" xfId="0" applyFont="1" applyBorder="1"/>
    <xf numFmtId="0" fontId="5" fillId="0" borderId="11" xfId="0" applyFont="1" applyBorder="1"/>
    <xf numFmtId="0" fontId="0" fillId="0" borderId="0" xfId="0" applyFont="1" applyAlignment="1"/>
    <xf numFmtId="0" fontId="5" fillId="0" borderId="13" xfId="0" applyFont="1" applyBorder="1"/>
    <xf numFmtId="0" fontId="5" fillId="0" borderId="17" xfId="0" applyFont="1" applyBorder="1"/>
    <xf numFmtId="0" fontId="5" fillId="0" borderId="18" xfId="0" applyFont="1" applyBorder="1"/>
    <xf numFmtId="0" fontId="5" fillId="0" borderId="19" xfId="0" applyFont="1" applyBorder="1"/>
    <xf numFmtId="0" fontId="5" fillId="0" borderId="34" xfId="0" applyFont="1" applyBorder="1"/>
    <xf numFmtId="0" fontId="8" fillId="5" borderId="36" xfId="0" applyFont="1" applyFill="1" applyBorder="1" applyAlignment="1">
      <alignment vertical="center"/>
    </xf>
    <xf numFmtId="0" fontId="8" fillId="5" borderId="36" xfId="0" applyFont="1" applyFill="1" applyBorder="1" applyAlignment="1">
      <alignment horizontal="left" vertical="center"/>
    </xf>
    <xf numFmtId="0" fontId="14" fillId="5" borderId="50" xfId="0" applyFont="1" applyFill="1" applyBorder="1" applyAlignment="1">
      <alignment vertical="center"/>
    </xf>
    <xf numFmtId="0" fontId="5" fillId="0" borderId="51" xfId="0" applyFont="1" applyBorder="1"/>
    <xf numFmtId="0" fontId="5" fillId="0" borderId="8" xfId="0" applyFont="1" applyBorder="1"/>
    <xf numFmtId="0" fontId="5" fillId="0" borderId="55" xfId="0" applyFont="1" applyBorder="1"/>
    <xf numFmtId="0" fontId="14" fillId="5" borderId="52" xfId="0" applyFont="1" applyFill="1" applyBorder="1" applyAlignment="1">
      <alignment horizontal="center" vertical="center"/>
    </xf>
    <xf numFmtId="0" fontId="5" fillId="0" borderId="56" xfId="0" applyFont="1" applyBorder="1"/>
    <xf numFmtId="0" fontId="5" fillId="0" borderId="4" xfId="0" applyFont="1" applyBorder="1"/>
    <xf numFmtId="0" fontId="5" fillId="0" borderId="5" xfId="0" applyFont="1" applyBorder="1"/>
    <xf numFmtId="0" fontId="3" fillId="8" borderId="38" xfId="0" applyFont="1" applyFill="1" applyBorder="1" applyAlignment="1" applyProtection="1">
      <alignment horizontal="left" vertical="center"/>
      <protection hidden="1"/>
    </xf>
    <xf numFmtId="0" fontId="3" fillId="8" borderId="36" xfId="0" applyFont="1" applyFill="1" applyBorder="1" applyAlignment="1" applyProtection="1">
      <alignment horizontal="left" vertical="center"/>
      <protection hidden="1"/>
    </xf>
    <xf numFmtId="0" fontId="3" fillId="8" borderId="16" xfId="0" applyFont="1" applyFill="1" applyBorder="1" applyAlignment="1" applyProtection="1">
      <alignment horizontal="left" vertical="center"/>
      <protection hidden="1"/>
    </xf>
    <xf numFmtId="0" fontId="3" fillId="8" borderId="20" xfId="0" applyFont="1" applyFill="1" applyBorder="1" applyAlignment="1" applyProtection="1">
      <alignment horizontal="center" vertical="center"/>
      <protection hidden="1"/>
    </xf>
    <xf numFmtId="0" fontId="3" fillId="8" borderId="16" xfId="0" applyFont="1" applyFill="1" applyBorder="1" applyAlignment="1" applyProtection="1">
      <alignment horizontal="center" vertical="center"/>
      <protection hidden="1"/>
    </xf>
    <xf numFmtId="0" fontId="3" fillId="8" borderId="23" xfId="0" applyFont="1" applyFill="1" applyBorder="1" applyAlignment="1" applyProtection="1">
      <alignment horizontal="left" vertical="center"/>
      <protection hidden="1"/>
    </xf>
    <xf numFmtId="0" fontId="3" fillId="8" borderId="25" xfId="0" applyFont="1" applyFill="1" applyBorder="1" applyAlignment="1" applyProtection="1">
      <alignment horizontal="left" vertical="center"/>
      <protection hidden="1"/>
    </xf>
    <xf numFmtId="0" fontId="3" fillId="8" borderId="26" xfId="0" applyFont="1" applyFill="1" applyBorder="1" applyAlignment="1" applyProtection="1">
      <alignment horizontal="left" vertical="center"/>
      <protection hidden="1"/>
    </xf>
    <xf numFmtId="0" fontId="3" fillId="8" borderId="85" xfId="0" applyFont="1" applyFill="1" applyBorder="1" applyAlignment="1" applyProtection="1">
      <alignment horizontal="center" vertical="center"/>
      <protection hidden="1"/>
    </xf>
    <xf numFmtId="0" fontId="3" fillId="8" borderId="26" xfId="0" applyFont="1" applyFill="1" applyBorder="1" applyAlignment="1" applyProtection="1">
      <alignment horizontal="center" vertical="center"/>
      <protection hidden="1"/>
    </xf>
    <xf numFmtId="0" fontId="3" fillId="8" borderId="62" xfId="0" applyFont="1" applyFill="1" applyBorder="1" applyAlignment="1" applyProtection="1">
      <alignment horizontal="left" vertical="center"/>
      <protection hidden="1"/>
    </xf>
    <xf numFmtId="0" fontId="3" fillId="8" borderId="86" xfId="0" applyFont="1" applyFill="1" applyBorder="1" applyAlignment="1" applyProtection="1">
      <alignment horizontal="left" vertical="center"/>
      <protection hidden="1"/>
    </xf>
    <xf numFmtId="0" fontId="3" fillId="8" borderId="77" xfId="0" applyFont="1" applyFill="1" applyBorder="1" applyAlignment="1" applyProtection="1">
      <alignment horizontal="left" vertical="center"/>
      <protection hidden="1"/>
    </xf>
    <xf numFmtId="0" fontId="3" fillId="8" borderId="9" xfId="0" applyFont="1" applyFill="1" applyBorder="1" applyAlignment="1" applyProtection="1">
      <alignment horizontal="left" vertical="center"/>
      <protection hidden="1"/>
    </xf>
    <xf numFmtId="0" fontId="33" fillId="8" borderId="9" xfId="0" applyFont="1" applyFill="1" applyBorder="1" applyProtection="1">
      <protection hidden="1"/>
    </xf>
    <xf numFmtId="0" fontId="33" fillId="8" borderId="10" xfId="0" applyFont="1" applyFill="1" applyBorder="1" applyProtection="1">
      <protection hidden="1"/>
    </xf>
    <xf numFmtId="0" fontId="34" fillId="8" borderId="9" xfId="0" applyFont="1" applyFill="1" applyBorder="1" applyAlignment="1" applyProtection="1">
      <alignment horizontal="center" vertical="center"/>
      <protection hidden="1"/>
    </xf>
    <xf numFmtId="0" fontId="33" fillId="8" borderId="10" xfId="0" applyFont="1" applyFill="1" applyBorder="1" applyAlignment="1" applyProtection="1">
      <alignment vertical="center"/>
      <protection hidden="1"/>
    </xf>
    <xf numFmtId="0" fontId="33" fillId="8" borderId="25" xfId="0" applyFont="1" applyFill="1" applyBorder="1" applyProtection="1">
      <protection hidden="1"/>
    </xf>
    <xf numFmtId="0" fontId="33" fillId="8" borderId="26" xfId="0" applyFont="1" applyFill="1" applyBorder="1" applyProtection="1">
      <protection hidden="1"/>
    </xf>
    <xf numFmtId="0" fontId="34" fillId="8" borderId="25" xfId="0" applyFont="1" applyFill="1" applyBorder="1" applyAlignment="1" applyProtection="1">
      <alignment horizontal="center" vertical="center"/>
      <protection hidden="1"/>
    </xf>
    <xf numFmtId="0" fontId="33" fillId="8" borderId="26" xfId="0" applyFont="1" applyFill="1" applyBorder="1" applyAlignment="1" applyProtection="1">
      <alignment vertical="center"/>
      <protection hidden="1"/>
    </xf>
    <xf numFmtId="0" fontId="10" fillId="7" borderId="91" xfId="0" applyFont="1" applyFill="1" applyBorder="1" applyAlignment="1">
      <alignment horizontal="center" vertical="center"/>
    </xf>
    <xf numFmtId="0" fontId="10" fillId="7" borderId="92" xfId="0" applyFont="1" applyFill="1" applyBorder="1" applyAlignment="1">
      <alignment horizontal="center" vertical="center"/>
    </xf>
    <xf numFmtId="0" fontId="10" fillId="7" borderId="93" xfId="0" applyFont="1" applyFill="1" applyBorder="1" applyAlignment="1">
      <alignment horizontal="center" vertical="center"/>
    </xf>
    <xf numFmtId="0" fontId="57" fillId="0" borderId="65" xfId="0" applyFont="1" applyBorder="1" applyAlignment="1" applyProtection="1">
      <alignment horizontal="center" vertical="center"/>
      <protection hidden="1"/>
    </xf>
    <xf numFmtId="0" fontId="5" fillId="0" borderId="68" xfId="0" applyFont="1" applyBorder="1" applyProtection="1">
      <protection hidden="1"/>
    </xf>
    <xf numFmtId="0" fontId="5" fillId="0" borderId="67" xfId="0" applyFont="1" applyBorder="1" applyProtection="1">
      <protection hidden="1"/>
    </xf>
    <xf numFmtId="0" fontId="5" fillId="0" borderId="43" xfId="0" applyFont="1" applyBorder="1" applyProtection="1">
      <protection hidden="1"/>
    </xf>
    <xf numFmtId="0" fontId="0" fillId="0" borderId="0" xfId="0" applyFont="1" applyAlignment="1" applyProtection="1">
      <protection hidden="1"/>
    </xf>
    <xf numFmtId="0" fontId="5" fillId="0" borderId="44" xfId="0" applyFont="1" applyBorder="1" applyProtection="1">
      <protection hidden="1"/>
    </xf>
    <xf numFmtId="0" fontId="3" fillId="0" borderId="87" xfId="0" applyFont="1" applyBorder="1" applyAlignment="1" applyProtection="1">
      <alignment horizontal="center" vertical="center"/>
      <protection hidden="1"/>
    </xf>
    <xf numFmtId="0" fontId="3" fillId="0" borderId="94" xfId="0" applyFont="1" applyBorder="1" applyAlignment="1" applyProtection="1">
      <alignment horizontal="center" vertical="center"/>
      <protection hidden="1"/>
    </xf>
    <xf numFmtId="0" fontId="3" fillId="0" borderId="88" xfId="0" applyFont="1" applyBorder="1" applyAlignment="1" applyProtection="1">
      <alignment horizontal="center" vertical="center"/>
      <protection hidden="1"/>
    </xf>
    <xf numFmtId="0" fontId="3" fillId="0" borderId="59" xfId="0" applyFont="1" applyBorder="1" applyAlignment="1" applyProtection="1">
      <alignment horizontal="center" vertical="center"/>
      <protection hidden="1"/>
    </xf>
    <xf numFmtId="0" fontId="3" fillId="0" borderId="70"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35" fillId="0" borderId="139" xfId="0" applyFont="1" applyBorder="1" applyAlignment="1" applyProtection="1">
      <alignment horizontal="center" vertical="center"/>
      <protection hidden="1"/>
    </xf>
    <xf numFmtId="0" fontId="36" fillId="0" borderId="126" xfId="0" applyFont="1" applyBorder="1" applyProtection="1">
      <protection hidden="1"/>
    </xf>
    <xf numFmtId="0" fontId="35" fillId="0" borderId="67" xfId="0" applyFont="1" applyBorder="1" applyAlignment="1" applyProtection="1">
      <alignment horizontal="center" vertical="center"/>
      <protection hidden="1"/>
    </xf>
    <xf numFmtId="0" fontId="36" fillId="0" borderId="61" xfId="0" applyFont="1" applyBorder="1" applyProtection="1">
      <protection hidden="1"/>
    </xf>
    <xf numFmtId="0" fontId="50" fillId="6" borderId="3" xfId="0" applyFont="1" applyFill="1" applyBorder="1" applyAlignment="1">
      <alignment horizontal="left" vertical="center"/>
    </xf>
    <xf numFmtId="0" fontId="5" fillId="0" borderId="4" xfId="0" applyFont="1" applyBorder="1" applyAlignment="1"/>
    <xf numFmtId="0" fontId="5" fillId="0" borderId="24" xfId="0" applyFont="1" applyBorder="1" applyAlignment="1"/>
    <xf numFmtId="0" fontId="5" fillId="0" borderId="70" xfId="0" applyFont="1" applyBorder="1" applyAlignment="1"/>
    <xf numFmtId="0" fontId="5" fillId="0" borderId="5" xfId="0" applyFont="1" applyBorder="1" applyAlignment="1"/>
    <xf numFmtId="0" fontId="17" fillId="0" borderId="22" xfId="0" applyFont="1" applyBorder="1" applyAlignment="1" applyProtection="1">
      <alignment horizontal="center" vertical="center"/>
      <protection hidden="1"/>
    </xf>
    <xf numFmtId="0" fontId="17" fillId="0" borderId="24" xfId="0" applyFont="1" applyBorder="1" applyAlignment="1" applyProtection="1">
      <alignment horizontal="center" vertical="center"/>
      <protection hidden="1"/>
    </xf>
    <xf numFmtId="0" fontId="17" fillId="0" borderId="27" xfId="0" applyFont="1" applyBorder="1" applyAlignment="1" applyProtection="1">
      <alignment horizontal="center" vertical="center"/>
      <protection hidden="1"/>
    </xf>
    <xf numFmtId="0" fontId="17" fillId="0" borderId="65" xfId="0" applyFont="1" applyBorder="1" applyAlignment="1" applyProtection="1">
      <alignment horizontal="center" vertical="center"/>
      <protection hidden="1"/>
    </xf>
    <xf numFmtId="0" fontId="17" fillId="0" borderId="68" xfId="0" applyFont="1" applyBorder="1" applyAlignment="1" applyProtection="1">
      <alignment horizontal="center" vertical="center"/>
      <protection hidden="1"/>
    </xf>
    <xf numFmtId="0" fontId="17" fillId="0" borderId="67" xfId="0" applyFont="1" applyBorder="1" applyAlignment="1" applyProtection="1">
      <alignment horizontal="center" vertical="center"/>
      <protection hidden="1"/>
    </xf>
    <xf numFmtId="0" fontId="17" fillId="0" borderId="59" xfId="0" applyFont="1" applyBorder="1" applyAlignment="1" applyProtection="1">
      <alignment horizontal="center" vertical="center"/>
      <protection hidden="1"/>
    </xf>
    <xf numFmtId="0" fontId="17" fillId="0" borderId="70" xfId="0" applyFont="1" applyBorder="1" applyAlignment="1" applyProtection="1">
      <alignment horizontal="center" vertical="center"/>
      <protection hidden="1"/>
    </xf>
    <xf numFmtId="0" fontId="17" fillId="0" borderId="61" xfId="0" applyFont="1" applyBorder="1" applyAlignment="1" applyProtection="1">
      <alignment horizontal="center" vertical="center"/>
      <protection hidden="1"/>
    </xf>
    <xf numFmtId="0" fontId="35" fillId="0" borderId="22" xfId="0" applyFont="1" applyBorder="1" applyAlignment="1" applyProtection="1">
      <alignment horizontal="center" vertical="center"/>
      <protection hidden="1"/>
    </xf>
    <xf numFmtId="0" fontId="35" fillId="0" borderId="27" xfId="0" applyFont="1" applyBorder="1" applyAlignment="1" applyProtection="1">
      <alignment horizontal="center" vertical="center"/>
      <protection hidden="1"/>
    </xf>
    <xf numFmtId="0" fontId="35" fillId="0" borderId="65" xfId="0" applyFont="1" applyBorder="1" applyAlignment="1" applyProtection="1">
      <alignment horizontal="center" vertical="center"/>
      <protection hidden="1"/>
    </xf>
    <xf numFmtId="0" fontId="35" fillId="0" borderId="59" xfId="0" applyFont="1" applyBorder="1" applyAlignment="1" applyProtection="1">
      <alignment horizontal="center" vertical="center"/>
      <protection hidden="1"/>
    </xf>
    <xf numFmtId="0" fontId="35" fillId="0" borderId="61" xfId="0" applyFont="1" applyBorder="1" applyAlignment="1" applyProtection="1">
      <alignment horizontal="center" vertical="center"/>
      <protection hidden="1"/>
    </xf>
    <xf numFmtId="0" fontId="35" fillId="0" borderId="42" xfId="0" applyFont="1" applyBorder="1" applyAlignment="1" applyProtection="1">
      <alignment horizontal="center" vertical="center"/>
      <protection hidden="1"/>
    </xf>
    <xf numFmtId="0" fontId="35" fillId="0" borderId="135" xfId="0" applyFont="1" applyBorder="1" applyAlignment="1" applyProtection="1">
      <alignment horizontal="center" vertical="center"/>
      <protection hidden="1"/>
    </xf>
    <xf numFmtId="0" fontId="35" fillId="0" borderId="45" xfId="0" applyFont="1" applyBorder="1" applyAlignment="1" applyProtection="1">
      <alignment horizontal="center" vertical="center"/>
      <protection hidden="1"/>
    </xf>
    <xf numFmtId="0" fontId="36" fillId="0" borderId="45" xfId="0" applyFont="1" applyBorder="1" applyProtection="1">
      <protection hidden="1"/>
    </xf>
    <xf numFmtId="0" fontId="35" fillId="0" borderId="70" xfId="0" applyFont="1" applyBorder="1" applyAlignment="1" applyProtection="1">
      <alignment horizontal="center" vertical="center"/>
      <protection hidden="1"/>
    </xf>
    <xf numFmtId="0" fontId="35" fillId="0" borderId="68" xfId="0" applyFont="1" applyBorder="1" applyAlignment="1" applyProtection="1">
      <alignment horizontal="center" vertical="center"/>
      <protection hidden="1"/>
    </xf>
    <xf numFmtId="0" fontId="64" fillId="0" borderId="3" xfId="0" applyFont="1" applyBorder="1" applyAlignment="1" applyProtection="1">
      <alignment horizontal="center" vertical="center" wrapText="1"/>
      <protection hidden="1"/>
    </xf>
    <xf numFmtId="0" fontId="64" fillId="0" borderId="4" xfId="0" applyFont="1" applyBorder="1" applyAlignment="1" applyProtection="1">
      <alignment horizontal="center" vertical="center" wrapText="1"/>
      <protection hidden="1"/>
    </xf>
    <xf numFmtId="0" fontId="64" fillId="0" borderId="141" xfId="0" applyFont="1" applyBorder="1" applyAlignment="1" applyProtection="1">
      <alignment horizontal="center" vertical="center" wrapText="1"/>
      <protection hidden="1"/>
    </xf>
    <xf numFmtId="0" fontId="30" fillId="0" borderId="91" xfId="0" applyFont="1" applyBorder="1" applyAlignment="1" applyProtection="1">
      <alignment horizontal="center" vertical="center"/>
      <protection hidden="1"/>
    </xf>
    <xf numFmtId="0" fontId="30" fillId="0" borderId="93" xfId="0" applyFont="1" applyBorder="1" applyAlignment="1" applyProtection="1">
      <alignment horizontal="center" vertical="center"/>
      <protection hidden="1"/>
    </xf>
    <xf numFmtId="0" fontId="44" fillId="0" borderId="0" xfId="0" applyFont="1" applyAlignment="1">
      <alignment horizontal="center" vertical="center"/>
    </xf>
    <xf numFmtId="0" fontId="2" fillId="0" borderId="3" xfId="0" applyFont="1" applyBorder="1" applyAlignment="1" applyProtection="1">
      <alignment horizontal="center" vertical="center"/>
      <protection hidden="1"/>
    </xf>
    <xf numFmtId="0" fontId="33" fillId="0" borderId="4" xfId="0" applyFont="1" applyBorder="1" applyAlignment="1" applyProtection="1">
      <alignment horizontal="center"/>
      <protection hidden="1"/>
    </xf>
    <xf numFmtId="0" fontId="33" fillId="0" borderId="5" xfId="0" applyFont="1" applyBorder="1" applyAlignment="1" applyProtection="1">
      <alignment horizontal="center"/>
      <protection hidden="1"/>
    </xf>
    <xf numFmtId="0" fontId="2" fillId="0" borderId="91" xfId="0" applyFont="1" applyBorder="1" applyAlignment="1" applyProtection="1">
      <alignment horizontal="center" vertical="center"/>
      <protection hidden="1"/>
    </xf>
    <xf numFmtId="0" fontId="2" fillId="0" borderId="92" xfId="0" applyFont="1" applyBorder="1" applyAlignment="1" applyProtection="1">
      <alignment horizontal="center" vertical="center"/>
      <protection hidden="1"/>
    </xf>
    <xf numFmtId="0" fontId="2" fillId="0" borderId="93" xfId="0" applyFont="1" applyBorder="1" applyAlignment="1" applyProtection="1">
      <alignment horizontal="center" vertical="center"/>
      <protection hidden="1"/>
    </xf>
    <xf numFmtId="0" fontId="33" fillId="0" borderId="91" xfId="0" applyFont="1" applyBorder="1" applyAlignment="1" applyProtection="1">
      <alignment horizontal="center"/>
      <protection hidden="1"/>
    </xf>
    <xf numFmtId="0" fontId="33" fillId="0" borderId="92" xfId="0" applyFont="1" applyBorder="1" applyAlignment="1" applyProtection="1">
      <alignment horizontal="center"/>
      <protection hidden="1"/>
    </xf>
    <xf numFmtId="0" fontId="33" fillId="0" borderId="93" xfId="0" applyFont="1" applyBorder="1" applyAlignment="1" applyProtection="1">
      <alignment horizontal="center"/>
      <protection hidden="1"/>
    </xf>
    <xf numFmtId="0" fontId="50" fillId="0" borderId="68" xfId="0" applyFont="1" applyBorder="1" applyAlignment="1">
      <alignment horizontal="right" vertical="center" wrapText="1"/>
    </xf>
    <xf numFmtId="0" fontId="65" fillId="0" borderId="91" xfId="0" applyFont="1" applyBorder="1" applyAlignment="1">
      <alignment horizontal="center"/>
    </xf>
    <xf numFmtId="0" fontId="65" fillId="0" borderId="93" xfId="0" applyFont="1" applyBorder="1" applyAlignment="1">
      <alignment horizontal="center"/>
    </xf>
    <xf numFmtId="0" fontId="33" fillId="0" borderId="91" xfId="0" applyFont="1" applyBorder="1" applyAlignment="1" applyProtection="1">
      <alignment horizontal="center" vertical="center"/>
      <protection hidden="1"/>
    </xf>
    <xf numFmtId="0" fontId="33" fillId="0" borderId="92" xfId="0" applyFont="1" applyBorder="1" applyAlignment="1" applyProtection="1">
      <alignment horizontal="center" vertical="center"/>
      <protection hidden="1"/>
    </xf>
    <xf numFmtId="0" fontId="33" fillId="0" borderId="93" xfId="0" applyFont="1" applyBorder="1" applyAlignment="1" applyProtection="1">
      <alignment horizontal="center" vertical="center"/>
      <protection hidden="1"/>
    </xf>
    <xf numFmtId="0" fontId="0" fillId="0" borderId="91" xfId="0" applyFont="1" applyBorder="1" applyAlignment="1">
      <alignment horizontal="center"/>
    </xf>
    <xf numFmtId="0" fontId="0" fillId="0" borderId="92" xfId="0" applyFont="1" applyBorder="1" applyAlignment="1">
      <alignment horizontal="center"/>
    </xf>
    <xf numFmtId="0" fontId="0" fillId="0" borderId="93" xfId="0" applyFont="1" applyBorder="1" applyAlignment="1">
      <alignment horizontal="center"/>
    </xf>
    <xf numFmtId="0" fontId="12" fillId="6" borderId="3" xfId="0" applyFont="1" applyFill="1" applyBorder="1" applyAlignment="1">
      <alignment horizontal="left" vertical="center"/>
    </xf>
    <xf numFmtId="0" fontId="65" fillId="0" borderId="92" xfId="0" applyFont="1" applyBorder="1" applyAlignment="1">
      <alignment horizontal="center"/>
    </xf>
    <xf numFmtId="0" fontId="53" fillId="0" borderId="115" xfId="1" applyFont="1" applyBorder="1" applyAlignment="1" applyProtection="1">
      <alignment horizontal="center" vertical="center"/>
      <protection hidden="1"/>
    </xf>
    <xf numFmtId="0" fontId="53" fillId="0" borderId="97" xfId="1" applyFont="1" applyBorder="1" applyAlignment="1" applyProtection="1">
      <alignment horizontal="center" vertical="center"/>
      <protection hidden="1"/>
    </xf>
    <xf numFmtId="0" fontId="53" fillId="0" borderId="116" xfId="1" applyFont="1" applyBorder="1" applyAlignment="1" applyProtection="1">
      <alignment horizontal="center" vertical="center"/>
      <protection hidden="1"/>
    </xf>
    <xf numFmtId="0" fontId="53" fillId="0" borderId="121" xfId="1" applyFont="1" applyBorder="1" applyAlignment="1" applyProtection="1">
      <alignment horizontal="center" vertical="center"/>
      <protection hidden="1"/>
    </xf>
    <xf numFmtId="0" fontId="53" fillId="0" borderId="117" xfId="1" applyFont="1" applyBorder="1" applyAlignment="1" applyProtection="1">
      <alignment horizontal="center" vertical="center"/>
      <protection hidden="1"/>
    </xf>
    <xf numFmtId="0" fontId="53" fillId="0" borderId="118" xfId="1" applyFont="1" applyBorder="1" applyAlignment="1" applyProtection="1">
      <alignment horizontal="center" vertical="center"/>
      <protection hidden="1"/>
    </xf>
    <xf numFmtId="0" fontId="53" fillId="0" borderId="122" xfId="1" applyFont="1" applyBorder="1" applyAlignment="1" applyProtection="1">
      <alignment horizontal="center" vertical="center"/>
      <protection hidden="1"/>
    </xf>
    <xf numFmtId="0" fontId="53" fillId="0" borderId="112" xfId="1" applyFont="1" applyBorder="1" applyAlignment="1" applyProtection="1">
      <alignment horizontal="center" vertical="center"/>
      <protection hidden="1"/>
    </xf>
    <xf numFmtId="0" fontId="53" fillId="0" borderId="113" xfId="1" applyFont="1" applyBorder="1" applyAlignment="1" applyProtection="1">
      <alignment horizontal="center" vertical="center"/>
      <protection hidden="1"/>
    </xf>
    <xf numFmtId="0" fontId="53" fillId="0" borderId="114" xfId="1" applyFont="1" applyBorder="1" applyAlignment="1" applyProtection="1">
      <alignment horizontal="center" vertical="center"/>
      <protection hidden="1"/>
    </xf>
    <xf numFmtId="0" fontId="48" fillId="0" borderId="142" xfId="1" applyFont="1" applyBorder="1" applyAlignment="1" applyProtection="1">
      <alignment horizontal="center"/>
      <protection hidden="1"/>
    </xf>
    <xf numFmtId="0" fontId="48" fillId="0" borderId="140" xfId="1" applyFont="1" applyBorder="1" applyAlignment="1" applyProtection="1">
      <alignment horizontal="center"/>
      <protection hidden="1"/>
    </xf>
    <xf numFmtId="0" fontId="53" fillId="0" borderId="120" xfId="1" applyFont="1" applyBorder="1" applyAlignment="1" applyProtection="1">
      <alignment horizontal="center" vertical="center"/>
      <protection hidden="1"/>
    </xf>
    <xf numFmtId="0" fontId="48" fillId="0" borderId="108" xfId="1" applyFont="1" applyBorder="1" applyAlignment="1" applyProtection="1">
      <alignment horizontal="center"/>
      <protection hidden="1"/>
    </xf>
    <xf numFmtId="0" fontId="48" fillId="0" borderId="109" xfId="1" applyFont="1" applyBorder="1" applyAlignment="1" applyProtection="1">
      <alignment horizontal="center"/>
      <protection hidden="1"/>
    </xf>
    <xf numFmtId="0" fontId="48" fillId="0" borderId="87" xfId="1" applyFont="1" applyBorder="1" applyAlignment="1" applyProtection="1">
      <alignment horizontal="center"/>
      <protection hidden="1"/>
    </xf>
    <xf numFmtId="0" fontId="48" fillId="0" borderId="94" xfId="1" applyFont="1" applyBorder="1" applyAlignment="1" applyProtection="1">
      <alignment horizontal="center"/>
      <protection hidden="1"/>
    </xf>
    <xf numFmtId="0" fontId="48" fillId="0" borderId="115" xfId="1" applyFont="1" applyBorder="1" applyAlignment="1" applyProtection="1">
      <alignment horizontal="center"/>
      <protection hidden="1"/>
    </xf>
    <xf numFmtId="0" fontId="48" fillId="0" borderId="97" xfId="1" applyFont="1" applyBorder="1" applyAlignment="1" applyProtection="1">
      <alignment horizontal="center"/>
      <protection hidden="1"/>
    </xf>
    <xf numFmtId="0" fontId="48" fillId="0" borderId="121" xfId="1" applyFont="1" applyBorder="1" applyAlignment="1" applyProtection="1">
      <alignment horizontal="center"/>
      <protection hidden="1"/>
    </xf>
    <xf numFmtId="0" fontId="48" fillId="0" borderId="117" xfId="1" applyFont="1" applyBorder="1" applyAlignment="1" applyProtection="1">
      <alignment horizontal="center"/>
      <protection hidden="1"/>
    </xf>
    <xf numFmtId="0" fontId="48" fillId="0" borderId="118" xfId="1" applyFont="1" applyBorder="1" applyAlignment="1" applyProtection="1">
      <alignment horizontal="center"/>
      <protection hidden="1"/>
    </xf>
    <xf numFmtId="0" fontId="48" fillId="0" borderId="122" xfId="1" applyFont="1" applyBorder="1" applyAlignment="1" applyProtection="1">
      <alignment horizontal="center"/>
      <protection hidden="1"/>
    </xf>
    <xf numFmtId="0" fontId="48" fillId="0" borderId="137" xfId="1" applyFont="1" applyBorder="1" applyAlignment="1" applyProtection="1">
      <alignment horizontal="center"/>
      <protection hidden="1"/>
    </xf>
    <xf numFmtId="0" fontId="48" fillId="0" borderId="138" xfId="1" applyFont="1" applyBorder="1" applyAlignment="1" applyProtection="1">
      <alignment horizontal="center"/>
      <protection hidden="1"/>
    </xf>
    <xf numFmtId="0" fontId="50" fillId="6" borderId="91" xfId="1" applyFont="1" applyFill="1" applyBorder="1" applyAlignment="1">
      <alignment horizontal="left" vertical="center"/>
    </xf>
    <xf numFmtId="0" fontId="50" fillId="6" borderId="92" xfId="1" applyFont="1" applyFill="1" applyBorder="1" applyAlignment="1">
      <alignment horizontal="left" vertical="center"/>
    </xf>
    <xf numFmtId="0" fontId="50" fillId="6" borderId="94" xfId="1" applyFont="1" applyFill="1" applyBorder="1" applyAlignment="1">
      <alignment horizontal="left" vertical="center"/>
    </xf>
    <xf numFmtId="0" fontId="50" fillId="6" borderId="68" xfId="1" applyFont="1" applyFill="1" applyBorder="1" applyAlignment="1">
      <alignment horizontal="left" vertical="center"/>
    </xf>
    <xf numFmtId="0" fontId="50" fillId="6" borderId="88" xfId="1" applyFont="1" applyFill="1" applyBorder="1" applyAlignment="1">
      <alignment horizontal="left" vertical="center"/>
    </xf>
    <xf numFmtId="0" fontId="46" fillId="0" borderId="57" xfId="1" applyFont="1" applyBorder="1" applyAlignment="1" applyProtection="1">
      <alignment horizontal="left" vertical="center"/>
      <protection hidden="1"/>
    </xf>
    <xf numFmtId="0" fontId="36" fillId="0" borderId="57" xfId="1" applyFont="1" applyBorder="1" applyProtection="1">
      <protection hidden="1"/>
    </xf>
    <xf numFmtId="0" fontId="47" fillId="0" borderId="134" xfId="1" applyFont="1" applyBorder="1" applyAlignment="1" applyProtection="1">
      <alignment horizontal="center"/>
      <protection hidden="1"/>
    </xf>
    <xf numFmtId="0" fontId="47" fillId="0" borderId="118" xfId="1" applyFont="1" applyBorder="1" applyAlignment="1" applyProtection="1">
      <alignment horizontal="center"/>
      <protection hidden="1"/>
    </xf>
    <xf numFmtId="0" fontId="36" fillId="0" borderId="122" xfId="1" applyFont="1" applyBorder="1" applyProtection="1">
      <protection hidden="1"/>
    </xf>
    <xf numFmtId="0" fontId="47" fillId="0" borderId="117" xfId="1" applyFont="1" applyBorder="1" applyAlignment="1" applyProtection="1">
      <alignment horizontal="center"/>
      <protection hidden="1"/>
    </xf>
    <xf numFmtId="0" fontId="51" fillId="0" borderId="119" xfId="1" applyFont="1" applyBorder="1" applyProtection="1">
      <protection hidden="1"/>
    </xf>
    <xf numFmtId="0" fontId="53" fillId="0" borderId="119" xfId="1" applyFont="1" applyBorder="1" applyAlignment="1" applyProtection="1">
      <alignment horizontal="center" vertical="center"/>
      <protection hidden="1"/>
    </xf>
    <xf numFmtId="0" fontId="47" fillId="0" borderId="133" xfId="1" applyFont="1" applyBorder="1" applyAlignment="1" applyProtection="1">
      <alignment horizontal="center"/>
      <protection hidden="1"/>
    </xf>
    <xf numFmtId="0" fontId="47" fillId="0" borderId="97" xfId="1" applyFont="1" applyBorder="1" applyAlignment="1" applyProtection="1">
      <alignment horizontal="center"/>
      <protection hidden="1"/>
    </xf>
    <xf numFmtId="0" fontId="36" fillId="0" borderId="121" xfId="1" applyFont="1" applyBorder="1" applyProtection="1">
      <protection hidden="1"/>
    </xf>
    <xf numFmtId="0" fontId="47" fillId="0" borderId="115" xfId="1" applyFont="1" applyBorder="1" applyAlignment="1" applyProtection="1">
      <alignment horizontal="center"/>
      <protection hidden="1"/>
    </xf>
    <xf numFmtId="0" fontId="51" fillId="0" borderId="116" xfId="1" applyFont="1" applyBorder="1" applyProtection="1">
      <protection hidden="1"/>
    </xf>
    <xf numFmtId="0" fontId="46" fillId="7" borderId="70" xfId="1" applyFont="1" applyFill="1" applyBorder="1" applyAlignment="1">
      <alignment horizontal="center" vertical="center"/>
    </xf>
    <xf numFmtId="0" fontId="46" fillId="7" borderId="68" xfId="1" applyFont="1" applyFill="1" applyBorder="1" applyAlignment="1">
      <alignment horizontal="center" vertical="center"/>
    </xf>
    <xf numFmtId="0" fontId="46" fillId="0" borderId="91" xfId="1" applyFont="1" applyBorder="1" applyAlignment="1" applyProtection="1">
      <alignment horizontal="left" vertical="center"/>
      <protection hidden="1"/>
    </xf>
    <xf numFmtId="0" fontId="46" fillId="0" borderId="92" xfId="1" applyFont="1" applyBorder="1" applyAlignment="1" applyProtection="1">
      <alignment horizontal="left" vertical="center"/>
      <protection hidden="1"/>
    </xf>
    <xf numFmtId="0" fontId="46" fillId="0" borderId="93" xfId="1" applyFont="1" applyBorder="1" applyAlignment="1" applyProtection="1">
      <alignment horizontal="left" vertical="center"/>
      <protection hidden="1"/>
    </xf>
    <xf numFmtId="0" fontId="47" fillId="0" borderId="98" xfId="1" applyFont="1" applyBorder="1" applyAlignment="1" applyProtection="1">
      <alignment horizontal="center" vertical="center"/>
      <protection hidden="1"/>
    </xf>
    <xf numFmtId="0" fontId="47" fillId="0" borderId="99" xfId="1" applyFont="1" applyBorder="1" applyAlignment="1" applyProtection="1">
      <alignment horizontal="center" vertical="center"/>
      <protection hidden="1"/>
    </xf>
    <xf numFmtId="0" fontId="47" fillId="0" borderId="102" xfId="1" applyFont="1" applyBorder="1" applyAlignment="1" applyProtection="1">
      <alignment horizontal="center" vertical="center"/>
      <protection hidden="1"/>
    </xf>
    <xf numFmtId="0" fontId="47" fillId="0" borderId="103" xfId="1" applyFont="1" applyBorder="1" applyAlignment="1" applyProtection="1">
      <alignment horizontal="center" vertical="center"/>
      <protection hidden="1"/>
    </xf>
    <xf numFmtId="0" fontId="48" fillId="0" borderId="112" xfId="1" applyFont="1" applyBorder="1" applyAlignment="1" applyProtection="1">
      <alignment horizontal="center"/>
      <protection hidden="1"/>
    </xf>
    <xf numFmtId="0" fontId="48" fillId="0" borderId="113" xfId="1" applyFont="1" applyBorder="1" applyAlignment="1" applyProtection="1">
      <alignment horizontal="center"/>
      <protection hidden="1"/>
    </xf>
    <xf numFmtId="0" fontId="48" fillId="0" borderId="120" xfId="1" applyFont="1" applyBorder="1" applyAlignment="1" applyProtection="1">
      <alignment horizontal="center"/>
      <protection hidden="1"/>
    </xf>
    <xf numFmtId="0" fontId="50" fillId="0" borderId="22" xfId="1" applyFont="1" applyBorder="1" applyAlignment="1" applyProtection="1">
      <alignment horizontal="center" vertical="center"/>
      <protection hidden="1"/>
    </xf>
    <xf numFmtId="0" fontId="36" fillId="0" borderId="24" xfId="1" applyFont="1" applyBorder="1" applyProtection="1">
      <protection hidden="1"/>
    </xf>
    <xf numFmtId="0" fontId="36" fillId="0" borderId="65" xfId="1" applyFont="1" applyBorder="1" applyProtection="1">
      <protection hidden="1"/>
    </xf>
    <xf numFmtId="0" fontId="45" fillId="0" borderId="68" xfId="1" applyProtection="1">
      <protection hidden="1"/>
    </xf>
    <xf numFmtId="0" fontId="36" fillId="0" borderId="68" xfId="1" applyFont="1" applyBorder="1" applyProtection="1">
      <protection hidden="1"/>
    </xf>
    <xf numFmtId="0" fontId="36" fillId="0" borderId="59" xfId="1" applyFont="1" applyBorder="1" applyProtection="1">
      <protection hidden="1"/>
    </xf>
    <xf numFmtId="0" fontId="36" fillId="0" borderId="70" xfId="1" applyFont="1" applyBorder="1" applyProtection="1">
      <protection hidden="1"/>
    </xf>
    <xf numFmtId="0" fontId="50" fillId="0" borderId="24" xfId="1" applyFont="1" applyBorder="1" applyAlignment="1" applyProtection="1">
      <alignment horizontal="center" vertical="center"/>
      <protection hidden="1"/>
    </xf>
    <xf numFmtId="0" fontId="36" fillId="0" borderId="27" xfId="1" applyFont="1" applyBorder="1" applyProtection="1">
      <protection hidden="1"/>
    </xf>
    <xf numFmtId="0" fontId="36" fillId="0" borderId="61" xfId="1" applyFont="1" applyBorder="1" applyProtection="1">
      <protection hidden="1"/>
    </xf>
    <xf numFmtId="0" fontId="47" fillId="0" borderId="57" xfId="1" applyFont="1" applyBorder="1" applyAlignment="1" applyProtection="1">
      <alignment horizontal="center"/>
      <protection hidden="1"/>
    </xf>
    <xf numFmtId="0" fontId="47" fillId="0" borderId="110" xfId="1" applyFont="1" applyBorder="1" applyAlignment="1" applyProtection="1">
      <alignment horizontal="center"/>
      <protection hidden="1"/>
    </xf>
    <xf numFmtId="0" fontId="51" fillId="0" borderId="111" xfId="1" applyFont="1" applyBorder="1" applyProtection="1">
      <protection hidden="1"/>
    </xf>
    <xf numFmtId="0" fontId="47" fillId="0" borderId="87" xfId="1" applyFont="1" applyBorder="1" applyAlignment="1" applyProtection="1">
      <alignment horizontal="center"/>
      <protection hidden="1"/>
    </xf>
    <xf numFmtId="0" fontId="51" fillId="0" borderId="88" xfId="1" applyFont="1" applyBorder="1" applyProtection="1">
      <protection hidden="1"/>
    </xf>
    <xf numFmtId="0" fontId="46" fillId="0" borderId="68" xfId="1" applyFont="1" applyAlignment="1">
      <alignment horizontal="center" vertical="center"/>
    </xf>
    <xf numFmtId="0" fontId="45" fillId="0" borderId="68" xfId="1"/>
    <xf numFmtId="0" fontId="46" fillId="0" borderId="123" xfId="1" applyFont="1" applyBorder="1" applyAlignment="1" applyProtection="1">
      <alignment horizontal="left" vertical="center"/>
      <protection hidden="1"/>
    </xf>
    <xf numFmtId="0" fontId="50" fillId="0" borderId="104" xfId="1" applyFont="1" applyBorder="1" applyAlignment="1" applyProtection="1">
      <alignment horizontal="center" vertical="center"/>
      <protection hidden="1"/>
    </xf>
    <xf numFmtId="0" fontId="50" fillId="0" borderId="105" xfId="1" applyFont="1" applyBorder="1" applyAlignment="1" applyProtection="1">
      <alignment horizontal="center" vertical="center"/>
      <protection hidden="1"/>
    </xf>
    <xf numFmtId="0" fontId="50" fillId="0" borderId="68" xfId="1" applyFont="1" applyBorder="1" applyAlignment="1" applyProtection="1">
      <alignment horizontal="center" vertical="center"/>
      <protection hidden="1"/>
    </xf>
    <xf numFmtId="0" fontId="50" fillId="0" borderId="96" xfId="1" applyFont="1" applyBorder="1" applyAlignment="1" applyProtection="1">
      <alignment horizontal="center" vertical="center"/>
      <protection hidden="1"/>
    </xf>
    <xf numFmtId="0" fontId="50" fillId="0" borderId="87" xfId="1" applyFont="1" applyBorder="1" applyAlignment="1" applyProtection="1">
      <alignment horizontal="center" vertical="center"/>
      <protection hidden="1"/>
    </xf>
    <xf numFmtId="0" fontId="50" fillId="0" borderId="94" xfId="1" applyFont="1" applyBorder="1" applyAlignment="1" applyProtection="1">
      <alignment horizontal="center" vertical="center"/>
      <protection hidden="1"/>
    </xf>
    <xf numFmtId="0" fontId="50" fillId="0" borderId="88" xfId="1" applyFont="1" applyBorder="1" applyAlignment="1" applyProtection="1">
      <alignment horizontal="center" vertical="center"/>
      <protection hidden="1"/>
    </xf>
    <xf numFmtId="0" fontId="50" fillId="0" borderId="95" xfId="1" applyFont="1" applyBorder="1" applyAlignment="1" applyProtection="1">
      <alignment horizontal="center" vertical="center"/>
      <protection hidden="1"/>
    </xf>
    <xf numFmtId="0" fontId="50" fillId="0" borderId="27" xfId="1" applyFont="1" applyBorder="1" applyAlignment="1" applyProtection="1">
      <alignment horizontal="center" vertical="center"/>
      <protection hidden="1"/>
    </xf>
    <xf numFmtId="0" fontId="50" fillId="0" borderId="90" xfId="1" applyFont="1" applyBorder="1" applyAlignment="1" applyProtection="1">
      <alignment horizontal="center" vertical="center"/>
      <protection hidden="1"/>
    </xf>
    <xf numFmtId="0" fontId="50" fillId="0" borderId="70" xfId="1" applyFont="1" applyBorder="1" applyAlignment="1" applyProtection="1">
      <alignment horizontal="center" vertical="center"/>
      <protection hidden="1"/>
    </xf>
    <xf numFmtId="0" fontId="50" fillId="0" borderId="61" xfId="1" applyFont="1" applyBorder="1" applyAlignment="1" applyProtection="1">
      <alignment horizontal="center" vertical="center"/>
      <protection hidden="1"/>
    </xf>
    <xf numFmtId="0" fontId="48" fillId="0" borderId="98" xfId="1" applyFont="1" applyBorder="1" applyAlignment="1" applyProtection="1">
      <alignment horizontal="center" vertical="center"/>
      <protection hidden="1"/>
    </xf>
    <xf numFmtId="0" fontId="48" fillId="0" borderId="106" xfId="1" applyFont="1" applyBorder="1" applyAlignment="1" applyProtection="1">
      <alignment horizontal="center" vertical="center"/>
      <protection hidden="1"/>
    </xf>
    <xf numFmtId="0" fontId="48" fillId="0" borderId="99" xfId="1" applyFont="1" applyBorder="1" applyAlignment="1" applyProtection="1">
      <alignment horizontal="center" vertical="center"/>
      <protection hidden="1"/>
    </xf>
    <xf numFmtId="0" fontId="48" fillId="0" borderId="100" xfId="1" applyFont="1" applyBorder="1" applyAlignment="1" applyProtection="1">
      <alignment horizontal="center" vertical="center"/>
      <protection hidden="1"/>
    </xf>
    <xf numFmtId="0" fontId="48" fillId="0" borderId="107" xfId="1" applyFont="1" applyBorder="1" applyAlignment="1" applyProtection="1">
      <alignment horizontal="center" vertical="center"/>
      <protection hidden="1"/>
    </xf>
    <xf numFmtId="0" fontId="48" fillId="0" borderId="101" xfId="1" applyFont="1" applyBorder="1" applyAlignment="1" applyProtection="1">
      <alignment horizontal="center" vertical="center"/>
      <protection hidden="1"/>
    </xf>
    <xf numFmtId="0" fontId="47" fillId="0" borderId="27" xfId="1" applyFont="1" applyBorder="1" applyAlignment="1" applyProtection="1">
      <alignment horizontal="center" vertical="center"/>
      <protection hidden="1"/>
    </xf>
    <xf numFmtId="0" fontId="47" fillId="0" borderId="90" xfId="1" applyFont="1" applyBorder="1" applyAlignment="1" applyProtection="1">
      <alignment horizontal="center" vertical="center"/>
      <protection hidden="1"/>
    </xf>
    <xf numFmtId="0" fontId="47" fillId="0" borderId="61" xfId="1" applyFont="1" applyBorder="1" applyAlignment="1" applyProtection="1">
      <alignment horizontal="center" vertical="center"/>
      <protection hidden="1"/>
    </xf>
    <xf numFmtId="0" fontId="47" fillId="0" borderId="70" xfId="1" applyFont="1" applyBorder="1" applyAlignment="1" applyProtection="1">
      <alignment horizontal="center"/>
      <protection hidden="1"/>
    </xf>
    <xf numFmtId="0" fontId="44" fillId="0" borderId="68" xfId="1" applyFont="1" applyAlignment="1">
      <alignment horizontal="center" vertical="center"/>
    </xf>
    <xf numFmtId="0" fontId="46" fillId="0" borderId="22" xfId="1" applyFont="1" applyBorder="1" applyAlignment="1" applyProtection="1">
      <alignment horizontal="left" vertical="center"/>
      <protection hidden="1"/>
    </xf>
    <xf numFmtId="0" fontId="36" fillId="0" borderId="27" xfId="1" applyFont="1" applyBorder="1" applyAlignment="1" applyProtection="1">
      <alignment horizontal="left"/>
      <protection hidden="1"/>
    </xf>
    <xf numFmtId="0" fontId="46" fillId="0" borderId="3" xfId="1" applyFont="1" applyBorder="1" applyAlignment="1" applyProtection="1">
      <alignment horizontal="center" vertical="center"/>
      <protection hidden="1"/>
    </xf>
    <xf numFmtId="0" fontId="46" fillId="0" borderId="5" xfId="1" applyFont="1" applyBorder="1" applyAlignment="1" applyProtection="1">
      <alignment horizontal="center" vertical="center"/>
      <protection hidden="1"/>
    </xf>
    <xf numFmtId="0" fontId="36" fillId="0" borderId="5" xfId="1" applyFont="1" applyBorder="1" applyAlignment="1" applyProtection="1">
      <alignment horizontal="center"/>
      <protection hidden="1"/>
    </xf>
    <xf numFmtId="0" fontId="36" fillId="0" borderId="4" xfId="1" applyFont="1" applyBorder="1" applyAlignment="1" applyProtection="1">
      <alignment horizontal="center"/>
      <protection hidden="1"/>
    </xf>
    <xf numFmtId="0" fontId="48" fillId="5" borderId="22" xfId="1" applyFont="1" applyFill="1" applyBorder="1" applyAlignment="1" applyProtection="1">
      <alignment horizontal="center" vertical="center"/>
      <protection hidden="1"/>
    </xf>
    <xf numFmtId="0" fontId="48" fillId="5" borderId="24" xfId="1" applyFont="1" applyFill="1" applyBorder="1" applyAlignment="1" applyProtection="1">
      <alignment horizontal="center" vertical="center"/>
      <protection hidden="1"/>
    </xf>
    <xf numFmtId="0" fontId="36" fillId="0" borderId="24" xfId="1" applyFont="1" applyBorder="1" applyAlignment="1" applyProtection="1">
      <alignment horizontal="center"/>
      <protection hidden="1"/>
    </xf>
    <xf numFmtId="0" fontId="36" fillId="0" borderId="27" xfId="1" applyFont="1" applyBorder="1" applyAlignment="1" applyProtection="1">
      <alignment horizontal="center"/>
      <protection hidden="1"/>
    </xf>
    <xf numFmtId="0" fontId="36" fillId="0" borderId="59" xfId="1" applyFont="1" applyBorder="1" applyAlignment="1" applyProtection="1">
      <alignment horizontal="center"/>
      <protection hidden="1"/>
    </xf>
    <xf numFmtId="0" fontId="36" fillId="0" borderId="70" xfId="1" applyFont="1" applyBorder="1" applyAlignment="1" applyProtection="1">
      <alignment horizontal="center"/>
      <protection hidden="1"/>
    </xf>
    <xf numFmtId="0" fontId="36" fillId="0" borderId="61" xfId="1" applyFont="1" applyBorder="1" applyAlignment="1" applyProtection="1">
      <alignment horizontal="center"/>
      <protection hidden="1"/>
    </xf>
    <xf numFmtId="0" fontId="47" fillId="0" borderId="132" xfId="1" applyFont="1" applyBorder="1" applyAlignment="1" applyProtection="1">
      <alignment horizontal="center"/>
      <protection hidden="1"/>
    </xf>
    <xf numFmtId="0" fontId="47" fillId="0" borderId="113" xfId="1" applyFont="1" applyBorder="1" applyAlignment="1" applyProtection="1">
      <alignment horizontal="center"/>
      <protection hidden="1"/>
    </xf>
    <xf numFmtId="0" fontId="36" fillId="0" borderId="120" xfId="1" applyFont="1" applyBorder="1" applyProtection="1">
      <protection hidden="1"/>
    </xf>
    <xf numFmtId="0" fontId="47" fillId="0" borderId="112" xfId="1" applyFont="1" applyBorder="1" applyAlignment="1" applyProtection="1">
      <alignment horizontal="center"/>
      <protection hidden="1"/>
    </xf>
    <xf numFmtId="0" fontId="51" fillId="0" borderId="114" xfId="1" applyFont="1" applyBorder="1" applyProtection="1">
      <protection hidden="1"/>
    </xf>
    <xf numFmtId="0" fontId="50" fillId="6" borderId="3" xfId="1" applyFont="1" applyFill="1" applyBorder="1" applyAlignment="1">
      <alignment horizontal="left" vertical="center"/>
    </xf>
    <xf numFmtId="0" fontId="36" fillId="0" borderId="4" xfId="1" applyFont="1" applyBorder="1"/>
    <xf numFmtId="0" fontId="36" fillId="0" borderId="68" xfId="1" applyFont="1" applyBorder="1"/>
    <xf numFmtId="0" fontId="36" fillId="0" borderId="24" xfId="1" applyFont="1" applyBorder="1"/>
    <xf numFmtId="0" fontId="36" fillId="0" borderId="27" xfId="1" applyFont="1" applyBorder="1"/>
    <xf numFmtId="0" fontId="47" fillId="0" borderId="124" xfId="1" applyFont="1" applyBorder="1" applyAlignment="1" applyProtection="1">
      <alignment horizontal="center"/>
      <protection hidden="1"/>
    </xf>
    <xf numFmtId="0" fontId="51" fillId="0" borderId="125" xfId="1" applyFont="1" applyBorder="1" applyProtection="1">
      <protection hidden="1"/>
    </xf>
    <xf numFmtId="0" fontId="10" fillId="0" borderId="0" xfId="0" applyFont="1" applyAlignment="1">
      <alignment horizontal="center" vertical="center"/>
    </xf>
    <xf numFmtId="0" fontId="10" fillId="0" borderId="23" xfId="0" applyFont="1" applyBorder="1" applyAlignment="1" applyProtection="1">
      <alignment horizontal="left" vertical="center"/>
      <protection hidden="1"/>
    </xf>
    <xf numFmtId="0" fontId="5" fillId="0" borderId="25" xfId="0" applyFont="1" applyBorder="1" applyProtection="1">
      <protection hidden="1"/>
    </xf>
    <xf numFmtId="0" fontId="5" fillId="0" borderId="26" xfId="0" applyFont="1" applyBorder="1" applyProtection="1">
      <protection hidden="1"/>
    </xf>
    <xf numFmtId="0" fontId="26" fillId="0" borderId="22" xfId="0" applyFont="1" applyBorder="1" applyAlignment="1">
      <alignment horizontal="center" vertical="center" wrapText="1"/>
    </xf>
    <xf numFmtId="0" fontId="5" fillId="0" borderId="24" xfId="0" applyFont="1" applyBorder="1"/>
    <xf numFmtId="0" fontId="5" fillId="0" borderId="46" xfId="0" applyFont="1" applyBorder="1"/>
    <xf numFmtId="0" fontId="5" fillId="0" borderId="47" xfId="0" applyFont="1" applyBorder="1"/>
    <xf numFmtId="0" fontId="10" fillId="0" borderId="9" xfId="0" applyFont="1" applyBorder="1" applyAlignment="1" applyProtection="1">
      <alignment horizontal="left" vertical="center"/>
      <protection hidden="1"/>
    </xf>
    <xf numFmtId="0" fontId="5" fillId="0" borderId="9" xfId="0" applyFont="1" applyBorder="1" applyProtection="1">
      <protection hidden="1"/>
    </xf>
    <xf numFmtId="0" fontId="5" fillId="0" borderId="10" xfId="0" applyFont="1" applyBorder="1" applyProtection="1">
      <protection hidden="1"/>
    </xf>
    <xf numFmtId="0" fontId="15" fillId="6" borderId="4" xfId="0" applyFont="1" applyFill="1" applyBorder="1" applyAlignment="1">
      <alignment horizontal="left" vertical="center"/>
    </xf>
    <xf numFmtId="0" fontId="15" fillId="6" borderId="3" xfId="0" applyFont="1" applyFill="1" applyBorder="1" applyAlignment="1">
      <alignment horizontal="left" vertical="center"/>
    </xf>
    <xf numFmtId="0" fontId="16" fillId="0" borderId="70" xfId="0" applyFont="1" applyBorder="1" applyAlignment="1" applyProtection="1">
      <alignment horizontal="center" vertical="center"/>
      <protection hidden="1"/>
    </xf>
    <xf numFmtId="0" fontId="5" fillId="0" borderId="70" xfId="0" applyFont="1" applyBorder="1" applyAlignment="1" applyProtection="1">
      <alignment horizontal="center"/>
      <protection hidden="1"/>
    </xf>
    <xf numFmtId="0" fontId="23" fillId="0" borderId="135" xfId="0" applyFont="1" applyBorder="1" applyAlignment="1">
      <alignment horizontal="center" vertical="center"/>
    </xf>
    <xf numFmtId="0" fontId="5" fillId="0" borderId="45" xfId="0" applyFont="1" applyBorder="1"/>
    <xf numFmtId="0" fontId="16"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5" fillId="0" borderId="91" xfId="0" applyFont="1" applyBorder="1" applyAlignment="1" applyProtection="1">
      <alignment horizontal="center" vertical="center"/>
      <protection hidden="1"/>
    </xf>
    <xf numFmtId="0" fontId="36" fillId="0" borderId="93" xfId="0" applyFont="1" applyBorder="1" applyAlignment="1" applyProtection="1">
      <alignment horizontal="center"/>
      <protection hidden="1"/>
    </xf>
    <xf numFmtId="0" fontId="8" fillId="5" borderId="65" xfId="0" applyFont="1" applyFill="1" applyBorder="1" applyAlignment="1" applyProtection="1">
      <alignment horizontal="center" vertical="center"/>
      <protection hidden="1"/>
    </xf>
    <xf numFmtId="0" fontId="5" fillId="0" borderId="68" xfId="0" applyFont="1" applyBorder="1" applyAlignment="1" applyProtection="1">
      <alignment horizontal="center"/>
      <protection hidden="1"/>
    </xf>
    <xf numFmtId="0" fontId="5" fillId="0" borderId="67" xfId="0" applyFont="1" applyBorder="1" applyAlignment="1" applyProtection="1">
      <alignment horizontal="center"/>
      <protection hidden="1"/>
    </xf>
    <xf numFmtId="0" fontId="5" fillId="0" borderId="46" xfId="0" applyFont="1" applyBorder="1" applyAlignment="1" applyProtection="1">
      <alignment horizontal="center"/>
      <protection hidden="1"/>
    </xf>
    <xf numFmtId="0" fontId="5" fillId="0" borderId="47" xfId="0" applyFont="1" applyBorder="1" applyAlignment="1" applyProtection="1">
      <alignment horizontal="center"/>
      <protection hidden="1"/>
    </xf>
    <xf numFmtId="0" fontId="5" fillId="0" borderId="48" xfId="0" applyFont="1" applyBorder="1" applyAlignment="1" applyProtection="1">
      <alignment horizontal="center"/>
      <protection hidden="1"/>
    </xf>
    <xf numFmtId="0" fontId="22" fillId="0" borderId="65" xfId="0" applyFont="1" applyBorder="1" applyAlignment="1">
      <alignment horizontal="center" vertical="center"/>
    </xf>
    <xf numFmtId="0" fontId="5" fillId="0" borderId="68" xfId="0" applyFont="1" applyBorder="1"/>
    <xf numFmtId="0" fontId="5" fillId="0" borderId="67" xfId="0" applyFont="1" applyBorder="1"/>
    <xf numFmtId="0" fontId="5" fillId="0" borderId="43" xfId="0" applyFont="1" applyBorder="1"/>
    <xf numFmtId="0" fontId="5" fillId="0" borderId="44" xfId="0" applyFont="1" applyBorder="1"/>
    <xf numFmtId="0" fontId="5" fillId="0" borderId="48" xfId="0" applyFont="1" applyBorder="1"/>
    <xf numFmtId="0" fontId="21" fillId="0" borderId="68" xfId="0" applyFont="1" applyBorder="1" applyAlignment="1">
      <alignment horizontal="center" vertical="center"/>
    </xf>
    <xf numFmtId="0" fontId="55" fillId="0" borderId="68" xfId="0" applyFont="1" applyBorder="1" applyAlignment="1">
      <alignment horizontal="left" vertical="center"/>
    </xf>
    <xf numFmtId="0" fontId="55" fillId="0" borderId="92" xfId="0" applyFont="1" applyBorder="1" applyAlignment="1" applyProtection="1">
      <alignment horizontal="center" vertical="center"/>
      <protection hidden="1"/>
    </xf>
    <xf numFmtId="0" fontId="55" fillId="0" borderId="93" xfId="0" applyFont="1" applyBorder="1" applyAlignment="1" applyProtection="1">
      <alignment horizontal="center" vertical="center"/>
      <protection hidden="1"/>
    </xf>
    <xf numFmtId="0" fontId="36" fillId="0" borderId="68" xfId="0" applyFont="1" applyBorder="1" applyAlignment="1">
      <alignment horizontal="left"/>
    </xf>
    <xf numFmtId="0" fontId="55" fillId="0" borderId="68" xfId="0" applyFont="1" applyBorder="1" applyAlignment="1">
      <alignment horizontal="center" vertical="center"/>
    </xf>
    <xf numFmtId="0" fontId="35" fillId="0" borderId="68" xfId="0" applyFont="1" applyBorder="1" applyAlignment="1">
      <alignment horizontal="right" vertical="center"/>
    </xf>
    <xf numFmtId="0" fontId="15" fillId="0" borderId="68" xfId="0" applyFont="1" applyBorder="1" applyAlignment="1">
      <alignment horizontal="right" vertical="center"/>
    </xf>
    <xf numFmtId="0" fontId="36" fillId="0" borderId="91" xfId="0" applyFont="1" applyBorder="1" applyAlignment="1" applyProtection="1">
      <alignment horizontal="center"/>
      <protection hidden="1"/>
    </xf>
    <xf numFmtId="0" fontId="39" fillId="0" borderId="97" xfId="0" applyFont="1" applyFill="1" applyBorder="1" applyAlignment="1">
      <alignment horizontal="center" vertical="center"/>
    </xf>
    <xf numFmtId="0" fontId="39" fillId="0" borderId="97" xfId="0" applyFont="1" applyBorder="1" applyAlignment="1">
      <alignment horizontal="center" vertical="center" wrapText="1"/>
    </xf>
    <xf numFmtId="4" fontId="41" fillId="0" borderId="145" xfId="0" applyNumberFormat="1" applyFont="1" applyFill="1" applyBorder="1" applyAlignment="1">
      <alignment horizontal="left" vertical="center" wrapText="1"/>
    </xf>
    <xf numFmtId="3" fontId="27" fillId="0" borderId="145" xfId="0" applyNumberFormat="1" applyFont="1" applyFill="1" applyBorder="1" applyAlignment="1">
      <alignment horizontal="center" vertical="center" wrapText="1"/>
    </xf>
    <xf numFmtId="3" fontId="27" fillId="0" borderId="97" xfId="0" applyNumberFormat="1" applyFont="1" applyFill="1" applyBorder="1" applyAlignment="1">
      <alignment horizontal="center" vertical="center" wrapText="1"/>
    </xf>
    <xf numFmtId="0" fontId="9" fillId="0" borderId="57" xfId="0" applyFont="1" applyFill="1" applyBorder="1" applyAlignment="1">
      <alignment horizontal="center"/>
    </xf>
    <xf numFmtId="0" fontId="39" fillId="0" borderId="97" xfId="0" applyFont="1" applyBorder="1" applyAlignment="1">
      <alignment horizontal="center" vertical="center"/>
    </xf>
    <xf numFmtId="4" fontId="58" fillId="0" borderId="97" xfId="0" applyNumberFormat="1" applyFont="1" applyFill="1" applyBorder="1" applyAlignment="1">
      <alignment horizontal="right" vertical="center" wrapText="1"/>
    </xf>
    <xf numFmtId="4" fontId="27" fillId="0" borderId="68" xfId="0" applyNumberFormat="1" applyFont="1" applyFill="1" applyBorder="1" applyAlignment="1">
      <alignment horizontal="center" wrapText="1"/>
    </xf>
    <xf numFmtId="4" fontId="58" fillId="0" borderId="68" xfId="0" applyNumberFormat="1" applyFont="1" applyFill="1" applyBorder="1" applyAlignment="1">
      <alignment horizontal="right" vertical="center" wrapText="1"/>
    </xf>
    <xf numFmtId="0" fontId="39" fillId="0" borderId="109" xfId="0" applyFont="1" applyFill="1" applyBorder="1" applyAlignment="1" applyProtection="1">
      <alignment horizontal="center"/>
      <protection hidden="1"/>
    </xf>
    <xf numFmtId="0" fontId="40" fillId="0" borderId="0" xfId="0" applyFont="1" applyFill="1" applyAlignment="1">
      <alignment horizontal="center"/>
    </xf>
    <xf numFmtId="4" fontId="41" fillId="0" borderId="121" xfId="0" applyNumberFormat="1" applyFont="1" applyBorder="1" applyAlignment="1">
      <alignment vertical="center" wrapText="1"/>
    </xf>
    <xf numFmtId="4" fontId="41" fillId="0" borderId="140" xfId="0" applyNumberFormat="1" applyFont="1" applyBorder="1" applyAlignment="1">
      <alignment vertical="center" wrapText="1"/>
    </xf>
    <xf numFmtId="4" fontId="41" fillId="0" borderId="133" xfId="0" applyNumberFormat="1" applyFont="1" applyBorder="1" applyAlignment="1">
      <alignment vertical="center" wrapText="1"/>
    </xf>
    <xf numFmtId="4" fontId="60" fillId="0" borderId="121" xfId="0" applyNumberFormat="1" applyFont="1" applyBorder="1" applyAlignment="1">
      <alignment vertical="center" wrapText="1"/>
    </xf>
    <xf numFmtId="4" fontId="60" fillId="0" borderId="140" xfId="0" applyNumberFormat="1" applyFont="1" applyBorder="1" applyAlignment="1">
      <alignment vertical="center" wrapText="1"/>
    </xf>
    <xf numFmtId="4" fontId="60" fillId="0" borderId="133" xfId="0" applyNumberFormat="1" applyFont="1" applyBorder="1" applyAlignment="1">
      <alignment vertical="center" wrapText="1"/>
    </xf>
    <xf numFmtId="3" fontId="40" fillId="0" borderId="97" xfId="0" applyNumberFormat="1" applyFont="1" applyBorder="1" applyAlignment="1">
      <alignment horizontal="center" vertical="center"/>
    </xf>
    <xf numFmtId="4" fontId="41" fillId="0" borderId="97" xfId="0" applyNumberFormat="1" applyFont="1" applyFill="1" applyBorder="1" applyAlignment="1">
      <alignment vertical="center" wrapText="1"/>
    </xf>
    <xf numFmtId="0" fontId="42" fillId="0" borderId="97" xfId="0" applyFont="1" applyFill="1" applyBorder="1" applyAlignment="1">
      <alignment vertical="center"/>
    </xf>
    <xf numFmtId="0" fontId="39" fillId="0" borderId="68" xfId="0" applyFont="1" applyFill="1" applyBorder="1" applyAlignment="1">
      <alignment horizontal="center"/>
    </xf>
    <xf numFmtId="4" fontId="62" fillId="0" borderId="121" xfId="0" applyNumberFormat="1" applyFont="1" applyFill="1" applyBorder="1" applyAlignment="1">
      <alignment horizontal="left" vertical="center" wrapText="1"/>
    </xf>
    <xf numFmtId="4" fontId="62" fillId="0" borderId="140" xfId="0" applyNumberFormat="1" applyFont="1" applyFill="1" applyBorder="1" applyAlignment="1">
      <alignment horizontal="left" vertical="center" wrapText="1"/>
    </xf>
    <xf numFmtId="4" fontId="62" fillId="0" borderId="133" xfId="0" applyNumberFormat="1" applyFont="1" applyFill="1" applyBorder="1" applyAlignment="1">
      <alignment horizontal="left" vertical="center" wrapText="1"/>
    </xf>
    <xf numFmtId="0" fontId="59" fillId="0" borderId="121" xfId="0" applyFont="1" applyBorder="1" applyAlignment="1">
      <alignment horizontal="left" vertical="center" wrapText="1"/>
    </xf>
    <xf numFmtId="0" fontId="59" fillId="0" borderId="140" xfId="0" applyFont="1" applyBorder="1" applyAlignment="1">
      <alignment horizontal="left" vertical="center" wrapText="1"/>
    </xf>
    <xf numFmtId="0" fontId="59" fillId="0" borderId="133" xfId="0" applyFont="1" applyBorder="1" applyAlignment="1">
      <alignment horizontal="left" vertical="center" wrapText="1"/>
    </xf>
    <xf numFmtId="4" fontId="41" fillId="0" borderId="97" xfId="0" applyNumberFormat="1" applyFont="1" applyFill="1" applyBorder="1" applyAlignment="1">
      <alignment horizontal="left" vertical="center" wrapText="1"/>
    </xf>
    <xf numFmtId="4" fontId="61" fillId="0" borderId="97" xfId="0" applyNumberFormat="1" applyFont="1" applyFill="1" applyBorder="1" applyAlignment="1">
      <alignment horizontal="left" vertical="center" wrapText="1"/>
    </xf>
    <xf numFmtId="0" fontId="54" fillId="0" borderId="109" xfId="0" applyFont="1" applyFill="1" applyBorder="1" applyAlignment="1" applyProtection="1">
      <alignment horizontal="center"/>
      <protection hidden="1"/>
    </xf>
    <xf numFmtId="0" fontId="39" fillId="0" borderId="80" xfId="0" applyFont="1" applyFill="1" applyBorder="1" applyAlignment="1" applyProtection="1">
      <alignment horizontal="center" vertical="center"/>
      <protection hidden="1"/>
    </xf>
    <xf numFmtId="0" fontId="51" fillId="0" borderId="81" xfId="0" applyFont="1" applyFill="1" applyBorder="1" applyProtection="1">
      <protection hidden="1"/>
    </xf>
    <xf numFmtId="0" fontId="7" fillId="0" borderId="80" xfId="0" applyFont="1" applyFill="1" applyBorder="1" applyAlignment="1">
      <alignment horizontal="center" vertical="center" wrapText="1"/>
    </xf>
    <xf numFmtId="0" fontId="5" fillId="0" borderId="81" xfId="0" applyFont="1" applyFill="1" applyBorder="1"/>
    <xf numFmtId="0" fontId="9" fillId="0" borderId="80" xfId="0" applyFont="1" applyFill="1" applyBorder="1" applyAlignment="1" applyProtection="1">
      <alignment horizontal="center" vertical="center"/>
      <protection hidden="1"/>
    </xf>
    <xf numFmtId="0" fontId="5" fillId="0" borderId="81" xfId="0" applyFont="1" applyFill="1" applyBorder="1" applyProtection="1">
      <protection hidden="1"/>
    </xf>
    <xf numFmtId="0" fontId="7" fillId="0" borderId="0" xfId="0" applyFont="1" applyFill="1" applyAlignment="1">
      <alignment horizontal="center"/>
    </xf>
    <xf numFmtId="0" fontId="0" fillId="0" borderId="0" xfId="0" applyFont="1" applyFill="1" applyAlignment="1"/>
    <xf numFmtId="0" fontId="9" fillId="0" borderId="0" xfId="0" applyFont="1" applyFill="1" applyAlignment="1">
      <alignment horizontal="center"/>
    </xf>
    <xf numFmtId="0" fontId="9" fillId="0" borderId="80" xfId="0" applyFont="1" applyFill="1" applyBorder="1" applyAlignment="1">
      <alignment horizontal="center" vertical="center"/>
    </xf>
    <xf numFmtId="0" fontId="9" fillId="0" borderId="0" xfId="0" applyFont="1" applyFill="1" applyAlignment="1" applyProtection="1">
      <alignment horizontal="center"/>
      <protection hidden="1"/>
    </xf>
    <xf numFmtId="0" fontId="0" fillId="0" borderId="0" xfId="0" applyFont="1" applyFill="1" applyAlignment="1" applyProtection="1">
      <protection hidden="1"/>
    </xf>
    <xf numFmtId="0" fontId="7" fillId="0" borderId="50" xfId="0" applyFont="1" applyFill="1" applyBorder="1" applyAlignment="1">
      <alignment horizontal="left" vertical="top"/>
    </xf>
    <xf numFmtId="0" fontId="5" fillId="0" borderId="66" xfId="0" applyFont="1" applyFill="1" applyBorder="1"/>
    <xf numFmtId="0" fontId="5" fillId="0" borderId="54" xfId="0" applyFont="1" applyFill="1" applyBorder="1"/>
    <xf numFmtId="0" fontId="5" fillId="0" borderId="82" xfId="0" applyFont="1" applyFill="1" applyBorder="1"/>
    <xf numFmtId="0" fontId="5" fillId="0" borderId="83" xfId="0" applyFont="1" applyFill="1" applyBorder="1"/>
    <xf numFmtId="0" fontId="5" fillId="0" borderId="8" xfId="0" applyFont="1" applyFill="1" applyBorder="1"/>
    <xf numFmtId="0" fontId="5" fillId="0" borderId="9" xfId="0" applyFont="1" applyFill="1" applyBorder="1"/>
    <xf numFmtId="0" fontId="5" fillId="0" borderId="58" xfId="0" applyFont="1" applyFill="1" applyBorder="1"/>
    <xf numFmtId="0" fontId="40" fillId="0" borderId="68" xfId="0" applyFont="1" applyFill="1" applyBorder="1" applyAlignment="1">
      <alignment horizontal="center"/>
    </xf>
    <xf numFmtId="0" fontId="54" fillId="0" borderId="68" xfId="0" applyFont="1" applyFill="1" applyBorder="1" applyAlignment="1" applyProtection="1">
      <alignment horizontal="center"/>
      <protection hidden="1"/>
    </xf>
    <xf numFmtId="0" fontId="9" fillId="0" borderId="68" xfId="0" applyFont="1" applyFill="1" applyBorder="1" applyAlignment="1">
      <alignment horizontal="center"/>
    </xf>
    <xf numFmtId="0" fontId="40" fillId="0" borderId="68" xfId="0" applyFont="1" applyFill="1" applyBorder="1" applyAlignment="1" applyProtection="1">
      <alignment horizontal="center" vertical="top"/>
      <protection hidden="1"/>
    </xf>
    <xf numFmtId="0" fontId="40" fillId="0" borderId="68" xfId="0" applyFont="1" applyFill="1" applyBorder="1" applyAlignment="1">
      <alignment horizontal="center" vertical="top"/>
    </xf>
    <xf numFmtId="0" fontId="9" fillId="0" borderId="68" xfId="0" applyFont="1" applyFill="1" applyBorder="1" applyAlignment="1">
      <alignment horizontal="center" vertical="top"/>
    </xf>
    <xf numFmtId="0" fontId="7" fillId="0" borderId="0" xfId="0" applyFont="1" applyFill="1" applyAlignment="1">
      <alignment horizontal="right"/>
    </xf>
    <xf numFmtId="0" fontId="7" fillId="0" borderId="0" xfId="0" applyFont="1" applyFill="1" applyAlignment="1">
      <alignment horizontal="center" vertical="center"/>
    </xf>
    <xf numFmtId="0" fontId="7" fillId="0" borderId="68" xfId="0" applyFont="1" applyFill="1" applyBorder="1" applyAlignment="1">
      <alignment horizontal="center" vertical="center"/>
    </xf>
    <xf numFmtId="0" fontId="0" fillId="0" borderId="68" xfId="0" applyFont="1" applyFill="1" applyBorder="1" applyAlignment="1"/>
    <xf numFmtId="0" fontId="7" fillId="0" borderId="0" xfId="0" applyFont="1" applyFill="1" applyAlignment="1" applyProtection="1">
      <alignment horizontal="center"/>
      <protection hidden="1"/>
    </xf>
    <xf numFmtId="0" fontId="9" fillId="0" borderId="36" xfId="0" applyFont="1" applyFill="1" applyBorder="1" applyAlignment="1" applyProtection="1">
      <alignment horizontal="left"/>
      <protection hidden="1"/>
    </xf>
    <xf numFmtId="0" fontId="9" fillId="0" borderId="9" xfId="0" applyFont="1" applyFill="1" applyBorder="1" applyAlignment="1">
      <alignment horizontal="left" wrapText="1"/>
    </xf>
    <xf numFmtId="0" fontId="9" fillId="0" borderId="57" xfId="0" applyFont="1" applyFill="1" applyBorder="1" applyAlignment="1">
      <alignment horizontal="left" wrapText="1"/>
    </xf>
    <xf numFmtId="0" fontId="5" fillId="0" borderId="9" xfId="0" applyFont="1" applyFill="1" applyBorder="1" applyAlignment="1">
      <alignment horizontal="left"/>
    </xf>
    <xf numFmtId="0" fontId="9" fillId="0" borderId="0" xfId="0" applyFont="1" applyFill="1" applyAlignment="1">
      <alignment wrapText="1"/>
    </xf>
    <xf numFmtId="0" fontId="43" fillId="0" borderId="68" xfId="0" applyFont="1" applyFill="1" applyBorder="1" applyAlignment="1">
      <alignment horizontal="center" vertical="center"/>
    </xf>
    <xf numFmtId="0" fontId="6" fillId="0" borderId="68" xfId="0" applyFont="1" applyFill="1" applyBorder="1" applyAlignment="1">
      <alignment horizontal="center" vertical="center"/>
    </xf>
    <xf numFmtId="0" fontId="9" fillId="0" borderId="68" xfId="0" applyFont="1" applyFill="1" applyBorder="1" applyAlignment="1" applyProtection="1">
      <alignment horizontal="center"/>
      <protection hidden="1"/>
    </xf>
    <xf numFmtId="3" fontId="39" fillId="0" borderId="97" xfId="0" applyNumberFormat="1" applyFont="1" applyFill="1" applyBorder="1" applyAlignment="1">
      <alignment horizontal="center" vertical="center"/>
    </xf>
    <xf numFmtId="0" fontId="7" fillId="0" borderId="0" xfId="0" applyFont="1" applyFill="1" applyAlignment="1"/>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304800</xdr:colOff>
      <xdr:row>1</xdr:row>
      <xdr:rowOff>22860</xdr:rowOff>
    </xdr:from>
    <xdr:ext cx="1388974" cy="708660"/>
    <xdr:pic>
      <xdr:nvPicPr>
        <xdr:cNvPr id="2" name="image6.png" title="Image">
          <a:extLst>
            <a:ext uri="{FF2B5EF4-FFF2-40B4-BE49-F238E27FC236}">
              <a16:creationId xmlns:a16="http://schemas.microsoft.com/office/drawing/2014/main" id="{4D002B87-443D-4283-B778-CBB4C86B3E8F}"/>
            </a:ext>
          </a:extLst>
        </xdr:cNvPr>
        <xdr:cNvPicPr preferRelativeResize="0"/>
      </xdr:nvPicPr>
      <xdr:blipFill>
        <a:blip xmlns:r="http://schemas.openxmlformats.org/officeDocument/2006/relationships" r:embed="rId1" cstate="print"/>
        <a:stretch>
          <a:fillRect/>
        </a:stretch>
      </xdr:blipFill>
      <xdr:spPr>
        <a:xfrm>
          <a:off x="131978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1726555B-4C01-4B23-89E9-FF1645C8FA7D}"/>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17</xdr:col>
      <xdr:colOff>304800</xdr:colOff>
      <xdr:row>1</xdr:row>
      <xdr:rowOff>22860</xdr:rowOff>
    </xdr:from>
    <xdr:ext cx="1388974" cy="708660"/>
    <xdr:pic>
      <xdr:nvPicPr>
        <xdr:cNvPr id="2" name="image6.png" title="Image">
          <a:extLst>
            <a:ext uri="{FF2B5EF4-FFF2-40B4-BE49-F238E27FC236}">
              <a16:creationId xmlns:a16="http://schemas.microsoft.com/office/drawing/2014/main" id="{31A2227B-0E67-4B29-AF13-8AB404A54969}"/>
            </a:ext>
          </a:extLst>
        </xdr:cNvPr>
        <xdr:cNvPicPr preferRelativeResize="0"/>
      </xdr:nvPicPr>
      <xdr:blipFill>
        <a:blip xmlns:r="http://schemas.openxmlformats.org/officeDocument/2006/relationships" r:embed="rId1" cstate="print"/>
        <a:stretch>
          <a:fillRect/>
        </a:stretch>
      </xdr:blipFill>
      <xdr:spPr>
        <a:xfrm>
          <a:off x="131978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AC032DC6-EFBF-4363-ACC4-1B896347221B}"/>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243840</xdr:colOff>
      <xdr:row>0</xdr:row>
      <xdr:rowOff>60960</xdr:rowOff>
    </xdr:from>
    <xdr:ext cx="887730" cy="887730"/>
    <xdr:pic>
      <xdr:nvPicPr>
        <xdr:cNvPr id="4" name="image2.png" title="Image">
          <a:extLst>
            <a:ext uri="{FF2B5EF4-FFF2-40B4-BE49-F238E27FC236}">
              <a16:creationId xmlns:a16="http://schemas.microsoft.com/office/drawing/2014/main" id="{B53F116B-B933-49CC-ACB9-A68FD0E354C1}"/>
            </a:ext>
          </a:extLst>
        </xdr:cNvPr>
        <xdr:cNvPicPr preferRelativeResize="0"/>
      </xdr:nvPicPr>
      <xdr:blipFill>
        <a:blip xmlns:r="http://schemas.openxmlformats.org/officeDocument/2006/relationships" r:embed="rId1" cstate="print"/>
        <a:stretch>
          <a:fillRect/>
        </a:stretch>
      </xdr:blipFill>
      <xdr:spPr>
        <a:xfrm>
          <a:off x="243840" y="60960"/>
          <a:ext cx="887730" cy="887730"/>
        </a:xfrm>
        <a:prstGeom prst="rect">
          <a:avLst/>
        </a:prstGeom>
        <a:noFill/>
      </xdr:spPr>
    </xdr:pic>
    <xdr:clientData fLocksWithSheet="0"/>
  </xdr:oneCellAnchor>
  <xdr:oneCellAnchor>
    <xdr:from>
      <xdr:col>18</xdr:col>
      <xdr:colOff>434340</xdr:colOff>
      <xdr:row>0</xdr:row>
      <xdr:rowOff>144780</xdr:rowOff>
    </xdr:from>
    <xdr:ext cx="1388974" cy="708660"/>
    <xdr:pic>
      <xdr:nvPicPr>
        <xdr:cNvPr id="5" name="image6.png" title="Image">
          <a:extLst>
            <a:ext uri="{FF2B5EF4-FFF2-40B4-BE49-F238E27FC236}">
              <a16:creationId xmlns:a16="http://schemas.microsoft.com/office/drawing/2014/main" id="{1BE211BB-D7A5-4E01-BC21-FEE30D882B54}"/>
            </a:ext>
          </a:extLst>
        </xdr:cNvPr>
        <xdr:cNvPicPr preferRelativeResize="0"/>
      </xdr:nvPicPr>
      <xdr:blipFill>
        <a:blip xmlns:r="http://schemas.openxmlformats.org/officeDocument/2006/relationships" r:embed="rId2" cstate="print"/>
        <a:stretch>
          <a:fillRect/>
        </a:stretch>
      </xdr:blipFill>
      <xdr:spPr>
        <a:xfrm>
          <a:off x="11826240" y="144780"/>
          <a:ext cx="1388974" cy="70866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tabSelected="1"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zoomScale="85" zoomScaleNormal="85" workbookViewId="0">
      <pane ySplit="5" topLeftCell="A18" activePane="bottomLeft" state="frozen"/>
      <selection pane="bottomLeft" activeCell="F28" sqref="F28:G28"/>
    </sheetView>
  </sheetViews>
  <sheetFormatPr defaultColWidth="12.6640625" defaultRowHeight="15.75" customHeight="1"/>
  <cols>
    <col min="1" max="2" width="3.88671875" customWidth="1"/>
    <col min="3" max="3" width="11.33203125" customWidth="1"/>
    <col min="4" max="4" width="7.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84" t="s">
        <v>0</v>
      </c>
      <c r="B1" s="285"/>
      <c r="C1" s="285"/>
      <c r="D1" s="285"/>
      <c r="E1" s="285"/>
      <c r="F1" s="285"/>
      <c r="G1" s="285"/>
      <c r="H1" s="285"/>
      <c r="I1" s="285"/>
      <c r="J1" s="285"/>
      <c r="K1" s="285"/>
      <c r="L1" s="285"/>
      <c r="M1" s="285"/>
      <c r="N1" s="285"/>
      <c r="O1" s="285"/>
      <c r="P1" s="285"/>
      <c r="Q1" s="285"/>
      <c r="R1" s="285"/>
      <c r="S1" s="285"/>
      <c r="T1" s="285"/>
      <c r="U1" s="286"/>
      <c r="V1" s="1"/>
      <c r="W1" s="1"/>
      <c r="X1" s="1"/>
      <c r="Y1" s="1"/>
      <c r="Z1" s="1"/>
      <c r="AA1" s="1"/>
      <c r="AB1" s="1"/>
      <c r="AC1" s="1"/>
      <c r="AD1" s="1"/>
    </row>
    <row r="2" spans="1:30" ht="13.8">
      <c r="A2" s="287"/>
      <c r="B2" s="288"/>
      <c r="C2" s="288"/>
      <c r="D2" s="288"/>
      <c r="E2" s="288"/>
      <c r="F2" s="288"/>
      <c r="G2" s="288"/>
      <c r="H2" s="288"/>
      <c r="I2" s="288"/>
      <c r="J2" s="288"/>
      <c r="K2" s="288"/>
      <c r="L2" s="288"/>
      <c r="M2" s="288"/>
      <c r="N2" s="288"/>
      <c r="O2" s="288"/>
      <c r="P2" s="288"/>
      <c r="Q2" s="288"/>
      <c r="R2" s="288"/>
      <c r="S2" s="288"/>
      <c r="T2" s="288"/>
      <c r="U2" s="289"/>
      <c r="V2" s="1"/>
      <c r="W2" s="1"/>
      <c r="X2" s="1"/>
      <c r="Y2" s="1"/>
      <c r="Z2" s="1"/>
      <c r="AA2" s="1"/>
      <c r="AB2" s="1"/>
      <c r="AC2" s="1"/>
      <c r="AD2" s="1"/>
    </row>
    <row r="3" spans="1:30" ht="13.8">
      <c r="A3" s="287"/>
      <c r="B3" s="288"/>
      <c r="C3" s="288"/>
      <c r="D3" s="288"/>
      <c r="E3" s="288"/>
      <c r="F3" s="288"/>
      <c r="G3" s="288"/>
      <c r="H3" s="288"/>
      <c r="I3" s="288"/>
      <c r="J3" s="288"/>
      <c r="K3" s="288"/>
      <c r="L3" s="288"/>
      <c r="M3" s="288"/>
      <c r="N3" s="288"/>
      <c r="O3" s="288"/>
      <c r="P3" s="288"/>
      <c r="Q3" s="288"/>
      <c r="R3" s="288"/>
      <c r="S3" s="288"/>
      <c r="T3" s="288"/>
      <c r="U3" s="289"/>
      <c r="V3" s="1"/>
      <c r="W3" s="1"/>
      <c r="X3" s="1"/>
      <c r="Y3" s="1"/>
      <c r="Z3" s="1"/>
      <c r="AA3" s="1"/>
      <c r="AB3" s="1"/>
      <c r="AC3" s="1"/>
      <c r="AD3" s="1"/>
    </row>
    <row r="4" spans="1:30" ht="13.8">
      <c r="A4" s="287"/>
      <c r="B4" s="288"/>
      <c r="C4" s="288"/>
      <c r="D4" s="288"/>
      <c r="E4" s="288"/>
      <c r="F4" s="288"/>
      <c r="G4" s="288"/>
      <c r="H4" s="288"/>
      <c r="I4" s="288"/>
      <c r="J4" s="288"/>
      <c r="K4" s="288"/>
      <c r="L4" s="288"/>
      <c r="M4" s="288"/>
      <c r="N4" s="288"/>
      <c r="O4" s="288"/>
      <c r="P4" s="288"/>
      <c r="Q4" s="288"/>
      <c r="R4" s="288"/>
      <c r="S4" s="288"/>
      <c r="T4" s="288"/>
      <c r="U4" s="289"/>
      <c r="V4" s="1"/>
      <c r="W4" s="1"/>
      <c r="X4" s="1"/>
      <c r="Y4" s="1"/>
      <c r="Z4" s="1"/>
      <c r="AA4" s="1"/>
      <c r="AB4" s="1"/>
      <c r="AC4" s="1"/>
      <c r="AD4" s="1"/>
    </row>
    <row r="5" spans="1:30" ht="13.8">
      <c r="A5" s="290"/>
      <c r="B5" s="291"/>
      <c r="C5" s="291"/>
      <c r="D5" s="291"/>
      <c r="E5" s="291"/>
      <c r="F5" s="291"/>
      <c r="G5" s="291"/>
      <c r="H5" s="291"/>
      <c r="I5" s="291"/>
      <c r="J5" s="291"/>
      <c r="K5" s="291"/>
      <c r="L5" s="291"/>
      <c r="M5" s="291"/>
      <c r="N5" s="291"/>
      <c r="O5" s="291"/>
      <c r="P5" s="291"/>
      <c r="Q5" s="291"/>
      <c r="R5" s="291"/>
      <c r="S5" s="291"/>
      <c r="T5" s="291"/>
      <c r="U5" s="292"/>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78" t="s">
        <v>110</v>
      </c>
      <c r="C7" s="279"/>
      <c r="D7" s="279"/>
      <c r="E7" s="279"/>
      <c r="F7" s="279"/>
      <c r="G7" s="279"/>
      <c r="H7" s="280"/>
      <c r="I7" s="1"/>
      <c r="J7" s="278" t="s">
        <v>5</v>
      </c>
      <c r="K7" s="279"/>
      <c r="L7" s="279"/>
      <c r="M7" s="279"/>
      <c r="N7" s="279"/>
      <c r="O7" s="279"/>
      <c r="P7" s="279"/>
      <c r="Q7" s="279"/>
      <c r="R7" s="279"/>
      <c r="S7" s="279"/>
      <c r="T7" s="280"/>
      <c r="U7" s="1"/>
      <c r="V7" s="1"/>
      <c r="W7" s="1"/>
      <c r="X7" s="1"/>
      <c r="Y7" s="1"/>
      <c r="Z7" s="1"/>
      <c r="AA7" s="1"/>
      <c r="AB7" s="1"/>
      <c r="AC7" s="1"/>
      <c r="AD7" s="1"/>
    </row>
    <row r="8" spans="1:30" ht="13.8">
      <c r="A8" s="1"/>
      <c r="B8" s="281"/>
      <c r="C8" s="282"/>
      <c r="D8" s="282"/>
      <c r="E8" s="282"/>
      <c r="F8" s="282"/>
      <c r="G8" s="282"/>
      <c r="H8" s="283"/>
      <c r="I8" s="1"/>
      <c r="J8" s="281"/>
      <c r="K8" s="282"/>
      <c r="L8" s="282"/>
      <c r="M8" s="282"/>
      <c r="N8" s="282"/>
      <c r="O8" s="282"/>
      <c r="P8" s="282"/>
      <c r="Q8" s="282"/>
      <c r="R8" s="282"/>
      <c r="S8" s="282"/>
      <c r="T8" s="283"/>
      <c r="U8" s="1"/>
      <c r="V8" s="1"/>
      <c r="W8" s="1"/>
      <c r="X8" s="1"/>
      <c r="Y8" s="1"/>
      <c r="Z8" s="1"/>
      <c r="AA8" s="1"/>
      <c r="AB8" s="1"/>
      <c r="AC8" s="1"/>
      <c r="AD8" s="1"/>
    </row>
    <row r="9" spans="1:30" ht="13.8">
      <c r="A9" s="1"/>
      <c r="B9" s="7"/>
      <c r="C9" s="8"/>
      <c r="D9" s="8"/>
      <c r="E9" s="8"/>
      <c r="F9" s="8"/>
      <c r="G9" s="8"/>
      <c r="H9" s="9"/>
      <c r="I9" s="1"/>
      <c r="J9" s="7"/>
      <c r="K9" s="8"/>
      <c r="L9" s="8"/>
      <c r="M9" s="8"/>
      <c r="N9" s="8"/>
      <c r="O9" s="8"/>
      <c r="P9" s="8"/>
      <c r="Q9" s="8"/>
      <c r="R9" s="11"/>
      <c r="S9" s="11"/>
      <c r="T9" s="9"/>
      <c r="U9" s="1"/>
      <c r="V9" s="1"/>
      <c r="W9" s="1"/>
      <c r="X9" s="1"/>
      <c r="Y9" s="1"/>
      <c r="Z9" s="1"/>
      <c r="AA9" s="1"/>
      <c r="AB9" s="1"/>
      <c r="AC9" s="1"/>
      <c r="AD9" s="1"/>
    </row>
    <row r="10" spans="1:30" ht="13.8">
      <c r="A10" s="1"/>
      <c r="B10" s="7"/>
      <c r="C10" s="276" t="s">
        <v>3</v>
      </c>
      <c r="D10" s="293"/>
      <c r="E10" s="13" t="s">
        <v>9</v>
      </c>
      <c r="F10" s="294"/>
      <c r="G10" s="274"/>
      <c r="H10" s="9"/>
      <c r="I10" s="1"/>
      <c r="J10" s="7"/>
      <c r="K10" s="14" t="s">
        <v>11</v>
      </c>
      <c r="L10" s="16"/>
      <c r="M10" s="18" t="s">
        <v>12</v>
      </c>
      <c r="N10" s="19" t="s">
        <v>13</v>
      </c>
      <c r="O10" s="8"/>
      <c r="P10" s="14" t="s">
        <v>14</v>
      </c>
      <c r="Q10" s="21"/>
      <c r="R10" s="18" t="s">
        <v>12</v>
      </c>
      <c r="S10" s="19" t="s">
        <v>13</v>
      </c>
      <c r="T10" s="9"/>
      <c r="U10" s="1"/>
      <c r="V10" s="1"/>
      <c r="W10" s="1"/>
      <c r="X10" s="1"/>
      <c r="Y10" s="1"/>
      <c r="Z10" s="1"/>
      <c r="AA10" s="1"/>
      <c r="AB10" s="1"/>
      <c r="AC10" s="1"/>
      <c r="AD10" s="1"/>
    </row>
    <row r="11" spans="1:30" ht="13.8">
      <c r="A11" s="1"/>
      <c r="B11" s="7"/>
      <c r="C11" s="276" t="s">
        <v>6</v>
      </c>
      <c r="D11" s="293"/>
      <c r="E11" s="13" t="s">
        <v>9</v>
      </c>
      <c r="F11" s="23"/>
      <c r="G11" s="24"/>
      <c r="H11" s="9"/>
      <c r="I11" s="1"/>
      <c r="J11" s="7"/>
      <c r="K11" s="78">
        <v>1</v>
      </c>
      <c r="L11" s="25"/>
      <c r="M11" s="26"/>
      <c r="N11" s="27"/>
      <c r="O11" s="8"/>
      <c r="P11" s="78">
        <v>1</v>
      </c>
      <c r="Q11" s="25"/>
      <c r="R11" s="26"/>
      <c r="S11" s="27"/>
      <c r="T11" s="9"/>
      <c r="U11" s="1"/>
      <c r="V11" s="1"/>
      <c r="W11" s="1"/>
      <c r="X11" s="1"/>
      <c r="Y11" s="1"/>
      <c r="Z11" s="1"/>
      <c r="AA11" s="1"/>
      <c r="AB11" s="1"/>
      <c r="AC11" s="1"/>
      <c r="AD11" s="1"/>
    </row>
    <row r="12" spans="1:30" ht="13.8">
      <c r="A12" s="1"/>
      <c r="B12" s="7"/>
      <c r="C12" s="276" t="s">
        <v>17</v>
      </c>
      <c r="D12" s="293"/>
      <c r="E12" s="13" t="s">
        <v>9</v>
      </c>
      <c r="F12" s="23"/>
      <c r="G12" s="24"/>
      <c r="H12" s="9"/>
      <c r="I12" s="1"/>
      <c r="J12" s="7"/>
      <c r="K12" s="78">
        <v>2</v>
      </c>
      <c r="L12" s="25"/>
      <c r="M12" s="26"/>
      <c r="N12" s="27"/>
      <c r="O12" s="8"/>
      <c r="P12" s="78">
        <v>2</v>
      </c>
      <c r="Q12" s="25"/>
      <c r="R12" s="26"/>
      <c r="S12" s="28"/>
      <c r="T12" s="9"/>
      <c r="U12" s="1"/>
      <c r="V12" s="1"/>
      <c r="W12" s="1"/>
      <c r="X12" s="1"/>
      <c r="Y12" s="1"/>
      <c r="Z12" s="1"/>
      <c r="AA12" s="1"/>
      <c r="AB12" s="1"/>
      <c r="AC12" s="1"/>
      <c r="AD12" s="1"/>
    </row>
    <row r="13" spans="1:30" ht="13.8">
      <c r="A13" s="1"/>
      <c r="B13" s="7"/>
      <c r="C13" s="276" t="s">
        <v>19</v>
      </c>
      <c r="D13" s="293"/>
      <c r="E13" s="13" t="s">
        <v>9</v>
      </c>
      <c r="F13" s="23"/>
      <c r="G13" s="24"/>
      <c r="H13" s="9"/>
      <c r="I13" s="1"/>
      <c r="J13" s="7"/>
      <c r="K13" s="78">
        <v>3</v>
      </c>
      <c r="L13" s="25"/>
      <c r="M13" s="26"/>
      <c r="N13" s="27"/>
      <c r="O13" s="8"/>
      <c r="P13" s="78">
        <v>3</v>
      </c>
      <c r="Q13" s="25"/>
      <c r="R13" s="26"/>
      <c r="S13" s="27"/>
      <c r="T13" s="9"/>
      <c r="U13" s="1"/>
      <c r="V13" s="1"/>
      <c r="W13" s="1"/>
      <c r="X13" s="1"/>
      <c r="Y13" s="1"/>
      <c r="Z13" s="1"/>
      <c r="AA13" s="1"/>
      <c r="AB13" s="1"/>
      <c r="AC13" s="1"/>
      <c r="AD13" s="1"/>
    </row>
    <row r="14" spans="1:30" ht="13.8">
      <c r="A14" s="1"/>
      <c r="B14" s="7"/>
      <c r="C14" s="8"/>
      <c r="D14" s="8"/>
      <c r="E14" s="8"/>
      <c r="F14" s="8"/>
      <c r="G14" s="8"/>
      <c r="H14" s="9"/>
      <c r="I14" s="1"/>
      <c r="J14" s="7"/>
      <c r="K14" s="78">
        <v>4</v>
      </c>
      <c r="L14" s="119"/>
      <c r="M14" s="30"/>
      <c r="N14" s="31"/>
      <c r="O14" s="8"/>
      <c r="P14" s="78">
        <v>4</v>
      </c>
      <c r="Q14" s="29"/>
      <c r="R14" s="30"/>
      <c r="S14" s="32"/>
      <c r="T14" s="9"/>
      <c r="U14" s="1"/>
      <c r="V14" s="1"/>
      <c r="W14" s="1"/>
      <c r="X14" s="1"/>
      <c r="Y14" s="1"/>
      <c r="Z14" s="1"/>
      <c r="AA14" s="1"/>
      <c r="AB14" s="1"/>
      <c r="AC14" s="1"/>
      <c r="AD14" s="1"/>
    </row>
    <row r="15" spans="1:30" ht="13.8">
      <c r="A15" s="1"/>
      <c r="B15" s="7"/>
      <c r="C15" s="276" t="s">
        <v>8</v>
      </c>
      <c r="D15" s="293"/>
      <c r="E15" s="13" t="s">
        <v>9</v>
      </c>
      <c r="F15" s="33"/>
      <c r="G15" s="87"/>
      <c r="H15" s="9"/>
      <c r="I15" s="1"/>
      <c r="J15" s="7"/>
      <c r="K15" s="78">
        <v>5</v>
      </c>
      <c r="L15" s="29"/>
      <c r="M15" s="30"/>
      <c r="N15" s="31"/>
      <c r="O15" s="8"/>
      <c r="P15" s="78">
        <v>5</v>
      </c>
      <c r="Q15" s="29"/>
      <c r="R15" s="30"/>
      <c r="S15" s="31"/>
      <c r="T15" s="9"/>
      <c r="U15" s="1"/>
      <c r="V15" s="1"/>
      <c r="W15" s="1"/>
      <c r="X15" s="1"/>
      <c r="Y15" s="1"/>
      <c r="Z15" s="1"/>
      <c r="AA15" s="1"/>
      <c r="AB15" s="1"/>
      <c r="AC15" s="1"/>
      <c r="AD15" s="1"/>
    </row>
    <row r="16" spans="1:30" ht="13.8">
      <c r="A16" s="1"/>
      <c r="B16" s="7"/>
      <c r="C16" s="296" t="s">
        <v>7</v>
      </c>
      <c r="D16" s="297"/>
      <c r="E16" s="300" t="s">
        <v>9</v>
      </c>
      <c r="F16" s="269"/>
      <c r="G16" s="270"/>
      <c r="H16" s="9"/>
      <c r="I16" s="1"/>
      <c r="J16" s="7"/>
      <c r="K16" s="78">
        <v>6</v>
      </c>
      <c r="L16" s="29"/>
      <c r="M16" s="30"/>
      <c r="N16" s="31"/>
      <c r="O16" s="8"/>
      <c r="P16" s="78">
        <v>6</v>
      </c>
      <c r="Q16" s="29"/>
      <c r="R16" s="30"/>
      <c r="S16" s="31"/>
      <c r="T16" s="9"/>
      <c r="U16" s="1"/>
      <c r="V16" s="1"/>
      <c r="W16" s="1"/>
      <c r="X16" s="1"/>
      <c r="Y16" s="1"/>
      <c r="Z16" s="1"/>
      <c r="AA16" s="1"/>
      <c r="AB16" s="1"/>
      <c r="AC16" s="1"/>
      <c r="AD16" s="1"/>
    </row>
    <row r="17" spans="1:30" ht="13.8">
      <c r="A17" s="1"/>
      <c r="B17" s="7"/>
      <c r="C17" s="298"/>
      <c r="D17" s="299"/>
      <c r="E17" s="301"/>
      <c r="F17" s="271"/>
      <c r="G17" s="272"/>
      <c r="H17" s="9"/>
      <c r="I17" s="1"/>
      <c r="J17" s="7"/>
      <c r="K17" s="78">
        <v>7</v>
      </c>
      <c r="L17" s="29"/>
      <c r="M17" s="30"/>
      <c r="N17" s="31"/>
      <c r="O17" s="8"/>
      <c r="P17" s="78">
        <v>7</v>
      </c>
      <c r="Q17" s="29"/>
      <c r="R17" s="30"/>
      <c r="S17" s="31"/>
      <c r="T17" s="9"/>
      <c r="U17" s="1"/>
      <c r="V17" s="1"/>
      <c r="W17" s="1"/>
      <c r="X17" s="1"/>
      <c r="Y17" s="1"/>
      <c r="Z17" s="1"/>
      <c r="AA17" s="1"/>
      <c r="AB17" s="1"/>
      <c r="AC17" s="1"/>
      <c r="AD17" s="1"/>
    </row>
    <row r="18" spans="1:30" ht="13.8">
      <c r="A18" s="1"/>
      <c r="B18" s="7"/>
      <c r="C18" s="276" t="s">
        <v>10</v>
      </c>
      <c r="D18" s="293"/>
      <c r="E18" s="13" t="s">
        <v>9</v>
      </c>
      <c r="F18" s="295"/>
      <c r="G18" s="274"/>
      <c r="H18" s="9"/>
      <c r="I18" s="1"/>
      <c r="J18" s="7"/>
      <c r="K18" s="78">
        <v>8</v>
      </c>
      <c r="L18" s="29"/>
      <c r="M18" s="30"/>
      <c r="N18" s="31"/>
      <c r="O18" s="8"/>
      <c r="P18" s="78">
        <v>8</v>
      </c>
      <c r="Q18" s="29"/>
      <c r="R18" s="30"/>
      <c r="S18" s="31"/>
      <c r="T18" s="9"/>
      <c r="U18" s="1"/>
      <c r="V18" s="1"/>
      <c r="W18" s="1"/>
      <c r="X18" s="1"/>
      <c r="Y18" s="1"/>
      <c r="Z18" s="1"/>
      <c r="AA18" s="1"/>
      <c r="AB18" s="1"/>
      <c r="AC18" s="1"/>
      <c r="AD18" s="1"/>
    </row>
    <row r="19" spans="1:30" ht="13.8">
      <c r="A19" s="1"/>
      <c r="B19" s="7"/>
      <c r="C19" s="276" t="s">
        <v>27</v>
      </c>
      <c r="D19" s="293"/>
      <c r="E19" s="13" t="s">
        <v>9</v>
      </c>
      <c r="F19" s="294"/>
      <c r="G19" s="274"/>
      <c r="H19" s="9"/>
      <c r="I19" s="1"/>
      <c r="J19" s="7"/>
      <c r="K19" s="78">
        <v>9</v>
      </c>
      <c r="L19" s="29"/>
      <c r="M19" s="30"/>
      <c r="N19" s="31"/>
      <c r="O19" s="8"/>
      <c r="P19" s="78">
        <v>9</v>
      </c>
      <c r="Q19" s="29"/>
      <c r="R19" s="30"/>
      <c r="S19" s="31"/>
      <c r="T19" s="9"/>
      <c r="U19" s="1"/>
      <c r="V19" s="1"/>
      <c r="W19" s="1"/>
      <c r="X19" s="1"/>
      <c r="Y19" s="1"/>
      <c r="Z19" s="1"/>
      <c r="AA19" s="1"/>
      <c r="AB19" s="1"/>
      <c r="AC19" s="1"/>
      <c r="AD19" s="1"/>
    </row>
    <row r="20" spans="1:30" ht="13.8">
      <c r="A20" s="1"/>
      <c r="B20" s="36"/>
      <c r="C20" s="37"/>
      <c r="D20" s="37"/>
      <c r="E20" s="37"/>
      <c r="F20" s="37"/>
      <c r="G20" s="37"/>
      <c r="H20" s="38"/>
      <c r="I20" s="1"/>
      <c r="J20" s="7"/>
      <c r="K20" s="78">
        <v>10</v>
      </c>
      <c r="L20" s="29"/>
      <c r="M20" s="30"/>
      <c r="N20" s="31"/>
      <c r="O20" s="8"/>
      <c r="P20" s="78">
        <v>10</v>
      </c>
      <c r="Q20" s="29"/>
      <c r="R20" s="30"/>
      <c r="S20" s="31"/>
      <c r="T20" s="9"/>
      <c r="U20" s="1"/>
      <c r="V20" s="1"/>
      <c r="W20" s="1"/>
      <c r="X20" s="1"/>
      <c r="Y20" s="1"/>
      <c r="Z20" s="1"/>
      <c r="AA20" s="1"/>
      <c r="AB20" s="1"/>
      <c r="AC20" s="1"/>
      <c r="AD20" s="1"/>
    </row>
    <row r="21" spans="1:30" ht="13.8">
      <c r="A21" s="39"/>
      <c r="B21" s="39"/>
      <c r="C21" s="39"/>
      <c r="D21" s="39"/>
      <c r="E21" s="39"/>
      <c r="F21" s="39"/>
      <c r="G21" s="39"/>
      <c r="H21" s="39"/>
      <c r="I21" s="1"/>
      <c r="J21" s="7"/>
      <c r="K21" s="78">
        <v>11</v>
      </c>
      <c r="L21" s="29"/>
      <c r="M21" s="30"/>
      <c r="N21" s="31"/>
      <c r="O21" s="8"/>
      <c r="P21" s="78">
        <v>11</v>
      </c>
      <c r="Q21" s="29"/>
      <c r="R21" s="30"/>
      <c r="S21" s="31"/>
      <c r="T21" s="9"/>
      <c r="U21" s="1"/>
      <c r="V21" s="1"/>
      <c r="W21" s="1"/>
      <c r="X21" s="1"/>
      <c r="Y21" s="1"/>
      <c r="Z21" s="1"/>
      <c r="AA21" s="1"/>
      <c r="AB21" s="1"/>
      <c r="AC21" s="1"/>
      <c r="AD21" s="1"/>
    </row>
    <row r="22" spans="1:30" ht="13.8">
      <c r="A22" s="39"/>
      <c r="B22" s="39"/>
      <c r="C22" s="39"/>
      <c r="D22" s="39"/>
      <c r="E22" s="39"/>
      <c r="F22" s="39"/>
      <c r="G22" s="39"/>
      <c r="H22" s="39"/>
      <c r="I22" s="1"/>
      <c r="J22" s="7"/>
      <c r="K22" s="78">
        <v>12</v>
      </c>
      <c r="L22" s="29"/>
      <c r="M22" s="30"/>
      <c r="N22" s="31"/>
      <c r="O22" s="8"/>
      <c r="P22" s="78">
        <v>12</v>
      </c>
      <c r="Q22" s="29"/>
      <c r="R22" s="30"/>
      <c r="S22" s="31"/>
      <c r="T22" s="9"/>
      <c r="U22" s="1"/>
      <c r="V22" s="1"/>
      <c r="W22" s="1"/>
      <c r="X22" s="1"/>
      <c r="Y22" s="1"/>
      <c r="Z22" s="1"/>
      <c r="AA22" s="1"/>
      <c r="AB22" s="1"/>
      <c r="AC22" s="1"/>
      <c r="AD22" s="1"/>
    </row>
    <row r="23" spans="1:30" ht="13.8">
      <c r="A23" s="1"/>
      <c r="B23" s="278" t="s">
        <v>111</v>
      </c>
      <c r="C23" s="279"/>
      <c r="D23" s="279"/>
      <c r="E23" s="279"/>
      <c r="F23" s="279"/>
      <c r="G23" s="279"/>
      <c r="H23" s="280"/>
      <c r="I23" s="1"/>
      <c r="J23" s="7"/>
      <c r="K23" s="78">
        <v>13</v>
      </c>
      <c r="L23" s="29"/>
      <c r="M23" s="30"/>
      <c r="N23" s="31"/>
      <c r="O23" s="8"/>
      <c r="P23" s="78">
        <v>13</v>
      </c>
      <c r="Q23" s="29"/>
      <c r="R23" s="30"/>
      <c r="S23" s="31"/>
      <c r="T23" s="9"/>
      <c r="U23" s="1"/>
      <c r="V23" s="1"/>
      <c r="W23" s="1"/>
      <c r="X23" s="1"/>
      <c r="Y23" s="1"/>
      <c r="Z23" s="1"/>
      <c r="AA23" s="1"/>
      <c r="AB23" s="1"/>
      <c r="AC23" s="1"/>
      <c r="AD23" s="1"/>
    </row>
    <row r="24" spans="1:30" ht="13.8">
      <c r="A24" s="1"/>
      <c r="B24" s="281"/>
      <c r="C24" s="282"/>
      <c r="D24" s="282"/>
      <c r="E24" s="282"/>
      <c r="F24" s="282"/>
      <c r="G24" s="282"/>
      <c r="H24" s="283"/>
      <c r="I24" s="1"/>
      <c r="J24" s="7"/>
      <c r="K24" s="78">
        <v>14</v>
      </c>
      <c r="L24" s="29"/>
      <c r="M24" s="30"/>
      <c r="N24" s="31"/>
      <c r="O24" s="8"/>
      <c r="P24" s="78">
        <v>14</v>
      </c>
      <c r="Q24" s="29"/>
      <c r="R24" s="30"/>
      <c r="S24" s="31"/>
      <c r="T24" s="9"/>
      <c r="U24" s="1"/>
      <c r="V24" s="1"/>
      <c r="W24" s="1"/>
      <c r="X24" s="1"/>
      <c r="Y24" s="1"/>
      <c r="Z24" s="1"/>
      <c r="AA24" s="1"/>
      <c r="AB24" s="1"/>
      <c r="AC24" s="1"/>
      <c r="AD24" s="1"/>
    </row>
    <row r="25" spans="1:30" ht="13.8">
      <c r="A25" s="1"/>
      <c r="B25" s="7"/>
      <c r="C25" s="40"/>
      <c r="D25" s="40"/>
      <c r="E25" s="40"/>
      <c r="F25" s="40"/>
      <c r="G25" s="40"/>
      <c r="H25" s="9"/>
      <c r="I25" s="1"/>
      <c r="J25" s="7"/>
      <c r="K25" s="78">
        <v>15</v>
      </c>
      <c r="L25" s="29"/>
      <c r="M25" s="30"/>
      <c r="N25" s="31"/>
      <c r="O25" s="8"/>
      <c r="P25" s="78">
        <v>15</v>
      </c>
      <c r="Q25" s="29"/>
      <c r="R25" s="30"/>
      <c r="S25" s="31"/>
      <c r="T25" s="9"/>
      <c r="U25" s="1"/>
      <c r="V25" s="1"/>
      <c r="W25" s="1"/>
      <c r="X25" s="1"/>
      <c r="Y25" s="1"/>
      <c r="Z25" s="1"/>
      <c r="AA25" s="1"/>
      <c r="AB25" s="1"/>
      <c r="AC25" s="1"/>
      <c r="AD25" s="1"/>
    </row>
    <row r="26" spans="1:30" ht="13.8">
      <c r="A26" s="1"/>
      <c r="B26" s="41"/>
      <c r="C26" s="132" t="s">
        <v>18</v>
      </c>
      <c r="D26" s="42"/>
      <c r="E26" s="43" t="s">
        <v>9</v>
      </c>
      <c r="F26" s="273"/>
      <c r="G26" s="274"/>
      <c r="H26" s="44"/>
      <c r="I26" s="1"/>
      <c r="J26" s="7"/>
      <c r="K26" s="78">
        <v>16</v>
      </c>
      <c r="L26" s="29"/>
      <c r="M26" s="30"/>
      <c r="N26" s="31"/>
      <c r="O26" s="8"/>
      <c r="P26" s="78">
        <v>16</v>
      </c>
      <c r="Q26" s="29"/>
      <c r="R26" s="30"/>
      <c r="S26" s="31"/>
      <c r="T26" s="9"/>
      <c r="U26" s="1"/>
      <c r="V26" s="1"/>
      <c r="W26" s="1"/>
      <c r="X26" s="1"/>
      <c r="Y26" s="1"/>
      <c r="Z26" s="1"/>
      <c r="AA26" s="1"/>
      <c r="AB26" s="1"/>
      <c r="AC26" s="1"/>
      <c r="AD26" s="1"/>
    </row>
    <row r="27" spans="1:30" ht="14.4">
      <c r="A27" s="1"/>
      <c r="B27" s="41"/>
      <c r="C27" s="276" t="s">
        <v>16</v>
      </c>
      <c r="D27" s="277"/>
      <c r="E27" s="45" t="s">
        <v>9</v>
      </c>
      <c r="F27" s="103"/>
      <c r="G27" s="102" t="s">
        <v>135</v>
      </c>
      <c r="H27" s="44"/>
      <c r="I27" s="1"/>
      <c r="J27" s="7"/>
      <c r="K27" s="78">
        <v>17</v>
      </c>
      <c r="L27" s="29"/>
      <c r="M27" s="30"/>
      <c r="N27" s="31"/>
      <c r="O27" s="8"/>
      <c r="P27" s="78">
        <v>17</v>
      </c>
      <c r="Q27" s="29"/>
      <c r="R27" s="30"/>
      <c r="S27" s="31"/>
      <c r="T27" s="9"/>
      <c r="U27" s="1"/>
      <c r="V27" s="1"/>
      <c r="W27" s="1"/>
      <c r="X27" s="1"/>
      <c r="Y27" s="1"/>
      <c r="Z27" s="1"/>
      <c r="AA27" s="1"/>
      <c r="AB27" s="1"/>
      <c r="AC27" s="1"/>
      <c r="AD27" s="1"/>
    </row>
    <row r="28" spans="1:30" ht="13.8">
      <c r="A28" s="1"/>
      <c r="B28" s="41"/>
      <c r="C28" s="261" t="s">
        <v>143</v>
      </c>
      <c r="D28" s="47"/>
      <c r="E28" s="48" t="s">
        <v>9</v>
      </c>
      <c r="F28" s="273"/>
      <c r="G28" s="274"/>
      <c r="H28" s="44"/>
      <c r="I28" s="1"/>
      <c r="J28" s="7"/>
      <c r="K28" s="78">
        <v>18</v>
      </c>
      <c r="L28" s="29"/>
      <c r="M28" s="30"/>
      <c r="N28" s="31"/>
      <c r="O28" s="8"/>
      <c r="P28" s="78">
        <v>18</v>
      </c>
      <c r="Q28" s="29"/>
      <c r="R28" s="30"/>
      <c r="S28" s="31"/>
      <c r="T28" s="9"/>
      <c r="U28" s="1"/>
      <c r="V28" s="1"/>
      <c r="W28" s="1"/>
      <c r="X28" s="1"/>
      <c r="Y28" s="1"/>
      <c r="Z28" s="1"/>
      <c r="AA28" s="1"/>
      <c r="AB28" s="1"/>
      <c r="AC28" s="1"/>
      <c r="AD28" s="1"/>
    </row>
    <row r="29" spans="1:30" ht="13.8">
      <c r="A29" s="1"/>
      <c r="B29" s="7"/>
      <c r="C29" s="46" t="s">
        <v>20</v>
      </c>
      <c r="D29" s="47"/>
      <c r="E29" s="48" t="s">
        <v>9</v>
      </c>
      <c r="F29" s="273"/>
      <c r="G29" s="274"/>
      <c r="H29" s="9"/>
      <c r="I29" s="1"/>
      <c r="J29" s="7"/>
      <c r="K29" s="78">
        <v>19</v>
      </c>
      <c r="L29" s="29"/>
      <c r="M29" s="30"/>
      <c r="N29" s="31"/>
      <c r="O29" s="8"/>
      <c r="P29" s="78">
        <v>19</v>
      </c>
      <c r="Q29" s="29"/>
      <c r="R29" s="30"/>
      <c r="S29" s="31"/>
      <c r="T29" s="9"/>
      <c r="U29" s="1"/>
      <c r="V29" s="1"/>
      <c r="W29" s="1"/>
      <c r="X29" s="1"/>
      <c r="Y29" s="1"/>
      <c r="Z29" s="1"/>
      <c r="AA29" s="1"/>
      <c r="AB29" s="1"/>
      <c r="AC29" s="1"/>
      <c r="AD29" s="1"/>
    </row>
    <row r="30" spans="1:30" ht="13.8">
      <c r="A30" s="1"/>
      <c r="B30" s="257"/>
      <c r="C30" s="254"/>
      <c r="D30" s="255"/>
      <c r="E30" s="255"/>
      <c r="F30" s="255"/>
      <c r="G30" s="256"/>
      <c r="H30" s="258"/>
      <c r="I30" s="1"/>
      <c r="J30" s="7"/>
      <c r="K30" s="78">
        <v>20</v>
      </c>
      <c r="L30" s="29"/>
      <c r="M30" s="30"/>
      <c r="N30" s="31"/>
      <c r="O30" s="8"/>
      <c r="P30" s="78">
        <v>20</v>
      </c>
      <c r="Q30" s="29"/>
      <c r="R30" s="30"/>
      <c r="S30" s="31"/>
      <c r="T30" s="9"/>
      <c r="U30" s="1"/>
      <c r="V30" s="1"/>
      <c r="W30" s="1"/>
      <c r="X30" s="1"/>
      <c r="Y30" s="1"/>
      <c r="Z30" s="1"/>
      <c r="AA30" s="1"/>
      <c r="AB30" s="1"/>
      <c r="AC30" s="1"/>
      <c r="AD30" s="1"/>
    </row>
    <row r="31" spans="1:30" ht="15.75" customHeight="1">
      <c r="A31" s="1"/>
      <c r="B31" s="257"/>
      <c r="C31" s="275" t="s">
        <v>112</v>
      </c>
      <c r="D31" s="275"/>
      <c r="E31" s="275"/>
      <c r="F31" s="275"/>
      <c r="G31" s="275"/>
      <c r="H31" s="258"/>
      <c r="I31" s="1"/>
      <c r="J31" s="7"/>
      <c r="K31" s="78">
        <v>21</v>
      </c>
      <c r="L31" s="29"/>
      <c r="M31" s="30"/>
      <c r="N31" s="31"/>
      <c r="O31" s="8"/>
      <c r="P31" s="78">
        <v>21</v>
      </c>
      <c r="Q31" s="29"/>
      <c r="R31" s="30"/>
      <c r="S31" s="31"/>
      <c r="T31" s="9"/>
      <c r="U31" s="1"/>
      <c r="V31" s="1"/>
      <c r="W31" s="1"/>
      <c r="X31" s="1"/>
      <c r="Y31" s="1"/>
      <c r="Z31" s="1"/>
      <c r="AA31" s="1"/>
      <c r="AB31" s="1"/>
      <c r="AC31" s="1"/>
      <c r="AD31" s="1"/>
    </row>
    <row r="32" spans="1:30" ht="13.8">
      <c r="A32" s="1"/>
      <c r="B32" s="257"/>
      <c r="C32" s="275"/>
      <c r="D32" s="275"/>
      <c r="E32" s="275"/>
      <c r="F32" s="275"/>
      <c r="G32" s="275"/>
      <c r="H32" s="258"/>
      <c r="I32" s="1"/>
      <c r="J32" s="7"/>
      <c r="K32" s="78">
        <v>22</v>
      </c>
      <c r="L32" s="29"/>
      <c r="M32" s="30"/>
      <c r="N32" s="31"/>
      <c r="O32" s="8"/>
      <c r="P32" s="78">
        <v>22</v>
      </c>
      <c r="Q32" s="29"/>
      <c r="R32" s="30"/>
      <c r="S32" s="31"/>
      <c r="T32" s="9"/>
      <c r="U32" s="1"/>
      <c r="V32" s="1"/>
      <c r="W32" s="1"/>
      <c r="X32" s="1"/>
      <c r="Y32" s="1"/>
      <c r="Z32" s="1"/>
      <c r="AA32" s="1"/>
      <c r="AB32" s="1"/>
      <c r="AC32" s="1"/>
      <c r="AD32" s="1"/>
    </row>
    <row r="33" spans="1:30" ht="13.8" customHeight="1">
      <c r="A33" s="1"/>
      <c r="B33" s="259"/>
      <c r="C33" s="275"/>
      <c r="D33" s="275"/>
      <c r="E33" s="275"/>
      <c r="F33" s="275"/>
      <c r="G33" s="275"/>
      <c r="H33" s="260"/>
      <c r="I33" s="1"/>
      <c r="J33" s="7"/>
      <c r="K33" s="78">
        <v>23</v>
      </c>
      <c r="L33" s="29"/>
      <c r="M33" s="30"/>
      <c r="N33" s="31"/>
      <c r="O33" s="8"/>
      <c r="P33" s="78">
        <v>23</v>
      </c>
      <c r="Q33" s="29"/>
      <c r="R33" s="30"/>
      <c r="S33" s="31"/>
      <c r="T33" s="9"/>
      <c r="U33" s="1"/>
      <c r="V33" s="1"/>
      <c r="W33" s="1"/>
      <c r="X33" s="1"/>
      <c r="Y33" s="1"/>
      <c r="Z33" s="1"/>
      <c r="AA33" s="1"/>
      <c r="AB33" s="1"/>
      <c r="AC33" s="1"/>
      <c r="AD33" s="1"/>
    </row>
    <row r="34" spans="1:30" ht="13.8">
      <c r="A34" s="1"/>
      <c r="B34" s="259"/>
      <c r="C34" s="275"/>
      <c r="D34" s="275"/>
      <c r="E34" s="275"/>
      <c r="F34" s="275"/>
      <c r="G34" s="275"/>
      <c r="H34" s="260"/>
      <c r="I34" s="1"/>
      <c r="J34" s="7"/>
      <c r="K34" s="78">
        <v>24</v>
      </c>
      <c r="L34" s="29"/>
      <c r="M34" s="30"/>
      <c r="N34" s="31"/>
      <c r="O34" s="8"/>
      <c r="P34" s="78">
        <v>24</v>
      </c>
      <c r="Q34" s="29"/>
      <c r="R34" s="30"/>
      <c r="S34" s="31"/>
      <c r="T34" s="9"/>
      <c r="U34" s="1"/>
      <c r="V34" s="1"/>
      <c r="W34" s="1"/>
      <c r="X34" s="1"/>
      <c r="Y34" s="1"/>
      <c r="Z34" s="1"/>
      <c r="AA34" s="1"/>
      <c r="AB34" s="1"/>
      <c r="AC34" s="1"/>
      <c r="AD34" s="1"/>
    </row>
    <row r="35" spans="1:30" ht="14.4" thickBot="1">
      <c r="A35" s="1"/>
      <c r="B35" s="262"/>
      <c r="C35" s="263"/>
      <c r="D35" s="263"/>
      <c r="E35" s="263"/>
      <c r="F35" s="263"/>
      <c r="G35" s="263"/>
      <c r="H35" s="264"/>
      <c r="I35" s="1"/>
      <c r="J35" s="7"/>
      <c r="K35" s="78">
        <v>25</v>
      </c>
      <c r="L35" s="29"/>
      <c r="M35" s="30"/>
      <c r="N35" s="31"/>
      <c r="O35" s="8"/>
      <c r="P35" s="78">
        <v>25</v>
      </c>
      <c r="Q35" s="29"/>
      <c r="R35" s="30"/>
      <c r="S35" s="31"/>
      <c r="T35" s="9"/>
      <c r="U35" s="1"/>
      <c r="V35" s="1"/>
      <c r="W35" s="1"/>
      <c r="X35" s="1"/>
      <c r="Y35" s="1"/>
      <c r="Z35" s="1"/>
      <c r="AA35" s="1"/>
      <c r="AB35" s="1"/>
      <c r="AC35" s="1"/>
      <c r="AD35" s="1"/>
    </row>
    <row r="36" spans="1:30" ht="13.8">
      <c r="A36" s="1"/>
      <c r="B36" s="1"/>
      <c r="C36" s="1"/>
      <c r="D36" s="1"/>
      <c r="E36" s="1"/>
      <c r="F36" s="1"/>
      <c r="G36" s="1"/>
      <c r="H36" s="1"/>
      <c r="I36" s="1"/>
      <c r="J36" s="7"/>
      <c r="K36" s="78">
        <v>26</v>
      </c>
      <c r="L36" s="29"/>
      <c r="M36" s="30"/>
      <c r="N36" s="31"/>
      <c r="O36" s="8"/>
      <c r="P36" s="78">
        <v>26</v>
      </c>
      <c r="Q36" s="29"/>
      <c r="R36" s="30"/>
      <c r="S36" s="31"/>
      <c r="T36" s="9"/>
      <c r="U36" s="1"/>
      <c r="V36" s="1"/>
      <c r="W36" s="1"/>
      <c r="X36" s="1"/>
      <c r="Y36" s="1"/>
      <c r="Z36" s="1"/>
      <c r="AA36" s="1"/>
      <c r="AB36" s="1"/>
      <c r="AC36" s="1"/>
      <c r="AD36" s="1"/>
    </row>
    <row r="37" spans="1:30" ht="13.8">
      <c r="A37" s="1"/>
      <c r="B37" s="1"/>
      <c r="C37" s="1"/>
      <c r="D37" s="1"/>
      <c r="E37" s="1"/>
      <c r="F37" s="1"/>
      <c r="G37" s="1"/>
      <c r="H37" s="1"/>
      <c r="I37" s="1"/>
      <c r="J37" s="7"/>
      <c r="K37" s="78">
        <v>27</v>
      </c>
      <c r="L37" s="29"/>
      <c r="M37" s="30"/>
      <c r="N37" s="31"/>
      <c r="O37" s="8"/>
      <c r="P37" s="78">
        <v>27</v>
      </c>
      <c r="Q37" s="29"/>
      <c r="R37" s="30"/>
      <c r="S37" s="31"/>
      <c r="T37" s="9"/>
      <c r="U37" s="1"/>
      <c r="V37" s="1"/>
      <c r="W37" s="1"/>
      <c r="X37" s="1"/>
      <c r="Y37" s="1"/>
      <c r="Z37" s="1"/>
      <c r="AA37" s="1"/>
      <c r="AB37" s="1"/>
      <c r="AC37" s="1"/>
      <c r="AD37" s="1"/>
    </row>
    <row r="38" spans="1:30" ht="13.8">
      <c r="A38" s="1"/>
      <c r="B38" s="1"/>
      <c r="C38" s="1"/>
      <c r="D38" s="1"/>
      <c r="E38" s="1"/>
      <c r="F38" s="1"/>
      <c r="G38" s="1"/>
      <c r="H38" s="1"/>
      <c r="I38" s="1"/>
      <c r="J38" s="7"/>
      <c r="K38" s="78">
        <v>28</v>
      </c>
      <c r="L38" s="29"/>
      <c r="M38" s="30"/>
      <c r="N38" s="31"/>
      <c r="O38" s="8"/>
      <c r="P38" s="78">
        <v>28</v>
      </c>
      <c r="Q38" s="29"/>
      <c r="R38" s="30"/>
      <c r="S38" s="31"/>
      <c r="T38" s="9"/>
      <c r="U38" s="1"/>
      <c r="V38" s="1"/>
      <c r="W38" s="1"/>
      <c r="X38" s="1"/>
      <c r="Y38" s="1"/>
      <c r="Z38" s="1"/>
      <c r="AA38" s="1"/>
      <c r="AB38" s="1"/>
      <c r="AC38" s="1"/>
      <c r="AD38" s="1"/>
    </row>
    <row r="39" spans="1:30" ht="13.8">
      <c r="A39" s="1"/>
      <c r="B39" s="1"/>
      <c r="C39" s="1"/>
      <c r="D39" s="1"/>
      <c r="E39" s="1"/>
      <c r="F39" s="1"/>
      <c r="G39" s="1"/>
      <c r="H39" s="1"/>
      <c r="I39" s="1"/>
      <c r="J39" s="7"/>
      <c r="K39" s="78">
        <v>29</v>
      </c>
      <c r="L39" s="29"/>
      <c r="M39" s="30"/>
      <c r="N39" s="31"/>
      <c r="O39" s="8"/>
      <c r="P39" s="78">
        <v>29</v>
      </c>
      <c r="Q39" s="29"/>
      <c r="R39" s="30"/>
      <c r="S39" s="31"/>
      <c r="T39" s="9"/>
      <c r="U39" s="1"/>
      <c r="V39" s="1"/>
      <c r="W39" s="1"/>
      <c r="X39" s="1"/>
      <c r="Y39" s="1"/>
      <c r="Z39" s="1"/>
      <c r="AA39" s="1"/>
      <c r="AB39" s="1"/>
      <c r="AC39" s="1"/>
      <c r="AD39" s="1"/>
    </row>
    <row r="40" spans="1:30" ht="13.8">
      <c r="A40" s="1"/>
      <c r="B40" s="1"/>
      <c r="C40" s="1"/>
      <c r="D40" s="1"/>
      <c r="E40" s="1"/>
      <c r="F40" s="1"/>
      <c r="G40" s="1"/>
      <c r="H40" s="1"/>
      <c r="I40" s="1"/>
      <c r="J40" s="7"/>
      <c r="K40" s="78">
        <v>30</v>
      </c>
      <c r="L40" s="29"/>
      <c r="M40" s="30"/>
      <c r="N40" s="31"/>
      <c r="O40" s="8"/>
      <c r="P40" s="78">
        <v>30</v>
      </c>
      <c r="Q40" s="29"/>
      <c r="R40" s="30"/>
      <c r="S40" s="31"/>
      <c r="T40" s="9"/>
      <c r="U40" s="1"/>
      <c r="V40" s="1"/>
      <c r="W40" s="1"/>
      <c r="X40" s="1"/>
      <c r="Y40" s="1"/>
      <c r="Z40" s="1"/>
      <c r="AA40" s="1"/>
      <c r="AB40" s="1"/>
      <c r="AC40" s="1"/>
      <c r="AD40" s="1"/>
    </row>
    <row r="41" spans="1:30" ht="13.8">
      <c r="A41" s="1"/>
      <c r="B41" s="1"/>
      <c r="C41" s="1"/>
      <c r="D41" s="1"/>
      <c r="E41" s="1"/>
      <c r="F41" s="1"/>
      <c r="G41" s="1"/>
      <c r="H41" s="1"/>
      <c r="I41" s="1"/>
      <c r="J41" s="7"/>
      <c r="K41" s="78">
        <v>31</v>
      </c>
      <c r="L41" s="29"/>
      <c r="M41" s="30"/>
      <c r="N41" s="31"/>
      <c r="O41" s="8"/>
      <c r="P41" s="78">
        <v>31</v>
      </c>
      <c r="Q41" s="29"/>
      <c r="R41" s="30"/>
      <c r="S41" s="31"/>
      <c r="T41" s="9"/>
      <c r="U41" s="1"/>
      <c r="V41" s="1"/>
      <c r="W41" s="1"/>
      <c r="X41" s="1"/>
      <c r="Y41" s="1"/>
      <c r="Z41" s="1"/>
      <c r="AA41" s="1"/>
      <c r="AB41" s="1"/>
      <c r="AC41" s="1"/>
      <c r="AD41" s="1"/>
    </row>
    <row r="42" spans="1:30" ht="13.8">
      <c r="A42" s="1"/>
      <c r="B42" s="1"/>
      <c r="C42" s="1"/>
      <c r="D42" s="1"/>
      <c r="E42" s="1"/>
      <c r="F42" s="1"/>
      <c r="G42" s="1"/>
      <c r="H42" s="1"/>
      <c r="I42" s="1"/>
      <c r="J42" s="7"/>
      <c r="K42" s="78">
        <v>32</v>
      </c>
      <c r="L42" s="29"/>
      <c r="M42" s="30"/>
      <c r="N42" s="31"/>
      <c r="O42" s="8"/>
      <c r="P42" s="78">
        <v>32</v>
      </c>
      <c r="Q42" s="29"/>
      <c r="R42" s="30"/>
      <c r="S42" s="31"/>
      <c r="T42" s="9"/>
      <c r="U42" s="1"/>
      <c r="V42" s="1"/>
      <c r="W42" s="1"/>
      <c r="X42" s="1"/>
      <c r="Y42" s="1"/>
      <c r="Z42" s="1"/>
      <c r="AA42" s="1"/>
      <c r="AB42" s="1"/>
      <c r="AC42" s="1"/>
      <c r="AD42" s="1"/>
    </row>
    <row r="43" spans="1:30" ht="13.8">
      <c r="A43" s="1"/>
      <c r="B43" s="1"/>
      <c r="C43" s="1"/>
      <c r="D43" s="1"/>
      <c r="E43" s="1"/>
      <c r="F43" s="1"/>
      <c r="G43" s="1"/>
      <c r="H43" s="1"/>
      <c r="I43" s="1"/>
      <c r="J43" s="7"/>
      <c r="K43" s="78">
        <v>33</v>
      </c>
      <c r="L43" s="29"/>
      <c r="M43" s="30"/>
      <c r="N43" s="31"/>
      <c r="O43" s="8"/>
      <c r="P43" s="78">
        <v>33</v>
      </c>
      <c r="Q43" s="29"/>
      <c r="R43" s="30"/>
      <c r="S43" s="31"/>
      <c r="T43" s="9"/>
      <c r="U43" s="1"/>
      <c r="V43" s="1"/>
      <c r="W43" s="1"/>
      <c r="X43" s="1"/>
      <c r="Y43" s="1"/>
      <c r="Z43" s="1"/>
      <c r="AA43" s="1"/>
      <c r="AB43" s="1"/>
      <c r="AC43" s="1"/>
      <c r="AD43" s="1"/>
    </row>
    <row r="44" spans="1:30" ht="13.8">
      <c r="A44" s="1"/>
      <c r="B44" s="1"/>
      <c r="C44" s="1"/>
      <c r="D44" s="1"/>
      <c r="E44" s="1"/>
      <c r="F44" s="1"/>
      <c r="G44" s="1"/>
      <c r="H44" s="1"/>
      <c r="I44" s="1"/>
      <c r="J44" s="7"/>
      <c r="K44" s="78">
        <v>34</v>
      </c>
      <c r="L44" s="29"/>
      <c r="M44" s="30"/>
      <c r="N44" s="31"/>
      <c r="O44" s="8"/>
      <c r="P44" s="78">
        <v>34</v>
      </c>
      <c r="Q44" s="29"/>
      <c r="R44" s="30"/>
      <c r="S44" s="31"/>
      <c r="T44" s="9"/>
      <c r="U44" s="1"/>
      <c r="V44" s="1"/>
      <c r="W44" s="1"/>
      <c r="X44" s="1"/>
      <c r="Y44" s="1"/>
      <c r="Z44" s="1"/>
      <c r="AA44" s="1"/>
      <c r="AB44" s="1"/>
      <c r="AC44" s="1"/>
      <c r="AD44" s="1"/>
    </row>
    <row r="45" spans="1:30" ht="13.8">
      <c r="A45" s="1"/>
      <c r="B45" s="1"/>
      <c r="C45" s="1"/>
      <c r="D45" s="1"/>
      <c r="E45" s="1"/>
      <c r="F45" s="1"/>
      <c r="G45" s="1"/>
      <c r="H45" s="1"/>
      <c r="I45" s="1"/>
      <c r="J45" s="7"/>
      <c r="K45" s="78">
        <v>35</v>
      </c>
      <c r="L45" s="29"/>
      <c r="M45" s="30"/>
      <c r="N45" s="31"/>
      <c r="O45" s="8"/>
      <c r="P45" s="78">
        <v>35</v>
      </c>
      <c r="Q45" s="29"/>
      <c r="R45" s="30"/>
      <c r="S45" s="31"/>
      <c r="T45" s="9"/>
      <c r="U45" s="1"/>
      <c r="V45" s="1"/>
      <c r="W45" s="1"/>
      <c r="X45" s="1"/>
      <c r="Y45" s="1"/>
      <c r="Z45" s="1"/>
      <c r="AA45" s="1"/>
      <c r="AB45" s="1"/>
      <c r="AC45" s="1"/>
      <c r="AD45" s="1"/>
    </row>
    <row r="46" spans="1:30" ht="13.8">
      <c r="A46" s="1"/>
      <c r="B46" s="1"/>
      <c r="C46" s="1"/>
      <c r="D46" s="1"/>
      <c r="E46" s="1"/>
      <c r="F46" s="1"/>
      <c r="G46" s="1"/>
      <c r="H46" s="1"/>
      <c r="I46" s="1"/>
      <c r="J46" s="7"/>
      <c r="K46" s="78">
        <v>36</v>
      </c>
      <c r="L46" s="29"/>
      <c r="M46" s="30"/>
      <c r="N46" s="31"/>
      <c r="O46" s="8"/>
      <c r="P46" s="78">
        <v>36</v>
      </c>
      <c r="Q46" s="29"/>
      <c r="R46" s="30"/>
      <c r="S46" s="31"/>
      <c r="T46" s="9"/>
      <c r="U46" s="1"/>
      <c r="V46" s="1"/>
      <c r="W46" s="1"/>
      <c r="X46" s="1"/>
      <c r="Y46" s="1"/>
      <c r="Z46" s="1"/>
      <c r="AA46" s="1"/>
      <c r="AB46" s="1"/>
      <c r="AC46" s="1"/>
      <c r="AD46" s="1"/>
    </row>
    <row r="47" spans="1:30" ht="13.8">
      <c r="A47" s="1"/>
      <c r="B47" s="1"/>
      <c r="C47" s="1"/>
      <c r="D47" s="1"/>
      <c r="E47" s="1"/>
      <c r="F47" s="1"/>
      <c r="G47" s="1"/>
      <c r="H47" s="1"/>
      <c r="I47" s="1"/>
      <c r="J47" s="7"/>
      <c r="K47" s="78">
        <v>37</v>
      </c>
      <c r="L47" s="29"/>
      <c r="M47" s="30"/>
      <c r="N47" s="31"/>
      <c r="O47" s="8"/>
      <c r="P47" s="78">
        <v>37</v>
      </c>
      <c r="Q47" s="29"/>
      <c r="R47" s="30"/>
      <c r="S47" s="31"/>
      <c r="T47" s="9"/>
      <c r="U47" s="1"/>
      <c r="V47" s="1"/>
      <c r="W47" s="1"/>
      <c r="X47" s="1"/>
      <c r="Y47" s="1"/>
      <c r="Z47" s="1"/>
      <c r="AA47" s="1"/>
      <c r="AB47" s="1"/>
      <c r="AC47" s="1"/>
      <c r="AD47" s="1"/>
    </row>
    <row r="48" spans="1:30" ht="13.8">
      <c r="A48" s="1"/>
      <c r="B48" s="1"/>
      <c r="C48" s="1"/>
      <c r="D48" s="1"/>
      <c r="E48" s="1"/>
      <c r="F48" s="1"/>
      <c r="G48" s="1"/>
      <c r="H48" s="1"/>
      <c r="I48" s="1"/>
      <c r="J48" s="7"/>
      <c r="K48" s="78">
        <v>38</v>
      </c>
      <c r="L48" s="29"/>
      <c r="M48" s="30"/>
      <c r="N48" s="31"/>
      <c r="O48" s="8"/>
      <c r="P48" s="78">
        <v>38</v>
      </c>
      <c r="Q48" s="29"/>
      <c r="R48" s="30"/>
      <c r="S48" s="31"/>
      <c r="T48" s="9"/>
      <c r="U48" s="1"/>
      <c r="V48" s="1"/>
      <c r="W48" s="1"/>
      <c r="X48" s="1"/>
      <c r="Y48" s="1"/>
      <c r="Z48" s="1"/>
      <c r="AA48" s="1"/>
      <c r="AB48" s="1"/>
      <c r="AC48" s="1"/>
      <c r="AD48" s="1"/>
    </row>
    <row r="49" spans="1:30" ht="13.8">
      <c r="A49" s="1"/>
      <c r="B49" s="1"/>
      <c r="C49" s="1"/>
      <c r="D49" s="1"/>
      <c r="E49" s="1"/>
      <c r="F49" s="1"/>
      <c r="G49" s="1"/>
      <c r="H49" s="1"/>
      <c r="I49" s="1"/>
      <c r="J49" s="7"/>
      <c r="K49" s="78">
        <v>39</v>
      </c>
      <c r="L49" s="29"/>
      <c r="M49" s="30"/>
      <c r="N49" s="31"/>
      <c r="O49" s="8"/>
      <c r="P49" s="78">
        <v>39</v>
      </c>
      <c r="Q49" s="29"/>
      <c r="R49" s="30"/>
      <c r="S49" s="31"/>
      <c r="T49" s="9"/>
      <c r="U49" s="1"/>
      <c r="V49" s="1"/>
      <c r="W49" s="1"/>
      <c r="X49" s="1"/>
      <c r="Y49" s="1"/>
      <c r="Z49" s="1"/>
      <c r="AA49" s="1"/>
      <c r="AB49" s="1"/>
      <c r="AC49" s="1"/>
      <c r="AD49" s="1"/>
    </row>
    <row r="50" spans="1:30" ht="13.8">
      <c r="A50" s="1"/>
      <c r="B50" s="1"/>
      <c r="C50" s="1"/>
      <c r="D50" s="1"/>
      <c r="E50" s="1"/>
      <c r="F50" s="1"/>
      <c r="G50" s="1"/>
      <c r="H50" s="1"/>
      <c r="I50" s="1"/>
      <c r="J50" s="7"/>
      <c r="K50" s="78">
        <v>40</v>
      </c>
      <c r="L50" s="29"/>
      <c r="M50" s="30"/>
      <c r="N50" s="31"/>
      <c r="O50" s="8"/>
      <c r="P50" s="78">
        <v>40</v>
      </c>
      <c r="Q50" s="29"/>
      <c r="R50" s="30"/>
      <c r="S50" s="31"/>
      <c r="T50" s="9"/>
      <c r="U50" s="1"/>
      <c r="V50" s="1"/>
      <c r="W50" s="1"/>
      <c r="X50" s="1"/>
      <c r="Y50" s="1"/>
      <c r="Z50" s="1"/>
      <c r="AA50" s="1"/>
      <c r="AB50" s="1"/>
      <c r="AC50" s="1"/>
      <c r="AD50" s="1"/>
    </row>
    <row r="51" spans="1:30" ht="13.8">
      <c r="A51" s="1"/>
      <c r="B51" s="1"/>
      <c r="C51" s="1"/>
      <c r="D51" s="1"/>
      <c r="E51" s="1"/>
      <c r="F51" s="1"/>
      <c r="G51" s="1"/>
      <c r="H51" s="1"/>
      <c r="I51" s="1"/>
      <c r="J51" s="7"/>
      <c r="K51" s="78">
        <v>41</v>
      </c>
      <c r="L51" s="29"/>
      <c r="M51" s="30"/>
      <c r="N51" s="31"/>
      <c r="O51" s="8"/>
      <c r="P51" s="78">
        <v>41</v>
      </c>
      <c r="Q51" s="29"/>
      <c r="R51" s="30"/>
      <c r="S51" s="31"/>
      <c r="T51" s="9"/>
      <c r="U51" s="1"/>
      <c r="V51" s="1"/>
      <c r="W51" s="1"/>
      <c r="X51" s="1"/>
      <c r="Y51" s="1"/>
      <c r="Z51" s="1"/>
      <c r="AA51" s="1"/>
      <c r="AB51" s="1"/>
      <c r="AC51" s="1"/>
      <c r="AD51" s="1"/>
    </row>
    <row r="52" spans="1:30" ht="13.8">
      <c r="A52" s="1"/>
      <c r="B52" s="1"/>
      <c r="C52" s="1"/>
      <c r="D52" s="1"/>
      <c r="E52" s="1"/>
      <c r="F52" s="1"/>
      <c r="G52" s="1"/>
      <c r="H52" s="1"/>
      <c r="I52" s="1"/>
      <c r="J52" s="7"/>
      <c r="K52" s="78">
        <v>42</v>
      </c>
      <c r="L52" s="29"/>
      <c r="M52" s="30"/>
      <c r="N52" s="31"/>
      <c r="O52" s="8"/>
      <c r="P52" s="78">
        <v>42</v>
      </c>
      <c r="Q52" s="29"/>
      <c r="R52" s="30"/>
      <c r="S52" s="31"/>
      <c r="T52" s="9"/>
      <c r="U52" s="1"/>
      <c r="V52" s="1"/>
      <c r="W52" s="1"/>
      <c r="X52" s="1"/>
      <c r="Y52" s="1"/>
      <c r="Z52" s="1"/>
      <c r="AA52" s="1"/>
      <c r="AB52" s="1"/>
      <c r="AC52" s="1"/>
      <c r="AD52" s="1"/>
    </row>
    <row r="53" spans="1:30" ht="13.8">
      <c r="A53" s="1"/>
      <c r="B53" s="1"/>
      <c r="C53" s="1"/>
      <c r="D53" s="1"/>
      <c r="E53" s="1"/>
      <c r="F53" s="1"/>
      <c r="G53" s="1"/>
      <c r="H53" s="1"/>
      <c r="I53" s="1"/>
      <c r="J53" s="7"/>
      <c r="K53" s="78">
        <v>43</v>
      </c>
      <c r="L53" s="29"/>
      <c r="M53" s="30"/>
      <c r="N53" s="31"/>
      <c r="O53" s="8"/>
      <c r="P53" s="78">
        <v>43</v>
      </c>
      <c r="Q53" s="29"/>
      <c r="R53" s="30"/>
      <c r="S53" s="31"/>
      <c r="T53" s="9"/>
      <c r="U53" s="1"/>
      <c r="V53" s="1"/>
      <c r="W53" s="1"/>
      <c r="X53" s="1"/>
      <c r="Y53" s="1"/>
      <c r="Z53" s="1"/>
      <c r="AA53" s="1"/>
      <c r="AB53" s="1"/>
      <c r="AC53" s="1"/>
      <c r="AD53" s="1"/>
    </row>
    <row r="54" spans="1:30" ht="13.8">
      <c r="A54" s="1"/>
      <c r="B54" s="1"/>
      <c r="C54" s="1"/>
      <c r="D54" s="1"/>
      <c r="E54" s="1"/>
      <c r="F54" s="1"/>
      <c r="G54" s="1"/>
      <c r="H54" s="1"/>
      <c r="I54" s="1"/>
      <c r="J54" s="7"/>
      <c r="K54" s="78">
        <v>44</v>
      </c>
      <c r="L54" s="29"/>
      <c r="M54" s="30"/>
      <c r="N54" s="31"/>
      <c r="O54" s="8"/>
      <c r="P54" s="78">
        <v>44</v>
      </c>
      <c r="Q54" s="29"/>
      <c r="R54" s="30"/>
      <c r="S54" s="31"/>
      <c r="T54" s="9"/>
      <c r="U54" s="1"/>
      <c r="V54" s="1"/>
      <c r="W54" s="1"/>
      <c r="X54" s="1"/>
      <c r="Y54" s="1"/>
      <c r="Z54" s="1"/>
      <c r="AA54" s="1"/>
      <c r="AB54" s="1"/>
      <c r="AC54" s="1"/>
      <c r="AD54" s="1"/>
    </row>
    <row r="55" spans="1:30" ht="13.8">
      <c r="A55" s="1"/>
      <c r="B55" s="1"/>
      <c r="C55" s="1"/>
      <c r="D55" s="1"/>
      <c r="E55" s="1"/>
      <c r="F55" s="1"/>
      <c r="G55" s="1"/>
      <c r="H55" s="1"/>
      <c r="I55" s="1"/>
      <c r="J55" s="7"/>
      <c r="K55" s="78">
        <v>45</v>
      </c>
      <c r="L55" s="29"/>
      <c r="M55" s="30"/>
      <c r="N55" s="31"/>
      <c r="O55" s="8"/>
      <c r="P55" s="78">
        <v>45</v>
      </c>
      <c r="Q55" s="29"/>
      <c r="R55" s="30"/>
      <c r="S55" s="31"/>
      <c r="T55" s="9"/>
      <c r="U55" s="1"/>
      <c r="V55" s="1"/>
      <c r="W55" s="1"/>
      <c r="X55" s="1"/>
      <c r="Y55" s="1"/>
      <c r="Z55" s="1"/>
      <c r="AA55" s="1"/>
      <c r="AB55" s="1"/>
      <c r="AC55" s="1"/>
      <c r="AD55" s="1"/>
    </row>
    <row r="56" spans="1:30" ht="13.8">
      <c r="A56" s="1"/>
      <c r="B56" s="1"/>
      <c r="C56" s="1"/>
      <c r="D56" s="1"/>
      <c r="E56" s="1"/>
      <c r="F56" s="1"/>
      <c r="G56" s="1"/>
      <c r="H56" s="1"/>
      <c r="I56" s="1"/>
      <c r="J56" s="7"/>
      <c r="K56" s="78">
        <v>46</v>
      </c>
      <c r="L56" s="29"/>
      <c r="M56" s="30"/>
      <c r="N56" s="31"/>
      <c r="O56" s="8"/>
      <c r="P56" s="78">
        <v>46</v>
      </c>
      <c r="Q56" s="29"/>
      <c r="R56" s="30"/>
      <c r="S56" s="31"/>
      <c r="T56" s="9"/>
      <c r="U56" s="1"/>
      <c r="V56" s="1"/>
      <c r="W56" s="1"/>
      <c r="X56" s="1"/>
      <c r="Y56" s="1"/>
      <c r="Z56" s="1"/>
      <c r="AA56" s="1"/>
      <c r="AB56" s="1"/>
      <c r="AC56" s="1"/>
      <c r="AD56" s="1"/>
    </row>
    <row r="57" spans="1:30" ht="13.8">
      <c r="A57" s="1"/>
      <c r="B57" s="1"/>
      <c r="C57" s="1"/>
      <c r="D57" s="1"/>
      <c r="E57" s="1"/>
      <c r="F57" s="1"/>
      <c r="G57" s="1"/>
      <c r="H57" s="1"/>
      <c r="I57" s="1"/>
      <c r="J57" s="7"/>
      <c r="K57" s="78">
        <v>47</v>
      </c>
      <c r="L57" s="29"/>
      <c r="M57" s="30"/>
      <c r="N57" s="31"/>
      <c r="O57" s="8"/>
      <c r="P57" s="78">
        <v>47</v>
      </c>
      <c r="Q57" s="29"/>
      <c r="R57" s="30"/>
      <c r="S57" s="31"/>
      <c r="T57" s="9"/>
      <c r="U57" s="1"/>
      <c r="V57" s="1"/>
      <c r="W57" s="1"/>
      <c r="X57" s="1"/>
      <c r="Y57" s="1"/>
      <c r="Z57" s="1"/>
      <c r="AA57" s="1"/>
      <c r="AB57" s="1"/>
      <c r="AC57" s="1"/>
      <c r="AD57" s="1"/>
    </row>
    <row r="58" spans="1:30" ht="13.8">
      <c r="A58" s="1"/>
      <c r="B58" s="1"/>
      <c r="C58" s="1"/>
      <c r="D58" s="1"/>
      <c r="E58" s="1"/>
      <c r="F58" s="1"/>
      <c r="G58" s="1"/>
      <c r="H58" s="1"/>
      <c r="I58" s="1"/>
      <c r="J58" s="7"/>
      <c r="K58" s="78">
        <v>48</v>
      </c>
      <c r="L58" s="29"/>
      <c r="M58" s="30"/>
      <c r="N58" s="31"/>
      <c r="O58" s="8"/>
      <c r="P58" s="78">
        <v>48</v>
      </c>
      <c r="Q58" s="29"/>
      <c r="R58" s="30"/>
      <c r="S58" s="31"/>
      <c r="T58" s="9"/>
      <c r="U58" s="1"/>
      <c r="V58" s="1"/>
      <c r="W58" s="1"/>
      <c r="X58" s="1"/>
      <c r="Y58" s="1"/>
      <c r="Z58" s="1"/>
      <c r="AA58" s="1"/>
      <c r="AB58" s="1"/>
      <c r="AC58" s="1"/>
      <c r="AD58" s="1"/>
    </row>
    <row r="59" spans="1:30" ht="13.8">
      <c r="A59" s="1"/>
      <c r="B59" s="1"/>
      <c r="C59" s="1"/>
      <c r="D59" s="1"/>
      <c r="E59" s="1"/>
      <c r="F59" s="1"/>
      <c r="G59" s="1"/>
      <c r="H59" s="1"/>
      <c r="I59" s="1"/>
      <c r="J59" s="7"/>
      <c r="K59" s="78">
        <v>49</v>
      </c>
      <c r="L59" s="29"/>
      <c r="M59" s="30"/>
      <c r="N59" s="31"/>
      <c r="O59" s="8"/>
      <c r="P59" s="78">
        <v>49</v>
      </c>
      <c r="Q59" s="29"/>
      <c r="R59" s="30"/>
      <c r="S59" s="31"/>
      <c r="T59" s="9"/>
      <c r="U59" s="1"/>
      <c r="V59" s="1"/>
      <c r="W59" s="1"/>
      <c r="X59" s="1"/>
      <c r="Y59" s="1"/>
      <c r="Z59" s="1"/>
      <c r="AA59" s="1"/>
      <c r="AB59" s="1"/>
      <c r="AC59" s="1"/>
      <c r="AD59" s="1"/>
    </row>
    <row r="60" spans="1:30" ht="13.8">
      <c r="A60" s="1"/>
      <c r="B60" s="1"/>
      <c r="C60" s="1"/>
      <c r="D60" s="1"/>
      <c r="E60" s="1"/>
      <c r="F60" s="1"/>
      <c r="G60" s="1"/>
      <c r="H60" s="1"/>
      <c r="I60" s="1"/>
      <c r="J60" s="7"/>
      <c r="K60" s="78">
        <v>50</v>
      </c>
      <c r="L60" s="29"/>
      <c r="M60" s="30"/>
      <c r="N60" s="31"/>
      <c r="O60" s="8"/>
      <c r="P60" s="78">
        <v>50</v>
      </c>
      <c r="Q60" s="29"/>
      <c r="R60" s="30"/>
      <c r="S60" s="31"/>
      <c r="T60" s="9"/>
      <c r="U60" s="1"/>
      <c r="V60" s="1"/>
      <c r="W60" s="1"/>
      <c r="X60" s="1"/>
      <c r="Y60" s="1"/>
      <c r="Z60" s="1"/>
      <c r="AA60" s="1"/>
      <c r="AB60" s="1"/>
      <c r="AC60" s="1"/>
      <c r="AD60" s="1"/>
    </row>
    <row r="61" spans="1:30" ht="13.8">
      <c r="A61" s="1"/>
      <c r="B61" s="1"/>
      <c r="C61" s="1"/>
      <c r="D61" s="1"/>
      <c r="E61" s="1"/>
      <c r="F61" s="1"/>
      <c r="G61" s="1"/>
      <c r="H61" s="1"/>
      <c r="I61" s="1"/>
      <c r="J61" s="36"/>
      <c r="K61" s="37"/>
      <c r="L61" s="37"/>
      <c r="M61" s="37"/>
      <c r="N61" s="37"/>
      <c r="O61" s="37"/>
      <c r="P61" s="37"/>
      <c r="Q61" s="37"/>
      <c r="R61" s="49"/>
      <c r="S61" s="49"/>
      <c r="T61" s="38"/>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50" t="s">
        <v>29</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39"/>
      <c r="C986" s="39"/>
      <c r="D986" s="39"/>
      <c r="E986" s="39"/>
      <c r="F986" s="39"/>
      <c r="G986" s="39"/>
      <c r="H986" s="39"/>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39"/>
      <c r="C987" s="39"/>
      <c r="D987" s="39"/>
      <c r="E987" s="39"/>
      <c r="F987" s="39"/>
      <c r="G987" s="39"/>
      <c r="H987" s="39"/>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39"/>
      <c r="C988" s="39"/>
      <c r="D988" s="39"/>
      <c r="E988" s="39"/>
      <c r="F988" s="39"/>
      <c r="G988" s="39"/>
      <c r="H988" s="39"/>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39"/>
      <c r="C989" s="39"/>
      <c r="D989" s="39"/>
      <c r="E989" s="39"/>
      <c r="F989" s="39"/>
      <c r="G989" s="39"/>
      <c r="H989" s="39"/>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39"/>
      <c r="C990" s="39"/>
      <c r="D990" s="39"/>
      <c r="E990" s="39"/>
      <c r="F990" s="39"/>
      <c r="G990" s="39"/>
      <c r="H990" s="39"/>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39"/>
      <c r="C991" s="39"/>
      <c r="D991" s="39"/>
      <c r="E991" s="39"/>
      <c r="F991" s="39"/>
      <c r="G991" s="39"/>
      <c r="H991" s="39"/>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39"/>
      <c r="C992" s="39"/>
      <c r="D992" s="39"/>
      <c r="E992" s="39"/>
      <c r="F992" s="39"/>
      <c r="G992" s="39"/>
      <c r="H992" s="39"/>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39"/>
      <c r="I995" s="39"/>
      <c r="J995" s="1"/>
      <c r="K995" s="1"/>
      <c r="L995" s="1"/>
      <c r="M995" s="1"/>
      <c r="N995" s="1"/>
      <c r="O995" s="1"/>
      <c r="P995" s="1"/>
      <c r="Q995" s="1"/>
      <c r="R995" s="1"/>
      <c r="S995" s="1"/>
      <c r="T995" s="1"/>
      <c r="U995" s="1"/>
      <c r="V995" s="1"/>
      <c r="W995" s="1"/>
      <c r="X995" s="1"/>
      <c r="Y995" s="1"/>
      <c r="Z995" s="1"/>
      <c r="AA995" s="1"/>
      <c r="AB995" s="1"/>
      <c r="AC995" s="1"/>
      <c r="AD995" s="1"/>
    </row>
    <row r="996" spans="1:30" ht="13.8">
      <c r="A996" s="39"/>
      <c r="I996" s="39"/>
      <c r="J996" s="1"/>
      <c r="K996" s="1"/>
      <c r="L996" s="1"/>
      <c r="M996" s="1"/>
      <c r="N996" s="1"/>
      <c r="O996" s="1"/>
      <c r="P996" s="1"/>
      <c r="Q996" s="1"/>
      <c r="R996" s="1"/>
      <c r="S996" s="1"/>
      <c r="T996" s="1"/>
      <c r="U996" s="1"/>
      <c r="V996" s="1"/>
      <c r="W996" s="1"/>
      <c r="X996" s="1"/>
      <c r="Y996" s="1"/>
      <c r="Z996" s="1"/>
      <c r="AA996" s="1"/>
      <c r="AB996" s="1"/>
      <c r="AC996" s="1"/>
      <c r="AD996" s="1"/>
    </row>
    <row r="997" spans="1:30" ht="13.8">
      <c r="A997" s="39"/>
      <c r="I997" s="39"/>
      <c r="J997" s="1"/>
      <c r="K997" s="1"/>
      <c r="L997" s="1"/>
      <c r="M997" s="1"/>
      <c r="N997" s="1"/>
      <c r="O997" s="1"/>
      <c r="P997" s="1"/>
      <c r="Q997" s="1"/>
      <c r="R997" s="1"/>
      <c r="S997" s="1"/>
      <c r="T997" s="1"/>
      <c r="U997" s="1"/>
      <c r="V997" s="1"/>
      <c r="W997" s="1"/>
      <c r="X997" s="1"/>
      <c r="Y997" s="1"/>
      <c r="Z997" s="1"/>
      <c r="AA997" s="1"/>
      <c r="AB997" s="1"/>
      <c r="AC997" s="1"/>
      <c r="AD997" s="1"/>
    </row>
    <row r="998" spans="1:30" ht="13.8">
      <c r="A998" s="39"/>
      <c r="I998" s="39"/>
      <c r="J998" s="1"/>
      <c r="K998" s="1"/>
      <c r="L998" s="1"/>
      <c r="M998" s="1"/>
      <c r="N998" s="1"/>
      <c r="O998" s="1"/>
      <c r="P998" s="1"/>
      <c r="Q998" s="1"/>
      <c r="R998" s="1"/>
      <c r="S998" s="1"/>
      <c r="T998" s="1"/>
      <c r="U998" s="1"/>
      <c r="V998" s="1"/>
      <c r="W998" s="1"/>
      <c r="X998" s="1"/>
      <c r="Y998" s="1"/>
      <c r="Z998" s="1"/>
      <c r="AA998" s="1"/>
      <c r="AB998" s="1"/>
      <c r="AC998" s="1"/>
      <c r="AD998" s="1"/>
    </row>
    <row r="999" spans="1:30" ht="13.8">
      <c r="A999" s="39"/>
      <c r="I999" s="39"/>
      <c r="J999" s="1"/>
      <c r="K999" s="1"/>
      <c r="L999" s="1"/>
      <c r="M999" s="1"/>
      <c r="N999" s="1"/>
      <c r="O999" s="1"/>
      <c r="P999" s="1"/>
      <c r="Q999" s="1"/>
      <c r="R999" s="1"/>
      <c r="S999" s="1"/>
      <c r="T999" s="1"/>
      <c r="U999" s="1"/>
      <c r="V999" s="1"/>
      <c r="W999" s="1"/>
      <c r="X999" s="1"/>
      <c r="Y999" s="1"/>
      <c r="Z999" s="1"/>
      <c r="AA999" s="1"/>
      <c r="AB999" s="1"/>
      <c r="AC999" s="1"/>
      <c r="AD999" s="1"/>
    </row>
    <row r="1000" spans="1:30" ht="13.8">
      <c r="A1000" s="39"/>
      <c r="I1000" s="39"/>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39"/>
      <c r="I1001" s="39"/>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2">
    <mergeCell ref="C11:D11"/>
    <mergeCell ref="C12:D12"/>
    <mergeCell ref="C18:D18"/>
    <mergeCell ref="C19:D19"/>
    <mergeCell ref="C13:D13"/>
    <mergeCell ref="C15:D15"/>
    <mergeCell ref="C16:D17"/>
    <mergeCell ref="A1:U5"/>
    <mergeCell ref="B7:H8"/>
    <mergeCell ref="J7:T8"/>
    <mergeCell ref="C10:D10"/>
    <mergeCell ref="F10:G10"/>
    <mergeCell ref="F16:G17"/>
    <mergeCell ref="F29:G29"/>
    <mergeCell ref="C31:G34"/>
    <mergeCell ref="F26:G26"/>
    <mergeCell ref="C27:D27"/>
    <mergeCell ref="F28:G28"/>
    <mergeCell ref="B23:H24"/>
    <mergeCell ref="F18:G18"/>
    <mergeCell ref="F19:G19"/>
    <mergeCell ref="E16:E17"/>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"11"</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D126"/>
  <sheetViews>
    <sheetView showGridLines="0" zoomScale="85" zoomScaleNormal="85" workbookViewId="0">
      <selection activeCell="N10" sqref="N10:S10"/>
    </sheetView>
  </sheetViews>
  <sheetFormatPr defaultColWidth="12.6640625" defaultRowHeight="15.75" customHeight="1"/>
  <cols>
    <col min="1" max="2" width="3.88671875" style="222" customWidth="1"/>
    <col min="3" max="3" width="13.109375" style="222" customWidth="1"/>
    <col min="4" max="5" width="12.6640625" style="222"/>
    <col min="6" max="6" width="15.33203125" style="222" customWidth="1"/>
    <col min="7" max="7" width="19.44140625" style="222" customWidth="1"/>
    <col min="8" max="8" width="12.6640625" style="222"/>
    <col min="9" max="10" width="5.109375" style="222" customWidth="1"/>
    <col min="11" max="11" width="13.88671875" style="222" customWidth="1"/>
    <col min="12" max="12" width="13.77734375" style="222" customWidth="1"/>
    <col min="13" max="13" width="12.77734375" style="222" customWidth="1"/>
    <col min="14" max="14" width="11.33203125" style="226" customWidth="1"/>
    <col min="15" max="15" width="13.44140625" style="222" customWidth="1"/>
    <col min="16" max="17" width="9.44140625" style="232" customWidth="1"/>
    <col min="18" max="18" width="12.6640625" style="222"/>
    <col min="19" max="19" width="12.6640625" style="222" customWidth="1"/>
    <col min="20" max="20" width="3.88671875" style="222" customWidth="1"/>
    <col min="21" max="16384" width="12.6640625" style="222"/>
  </cols>
  <sheetData>
    <row r="1" spans="1:30" ht="13.2">
      <c r="A1" s="375" t="s">
        <v>142</v>
      </c>
      <c r="B1" s="288"/>
      <c r="C1" s="288"/>
      <c r="D1" s="288"/>
      <c r="E1" s="288"/>
      <c r="F1" s="288"/>
      <c r="G1" s="288"/>
      <c r="H1" s="288"/>
      <c r="I1" s="288"/>
      <c r="J1" s="288"/>
      <c r="K1" s="288"/>
      <c r="L1" s="288"/>
      <c r="M1" s="288"/>
      <c r="N1" s="288"/>
      <c r="O1" s="288"/>
      <c r="P1" s="288"/>
      <c r="Q1" s="288"/>
      <c r="R1" s="288"/>
      <c r="S1" s="288"/>
      <c r="T1" s="288"/>
      <c r="U1" s="90"/>
      <c r="V1" s="90"/>
      <c r="W1" s="90"/>
      <c r="X1" s="90"/>
      <c r="Y1" s="90"/>
      <c r="Z1" s="90"/>
      <c r="AA1" s="90"/>
      <c r="AB1" s="90"/>
      <c r="AC1" s="90"/>
      <c r="AD1" s="90"/>
    </row>
    <row r="2" spans="1:30" ht="13.2">
      <c r="A2" s="288"/>
      <c r="B2" s="288"/>
      <c r="C2" s="288"/>
      <c r="D2" s="288"/>
      <c r="E2" s="288"/>
      <c r="F2" s="288"/>
      <c r="G2" s="288"/>
      <c r="H2" s="288"/>
      <c r="I2" s="288"/>
      <c r="J2" s="288"/>
      <c r="K2" s="288"/>
      <c r="L2" s="288"/>
      <c r="M2" s="288"/>
      <c r="N2" s="288"/>
      <c r="O2" s="288"/>
      <c r="P2" s="288"/>
      <c r="Q2" s="288"/>
      <c r="R2" s="288"/>
      <c r="S2" s="288"/>
      <c r="T2" s="288"/>
      <c r="U2" s="90"/>
      <c r="V2" s="90"/>
      <c r="W2" s="90"/>
      <c r="X2" s="90"/>
      <c r="Y2" s="90"/>
      <c r="Z2" s="90"/>
      <c r="AA2" s="90"/>
      <c r="AB2" s="90"/>
      <c r="AC2" s="90"/>
      <c r="AD2" s="90"/>
    </row>
    <row r="3" spans="1:30" ht="13.2">
      <c r="A3" s="288"/>
      <c r="B3" s="288"/>
      <c r="C3" s="288"/>
      <c r="D3" s="288"/>
      <c r="E3" s="288"/>
      <c r="F3" s="288"/>
      <c r="G3" s="288"/>
      <c r="H3" s="288"/>
      <c r="I3" s="288"/>
      <c r="J3" s="288"/>
      <c r="K3" s="288"/>
      <c r="L3" s="288"/>
      <c r="M3" s="288"/>
      <c r="N3" s="288"/>
      <c r="O3" s="288"/>
      <c r="P3" s="288"/>
      <c r="Q3" s="288"/>
      <c r="R3" s="288"/>
      <c r="S3" s="288"/>
      <c r="T3" s="288"/>
      <c r="U3" s="90"/>
      <c r="V3" s="90"/>
      <c r="W3" s="90"/>
      <c r="X3" s="90"/>
      <c r="Y3" s="90"/>
      <c r="Z3" s="90"/>
      <c r="AA3" s="90"/>
      <c r="AB3" s="90"/>
      <c r="AC3" s="90"/>
      <c r="AD3" s="90"/>
    </row>
    <row r="4" spans="1:30" ht="13.8" thickBot="1">
      <c r="A4" s="288"/>
      <c r="B4" s="288"/>
      <c r="C4" s="288"/>
      <c r="D4" s="288"/>
      <c r="E4" s="288"/>
      <c r="F4" s="288"/>
      <c r="G4" s="288"/>
      <c r="H4" s="288"/>
      <c r="I4" s="288"/>
      <c r="J4" s="288"/>
      <c r="K4" s="288"/>
      <c r="L4" s="288"/>
      <c r="M4" s="288"/>
      <c r="N4" s="288"/>
      <c r="O4" s="288"/>
      <c r="P4" s="288"/>
      <c r="Q4" s="288"/>
      <c r="R4" s="288"/>
      <c r="S4" s="288"/>
      <c r="T4" s="288"/>
      <c r="U4" s="225"/>
      <c r="V4" s="225"/>
      <c r="W4" s="225"/>
      <c r="X4" s="225"/>
      <c r="Y4" s="225"/>
      <c r="Z4" s="225"/>
      <c r="AA4" s="225"/>
      <c r="AB4" s="225"/>
      <c r="AC4" s="225"/>
      <c r="AD4" s="225"/>
    </row>
    <row r="5" spans="1:30" ht="16.2" thickBot="1">
      <c r="A5" s="4"/>
      <c r="B5" s="5"/>
      <c r="C5" s="6"/>
      <c r="D5" s="12" t="s">
        <v>3</v>
      </c>
      <c r="E5" s="376">
        <f>'INPUT DATA'!F10</f>
        <v>0</v>
      </c>
      <c r="F5" s="377"/>
      <c r="G5" s="378"/>
      <c r="H5" s="73"/>
      <c r="I5" s="12" t="s">
        <v>6</v>
      </c>
      <c r="J5" s="379">
        <f>'INPUT DATA'!F11</f>
        <v>0</v>
      </c>
      <c r="K5" s="380"/>
      <c r="L5" s="380"/>
      <c r="M5" s="381"/>
      <c r="N5" s="228"/>
      <c r="O5" s="73"/>
      <c r="P5" s="73"/>
      <c r="Q5" s="73"/>
      <c r="R5" s="73"/>
      <c r="S5" s="73"/>
      <c r="T5" s="4"/>
      <c r="U5" s="4"/>
      <c r="V5" s="4"/>
      <c r="W5" s="4"/>
      <c r="X5" s="4"/>
      <c r="Y5" s="4"/>
      <c r="Z5" s="4"/>
      <c r="AA5" s="4"/>
      <c r="AB5" s="4"/>
      <c r="AC5" s="4"/>
      <c r="AD5" s="4"/>
    </row>
    <row r="6" spans="1:30" ht="16.2" customHeight="1" thickBot="1">
      <c r="A6" s="4"/>
      <c r="B6" s="5"/>
      <c r="C6" s="10"/>
      <c r="D6" s="12" t="s">
        <v>7</v>
      </c>
      <c r="E6" s="376">
        <f>'INPUT DATA'!F16</f>
        <v>0</v>
      </c>
      <c r="F6" s="377"/>
      <c r="G6" s="378"/>
      <c r="H6" s="73"/>
      <c r="I6" s="12" t="s">
        <v>8</v>
      </c>
      <c r="J6" s="382">
        <f>'INPUT DATA'!F15</f>
        <v>0</v>
      </c>
      <c r="K6" s="383"/>
      <c r="L6" s="383"/>
      <c r="M6" s="384"/>
      <c r="N6" s="229"/>
      <c r="O6" s="385" t="s">
        <v>10</v>
      </c>
      <c r="P6" s="385"/>
      <c r="Q6" s="382">
        <f>'INPUT DATA'!F18</f>
        <v>0</v>
      </c>
      <c r="R6" s="384"/>
      <c r="S6" s="252"/>
      <c r="T6" s="4"/>
      <c r="U6" s="4"/>
      <c r="V6" s="4"/>
      <c r="W6" s="4"/>
      <c r="X6" s="4"/>
      <c r="Y6" s="4"/>
      <c r="Z6" s="4"/>
      <c r="AA6" s="4"/>
      <c r="AB6" s="4"/>
      <c r="AC6" s="4"/>
      <c r="AD6" s="4"/>
    </row>
    <row r="7" spans="1:30" ht="13.8" thickBot="1">
      <c r="A7" s="225"/>
      <c r="B7" s="15"/>
      <c r="C7" s="22"/>
      <c r="D7" s="22"/>
      <c r="E7" s="225"/>
      <c r="F7" s="225"/>
      <c r="G7" s="20"/>
      <c r="I7" s="225"/>
      <c r="J7" s="225"/>
      <c r="K7" s="225"/>
      <c r="L7" s="22"/>
      <c r="M7" s="225"/>
      <c r="N7" s="227"/>
      <c r="O7" s="22"/>
      <c r="P7" s="22"/>
      <c r="Q7" s="22"/>
      <c r="R7" s="22"/>
      <c r="S7" s="225"/>
      <c r="T7" s="225"/>
      <c r="U7" s="225"/>
      <c r="V7" s="225"/>
      <c r="W7" s="225"/>
      <c r="X7" s="225"/>
      <c r="Y7" s="225"/>
      <c r="Z7" s="225"/>
      <c r="AA7" s="225"/>
      <c r="AB7" s="225"/>
      <c r="AC7" s="225"/>
      <c r="AD7" s="225"/>
    </row>
    <row r="8" spans="1:30" ht="13.8" thickBot="1">
      <c r="A8" s="225"/>
      <c r="B8" s="326"/>
      <c r="C8" s="327"/>
      <c r="D8" s="327"/>
      <c r="E8" s="327"/>
      <c r="F8" s="327"/>
      <c r="G8" s="327"/>
      <c r="H8" s="327"/>
      <c r="I8" s="327"/>
      <c r="J8" s="327"/>
      <c r="K8" s="327"/>
      <c r="L8" s="327"/>
      <c r="M8" s="327"/>
      <c r="N8" s="327"/>
      <c r="O8" s="327"/>
      <c r="P8" s="327"/>
      <c r="Q8" s="327"/>
      <c r="R8" s="327"/>
      <c r="S8" s="328"/>
      <c r="T8" s="225"/>
      <c r="U8" s="225"/>
      <c r="V8" s="225"/>
      <c r="W8" s="225"/>
      <c r="X8" s="225"/>
      <c r="Y8" s="225"/>
      <c r="Z8" s="225"/>
      <c r="AA8" s="225"/>
      <c r="AB8" s="225"/>
      <c r="AC8" s="225"/>
      <c r="AD8" s="225"/>
    </row>
    <row r="9" spans="1:30" ht="14.4" thickBot="1">
      <c r="A9" s="90"/>
      <c r="B9" s="329" t="s">
        <v>15</v>
      </c>
      <c r="C9" s="330"/>
      <c r="D9" s="330"/>
      <c r="E9" s="331"/>
      <c r="F9" s="99" t="s">
        <v>16</v>
      </c>
      <c r="G9" s="335">
        <f>'INPUT DATA'!F27</f>
        <v>0</v>
      </c>
      <c r="H9" s="336"/>
      <c r="I9" s="336"/>
      <c r="J9" s="336"/>
      <c r="K9" s="337"/>
      <c r="L9" s="386" t="s">
        <v>20</v>
      </c>
      <c r="M9" s="387"/>
      <c r="N9" s="391">
        <f>'INPUT DATA'!F29</f>
        <v>0</v>
      </c>
      <c r="O9" s="392"/>
      <c r="P9" s="392"/>
      <c r="Q9" s="392"/>
      <c r="R9" s="392"/>
      <c r="S9" s="393"/>
      <c r="T9" s="90"/>
      <c r="U9" s="90"/>
      <c r="V9" s="90"/>
      <c r="W9" s="90"/>
      <c r="X9" s="90"/>
      <c r="Y9" s="90"/>
      <c r="Z9" s="90"/>
      <c r="AA9" s="90"/>
      <c r="AB9" s="90"/>
      <c r="AC9" s="90"/>
      <c r="AD9" s="90"/>
    </row>
    <row r="10" spans="1:30" ht="14.4" thickBot="1">
      <c r="A10" s="90"/>
      <c r="B10" s="332"/>
      <c r="C10" s="333"/>
      <c r="D10" s="333"/>
      <c r="E10" s="334"/>
      <c r="F10" s="100" t="s">
        <v>143</v>
      </c>
      <c r="G10" s="338">
        <f>'INPUT DATA'!F28</f>
        <v>0</v>
      </c>
      <c r="H10" s="339"/>
      <c r="I10" s="339"/>
      <c r="J10" s="339"/>
      <c r="K10" s="340"/>
      <c r="L10" s="373" t="s">
        <v>18</v>
      </c>
      <c r="M10" s="374"/>
      <c r="N10" s="388">
        <f>'INPUT DATA'!F26</f>
        <v>0</v>
      </c>
      <c r="O10" s="389"/>
      <c r="P10" s="389"/>
      <c r="Q10" s="389"/>
      <c r="R10" s="389"/>
      <c r="S10" s="390"/>
      <c r="T10" s="90"/>
      <c r="U10" s="90"/>
      <c r="V10" s="90"/>
      <c r="W10" s="90"/>
      <c r="X10" s="90"/>
      <c r="Y10" s="90"/>
      <c r="Z10" s="90"/>
      <c r="AA10" s="90"/>
      <c r="AB10" s="90"/>
      <c r="AC10" s="90"/>
      <c r="AD10" s="90"/>
    </row>
    <row r="11" spans="1:30" ht="14.4" customHeight="1" thickBot="1">
      <c r="A11" s="225"/>
      <c r="B11" s="350" t="s">
        <v>21</v>
      </c>
      <c r="C11" s="351"/>
      <c r="D11" s="351"/>
      <c r="E11" s="352"/>
      <c r="F11" s="359" t="s">
        <v>12</v>
      </c>
      <c r="G11" s="360"/>
      <c r="H11" s="364" t="s">
        <v>22</v>
      </c>
      <c r="I11" s="364" t="s">
        <v>23</v>
      </c>
      <c r="J11" s="364" t="s">
        <v>123</v>
      </c>
      <c r="K11" s="362" t="s">
        <v>24</v>
      </c>
      <c r="L11" s="368"/>
      <c r="M11" s="368"/>
      <c r="N11" s="368"/>
      <c r="O11" s="368"/>
      <c r="P11" s="368"/>
      <c r="Q11" s="369"/>
      <c r="R11" s="341" t="s">
        <v>25</v>
      </c>
      <c r="S11" s="343" t="s">
        <v>26</v>
      </c>
      <c r="T11" s="34"/>
      <c r="U11" s="225"/>
      <c r="V11" s="225"/>
      <c r="W11" s="225"/>
      <c r="X11" s="225"/>
      <c r="Y11" s="225"/>
      <c r="Z11" s="225"/>
      <c r="AA11" s="225"/>
      <c r="AB11" s="225"/>
      <c r="AC11" s="225"/>
      <c r="AD11" s="225"/>
    </row>
    <row r="12" spans="1:30" s="232" customFormat="1" ht="25.2" customHeight="1" thickBot="1">
      <c r="A12" s="233"/>
      <c r="B12" s="353"/>
      <c r="C12" s="354"/>
      <c r="D12" s="354"/>
      <c r="E12" s="355"/>
      <c r="F12" s="361"/>
      <c r="G12" s="343"/>
      <c r="H12" s="365"/>
      <c r="I12" s="365"/>
      <c r="J12" s="365"/>
      <c r="K12" s="370" t="s">
        <v>126</v>
      </c>
      <c r="L12" s="371"/>
      <c r="M12" s="371"/>
      <c r="N12" s="371"/>
      <c r="O12" s="371"/>
      <c r="P12" s="372"/>
      <c r="Q12" s="253" t="s">
        <v>134</v>
      </c>
      <c r="R12" s="341"/>
      <c r="S12" s="343"/>
      <c r="T12" s="34"/>
      <c r="U12" s="233"/>
      <c r="V12" s="233"/>
      <c r="W12" s="233"/>
      <c r="X12" s="233"/>
      <c r="Y12" s="233"/>
      <c r="Z12" s="233"/>
      <c r="AA12" s="233"/>
      <c r="AB12" s="233"/>
      <c r="AC12" s="233"/>
      <c r="AD12" s="233"/>
    </row>
    <row r="13" spans="1:30" ht="25.2" customHeight="1" thickBot="1">
      <c r="A13" s="225"/>
      <c r="B13" s="356"/>
      <c r="C13" s="357"/>
      <c r="D13" s="357"/>
      <c r="E13" s="358"/>
      <c r="F13" s="362"/>
      <c r="G13" s="363"/>
      <c r="H13" s="366"/>
      <c r="I13" s="367"/>
      <c r="J13" s="366"/>
      <c r="K13" s="250" t="s">
        <v>136</v>
      </c>
      <c r="L13" s="250" t="s">
        <v>137</v>
      </c>
      <c r="M13" s="250" t="s">
        <v>127</v>
      </c>
      <c r="N13" s="250" t="s">
        <v>131</v>
      </c>
      <c r="O13" s="250" t="s">
        <v>132</v>
      </c>
      <c r="P13" s="251" t="s">
        <v>138</v>
      </c>
      <c r="Q13" s="249" t="s">
        <v>139</v>
      </c>
      <c r="R13" s="342"/>
      <c r="S13" s="344"/>
      <c r="T13" s="34"/>
      <c r="U13" s="225"/>
      <c r="V13" s="225"/>
      <c r="W13" s="225"/>
      <c r="X13" s="225"/>
      <c r="Y13" s="225"/>
      <c r="Z13" s="225"/>
      <c r="AA13" s="225"/>
      <c r="AB13" s="225"/>
      <c r="AC13" s="225"/>
      <c r="AD13" s="225"/>
    </row>
    <row r="14" spans="1:30" ht="16.2" thickBot="1">
      <c r="A14" s="4"/>
      <c r="B14" s="345" t="s">
        <v>11</v>
      </c>
      <c r="C14" s="346"/>
      <c r="D14" s="346"/>
      <c r="E14" s="346"/>
      <c r="F14" s="346"/>
      <c r="G14" s="346"/>
      <c r="H14" s="346"/>
      <c r="I14" s="346"/>
      <c r="J14" s="347"/>
      <c r="K14" s="346"/>
      <c r="L14" s="346"/>
      <c r="M14" s="346"/>
      <c r="N14" s="346"/>
      <c r="O14" s="346"/>
      <c r="P14" s="346"/>
      <c r="Q14" s="346"/>
      <c r="R14" s="348"/>
      <c r="S14" s="349"/>
      <c r="T14" s="4"/>
      <c r="U14" s="4"/>
      <c r="V14" s="4"/>
      <c r="W14" s="4"/>
      <c r="X14" s="4"/>
      <c r="Y14" s="4"/>
      <c r="Z14" s="4"/>
      <c r="AA14" s="4"/>
      <c r="AB14" s="4"/>
      <c r="AC14" s="4"/>
      <c r="AD14" s="4"/>
    </row>
    <row r="15" spans="1:30" ht="15">
      <c r="A15" s="4"/>
      <c r="B15" s="83">
        <v>1</v>
      </c>
      <c r="C15" s="317" t="str">
        <f>IF('INPUT DATA'!L11="","",'INPUT DATA'!L11)</f>
        <v/>
      </c>
      <c r="D15" s="318"/>
      <c r="E15" s="319"/>
      <c r="F15" s="320" t="str">
        <f>IF('INPUT DATA'!M11="","",'INPUT DATA'!M11)</f>
        <v/>
      </c>
      <c r="G15" s="321"/>
      <c r="H15" s="93" t="str">
        <f>IF('INPUT DATA'!N11="","",'INPUT DATA'!N11)</f>
        <v/>
      </c>
      <c r="I15" s="206" t="str">
        <f ca="1">IF(H15="","",DATEDIF(H15,TODAY(),"Y"))</f>
        <v/>
      </c>
      <c r="J15" s="211" t="s">
        <v>124</v>
      </c>
      <c r="K15" s="207"/>
      <c r="L15" s="79"/>
      <c r="M15" s="79"/>
      <c r="N15" s="79"/>
      <c r="O15" s="79"/>
      <c r="P15" s="79"/>
      <c r="Q15" s="79"/>
      <c r="R15" s="91" t="str">
        <f>IF(COUNT(K15:Q15)=0,"",ROUND(AVERAGE(K15:Q15),0))</f>
        <v/>
      </c>
      <c r="S15" s="92" t="str">
        <f>IF(R15="","",_xlfn.RANK.AVG(R15,$R$15:$R$115))</f>
        <v/>
      </c>
      <c r="T15" s="4"/>
      <c r="U15" s="4"/>
      <c r="V15" s="4"/>
      <c r="W15" s="4"/>
      <c r="X15" s="4"/>
      <c r="Y15" s="4"/>
      <c r="Z15" s="4"/>
      <c r="AA15" s="4"/>
      <c r="AB15" s="4"/>
      <c r="AC15" s="4"/>
      <c r="AD15" s="4"/>
    </row>
    <row r="16" spans="1:30" ht="15">
      <c r="A16" s="4"/>
      <c r="B16" s="84">
        <v>2</v>
      </c>
      <c r="C16" s="317" t="str">
        <f>IF('INPUT DATA'!L12="","",'INPUT DATA'!L12)</f>
        <v/>
      </c>
      <c r="D16" s="318"/>
      <c r="E16" s="319"/>
      <c r="F16" s="320" t="str">
        <f>IF('INPUT DATA'!M12="","",'INPUT DATA'!M12)</f>
        <v/>
      </c>
      <c r="G16" s="321"/>
      <c r="H16" s="94" t="str">
        <f>IF('INPUT DATA'!N12="","",'INPUT DATA'!N12)</f>
        <v/>
      </c>
      <c r="I16" s="223" t="str">
        <f ca="1">IF(H16="","",DATEDIF(H16,TODAY(),"Y"))</f>
        <v/>
      </c>
      <c r="J16" s="212" t="s">
        <v>124</v>
      </c>
      <c r="K16" s="208"/>
      <c r="L16" s="80"/>
      <c r="M16" s="80"/>
      <c r="N16" s="80"/>
      <c r="O16" s="80"/>
      <c r="P16" s="80"/>
      <c r="Q16" s="80"/>
      <c r="R16" s="91" t="str">
        <f t="shared" ref="R16:R64" si="0">IF(COUNT(K16:Q16)=0,"",ROUND(AVERAGE(K16:Q16),0))</f>
        <v/>
      </c>
      <c r="S16" s="92" t="str">
        <f>IF(R16="","",_xlfn.RANK.AVG(R16,$R$15:$R$115))</f>
        <v/>
      </c>
      <c r="T16" s="4"/>
      <c r="U16" s="4"/>
      <c r="V16" s="4"/>
      <c r="W16" s="4"/>
      <c r="X16" s="4"/>
      <c r="Y16" s="4"/>
      <c r="Z16" s="4"/>
      <c r="AA16" s="4"/>
      <c r="AB16" s="4"/>
      <c r="AC16" s="4"/>
      <c r="AD16" s="4"/>
    </row>
    <row r="17" spans="1:30" ht="15">
      <c r="A17" s="4"/>
      <c r="B17" s="84">
        <v>3</v>
      </c>
      <c r="C17" s="317" t="str">
        <f>IF('INPUT DATA'!L13="","",'INPUT DATA'!L13)</f>
        <v/>
      </c>
      <c r="D17" s="318"/>
      <c r="E17" s="319"/>
      <c r="F17" s="320" t="str">
        <f>IF('INPUT DATA'!M13="","",'INPUT DATA'!M13)</f>
        <v/>
      </c>
      <c r="G17" s="321"/>
      <c r="H17" s="94" t="str">
        <f>IF('INPUT DATA'!N13="","",'INPUT DATA'!N13)</f>
        <v/>
      </c>
      <c r="I17" s="223" t="str">
        <f t="shared" ref="I17:I64" ca="1" si="1">IF(H17="","",DATEDIF(H17,TODAY(),"Y"))</f>
        <v/>
      </c>
      <c r="J17" s="212" t="s">
        <v>124</v>
      </c>
      <c r="K17" s="208"/>
      <c r="L17" s="80"/>
      <c r="M17" s="80"/>
      <c r="N17" s="80"/>
      <c r="O17" s="80"/>
      <c r="P17" s="80"/>
      <c r="Q17" s="80"/>
      <c r="R17" s="91" t="str">
        <f t="shared" si="0"/>
        <v/>
      </c>
      <c r="S17" s="92" t="str">
        <f t="shared" ref="S17:S64" si="2">IF(R17="","",_xlfn.RANK.AVG(R17,$R$15:$R$115))</f>
        <v/>
      </c>
      <c r="T17" s="4"/>
      <c r="U17" s="4"/>
      <c r="V17" s="4"/>
      <c r="W17" s="4"/>
      <c r="X17" s="4"/>
      <c r="Y17" s="4"/>
      <c r="Z17" s="4"/>
      <c r="AA17" s="4"/>
      <c r="AB17" s="4"/>
      <c r="AC17" s="4"/>
      <c r="AD17" s="4"/>
    </row>
    <row r="18" spans="1:30" ht="15">
      <c r="A18" s="4"/>
      <c r="B18" s="84">
        <v>4</v>
      </c>
      <c r="C18" s="317" t="str">
        <f>IF('INPUT DATA'!L14="","",'INPUT DATA'!L14)</f>
        <v/>
      </c>
      <c r="D18" s="318"/>
      <c r="E18" s="319"/>
      <c r="F18" s="320" t="str">
        <f>IF('INPUT DATA'!M14="","",'INPUT DATA'!M14)</f>
        <v/>
      </c>
      <c r="G18" s="321"/>
      <c r="H18" s="94" t="str">
        <f>IF('INPUT DATA'!N14="","",'INPUT DATA'!N14)</f>
        <v/>
      </c>
      <c r="I18" s="223" t="str">
        <f t="shared" ca="1" si="1"/>
        <v/>
      </c>
      <c r="J18" s="212"/>
      <c r="K18" s="208"/>
      <c r="L18" s="80"/>
      <c r="M18" s="80"/>
      <c r="N18" s="80"/>
      <c r="O18" s="80"/>
      <c r="P18" s="80"/>
      <c r="Q18" s="80"/>
      <c r="R18" s="91" t="str">
        <f t="shared" si="0"/>
        <v/>
      </c>
      <c r="S18" s="92" t="str">
        <f t="shared" si="2"/>
        <v/>
      </c>
      <c r="T18" s="4"/>
      <c r="U18" s="4"/>
      <c r="V18" s="4"/>
      <c r="W18" s="4"/>
      <c r="X18" s="4"/>
      <c r="Y18" s="4"/>
      <c r="Z18" s="4"/>
      <c r="AA18" s="4"/>
      <c r="AB18" s="4"/>
      <c r="AC18" s="4"/>
      <c r="AD18" s="4"/>
    </row>
    <row r="19" spans="1:30" ht="15">
      <c r="A19" s="4"/>
      <c r="B19" s="84">
        <v>5</v>
      </c>
      <c r="C19" s="317" t="str">
        <f>IF('INPUT DATA'!L15="","",'INPUT DATA'!L15)</f>
        <v/>
      </c>
      <c r="D19" s="318"/>
      <c r="E19" s="319"/>
      <c r="F19" s="320" t="str">
        <f>IF('INPUT DATA'!M15="","",'INPUT DATA'!M15)</f>
        <v/>
      </c>
      <c r="G19" s="321"/>
      <c r="H19" s="94" t="str">
        <f>IF('INPUT DATA'!N15="","",'INPUT DATA'!N15)</f>
        <v/>
      </c>
      <c r="I19" s="223" t="str">
        <f t="shared" ca="1" si="1"/>
        <v/>
      </c>
      <c r="J19" s="212"/>
      <c r="K19" s="208"/>
      <c r="L19" s="80"/>
      <c r="M19" s="80"/>
      <c r="N19" s="80"/>
      <c r="O19" s="80"/>
      <c r="P19" s="80"/>
      <c r="Q19" s="80"/>
      <c r="R19" s="91" t="str">
        <f t="shared" si="0"/>
        <v/>
      </c>
      <c r="S19" s="92" t="str">
        <f t="shared" si="2"/>
        <v/>
      </c>
      <c r="T19" s="4"/>
      <c r="U19" s="4"/>
      <c r="V19" s="4"/>
      <c r="W19" s="4"/>
      <c r="X19" s="4"/>
      <c r="Y19" s="4"/>
      <c r="Z19" s="4"/>
      <c r="AA19" s="4"/>
      <c r="AB19" s="4"/>
      <c r="AC19" s="4"/>
      <c r="AD19" s="4"/>
    </row>
    <row r="20" spans="1:30" ht="15">
      <c r="A20" s="4"/>
      <c r="B20" s="84">
        <v>6</v>
      </c>
      <c r="C20" s="317" t="str">
        <f>IF('INPUT DATA'!L16="","",'INPUT DATA'!L16)</f>
        <v/>
      </c>
      <c r="D20" s="318"/>
      <c r="E20" s="319"/>
      <c r="F20" s="320" t="str">
        <f>IF('INPUT DATA'!M16="","",'INPUT DATA'!M16)</f>
        <v/>
      </c>
      <c r="G20" s="321"/>
      <c r="H20" s="94" t="str">
        <f>IF('INPUT DATA'!N16="","",'INPUT DATA'!N16)</f>
        <v/>
      </c>
      <c r="I20" s="223" t="str">
        <f t="shared" ca="1" si="1"/>
        <v/>
      </c>
      <c r="J20" s="212"/>
      <c r="K20" s="208"/>
      <c r="L20" s="80"/>
      <c r="M20" s="80"/>
      <c r="N20" s="80"/>
      <c r="O20" s="80"/>
      <c r="P20" s="80"/>
      <c r="Q20" s="80"/>
      <c r="R20" s="91" t="str">
        <f t="shared" si="0"/>
        <v/>
      </c>
      <c r="S20" s="92" t="str">
        <f t="shared" si="2"/>
        <v/>
      </c>
      <c r="T20" s="4"/>
      <c r="U20" s="4"/>
      <c r="V20" s="4"/>
      <c r="W20" s="4"/>
      <c r="X20" s="4"/>
      <c r="Y20" s="4"/>
      <c r="Z20" s="4"/>
      <c r="AA20" s="4"/>
      <c r="AB20" s="4"/>
      <c r="AC20" s="4"/>
      <c r="AD20" s="4"/>
    </row>
    <row r="21" spans="1:30" ht="15">
      <c r="A21" s="4"/>
      <c r="B21" s="84">
        <v>7</v>
      </c>
      <c r="C21" s="317" t="str">
        <f>IF('INPUT DATA'!L17="","",'INPUT DATA'!L17)</f>
        <v/>
      </c>
      <c r="D21" s="318"/>
      <c r="E21" s="319"/>
      <c r="F21" s="320" t="str">
        <f>IF('INPUT DATA'!M17="","",'INPUT DATA'!M17)</f>
        <v/>
      </c>
      <c r="G21" s="321"/>
      <c r="H21" s="94" t="str">
        <f>IF('INPUT DATA'!N17="","",'INPUT DATA'!N17)</f>
        <v/>
      </c>
      <c r="I21" s="223" t="str">
        <f t="shared" ca="1" si="1"/>
        <v/>
      </c>
      <c r="J21" s="212"/>
      <c r="K21" s="208"/>
      <c r="L21" s="80"/>
      <c r="M21" s="80"/>
      <c r="N21" s="80"/>
      <c r="O21" s="80"/>
      <c r="P21" s="80"/>
      <c r="Q21" s="80"/>
      <c r="R21" s="91" t="str">
        <f t="shared" si="0"/>
        <v/>
      </c>
      <c r="S21" s="92" t="str">
        <f t="shared" si="2"/>
        <v/>
      </c>
      <c r="T21" s="4"/>
      <c r="U21" s="4"/>
      <c r="V21" s="4"/>
      <c r="W21" s="4"/>
      <c r="X21" s="4"/>
      <c r="Y21" s="4"/>
      <c r="Z21" s="4"/>
      <c r="AA21" s="4"/>
      <c r="AB21" s="4"/>
      <c r="AC21" s="4"/>
      <c r="AD21" s="4"/>
    </row>
    <row r="22" spans="1:30" ht="15">
      <c r="A22" s="4"/>
      <c r="B22" s="84">
        <v>8</v>
      </c>
      <c r="C22" s="317" t="str">
        <f>IF('INPUT DATA'!L18="","",'INPUT DATA'!L18)</f>
        <v/>
      </c>
      <c r="D22" s="318"/>
      <c r="E22" s="319"/>
      <c r="F22" s="320" t="str">
        <f>IF('INPUT DATA'!M18="","",'INPUT DATA'!M18)</f>
        <v/>
      </c>
      <c r="G22" s="321"/>
      <c r="H22" s="94" t="str">
        <f>IF('INPUT DATA'!N18="","",'INPUT DATA'!N18)</f>
        <v/>
      </c>
      <c r="I22" s="223" t="str">
        <f t="shared" ca="1" si="1"/>
        <v/>
      </c>
      <c r="J22" s="212"/>
      <c r="K22" s="208"/>
      <c r="L22" s="80"/>
      <c r="M22" s="80"/>
      <c r="N22" s="80"/>
      <c r="O22" s="80"/>
      <c r="P22" s="80"/>
      <c r="Q22" s="80"/>
      <c r="R22" s="91" t="str">
        <f t="shared" si="0"/>
        <v/>
      </c>
      <c r="S22" s="92" t="str">
        <f t="shared" si="2"/>
        <v/>
      </c>
      <c r="T22" s="4"/>
      <c r="U22" s="4"/>
      <c r="V22" s="4"/>
      <c r="W22" s="4"/>
      <c r="X22" s="4"/>
      <c r="Y22" s="4"/>
      <c r="Z22" s="4"/>
      <c r="AA22" s="4"/>
      <c r="AB22" s="4"/>
      <c r="AC22" s="4"/>
      <c r="AD22" s="4"/>
    </row>
    <row r="23" spans="1:30" ht="15">
      <c r="A23" s="4"/>
      <c r="B23" s="84">
        <v>9</v>
      </c>
      <c r="C23" s="317" t="str">
        <f>IF('INPUT DATA'!L19="","",'INPUT DATA'!L19)</f>
        <v/>
      </c>
      <c r="D23" s="318"/>
      <c r="E23" s="319"/>
      <c r="F23" s="320" t="str">
        <f>IF('INPUT DATA'!M19="","",'INPUT DATA'!M19)</f>
        <v/>
      </c>
      <c r="G23" s="321"/>
      <c r="H23" s="94" t="str">
        <f>IF('INPUT DATA'!N19="","",'INPUT DATA'!N19)</f>
        <v/>
      </c>
      <c r="I23" s="223" t="str">
        <f t="shared" ca="1" si="1"/>
        <v/>
      </c>
      <c r="J23" s="212"/>
      <c r="K23" s="208"/>
      <c r="L23" s="80"/>
      <c r="M23" s="80"/>
      <c r="N23" s="80"/>
      <c r="O23" s="80"/>
      <c r="P23" s="80"/>
      <c r="Q23" s="80"/>
      <c r="R23" s="91" t="str">
        <f t="shared" si="0"/>
        <v/>
      </c>
      <c r="S23" s="92" t="str">
        <f t="shared" si="2"/>
        <v/>
      </c>
      <c r="T23" s="4"/>
      <c r="U23" s="4"/>
      <c r="V23" s="4"/>
      <c r="W23" s="4"/>
      <c r="X23" s="4"/>
      <c r="Y23" s="4"/>
      <c r="Z23" s="4"/>
      <c r="AA23" s="4"/>
      <c r="AB23" s="4"/>
      <c r="AC23" s="4"/>
      <c r="AD23" s="4"/>
    </row>
    <row r="24" spans="1:30" ht="15">
      <c r="A24" s="4"/>
      <c r="B24" s="84">
        <v>10</v>
      </c>
      <c r="C24" s="317" t="str">
        <f>IF('INPUT DATA'!L20="","",'INPUT DATA'!L20)</f>
        <v/>
      </c>
      <c r="D24" s="318"/>
      <c r="E24" s="319"/>
      <c r="F24" s="320" t="str">
        <f>IF('INPUT DATA'!M20="","",'INPUT DATA'!M20)</f>
        <v/>
      </c>
      <c r="G24" s="321"/>
      <c r="H24" s="94" t="str">
        <f>IF('INPUT DATA'!N20="","",'INPUT DATA'!N20)</f>
        <v/>
      </c>
      <c r="I24" s="223" t="str">
        <f t="shared" ca="1" si="1"/>
        <v/>
      </c>
      <c r="J24" s="212"/>
      <c r="K24" s="208"/>
      <c r="L24" s="80"/>
      <c r="M24" s="80"/>
      <c r="N24" s="80"/>
      <c r="O24" s="80"/>
      <c r="P24" s="80"/>
      <c r="Q24" s="80"/>
      <c r="R24" s="91" t="str">
        <f t="shared" si="0"/>
        <v/>
      </c>
      <c r="S24" s="92" t="str">
        <f t="shared" si="2"/>
        <v/>
      </c>
      <c r="T24" s="4"/>
      <c r="U24" s="4"/>
      <c r="V24" s="4"/>
      <c r="W24" s="4"/>
      <c r="X24" s="4"/>
      <c r="Y24" s="4"/>
      <c r="Z24" s="4"/>
      <c r="AA24" s="4"/>
      <c r="AB24" s="4"/>
      <c r="AC24" s="4"/>
      <c r="AD24" s="4"/>
    </row>
    <row r="25" spans="1:30" ht="15">
      <c r="A25" s="4"/>
      <c r="B25" s="84">
        <v>11</v>
      </c>
      <c r="C25" s="317" t="str">
        <f>IF('INPUT DATA'!L21="","",'INPUT DATA'!L21)</f>
        <v/>
      </c>
      <c r="D25" s="318"/>
      <c r="E25" s="319"/>
      <c r="F25" s="320" t="str">
        <f>IF('INPUT DATA'!M21="","",'INPUT DATA'!M21)</f>
        <v/>
      </c>
      <c r="G25" s="321"/>
      <c r="H25" s="94" t="str">
        <f>IF('INPUT DATA'!N21="","",'INPUT DATA'!N21)</f>
        <v/>
      </c>
      <c r="I25" s="223" t="str">
        <f t="shared" ca="1" si="1"/>
        <v/>
      </c>
      <c r="J25" s="212"/>
      <c r="K25" s="208"/>
      <c r="L25" s="80"/>
      <c r="M25" s="80"/>
      <c r="N25" s="80"/>
      <c r="O25" s="80"/>
      <c r="P25" s="80"/>
      <c r="Q25" s="80"/>
      <c r="R25" s="91" t="str">
        <f t="shared" si="0"/>
        <v/>
      </c>
      <c r="S25" s="92" t="str">
        <f t="shared" si="2"/>
        <v/>
      </c>
      <c r="T25" s="4"/>
      <c r="U25" s="4"/>
      <c r="V25" s="4"/>
      <c r="W25" s="4"/>
      <c r="X25" s="4"/>
      <c r="Y25" s="4"/>
      <c r="Z25" s="4"/>
      <c r="AA25" s="4"/>
      <c r="AB25" s="4"/>
      <c r="AC25" s="4"/>
      <c r="AD25" s="4"/>
    </row>
    <row r="26" spans="1:30" ht="15">
      <c r="A26" s="4"/>
      <c r="B26" s="84">
        <v>12</v>
      </c>
      <c r="C26" s="317" t="str">
        <f>IF('INPUT DATA'!L22="","",'INPUT DATA'!L22)</f>
        <v/>
      </c>
      <c r="D26" s="318"/>
      <c r="E26" s="319"/>
      <c r="F26" s="320" t="str">
        <f>IF('INPUT DATA'!M22="","",'INPUT DATA'!M22)</f>
        <v/>
      </c>
      <c r="G26" s="321"/>
      <c r="H26" s="94" t="str">
        <f>IF('INPUT DATA'!N22="","",'INPUT DATA'!N22)</f>
        <v/>
      </c>
      <c r="I26" s="223" t="str">
        <f t="shared" ca="1" si="1"/>
        <v/>
      </c>
      <c r="J26" s="212"/>
      <c r="K26" s="208"/>
      <c r="L26" s="80"/>
      <c r="M26" s="80"/>
      <c r="N26" s="80"/>
      <c r="O26" s="80"/>
      <c r="P26" s="80"/>
      <c r="Q26" s="80"/>
      <c r="R26" s="91" t="str">
        <f t="shared" si="0"/>
        <v/>
      </c>
      <c r="S26" s="92" t="str">
        <f t="shared" si="2"/>
        <v/>
      </c>
      <c r="T26" s="4"/>
      <c r="U26" s="4"/>
      <c r="V26" s="4"/>
      <c r="W26" s="4"/>
      <c r="X26" s="4"/>
      <c r="Y26" s="4"/>
      <c r="Z26" s="4"/>
      <c r="AA26" s="4"/>
      <c r="AB26" s="4"/>
      <c r="AC26" s="4"/>
      <c r="AD26" s="4"/>
    </row>
    <row r="27" spans="1:30" ht="15">
      <c r="A27" s="4"/>
      <c r="B27" s="84">
        <v>13</v>
      </c>
      <c r="C27" s="317" t="str">
        <f>IF('INPUT DATA'!L23="","",'INPUT DATA'!L23)</f>
        <v/>
      </c>
      <c r="D27" s="318"/>
      <c r="E27" s="319"/>
      <c r="F27" s="320" t="str">
        <f>IF('INPUT DATA'!M23="","",'INPUT DATA'!M23)</f>
        <v/>
      </c>
      <c r="G27" s="321"/>
      <c r="H27" s="94" t="str">
        <f>IF('INPUT DATA'!N23="","",'INPUT DATA'!N23)</f>
        <v/>
      </c>
      <c r="I27" s="223" t="str">
        <f t="shared" ca="1" si="1"/>
        <v/>
      </c>
      <c r="J27" s="212"/>
      <c r="K27" s="208"/>
      <c r="L27" s="80"/>
      <c r="M27" s="80"/>
      <c r="N27" s="80"/>
      <c r="O27" s="80"/>
      <c r="P27" s="80"/>
      <c r="Q27" s="80"/>
      <c r="R27" s="91" t="str">
        <f t="shared" si="0"/>
        <v/>
      </c>
      <c r="S27" s="92" t="str">
        <f t="shared" si="2"/>
        <v/>
      </c>
      <c r="T27" s="4"/>
      <c r="U27" s="4"/>
      <c r="V27" s="4"/>
      <c r="W27" s="4"/>
      <c r="X27" s="4"/>
      <c r="Y27" s="4"/>
      <c r="Z27" s="4"/>
      <c r="AA27" s="4"/>
      <c r="AB27" s="4"/>
      <c r="AC27" s="4"/>
      <c r="AD27" s="4"/>
    </row>
    <row r="28" spans="1:30" ht="15">
      <c r="A28" s="4"/>
      <c r="B28" s="84">
        <v>14</v>
      </c>
      <c r="C28" s="317" t="str">
        <f>IF('INPUT DATA'!L24="","",'INPUT DATA'!L24)</f>
        <v/>
      </c>
      <c r="D28" s="318"/>
      <c r="E28" s="319"/>
      <c r="F28" s="320" t="str">
        <f>IF('INPUT DATA'!M24="","",'INPUT DATA'!M24)</f>
        <v/>
      </c>
      <c r="G28" s="321"/>
      <c r="H28" s="94" t="str">
        <f>IF('INPUT DATA'!N24="","",'INPUT DATA'!N24)</f>
        <v/>
      </c>
      <c r="I28" s="223" t="str">
        <f t="shared" ca="1" si="1"/>
        <v/>
      </c>
      <c r="J28" s="212"/>
      <c r="K28" s="208"/>
      <c r="L28" s="80"/>
      <c r="M28" s="80"/>
      <c r="N28" s="80"/>
      <c r="O28" s="80"/>
      <c r="P28" s="80"/>
      <c r="Q28" s="80"/>
      <c r="R28" s="91" t="str">
        <f t="shared" si="0"/>
        <v/>
      </c>
      <c r="S28" s="92" t="str">
        <f t="shared" si="2"/>
        <v/>
      </c>
      <c r="T28" s="4"/>
      <c r="U28" s="4"/>
      <c r="V28" s="4"/>
      <c r="W28" s="4"/>
      <c r="X28" s="4"/>
      <c r="Y28" s="4"/>
      <c r="Z28" s="4"/>
      <c r="AA28" s="4"/>
      <c r="AB28" s="4"/>
      <c r="AC28" s="4"/>
      <c r="AD28" s="4"/>
    </row>
    <row r="29" spans="1:30" ht="15">
      <c r="A29" s="4"/>
      <c r="B29" s="84">
        <v>15</v>
      </c>
      <c r="C29" s="317" t="str">
        <f>IF('INPUT DATA'!L25="","",'INPUT DATA'!L25)</f>
        <v/>
      </c>
      <c r="D29" s="318"/>
      <c r="E29" s="319"/>
      <c r="F29" s="320" t="str">
        <f>IF('INPUT DATA'!M25="","",'INPUT DATA'!M25)</f>
        <v/>
      </c>
      <c r="G29" s="321"/>
      <c r="H29" s="94" t="str">
        <f>IF('INPUT DATA'!N25="","",'INPUT DATA'!N25)</f>
        <v/>
      </c>
      <c r="I29" s="223" t="str">
        <f t="shared" ca="1" si="1"/>
        <v/>
      </c>
      <c r="J29" s="212"/>
      <c r="K29" s="208"/>
      <c r="L29" s="80"/>
      <c r="M29" s="80"/>
      <c r="N29" s="80"/>
      <c r="O29" s="80"/>
      <c r="P29" s="80"/>
      <c r="Q29" s="80"/>
      <c r="R29" s="91" t="str">
        <f t="shared" si="0"/>
        <v/>
      </c>
      <c r="S29" s="92" t="str">
        <f t="shared" si="2"/>
        <v/>
      </c>
      <c r="T29" s="4"/>
      <c r="U29" s="4"/>
      <c r="V29" s="4"/>
      <c r="W29" s="4"/>
      <c r="X29" s="4"/>
      <c r="Y29" s="4"/>
      <c r="Z29" s="4"/>
      <c r="AA29" s="4"/>
      <c r="AB29" s="4"/>
      <c r="AC29" s="4"/>
      <c r="AD29" s="4"/>
    </row>
    <row r="30" spans="1:30" ht="15">
      <c r="A30" s="4"/>
      <c r="B30" s="84">
        <v>16</v>
      </c>
      <c r="C30" s="317" t="str">
        <f>IF('INPUT DATA'!L26="","",'INPUT DATA'!L26)</f>
        <v/>
      </c>
      <c r="D30" s="318"/>
      <c r="E30" s="319"/>
      <c r="F30" s="320" t="str">
        <f>IF('INPUT DATA'!M26="","",'INPUT DATA'!M26)</f>
        <v/>
      </c>
      <c r="G30" s="321"/>
      <c r="H30" s="94" t="str">
        <f>IF('INPUT DATA'!N26="","",'INPUT DATA'!N26)</f>
        <v/>
      </c>
      <c r="I30" s="223" t="str">
        <f t="shared" ca="1" si="1"/>
        <v/>
      </c>
      <c r="J30" s="212"/>
      <c r="K30" s="208"/>
      <c r="L30" s="80"/>
      <c r="M30" s="80"/>
      <c r="N30" s="80"/>
      <c r="O30" s="80"/>
      <c r="P30" s="80"/>
      <c r="Q30" s="80"/>
      <c r="R30" s="91" t="str">
        <f t="shared" si="0"/>
        <v/>
      </c>
      <c r="S30" s="92" t="str">
        <f t="shared" si="2"/>
        <v/>
      </c>
      <c r="T30" s="4"/>
      <c r="U30" s="4"/>
      <c r="V30" s="4"/>
      <c r="W30" s="4"/>
      <c r="X30" s="4"/>
      <c r="Y30" s="4"/>
      <c r="Z30" s="4"/>
      <c r="AA30" s="4"/>
      <c r="AB30" s="4"/>
      <c r="AC30" s="4"/>
      <c r="AD30" s="4"/>
    </row>
    <row r="31" spans="1:30" ht="15">
      <c r="A31" s="4"/>
      <c r="B31" s="84">
        <v>17</v>
      </c>
      <c r="C31" s="317" t="str">
        <f>IF('INPUT DATA'!L27="","",'INPUT DATA'!L27)</f>
        <v/>
      </c>
      <c r="D31" s="318"/>
      <c r="E31" s="319"/>
      <c r="F31" s="320" t="str">
        <f>IF('INPUT DATA'!M27="","",'INPUT DATA'!M27)</f>
        <v/>
      </c>
      <c r="G31" s="321"/>
      <c r="H31" s="94" t="str">
        <f>IF('INPUT DATA'!N27="","",'INPUT DATA'!N27)</f>
        <v/>
      </c>
      <c r="I31" s="223" t="str">
        <f t="shared" ca="1" si="1"/>
        <v/>
      </c>
      <c r="J31" s="212"/>
      <c r="K31" s="208"/>
      <c r="L31" s="80"/>
      <c r="M31" s="80"/>
      <c r="N31" s="80"/>
      <c r="O31" s="80"/>
      <c r="P31" s="80"/>
      <c r="Q31" s="80"/>
      <c r="R31" s="91" t="str">
        <f t="shared" si="0"/>
        <v/>
      </c>
      <c r="S31" s="92" t="str">
        <f t="shared" si="2"/>
        <v/>
      </c>
      <c r="T31" s="4"/>
      <c r="U31" s="4"/>
      <c r="V31" s="4"/>
      <c r="W31" s="4"/>
      <c r="X31" s="4"/>
      <c r="Y31" s="4"/>
      <c r="Z31" s="4"/>
      <c r="AA31" s="4"/>
      <c r="AB31" s="4"/>
      <c r="AC31" s="4"/>
      <c r="AD31" s="4"/>
    </row>
    <row r="32" spans="1:30" ht="15">
      <c r="A32" s="4"/>
      <c r="B32" s="84">
        <v>18</v>
      </c>
      <c r="C32" s="317" t="str">
        <f>IF('INPUT DATA'!L28="","",'INPUT DATA'!L28)</f>
        <v/>
      </c>
      <c r="D32" s="318"/>
      <c r="E32" s="319"/>
      <c r="F32" s="320" t="str">
        <f>IF('INPUT DATA'!M28="","",'INPUT DATA'!M28)</f>
        <v/>
      </c>
      <c r="G32" s="321"/>
      <c r="H32" s="94" t="str">
        <f>IF('INPUT DATA'!N28="","",'INPUT DATA'!N28)</f>
        <v/>
      </c>
      <c r="I32" s="223" t="str">
        <f t="shared" ca="1" si="1"/>
        <v/>
      </c>
      <c r="J32" s="212"/>
      <c r="K32" s="208"/>
      <c r="L32" s="80"/>
      <c r="M32" s="80"/>
      <c r="N32" s="80"/>
      <c r="O32" s="80"/>
      <c r="P32" s="80"/>
      <c r="Q32" s="80"/>
      <c r="R32" s="91" t="str">
        <f t="shared" si="0"/>
        <v/>
      </c>
      <c r="S32" s="92" t="str">
        <f t="shared" si="2"/>
        <v/>
      </c>
      <c r="T32" s="4"/>
      <c r="U32" s="4"/>
      <c r="V32" s="4"/>
      <c r="W32" s="4"/>
      <c r="X32" s="4"/>
      <c r="Y32" s="4"/>
      <c r="Z32" s="4"/>
      <c r="AA32" s="4"/>
      <c r="AB32" s="4"/>
      <c r="AC32" s="4"/>
      <c r="AD32" s="4"/>
    </row>
    <row r="33" spans="1:30" ht="15">
      <c r="A33" s="4"/>
      <c r="B33" s="84">
        <v>19</v>
      </c>
      <c r="C33" s="317" t="str">
        <f>IF('INPUT DATA'!L29="","",'INPUT DATA'!L29)</f>
        <v/>
      </c>
      <c r="D33" s="318"/>
      <c r="E33" s="319"/>
      <c r="F33" s="320" t="str">
        <f>IF('INPUT DATA'!M29="","",'INPUT DATA'!M29)</f>
        <v/>
      </c>
      <c r="G33" s="321"/>
      <c r="H33" s="94" t="str">
        <f>IF('INPUT DATA'!N29="","",'INPUT DATA'!N29)</f>
        <v/>
      </c>
      <c r="I33" s="223" t="str">
        <f t="shared" ca="1" si="1"/>
        <v/>
      </c>
      <c r="J33" s="212"/>
      <c r="K33" s="208"/>
      <c r="L33" s="80"/>
      <c r="M33" s="80"/>
      <c r="N33" s="80"/>
      <c r="O33" s="80"/>
      <c r="P33" s="80"/>
      <c r="Q33" s="80"/>
      <c r="R33" s="91" t="str">
        <f t="shared" si="0"/>
        <v/>
      </c>
      <c r="S33" s="92" t="str">
        <f t="shared" si="2"/>
        <v/>
      </c>
      <c r="T33" s="4"/>
      <c r="U33" s="4"/>
      <c r="V33" s="4"/>
      <c r="W33" s="4"/>
      <c r="X33" s="4"/>
      <c r="Y33" s="4"/>
      <c r="Z33" s="4"/>
      <c r="AA33" s="4"/>
      <c r="AB33" s="4"/>
      <c r="AC33" s="4"/>
      <c r="AD33" s="4"/>
    </row>
    <row r="34" spans="1:30" ht="15">
      <c r="A34" s="4"/>
      <c r="B34" s="85">
        <v>20</v>
      </c>
      <c r="C34" s="317" t="str">
        <f>IF('INPUT DATA'!L30="","",'INPUT DATA'!L30)</f>
        <v/>
      </c>
      <c r="D34" s="318"/>
      <c r="E34" s="319"/>
      <c r="F34" s="320" t="str">
        <f>IF('INPUT DATA'!M30="","",'INPUT DATA'!M30)</f>
        <v/>
      </c>
      <c r="G34" s="321"/>
      <c r="H34" s="94" t="str">
        <f>IF('INPUT DATA'!N30="","",'INPUT DATA'!N30)</f>
        <v/>
      </c>
      <c r="I34" s="223" t="str">
        <f t="shared" ca="1" si="1"/>
        <v/>
      </c>
      <c r="J34" s="212"/>
      <c r="K34" s="209"/>
      <c r="L34" s="81"/>
      <c r="M34" s="81"/>
      <c r="N34" s="81"/>
      <c r="O34" s="81"/>
      <c r="P34" s="81"/>
      <c r="Q34" s="81"/>
      <c r="R34" s="91" t="str">
        <f t="shared" si="0"/>
        <v/>
      </c>
      <c r="S34" s="92" t="str">
        <f t="shared" si="2"/>
        <v/>
      </c>
      <c r="T34" s="4"/>
      <c r="U34" s="4"/>
      <c r="V34" s="4"/>
      <c r="W34" s="4"/>
      <c r="X34" s="4"/>
      <c r="Y34" s="4"/>
      <c r="Z34" s="4"/>
      <c r="AA34" s="4"/>
      <c r="AB34" s="4"/>
      <c r="AC34" s="4"/>
      <c r="AD34" s="4"/>
    </row>
    <row r="35" spans="1:30" ht="15">
      <c r="A35" s="4"/>
      <c r="B35" s="85">
        <v>21</v>
      </c>
      <c r="C35" s="317" t="str">
        <f>IF('INPUT DATA'!L31="","",'INPUT DATA'!L31)</f>
        <v/>
      </c>
      <c r="D35" s="318"/>
      <c r="E35" s="319"/>
      <c r="F35" s="320" t="str">
        <f>IF('INPUT DATA'!M31="","",'INPUT DATA'!M31)</f>
        <v/>
      </c>
      <c r="G35" s="321"/>
      <c r="H35" s="94" t="str">
        <f>IF('INPUT DATA'!N31="","",'INPUT DATA'!N31)</f>
        <v/>
      </c>
      <c r="I35" s="223" t="str">
        <f t="shared" ca="1" si="1"/>
        <v/>
      </c>
      <c r="J35" s="212"/>
      <c r="K35" s="208"/>
      <c r="L35" s="80"/>
      <c r="M35" s="80"/>
      <c r="N35" s="80"/>
      <c r="O35" s="80"/>
      <c r="P35" s="80"/>
      <c r="Q35" s="80"/>
      <c r="R35" s="91" t="str">
        <f t="shared" si="0"/>
        <v/>
      </c>
      <c r="S35" s="92" t="str">
        <f t="shared" si="2"/>
        <v/>
      </c>
      <c r="T35" s="4"/>
      <c r="U35" s="4"/>
      <c r="V35" s="4"/>
      <c r="W35" s="4"/>
      <c r="X35" s="4"/>
      <c r="Y35" s="4"/>
      <c r="Z35" s="4"/>
      <c r="AA35" s="4"/>
      <c r="AB35" s="4"/>
      <c r="AC35" s="4"/>
      <c r="AD35" s="4"/>
    </row>
    <row r="36" spans="1:30" ht="15">
      <c r="A36" s="4"/>
      <c r="B36" s="85">
        <v>22</v>
      </c>
      <c r="C36" s="317" t="str">
        <f>IF('INPUT DATA'!L32="","",'INPUT DATA'!L32)</f>
        <v/>
      </c>
      <c r="D36" s="318"/>
      <c r="E36" s="319"/>
      <c r="F36" s="320" t="str">
        <f>IF('INPUT DATA'!M32="","",'INPUT DATA'!M32)</f>
        <v/>
      </c>
      <c r="G36" s="321"/>
      <c r="H36" s="94" t="str">
        <f>IF('INPUT DATA'!N32="","",'INPUT DATA'!N32)</f>
        <v/>
      </c>
      <c r="I36" s="223" t="str">
        <f t="shared" ca="1" si="1"/>
        <v/>
      </c>
      <c r="J36" s="212"/>
      <c r="K36" s="208"/>
      <c r="L36" s="80"/>
      <c r="M36" s="80"/>
      <c r="N36" s="80"/>
      <c r="O36" s="80"/>
      <c r="P36" s="80"/>
      <c r="Q36" s="80"/>
      <c r="R36" s="91" t="str">
        <f t="shared" si="0"/>
        <v/>
      </c>
      <c r="S36" s="92" t="str">
        <f t="shared" si="2"/>
        <v/>
      </c>
      <c r="T36" s="4"/>
      <c r="U36" s="4"/>
      <c r="V36" s="4"/>
      <c r="W36" s="4"/>
      <c r="X36" s="4"/>
      <c r="Y36" s="4"/>
      <c r="Z36" s="4"/>
      <c r="AA36" s="4"/>
      <c r="AB36" s="4"/>
      <c r="AC36" s="4"/>
      <c r="AD36" s="4"/>
    </row>
    <row r="37" spans="1:30" ht="15">
      <c r="A37" s="4"/>
      <c r="B37" s="85">
        <v>23</v>
      </c>
      <c r="C37" s="317" t="str">
        <f>IF('INPUT DATA'!L33="","",'INPUT DATA'!L33)</f>
        <v/>
      </c>
      <c r="D37" s="318"/>
      <c r="E37" s="319"/>
      <c r="F37" s="320" t="str">
        <f>IF('INPUT DATA'!M33="","",'INPUT DATA'!M33)</f>
        <v/>
      </c>
      <c r="G37" s="321"/>
      <c r="H37" s="94" t="str">
        <f>IF('INPUT DATA'!N33="","",'INPUT DATA'!N33)</f>
        <v/>
      </c>
      <c r="I37" s="223" t="str">
        <f t="shared" ca="1" si="1"/>
        <v/>
      </c>
      <c r="J37" s="212"/>
      <c r="K37" s="208"/>
      <c r="L37" s="80"/>
      <c r="M37" s="80"/>
      <c r="N37" s="80"/>
      <c r="O37" s="80"/>
      <c r="P37" s="80"/>
      <c r="Q37" s="80"/>
      <c r="R37" s="91" t="str">
        <f t="shared" si="0"/>
        <v/>
      </c>
      <c r="S37" s="92" t="str">
        <f t="shared" si="2"/>
        <v/>
      </c>
      <c r="T37" s="4"/>
      <c r="U37" s="4"/>
      <c r="V37" s="4"/>
      <c r="W37" s="4"/>
      <c r="X37" s="4"/>
      <c r="Y37" s="4"/>
      <c r="Z37" s="4"/>
      <c r="AA37" s="4"/>
      <c r="AB37" s="4"/>
      <c r="AC37" s="4"/>
      <c r="AD37" s="4"/>
    </row>
    <row r="38" spans="1:30" ht="15">
      <c r="A38" s="4"/>
      <c r="B38" s="85">
        <v>24</v>
      </c>
      <c r="C38" s="317" t="str">
        <f>IF('INPUT DATA'!L34="","",'INPUT DATA'!L34)</f>
        <v/>
      </c>
      <c r="D38" s="318"/>
      <c r="E38" s="319"/>
      <c r="F38" s="320" t="str">
        <f>IF('INPUT DATA'!M34="","",'INPUT DATA'!M34)</f>
        <v/>
      </c>
      <c r="G38" s="321"/>
      <c r="H38" s="94" t="str">
        <f>IF('INPUT DATA'!N34="","",'INPUT DATA'!N34)</f>
        <v/>
      </c>
      <c r="I38" s="223" t="str">
        <f t="shared" ca="1" si="1"/>
        <v/>
      </c>
      <c r="J38" s="212"/>
      <c r="K38" s="208"/>
      <c r="L38" s="80"/>
      <c r="M38" s="80"/>
      <c r="N38" s="80"/>
      <c r="O38" s="80"/>
      <c r="P38" s="80"/>
      <c r="Q38" s="80"/>
      <c r="R38" s="91" t="str">
        <f t="shared" si="0"/>
        <v/>
      </c>
      <c r="S38" s="92" t="str">
        <f t="shared" si="2"/>
        <v/>
      </c>
      <c r="T38" s="4"/>
      <c r="U38" s="4"/>
      <c r="V38" s="4"/>
      <c r="W38" s="4"/>
      <c r="X38" s="4"/>
      <c r="Y38" s="4"/>
      <c r="Z38" s="4"/>
      <c r="AA38" s="4"/>
      <c r="AB38" s="4"/>
      <c r="AC38" s="4"/>
      <c r="AD38" s="4"/>
    </row>
    <row r="39" spans="1:30" ht="15">
      <c r="A39" s="4"/>
      <c r="B39" s="85">
        <v>25</v>
      </c>
      <c r="C39" s="317" t="str">
        <f>IF('INPUT DATA'!L35="","",'INPUT DATA'!L35)</f>
        <v/>
      </c>
      <c r="D39" s="318"/>
      <c r="E39" s="319"/>
      <c r="F39" s="320" t="str">
        <f>IF('INPUT DATA'!M35="","",'INPUT DATA'!M35)</f>
        <v/>
      </c>
      <c r="G39" s="321"/>
      <c r="H39" s="94" t="str">
        <f>IF('INPUT DATA'!N35="","",'INPUT DATA'!N35)</f>
        <v/>
      </c>
      <c r="I39" s="223" t="str">
        <f t="shared" ca="1" si="1"/>
        <v/>
      </c>
      <c r="J39" s="212"/>
      <c r="K39" s="208"/>
      <c r="L39" s="80"/>
      <c r="M39" s="80"/>
      <c r="N39" s="80"/>
      <c r="O39" s="80"/>
      <c r="P39" s="80"/>
      <c r="Q39" s="80"/>
      <c r="R39" s="91" t="str">
        <f t="shared" si="0"/>
        <v/>
      </c>
      <c r="S39" s="92" t="str">
        <f t="shared" si="2"/>
        <v/>
      </c>
      <c r="T39" s="4"/>
      <c r="U39" s="4"/>
      <c r="V39" s="4"/>
      <c r="W39" s="4"/>
      <c r="X39" s="4"/>
      <c r="Y39" s="4"/>
      <c r="Z39" s="4"/>
      <c r="AA39" s="4"/>
      <c r="AB39" s="4"/>
      <c r="AC39" s="4"/>
      <c r="AD39" s="4"/>
    </row>
    <row r="40" spans="1:30" ht="15">
      <c r="A40" s="4"/>
      <c r="B40" s="85">
        <v>26</v>
      </c>
      <c r="C40" s="317" t="str">
        <f>IF('INPUT DATA'!L36="","",'INPUT DATA'!L36)</f>
        <v/>
      </c>
      <c r="D40" s="318"/>
      <c r="E40" s="319"/>
      <c r="F40" s="320" t="str">
        <f>IF('INPUT DATA'!M36="","",'INPUT DATA'!M36)</f>
        <v/>
      </c>
      <c r="G40" s="321"/>
      <c r="H40" s="94" t="str">
        <f>IF('INPUT DATA'!N36="","",'INPUT DATA'!N36)</f>
        <v/>
      </c>
      <c r="I40" s="223" t="str">
        <f t="shared" ca="1" si="1"/>
        <v/>
      </c>
      <c r="J40" s="212"/>
      <c r="K40" s="208"/>
      <c r="L40" s="80"/>
      <c r="M40" s="80"/>
      <c r="N40" s="80"/>
      <c r="O40" s="80"/>
      <c r="P40" s="80"/>
      <c r="Q40" s="80"/>
      <c r="R40" s="91" t="str">
        <f t="shared" si="0"/>
        <v/>
      </c>
      <c r="S40" s="92" t="str">
        <f t="shared" si="2"/>
        <v/>
      </c>
      <c r="T40" s="4"/>
      <c r="U40" s="4"/>
      <c r="V40" s="4"/>
      <c r="W40" s="4"/>
      <c r="X40" s="4"/>
      <c r="Y40" s="4"/>
      <c r="Z40" s="4"/>
      <c r="AA40" s="4"/>
      <c r="AB40" s="4"/>
      <c r="AC40" s="4"/>
      <c r="AD40" s="4"/>
    </row>
    <row r="41" spans="1:30" ht="15">
      <c r="A41" s="4"/>
      <c r="B41" s="85">
        <v>27</v>
      </c>
      <c r="C41" s="317" t="str">
        <f>IF('INPUT DATA'!L37="","",'INPUT DATA'!L37)</f>
        <v/>
      </c>
      <c r="D41" s="318"/>
      <c r="E41" s="319"/>
      <c r="F41" s="320" t="str">
        <f>IF('INPUT DATA'!M37="","",'INPUT DATA'!M37)</f>
        <v/>
      </c>
      <c r="G41" s="321"/>
      <c r="H41" s="94" t="str">
        <f>IF('INPUT DATA'!N37="","",'INPUT DATA'!N37)</f>
        <v/>
      </c>
      <c r="I41" s="223" t="str">
        <f t="shared" ca="1" si="1"/>
        <v/>
      </c>
      <c r="J41" s="212"/>
      <c r="K41" s="208"/>
      <c r="L41" s="80"/>
      <c r="M41" s="80"/>
      <c r="N41" s="80"/>
      <c r="O41" s="80"/>
      <c r="P41" s="80"/>
      <c r="Q41" s="80"/>
      <c r="R41" s="91" t="str">
        <f t="shared" si="0"/>
        <v/>
      </c>
      <c r="S41" s="92" t="str">
        <f t="shared" si="2"/>
        <v/>
      </c>
      <c r="T41" s="4"/>
      <c r="U41" s="4"/>
      <c r="V41" s="4"/>
      <c r="W41" s="4"/>
      <c r="X41" s="4"/>
      <c r="Y41" s="4"/>
      <c r="Z41" s="4"/>
      <c r="AA41" s="4"/>
      <c r="AB41" s="4"/>
      <c r="AC41" s="4"/>
      <c r="AD41" s="4"/>
    </row>
    <row r="42" spans="1:30" ht="15">
      <c r="A42" s="4"/>
      <c r="B42" s="85">
        <v>28</v>
      </c>
      <c r="C42" s="317" t="str">
        <f>IF('INPUT DATA'!L38="","",'INPUT DATA'!L38)</f>
        <v/>
      </c>
      <c r="D42" s="318"/>
      <c r="E42" s="319"/>
      <c r="F42" s="320" t="str">
        <f>IF('INPUT DATA'!M38="","",'INPUT DATA'!M38)</f>
        <v/>
      </c>
      <c r="G42" s="321"/>
      <c r="H42" s="94" t="str">
        <f>IF('INPUT DATA'!N38="","",'INPUT DATA'!N38)</f>
        <v/>
      </c>
      <c r="I42" s="223" t="str">
        <f t="shared" ca="1" si="1"/>
        <v/>
      </c>
      <c r="J42" s="212"/>
      <c r="K42" s="208"/>
      <c r="L42" s="80"/>
      <c r="M42" s="80"/>
      <c r="N42" s="80"/>
      <c r="O42" s="80"/>
      <c r="P42" s="80"/>
      <c r="Q42" s="80"/>
      <c r="R42" s="91" t="str">
        <f t="shared" si="0"/>
        <v/>
      </c>
      <c r="S42" s="92" t="str">
        <f t="shared" si="2"/>
        <v/>
      </c>
      <c r="T42" s="4"/>
      <c r="U42" s="4"/>
      <c r="V42" s="4"/>
      <c r="W42" s="4"/>
      <c r="X42" s="4"/>
      <c r="Y42" s="4"/>
      <c r="Z42" s="4"/>
      <c r="AA42" s="4"/>
      <c r="AB42" s="4"/>
      <c r="AC42" s="4"/>
      <c r="AD42" s="4"/>
    </row>
    <row r="43" spans="1:30" ht="15">
      <c r="A43" s="4"/>
      <c r="B43" s="85">
        <v>29</v>
      </c>
      <c r="C43" s="317" t="str">
        <f>IF('INPUT DATA'!L39="","",'INPUT DATA'!L39)</f>
        <v/>
      </c>
      <c r="D43" s="318"/>
      <c r="E43" s="319"/>
      <c r="F43" s="320" t="str">
        <f>IF('INPUT DATA'!M39="","",'INPUT DATA'!M39)</f>
        <v/>
      </c>
      <c r="G43" s="321"/>
      <c r="H43" s="94" t="str">
        <f>IF('INPUT DATA'!N39="","",'INPUT DATA'!N39)</f>
        <v/>
      </c>
      <c r="I43" s="223" t="str">
        <f t="shared" ca="1" si="1"/>
        <v/>
      </c>
      <c r="J43" s="212"/>
      <c r="K43" s="208"/>
      <c r="L43" s="80"/>
      <c r="M43" s="80"/>
      <c r="N43" s="80"/>
      <c r="O43" s="80"/>
      <c r="P43" s="80"/>
      <c r="Q43" s="80"/>
      <c r="R43" s="91" t="str">
        <f t="shared" si="0"/>
        <v/>
      </c>
      <c r="S43" s="92" t="str">
        <f t="shared" si="2"/>
        <v/>
      </c>
      <c r="T43" s="4"/>
      <c r="U43" s="4"/>
      <c r="V43" s="4"/>
      <c r="W43" s="4"/>
      <c r="X43" s="4"/>
      <c r="Y43" s="4"/>
      <c r="Z43" s="4"/>
      <c r="AA43" s="4"/>
      <c r="AB43" s="4"/>
      <c r="AC43" s="4"/>
      <c r="AD43" s="4"/>
    </row>
    <row r="44" spans="1:30" ht="15">
      <c r="A44" s="4"/>
      <c r="B44" s="85">
        <v>30</v>
      </c>
      <c r="C44" s="317" t="str">
        <f>IF('INPUT DATA'!L40="","",'INPUT DATA'!L40)</f>
        <v/>
      </c>
      <c r="D44" s="318"/>
      <c r="E44" s="319"/>
      <c r="F44" s="320" t="str">
        <f>IF('INPUT DATA'!M40="","",'INPUT DATA'!M40)</f>
        <v/>
      </c>
      <c r="G44" s="321"/>
      <c r="H44" s="94" t="str">
        <f>IF('INPUT DATA'!N40="","",'INPUT DATA'!N40)</f>
        <v/>
      </c>
      <c r="I44" s="223" t="str">
        <f t="shared" ca="1" si="1"/>
        <v/>
      </c>
      <c r="J44" s="212"/>
      <c r="K44" s="208"/>
      <c r="L44" s="80"/>
      <c r="M44" s="80"/>
      <c r="N44" s="80"/>
      <c r="O44" s="80"/>
      <c r="P44" s="80"/>
      <c r="Q44" s="80"/>
      <c r="R44" s="91" t="str">
        <f t="shared" si="0"/>
        <v/>
      </c>
      <c r="S44" s="92" t="str">
        <f t="shared" si="2"/>
        <v/>
      </c>
      <c r="T44" s="4"/>
      <c r="U44" s="4"/>
      <c r="V44" s="4"/>
      <c r="W44" s="4"/>
      <c r="X44" s="4"/>
      <c r="Y44" s="4"/>
      <c r="Z44" s="4"/>
      <c r="AA44" s="4"/>
      <c r="AB44" s="4"/>
      <c r="AC44" s="4"/>
      <c r="AD44" s="4"/>
    </row>
    <row r="45" spans="1:30" ht="15">
      <c r="A45" s="4"/>
      <c r="B45" s="85">
        <v>31</v>
      </c>
      <c r="C45" s="317" t="str">
        <f>IF('INPUT DATA'!L41="","",'INPUT DATA'!L41)</f>
        <v/>
      </c>
      <c r="D45" s="318"/>
      <c r="E45" s="319"/>
      <c r="F45" s="320" t="str">
        <f>IF('INPUT DATA'!M41="","",'INPUT DATA'!M41)</f>
        <v/>
      </c>
      <c r="G45" s="321"/>
      <c r="H45" s="94" t="str">
        <f>IF('INPUT DATA'!N41="","",'INPUT DATA'!N41)</f>
        <v/>
      </c>
      <c r="I45" s="223" t="str">
        <f t="shared" ca="1" si="1"/>
        <v/>
      </c>
      <c r="J45" s="212"/>
      <c r="K45" s="208"/>
      <c r="L45" s="80"/>
      <c r="M45" s="80"/>
      <c r="N45" s="80"/>
      <c r="O45" s="80"/>
      <c r="P45" s="80"/>
      <c r="Q45" s="80"/>
      <c r="R45" s="91" t="str">
        <f t="shared" si="0"/>
        <v/>
      </c>
      <c r="S45" s="92" t="str">
        <f t="shared" si="2"/>
        <v/>
      </c>
      <c r="T45" s="4"/>
      <c r="U45" s="4"/>
      <c r="V45" s="4"/>
      <c r="W45" s="4"/>
      <c r="X45" s="4"/>
      <c r="Y45" s="4"/>
      <c r="Z45" s="4"/>
      <c r="AA45" s="4"/>
      <c r="AB45" s="4"/>
      <c r="AC45" s="4"/>
      <c r="AD45" s="4"/>
    </row>
    <row r="46" spans="1:30" ht="15">
      <c r="A46" s="4"/>
      <c r="B46" s="85">
        <v>32</v>
      </c>
      <c r="C46" s="317" t="str">
        <f>IF('INPUT DATA'!L42="","",'INPUT DATA'!L42)</f>
        <v/>
      </c>
      <c r="D46" s="318"/>
      <c r="E46" s="319"/>
      <c r="F46" s="320" t="str">
        <f>IF('INPUT DATA'!M42="","",'INPUT DATA'!M42)</f>
        <v/>
      </c>
      <c r="G46" s="321"/>
      <c r="H46" s="94" t="str">
        <f>IF('INPUT DATA'!N42="","",'INPUT DATA'!N42)</f>
        <v/>
      </c>
      <c r="I46" s="223" t="str">
        <f t="shared" ca="1" si="1"/>
        <v/>
      </c>
      <c r="J46" s="212"/>
      <c r="K46" s="208"/>
      <c r="L46" s="80"/>
      <c r="M46" s="80"/>
      <c r="N46" s="80"/>
      <c r="O46" s="80"/>
      <c r="P46" s="80"/>
      <c r="Q46" s="80"/>
      <c r="R46" s="91" t="str">
        <f t="shared" si="0"/>
        <v/>
      </c>
      <c r="S46" s="92" t="str">
        <f t="shared" si="2"/>
        <v/>
      </c>
      <c r="T46" s="4"/>
      <c r="U46" s="4"/>
      <c r="V46" s="4"/>
      <c r="W46" s="4"/>
      <c r="X46" s="4"/>
      <c r="Y46" s="4"/>
      <c r="Z46" s="4"/>
      <c r="AA46" s="4"/>
      <c r="AB46" s="4"/>
      <c r="AC46" s="4"/>
      <c r="AD46" s="4"/>
    </row>
    <row r="47" spans="1:30" ht="15">
      <c r="A47" s="4"/>
      <c r="B47" s="85">
        <v>33</v>
      </c>
      <c r="C47" s="317" t="str">
        <f>IF('INPUT DATA'!L43="","",'INPUT DATA'!L43)</f>
        <v/>
      </c>
      <c r="D47" s="318"/>
      <c r="E47" s="319"/>
      <c r="F47" s="320" t="str">
        <f>IF('INPUT DATA'!M43="","",'INPUT DATA'!M43)</f>
        <v/>
      </c>
      <c r="G47" s="321"/>
      <c r="H47" s="94" t="str">
        <f>IF('INPUT DATA'!N43="","",'INPUT DATA'!N43)</f>
        <v/>
      </c>
      <c r="I47" s="223" t="str">
        <f t="shared" ca="1" si="1"/>
        <v/>
      </c>
      <c r="J47" s="212"/>
      <c r="K47" s="208"/>
      <c r="L47" s="80"/>
      <c r="M47" s="80"/>
      <c r="N47" s="80"/>
      <c r="O47" s="80"/>
      <c r="P47" s="80"/>
      <c r="Q47" s="80"/>
      <c r="R47" s="91" t="str">
        <f t="shared" si="0"/>
        <v/>
      </c>
      <c r="S47" s="92" t="str">
        <f t="shared" si="2"/>
        <v/>
      </c>
      <c r="T47" s="4"/>
      <c r="U47" s="4"/>
      <c r="V47" s="4"/>
      <c r="W47" s="4"/>
      <c r="X47" s="4"/>
      <c r="Y47" s="4"/>
      <c r="Z47" s="4"/>
      <c r="AA47" s="4"/>
      <c r="AB47" s="4"/>
      <c r="AC47" s="4"/>
      <c r="AD47" s="4"/>
    </row>
    <row r="48" spans="1:30" ht="15">
      <c r="A48" s="4"/>
      <c r="B48" s="85">
        <v>34</v>
      </c>
      <c r="C48" s="317" t="str">
        <f>IF('INPUT DATA'!L44="","",'INPUT DATA'!L44)</f>
        <v/>
      </c>
      <c r="D48" s="318"/>
      <c r="E48" s="319"/>
      <c r="F48" s="320" t="str">
        <f>IF('INPUT DATA'!M44="","",'INPUT DATA'!M44)</f>
        <v/>
      </c>
      <c r="G48" s="321"/>
      <c r="H48" s="94" t="str">
        <f>IF('INPUT DATA'!N44="","",'INPUT DATA'!N44)</f>
        <v/>
      </c>
      <c r="I48" s="223" t="str">
        <f t="shared" ca="1" si="1"/>
        <v/>
      </c>
      <c r="J48" s="212"/>
      <c r="K48" s="208"/>
      <c r="L48" s="80"/>
      <c r="M48" s="80"/>
      <c r="N48" s="80"/>
      <c r="O48" s="80"/>
      <c r="P48" s="80"/>
      <c r="Q48" s="80"/>
      <c r="R48" s="91" t="str">
        <f t="shared" si="0"/>
        <v/>
      </c>
      <c r="S48" s="92" t="str">
        <f t="shared" si="2"/>
        <v/>
      </c>
      <c r="T48" s="4"/>
      <c r="U48" s="4"/>
      <c r="V48" s="4"/>
      <c r="W48" s="4"/>
      <c r="X48" s="4"/>
      <c r="Y48" s="4"/>
      <c r="Z48" s="4"/>
      <c r="AA48" s="4"/>
      <c r="AB48" s="4"/>
      <c r="AC48" s="4"/>
      <c r="AD48" s="4"/>
    </row>
    <row r="49" spans="1:30" ht="15">
      <c r="A49" s="4"/>
      <c r="B49" s="85">
        <v>35</v>
      </c>
      <c r="C49" s="317" t="str">
        <f>IF('INPUT DATA'!L45="","",'INPUT DATA'!L45)</f>
        <v/>
      </c>
      <c r="D49" s="318"/>
      <c r="E49" s="319"/>
      <c r="F49" s="320" t="str">
        <f>IF('INPUT DATA'!M45="","",'INPUT DATA'!M45)</f>
        <v/>
      </c>
      <c r="G49" s="321"/>
      <c r="H49" s="94" t="str">
        <f>IF('INPUT DATA'!N45="","",'INPUT DATA'!N45)</f>
        <v/>
      </c>
      <c r="I49" s="223" t="str">
        <f t="shared" ca="1" si="1"/>
        <v/>
      </c>
      <c r="J49" s="212"/>
      <c r="K49" s="208"/>
      <c r="L49" s="80"/>
      <c r="M49" s="80"/>
      <c r="N49" s="80"/>
      <c r="O49" s="80"/>
      <c r="P49" s="80"/>
      <c r="Q49" s="80"/>
      <c r="R49" s="91" t="str">
        <f t="shared" si="0"/>
        <v/>
      </c>
      <c r="S49" s="92" t="str">
        <f t="shared" si="2"/>
        <v/>
      </c>
      <c r="T49" s="4"/>
      <c r="U49" s="4"/>
      <c r="V49" s="4"/>
      <c r="W49" s="4"/>
      <c r="X49" s="4"/>
      <c r="Y49" s="4"/>
      <c r="Z49" s="4"/>
      <c r="AA49" s="4"/>
      <c r="AB49" s="4"/>
      <c r="AC49" s="4"/>
      <c r="AD49" s="4"/>
    </row>
    <row r="50" spans="1:30" ht="15">
      <c r="A50" s="4"/>
      <c r="B50" s="85">
        <v>36</v>
      </c>
      <c r="C50" s="317" t="str">
        <f>IF('INPUT DATA'!L46="","",'INPUT DATA'!L46)</f>
        <v/>
      </c>
      <c r="D50" s="318"/>
      <c r="E50" s="319"/>
      <c r="F50" s="320" t="str">
        <f>IF('INPUT DATA'!M46="","",'INPUT DATA'!M46)</f>
        <v/>
      </c>
      <c r="G50" s="321"/>
      <c r="H50" s="94" t="str">
        <f>IF('INPUT DATA'!N46="","",'INPUT DATA'!N46)</f>
        <v/>
      </c>
      <c r="I50" s="223" t="str">
        <f t="shared" ca="1" si="1"/>
        <v/>
      </c>
      <c r="J50" s="212"/>
      <c r="K50" s="208"/>
      <c r="L50" s="80"/>
      <c r="M50" s="80"/>
      <c r="N50" s="80"/>
      <c r="O50" s="80"/>
      <c r="P50" s="80"/>
      <c r="Q50" s="80"/>
      <c r="R50" s="91" t="str">
        <f t="shared" si="0"/>
        <v/>
      </c>
      <c r="S50" s="92" t="str">
        <f t="shared" si="2"/>
        <v/>
      </c>
      <c r="T50" s="4"/>
      <c r="U50" s="4"/>
      <c r="V50" s="4"/>
      <c r="W50" s="4"/>
      <c r="X50" s="4"/>
      <c r="Y50" s="4"/>
      <c r="Z50" s="4"/>
      <c r="AA50" s="4"/>
      <c r="AB50" s="4"/>
      <c r="AC50" s="4"/>
      <c r="AD50" s="4"/>
    </row>
    <row r="51" spans="1:30" ht="15">
      <c r="A51" s="4"/>
      <c r="B51" s="85">
        <v>37</v>
      </c>
      <c r="C51" s="317" t="str">
        <f>IF('INPUT DATA'!L47="","",'INPUT DATA'!L47)</f>
        <v/>
      </c>
      <c r="D51" s="318"/>
      <c r="E51" s="319"/>
      <c r="F51" s="320" t="str">
        <f>IF('INPUT DATA'!M47="","",'INPUT DATA'!M47)</f>
        <v/>
      </c>
      <c r="G51" s="321"/>
      <c r="H51" s="94" t="str">
        <f>IF('INPUT DATA'!N47="","",'INPUT DATA'!N47)</f>
        <v/>
      </c>
      <c r="I51" s="223" t="str">
        <f t="shared" ca="1" si="1"/>
        <v/>
      </c>
      <c r="J51" s="212"/>
      <c r="K51" s="208"/>
      <c r="L51" s="80"/>
      <c r="M51" s="80"/>
      <c r="N51" s="80"/>
      <c r="O51" s="80"/>
      <c r="P51" s="80"/>
      <c r="Q51" s="80"/>
      <c r="R51" s="91" t="str">
        <f t="shared" si="0"/>
        <v/>
      </c>
      <c r="S51" s="92" t="str">
        <f t="shared" si="2"/>
        <v/>
      </c>
      <c r="T51" s="4"/>
      <c r="U51" s="4"/>
      <c r="V51" s="4"/>
      <c r="W51" s="4"/>
      <c r="X51" s="4"/>
      <c r="Y51" s="4"/>
      <c r="Z51" s="4"/>
      <c r="AA51" s="4"/>
      <c r="AB51" s="4"/>
      <c r="AC51" s="4"/>
      <c r="AD51" s="4"/>
    </row>
    <row r="52" spans="1:30" ht="15">
      <c r="A52" s="4"/>
      <c r="B52" s="85">
        <v>38</v>
      </c>
      <c r="C52" s="317" t="str">
        <f>IF('INPUT DATA'!L48="","",'INPUT DATA'!L48)</f>
        <v/>
      </c>
      <c r="D52" s="318"/>
      <c r="E52" s="319"/>
      <c r="F52" s="320" t="str">
        <f>IF('INPUT DATA'!M48="","",'INPUT DATA'!M48)</f>
        <v/>
      </c>
      <c r="G52" s="321"/>
      <c r="H52" s="94" t="str">
        <f>IF('INPUT DATA'!N48="","",'INPUT DATA'!N48)</f>
        <v/>
      </c>
      <c r="I52" s="223" t="str">
        <f t="shared" ca="1" si="1"/>
        <v/>
      </c>
      <c r="J52" s="212"/>
      <c r="K52" s="208"/>
      <c r="L52" s="80"/>
      <c r="M52" s="80"/>
      <c r="N52" s="80"/>
      <c r="O52" s="80"/>
      <c r="P52" s="80"/>
      <c r="Q52" s="80"/>
      <c r="R52" s="91" t="str">
        <f t="shared" si="0"/>
        <v/>
      </c>
      <c r="S52" s="92" t="str">
        <f t="shared" si="2"/>
        <v/>
      </c>
      <c r="T52" s="4"/>
      <c r="U52" s="4"/>
      <c r="V52" s="4"/>
      <c r="W52" s="4"/>
      <c r="X52" s="4"/>
      <c r="Y52" s="4"/>
      <c r="Z52" s="4"/>
      <c r="AA52" s="4"/>
      <c r="AB52" s="4"/>
      <c r="AC52" s="4"/>
      <c r="AD52" s="4"/>
    </row>
    <row r="53" spans="1:30" ht="15">
      <c r="A53" s="4"/>
      <c r="B53" s="85">
        <v>39</v>
      </c>
      <c r="C53" s="317" t="str">
        <f>IF('INPUT DATA'!L49="","",'INPUT DATA'!L49)</f>
        <v/>
      </c>
      <c r="D53" s="318"/>
      <c r="E53" s="319"/>
      <c r="F53" s="320" t="str">
        <f>IF('INPUT DATA'!M49="","",'INPUT DATA'!M49)</f>
        <v/>
      </c>
      <c r="G53" s="321"/>
      <c r="H53" s="94" t="str">
        <f>IF('INPUT DATA'!N49="","",'INPUT DATA'!N49)</f>
        <v/>
      </c>
      <c r="I53" s="223" t="str">
        <f t="shared" ca="1" si="1"/>
        <v/>
      </c>
      <c r="J53" s="212"/>
      <c r="K53" s="208"/>
      <c r="L53" s="80"/>
      <c r="M53" s="80"/>
      <c r="N53" s="80"/>
      <c r="O53" s="80"/>
      <c r="P53" s="80"/>
      <c r="Q53" s="80"/>
      <c r="R53" s="91" t="str">
        <f t="shared" si="0"/>
        <v/>
      </c>
      <c r="S53" s="92" t="str">
        <f t="shared" si="2"/>
        <v/>
      </c>
      <c r="T53" s="4"/>
      <c r="U53" s="4"/>
      <c r="V53" s="4"/>
      <c r="W53" s="4"/>
      <c r="X53" s="4"/>
      <c r="Y53" s="4"/>
      <c r="Z53" s="4"/>
      <c r="AA53" s="4"/>
      <c r="AB53" s="4"/>
      <c r="AC53" s="4"/>
      <c r="AD53" s="4"/>
    </row>
    <row r="54" spans="1:30" ht="15">
      <c r="A54" s="4"/>
      <c r="B54" s="85">
        <v>40</v>
      </c>
      <c r="C54" s="317" t="str">
        <f>IF('INPUT DATA'!L50="","",'INPUT DATA'!L50)</f>
        <v/>
      </c>
      <c r="D54" s="318"/>
      <c r="E54" s="319"/>
      <c r="F54" s="320" t="str">
        <f>IF('INPUT DATA'!M50="","",'INPUT DATA'!M50)</f>
        <v/>
      </c>
      <c r="G54" s="321"/>
      <c r="H54" s="94" t="str">
        <f>IF('INPUT DATA'!N50="","",'INPUT DATA'!N50)</f>
        <v/>
      </c>
      <c r="I54" s="223" t="str">
        <f t="shared" ca="1" si="1"/>
        <v/>
      </c>
      <c r="J54" s="212"/>
      <c r="K54" s="208"/>
      <c r="L54" s="80"/>
      <c r="M54" s="80"/>
      <c r="N54" s="80"/>
      <c r="O54" s="80"/>
      <c r="P54" s="80"/>
      <c r="Q54" s="80"/>
      <c r="R54" s="91" t="str">
        <f t="shared" si="0"/>
        <v/>
      </c>
      <c r="S54" s="92" t="str">
        <f t="shared" si="2"/>
        <v/>
      </c>
      <c r="T54" s="4"/>
      <c r="U54" s="4"/>
      <c r="V54" s="4"/>
      <c r="W54" s="4"/>
      <c r="X54" s="4"/>
      <c r="Y54" s="4"/>
      <c r="Z54" s="4"/>
      <c r="AA54" s="4"/>
      <c r="AB54" s="4"/>
      <c r="AC54" s="4"/>
      <c r="AD54" s="4"/>
    </row>
    <row r="55" spans="1:30" ht="15">
      <c r="A55" s="4"/>
      <c r="B55" s="85">
        <v>41</v>
      </c>
      <c r="C55" s="317" t="str">
        <f>IF('INPUT DATA'!L51="","",'INPUT DATA'!L51)</f>
        <v/>
      </c>
      <c r="D55" s="318"/>
      <c r="E55" s="319"/>
      <c r="F55" s="320" t="str">
        <f>IF('INPUT DATA'!M51="","",'INPUT DATA'!M51)</f>
        <v/>
      </c>
      <c r="G55" s="321"/>
      <c r="H55" s="94" t="str">
        <f>IF('INPUT DATA'!N51="","",'INPUT DATA'!N51)</f>
        <v/>
      </c>
      <c r="I55" s="223" t="str">
        <f t="shared" ca="1" si="1"/>
        <v/>
      </c>
      <c r="J55" s="212"/>
      <c r="K55" s="208"/>
      <c r="L55" s="80"/>
      <c r="M55" s="80"/>
      <c r="N55" s="80"/>
      <c r="O55" s="80"/>
      <c r="P55" s="80"/>
      <c r="Q55" s="80"/>
      <c r="R55" s="91" t="str">
        <f t="shared" si="0"/>
        <v/>
      </c>
      <c r="S55" s="92" t="str">
        <f t="shared" si="2"/>
        <v/>
      </c>
      <c r="T55" s="4"/>
      <c r="U55" s="4"/>
      <c r="V55" s="4"/>
      <c r="W55" s="4"/>
      <c r="X55" s="4"/>
      <c r="Y55" s="4"/>
      <c r="Z55" s="4"/>
      <c r="AA55" s="4"/>
      <c r="AB55" s="4"/>
      <c r="AC55" s="4"/>
      <c r="AD55" s="4"/>
    </row>
    <row r="56" spans="1:30" ht="15">
      <c r="A56" s="4"/>
      <c r="B56" s="85">
        <v>42</v>
      </c>
      <c r="C56" s="317" t="str">
        <f>IF('INPUT DATA'!L52="","",'INPUT DATA'!L52)</f>
        <v/>
      </c>
      <c r="D56" s="318"/>
      <c r="E56" s="319"/>
      <c r="F56" s="320" t="str">
        <f>IF('INPUT DATA'!M52="","",'INPUT DATA'!M52)</f>
        <v/>
      </c>
      <c r="G56" s="321"/>
      <c r="H56" s="94" t="str">
        <f>IF('INPUT DATA'!N52="","",'INPUT DATA'!N52)</f>
        <v/>
      </c>
      <c r="I56" s="223" t="str">
        <f t="shared" ca="1" si="1"/>
        <v/>
      </c>
      <c r="J56" s="212"/>
      <c r="K56" s="208"/>
      <c r="L56" s="80"/>
      <c r="M56" s="80"/>
      <c r="N56" s="80"/>
      <c r="O56" s="80"/>
      <c r="P56" s="80"/>
      <c r="Q56" s="80"/>
      <c r="R56" s="91" t="str">
        <f t="shared" si="0"/>
        <v/>
      </c>
      <c r="S56" s="92" t="str">
        <f t="shared" si="2"/>
        <v/>
      </c>
      <c r="T56" s="4"/>
      <c r="U56" s="4"/>
      <c r="V56" s="4"/>
      <c r="W56" s="4"/>
      <c r="X56" s="4"/>
      <c r="Y56" s="4"/>
      <c r="Z56" s="4"/>
      <c r="AA56" s="4"/>
      <c r="AB56" s="4"/>
      <c r="AC56" s="4"/>
      <c r="AD56" s="4"/>
    </row>
    <row r="57" spans="1:30" ht="15">
      <c r="A57" s="4"/>
      <c r="B57" s="85">
        <v>43</v>
      </c>
      <c r="C57" s="317" t="str">
        <f>IF('INPUT DATA'!L53="","",'INPUT DATA'!L53)</f>
        <v/>
      </c>
      <c r="D57" s="318"/>
      <c r="E57" s="319"/>
      <c r="F57" s="320" t="str">
        <f>IF('INPUT DATA'!M53="","",'INPUT DATA'!M53)</f>
        <v/>
      </c>
      <c r="G57" s="321"/>
      <c r="H57" s="94" t="str">
        <f>IF('INPUT DATA'!N53="","",'INPUT DATA'!N53)</f>
        <v/>
      </c>
      <c r="I57" s="223" t="str">
        <f t="shared" ca="1" si="1"/>
        <v/>
      </c>
      <c r="J57" s="212"/>
      <c r="K57" s="208"/>
      <c r="L57" s="80"/>
      <c r="M57" s="80"/>
      <c r="N57" s="80"/>
      <c r="O57" s="80"/>
      <c r="P57" s="80"/>
      <c r="Q57" s="80"/>
      <c r="R57" s="91" t="str">
        <f t="shared" si="0"/>
        <v/>
      </c>
      <c r="S57" s="92" t="str">
        <f t="shared" si="2"/>
        <v/>
      </c>
      <c r="T57" s="4"/>
      <c r="U57" s="4"/>
      <c r="V57" s="4"/>
      <c r="W57" s="4"/>
      <c r="X57" s="4"/>
      <c r="Y57" s="4"/>
      <c r="Z57" s="4"/>
      <c r="AA57" s="4"/>
      <c r="AB57" s="4"/>
      <c r="AC57" s="4"/>
      <c r="AD57" s="4"/>
    </row>
    <row r="58" spans="1:30" ht="15">
      <c r="A58" s="4"/>
      <c r="B58" s="85">
        <v>44</v>
      </c>
      <c r="C58" s="317" t="str">
        <f>IF('INPUT DATA'!L54="","",'INPUT DATA'!L54)</f>
        <v/>
      </c>
      <c r="D58" s="318"/>
      <c r="E58" s="319"/>
      <c r="F58" s="320" t="str">
        <f>IF('INPUT DATA'!M54="","",'INPUT DATA'!M54)</f>
        <v/>
      </c>
      <c r="G58" s="321"/>
      <c r="H58" s="94" t="str">
        <f>IF('INPUT DATA'!N54="","",'INPUT DATA'!N54)</f>
        <v/>
      </c>
      <c r="I58" s="223" t="str">
        <f t="shared" ca="1" si="1"/>
        <v/>
      </c>
      <c r="J58" s="212"/>
      <c r="K58" s="208"/>
      <c r="L58" s="80"/>
      <c r="M58" s="80"/>
      <c r="N58" s="80"/>
      <c r="O58" s="80"/>
      <c r="P58" s="80"/>
      <c r="Q58" s="80"/>
      <c r="R58" s="91" t="str">
        <f t="shared" si="0"/>
        <v/>
      </c>
      <c r="S58" s="92" t="str">
        <f t="shared" si="2"/>
        <v/>
      </c>
      <c r="T58" s="4"/>
      <c r="U58" s="4"/>
      <c r="V58" s="4"/>
      <c r="W58" s="4"/>
      <c r="X58" s="4"/>
      <c r="Y58" s="4"/>
      <c r="Z58" s="4"/>
      <c r="AA58" s="4"/>
      <c r="AB58" s="4"/>
      <c r="AC58" s="4"/>
      <c r="AD58" s="4"/>
    </row>
    <row r="59" spans="1:30" ht="15">
      <c r="A59" s="4"/>
      <c r="B59" s="85">
        <v>45</v>
      </c>
      <c r="C59" s="317" t="str">
        <f>IF('INPUT DATA'!L55="","",'INPUT DATA'!L55)</f>
        <v/>
      </c>
      <c r="D59" s="318"/>
      <c r="E59" s="319"/>
      <c r="F59" s="320" t="str">
        <f>IF('INPUT DATA'!M55="","",'INPUT DATA'!M55)</f>
        <v/>
      </c>
      <c r="G59" s="321"/>
      <c r="H59" s="94" t="str">
        <f>IF('INPUT DATA'!N55="","",'INPUT DATA'!N55)</f>
        <v/>
      </c>
      <c r="I59" s="223" t="str">
        <f t="shared" ca="1" si="1"/>
        <v/>
      </c>
      <c r="J59" s="212"/>
      <c r="K59" s="209"/>
      <c r="L59" s="81"/>
      <c r="M59" s="81"/>
      <c r="N59" s="81"/>
      <c r="O59" s="81"/>
      <c r="P59" s="81"/>
      <c r="Q59" s="81"/>
      <c r="R59" s="91" t="str">
        <f t="shared" si="0"/>
        <v/>
      </c>
      <c r="S59" s="92" t="str">
        <f t="shared" si="2"/>
        <v/>
      </c>
      <c r="T59" s="4"/>
      <c r="U59" s="4"/>
      <c r="V59" s="4"/>
      <c r="W59" s="4"/>
      <c r="X59" s="4"/>
      <c r="Y59" s="4"/>
      <c r="Z59" s="4"/>
      <c r="AA59" s="4"/>
      <c r="AB59" s="4"/>
      <c r="AC59" s="4"/>
      <c r="AD59" s="4"/>
    </row>
    <row r="60" spans="1:30" ht="15">
      <c r="A60" s="4"/>
      <c r="B60" s="85">
        <v>46</v>
      </c>
      <c r="C60" s="317" t="str">
        <f>IF('INPUT DATA'!L56="","",'INPUT DATA'!L56)</f>
        <v/>
      </c>
      <c r="D60" s="318"/>
      <c r="E60" s="319"/>
      <c r="F60" s="320" t="str">
        <f>IF('INPUT DATA'!M56="","",'INPUT DATA'!M56)</f>
        <v/>
      </c>
      <c r="G60" s="321"/>
      <c r="H60" s="94" t="str">
        <f>IF('INPUT DATA'!N56="","",'INPUT DATA'!N56)</f>
        <v/>
      </c>
      <c r="I60" s="223" t="str">
        <f t="shared" ca="1" si="1"/>
        <v/>
      </c>
      <c r="J60" s="212"/>
      <c r="K60" s="208"/>
      <c r="L60" s="80"/>
      <c r="M60" s="80"/>
      <c r="N60" s="80"/>
      <c r="O60" s="80"/>
      <c r="P60" s="80"/>
      <c r="Q60" s="80"/>
      <c r="R60" s="91" t="str">
        <f t="shared" si="0"/>
        <v/>
      </c>
      <c r="S60" s="92" t="str">
        <f t="shared" si="2"/>
        <v/>
      </c>
      <c r="T60" s="4"/>
      <c r="U60" s="4"/>
      <c r="V60" s="4"/>
      <c r="W60" s="4"/>
      <c r="X60" s="4"/>
      <c r="Y60" s="4"/>
      <c r="Z60" s="4"/>
      <c r="AA60" s="4"/>
      <c r="AB60" s="4"/>
      <c r="AC60" s="4"/>
      <c r="AD60" s="4"/>
    </row>
    <row r="61" spans="1:30" ht="15">
      <c r="A61" s="4"/>
      <c r="B61" s="85">
        <v>47</v>
      </c>
      <c r="C61" s="317" t="str">
        <f>IF('INPUT DATA'!L57="","",'INPUT DATA'!L57)</f>
        <v/>
      </c>
      <c r="D61" s="318"/>
      <c r="E61" s="319"/>
      <c r="F61" s="320" t="str">
        <f>IF('INPUT DATA'!M57="","",'INPUT DATA'!M57)</f>
        <v/>
      </c>
      <c r="G61" s="321"/>
      <c r="H61" s="94" t="str">
        <f>IF('INPUT DATA'!N57="","",'INPUT DATA'!N57)</f>
        <v/>
      </c>
      <c r="I61" s="223" t="str">
        <f t="shared" ca="1" si="1"/>
        <v/>
      </c>
      <c r="J61" s="212"/>
      <c r="K61" s="208"/>
      <c r="L61" s="80"/>
      <c r="M61" s="80"/>
      <c r="N61" s="80"/>
      <c r="O61" s="80"/>
      <c r="P61" s="80"/>
      <c r="Q61" s="80"/>
      <c r="R61" s="91" t="str">
        <f t="shared" si="0"/>
        <v/>
      </c>
      <c r="S61" s="92" t="str">
        <f t="shared" si="2"/>
        <v/>
      </c>
      <c r="T61" s="4"/>
      <c r="U61" s="4"/>
      <c r="V61" s="4"/>
      <c r="W61" s="4"/>
      <c r="X61" s="4"/>
      <c r="Y61" s="4"/>
      <c r="Z61" s="4"/>
      <c r="AA61" s="4"/>
      <c r="AB61" s="4"/>
      <c r="AC61" s="4"/>
      <c r="AD61" s="4"/>
    </row>
    <row r="62" spans="1:30" ht="15">
      <c r="A62" s="4"/>
      <c r="B62" s="85">
        <v>48</v>
      </c>
      <c r="C62" s="317" t="str">
        <f>IF('INPUT DATA'!L58="","",'INPUT DATA'!L58)</f>
        <v/>
      </c>
      <c r="D62" s="318"/>
      <c r="E62" s="319"/>
      <c r="F62" s="320" t="str">
        <f>IF('INPUT DATA'!M58="","",'INPUT DATA'!M58)</f>
        <v/>
      </c>
      <c r="G62" s="321"/>
      <c r="H62" s="94" t="str">
        <f>IF('INPUT DATA'!N58="","",'INPUT DATA'!N58)</f>
        <v/>
      </c>
      <c r="I62" s="223" t="str">
        <f t="shared" ca="1" si="1"/>
        <v/>
      </c>
      <c r="J62" s="212"/>
      <c r="K62" s="208"/>
      <c r="L62" s="80"/>
      <c r="M62" s="80"/>
      <c r="N62" s="80"/>
      <c r="O62" s="80"/>
      <c r="P62" s="80"/>
      <c r="Q62" s="80"/>
      <c r="R62" s="91" t="str">
        <f t="shared" si="0"/>
        <v/>
      </c>
      <c r="S62" s="92" t="str">
        <f t="shared" si="2"/>
        <v/>
      </c>
      <c r="T62" s="4"/>
      <c r="U62" s="4"/>
      <c r="V62" s="4"/>
      <c r="W62" s="4"/>
      <c r="X62" s="4"/>
      <c r="Y62" s="4"/>
      <c r="Z62" s="4"/>
      <c r="AA62" s="4"/>
      <c r="AB62" s="4"/>
      <c r="AC62" s="4"/>
      <c r="AD62" s="4"/>
    </row>
    <row r="63" spans="1:30" ht="15">
      <c r="A63" s="4"/>
      <c r="B63" s="85">
        <v>49</v>
      </c>
      <c r="C63" s="317" t="str">
        <f>IF('INPUT DATA'!L59="","",'INPUT DATA'!L59)</f>
        <v/>
      </c>
      <c r="D63" s="318"/>
      <c r="E63" s="319"/>
      <c r="F63" s="320" t="str">
        <f>IF('INPUT DATA'!M59="","",'INPUT DATA'!M59)</f>
        <v/>
      </c>
      <c r="G63" s="321"/>
      <c r="H63" s="94" t="str">
        <f>IF('INPUT DATA'!N59="","",'INPUT DATA'!N59)</f>
        <v/>
      </c>
      <c r="I63" s="223" t="str">
        <f t="shared" ca="1" si="1"/>
        <v/>
      </c>
      <c r="J63" s="212"/>
      <c r="K63" s="208"/>
      <c r="L63" s="80"/>
      <c r="M63" s="80"/>
      <c r="N63" s="80"/>
      <c r="O63" s="80"/>
      <c r="P63" s="80"/>
      <c r="Q63" s="80"/>
      <c r="R63" s="91" t="str">
        <f t="shared" si="0"/>
        <v/>
      </c>
      <c r="S63" s="92" t="str">
        <f t="shared" si="2"/>
        <v/>
      </c>
      <c r="T63" s="4"/>
      <c r="U63" s="4"/>
      <c r="V63" s="4"/>
      <c r="W63" s="4"/>
      <c r="X63" s="4"/>
      <c r="Y63" s="4"/>
      <c r="Z63" s="4"/>
      <c r="AA63" s="4"/>
      <c r="AB63" s="4"/>
      <c r="AC63" s="4"/>
      <c r="AD63" s="4"/>
    </row>
    <row r="64" spans="1:30" ht="15.6" thickBot="1">
      <c r="A64" s="4"/>
      <c r="B64" s="86">
        <v>50</v>
      </c>
      <c r="C64" s="309" t="str">
        <f>IF('INPUT DATA'!L60="","",'INPUT DATA'!L60)</f>
        <v/>
      </c>
      <c r="D64" s="322"/>
      <c r="E64" s="323"/>
      <c r="F64" s="324" t="str">
        <f>IF('INPUT DATA'!M60="","",'INPUT DATA'!M60)</f>
        <v/>
      </c>
      <c r="G64" s="325"/>
      <c r="H64" s="95" t="str">
        <f>IF('INPUT DATA'!N60="","",'INPUT DATA'!N60)</f>
        <v/>
      </c>
      <c r="I64" s="223" t="str">
        <f t="shared" ca="1" si="1"/>
        <v/>
      </c>
      <c r="J64" s="213"/>
      <c r="K64" s="210"/>
      <c r="L64" s="82"/>
      <c r="M64" s="82"/>
      <c r="N64" s="82"/>
      <c r="O64" s="82"/>
      <c r="P64" s="82"/>
      <c r="Q64" s="82"/>
      <c r="R64" s="91" t="str">
        <f t="shared" si="0"/>
        <v/>
      </c>
      <c r="S64" s="92" t="str">
        <f t="shared" si="2"/>
        <v/>
      </c>
      <c r="T64" s="4"/>
      <c r="U64" s="4"/>
      <c r="V64" s="4"/>
      <c r="W64" s="4"/>
      <c r="X64" s="4"/>
      <c r="Y64" s="4"/>
      <c r="Z64" s="4"/>
      <c r="AA64" s="4"/>
      <c r="AB64" s="4"/>
      <c r="AC64" s="4"/>
      <c r="AD64" s="4"/>
    </row>
    <row r="65" spans="1:30" ht="16.2" thickBot="1">
      <c r="A65" s="4"/>
      <c r="B65" s="88" t="s">
        <v>14</v>
      </c>
      <c r="C65" s="89"/>
      <c r="D65" s="89"/>
      <c r="E65" s="89"/>
      <c r="F65" s="89"/>
      <c r="G65" s="89"/>
      <c r="H65" s="89"/>
      <c r="I65" s="51"/>
      <c r="J65" s="214"/>
      <c r="K65" s="51"/>
      <c r="L65" s="51"/>
      <c r="M65" s="51"/>
      <c r="N65" s="51"/>
      <c r="O65" s="51"/>
      <c r="P65" s="51"/>
      <c r="Q65" s="51"/>
      <c r="R65" s="124"/>
      <c r="S65" s="52"/>
      <c r="T65" s="4"/>
      <c r="U65" s="4"/>
      <c r="V65" s="4"/>
      <c r="W65" s="4"/>
      <c r="X65" s="4"/>
      <c r="Y65" s="4"/>
      <c r="Z65" s="4"/>
      <c r="AA65" s="4"/>
      <c r="AB65" s="4"/>
      <c r="AC65" s="4"/>
      <c r="AD65" s="4"/>
    </row>
    <row r="66" spans="1:30" ht="15">
      <c r="A66" s="4"/>
      <c r="B66" s="83">
        <v>1</v>
      </c>
      <c r="C66" s="314" t="str">
        <f>IF('INPUT DATA'!Q11="","",'INPUT DATA'!Q11)</f>
        <v/>
      </c>
      <c r="D66" s="315"/>
      <c r="E66" s="316"/>
      <c r="F66" s="307" t="str">
        <f>IF('INPUT DATA'!T11="","",'INPUT DATA'!T11)</f>
        <v/>
      </c>
      <c r="G66" s="308"/>
      <c r="H66" s="96" t="str">
        <f>IF('INPUT DATA'!S11="","",'INPUT DATA'!S11)</f>
        <v/>
      </c>
      <c r="I66" s="206" t="str">
        <f ca="1">IF(H66="","",DATEDIF(H66,TODAY(),"Y"))</f>
        <v/>
      </c>
      <c r="J66" s="230" t="s">
        <v>125</v>
      </c>
      <c r="K66" s="207"/>
      <c r="L66" s="79"/>
      <c r="M66" s="79"/>
      <c r="N66" s="79"/>
      <c r="O66" s="79"/>
      <c r="P66" s="79"/>
      <c r="Q66" s="120"/>
      <c r="R66" s="125" t="str">
        <f>IF(COUNT(K66:Q66)=0,"",ROUND(AVERAGE(K66:Q66),0))</f>
        <v/>
      </c>
      <c r="S66" s="92" t="str">
        <f>IF(R66="","",_xlfn.RANK.AVG(R66,$R$15:$R$115))</f>
        <v/>
      </c>
      <c r="T66" s="4"/>
      <c r="U66" s="4"/>
      <c r="V66" s="4"/>
      <c r="W66" s="4"/>
      <c r="X66" s="4"/>
      <c r="Y66" s="4"/>
      <c r="Z66" s="4"/>
      <c r="AA66" s="4"/>
      <c r="AB66" s="4"/>
      <c r="AC66" s="4"/>
      <c r="AD66" s="4"/>
    </row>
    <row r="67" spans="1:30" ht="15">
      <c r="A67" s="4"/>
      <c r="B67" s="84">
        <v>2</v>
      </c>
      <c r="C67" s="304" t="str">
        <f>IF('INPUT DATA'!Q12="","",'INPUT DATA'!Q12)</f>
        <v/>
      </c>
      <c r="D67" s="305"/>
      <c r="E67" s="306"/>
      <c r="F67" s="307" t="str">
        <f>IF('INPUT DATA'!T12="","",'INPUT DATA'!T12)</f>
        <v/>
      </c>
      <c r="G67" s="308"/>
      <c r="H67" s="97" t="str">
        <f>IF('INPUT DATA'!S12="","",'INPUT DATA'!S12)</f>
        <v/>
      </c>
      <c r="I67" s="223" t="str">
        <f ca="1">IF(H67="","",DATEDIF(H67,TODAY(),"Y"))</f>
        <v/>
      </c>
      <c r="J67" s="231" t="s">
        <v>125</v>
      </c>
      <c r="K67" s="208"/>
      <c r="L67" s="80"/>
      <c r="M67" s="80"/>
      <c r="N67" s="80"/>
      <c r="O67" s="80"/>
      <c r="P67" s="80"/>
      <c r="Q67" s="121"/>
      <c r="R67" s="126" t="str">
        <f t="shared" ref="R67:R115" si="3">IF(COUNT(K67:Q67)=0,"",ROUND(AVERAGE(K67:Q67),0))</f>
        <v/>
      </c>
      <c r="S67" s="92" t="str">
        <f>IF(R67="","",_xlfn.RANK.AVG(R67,$R$15:$R$115))</f>
        <v/>
      </c>
      <c r="T67" s="4"/>
      <c r="U67" s="4"/>
      <c r="V67" s="4"/>
      <c r="W67" s="4"/>
      <c r="X67" s="4"/>
      <c r="Y67" s="4"/>
      <c r="Z67" s="4"/>
      <c r="AA67" s="4"/>
      <c r="AB67" s="4"/>
      <c r="AC67" s="4"/>
      <c r="AD67" s="4"/>
    </row>
    <row r="68" spans="1:30" ht="15">
      <c r="A68" s="4"/>
      <c r="B68" s="84">
        <v>3</v>
      </c>
      <c r="C68" s="304" t="str">
        <f>IF('INPUT DATA'!Q13="","",'INPUT DATA'!Q13)</f>
        <v/>
      </c>
      <c r="D68" s="305"/>
      <c r="E68" s="306"/>
      <c r="F68" s="307" t="str">
        <f>IF('INPUT DATA'!T13="","",'INPUT DATA'!T13)</f>
        <v/>
      </c>
      <c r="G68" s="308"/>
      <c r="H68" s="97" t="str">
        <f>IF('INPUT DATA'!S13="","",'INPUT DATA'!S13)</f>
        <v/>
      </c>
      <c r="I68" s="223" t="str">
        <f t="shared" ref="I68:I115" ca="1" si="4">IF(H68="","",DATEDIF(H68,TODAY(),"Y"))</f>
        <v/>
      </c>
      <c r="J68" s="231" t="s">
        <v>125</v>
      </c>
      <c r="K68" s="208"/>
      <c r="L68" s="80"/>
      <c r="M68" s="80"/>
      <c r="N68" s="80"/>
      <c r="O68" s="80"/>
      <c r="P68" s="80"/>
      <c r="Q68" s="121"/>
      <c r="R68" s="126" t="str">
        <f t="shared" si="3"/>
        <v/>
      </c>
      <c r="S68" s="92" t="str">
        <f t="shared" ref="S68:S115" si="5">IF(R68="","",_xlfn.RANK.AVG(R68,$R$15:$R$115))</f>
        <v/>
      </c>
      <c r="T68" s="4"/>
      <c r="U68" s="4"/>
      <c r="V68" s="4"/>
      <c r="W68" s="4"/>
      <c r="X68" s="4"/>
      <c r="Y68" s="4"/>
      <c r="Z68" s="4"/>
      <c r="AA68" s="4"/>
      <c r="AB68" s="4"/>
      <c r="AC68" s="4"/>
      <c r="AD68" s="4"/>
    </row>
    <row r="69" spans="1:30" ht="15">
      <c r="A69" s="4"/>
      <c r="B69" s="84">
        <v>4</v>
      </c>
      <c r="C69" s="304" t="str">
        <f>IF('INPUT DATA'!Q14="","",'INPUT DATA'!Q14)</f>
        <v/>
      </c>
      <c r="D69" s="305"/>
      <c r="E69" s="306"/>
      <c r="F69" s="307" t="str">
        <f>IF('INPUT DATA'!T14="","",'INPUT DATA'!T14)</f>
        <v/>
      </c>
      <c r="G69" s="308"/>
      <c r="H69" s="97" t="str">
        <f>IF('INPUT DATA'!S14="","",'INPUT DATA'!S14)</f>
        <v/>
      </c>
      <c r="I69" s="223" t="str">
        <f t="shared" ca="1" si="4"/>
        <v/>
      </c>
      <c r="J69" s="212"/>
      <c r="K69" s="208"/>
      <c r="L69" s="80"/>
      <c r="M69" s="80"/>
      <c r="N69" s="80"/>
      <c r="O69" s="80"/>
      <c r="P69" s="121"/>
      <c r="Q69" s="121"/>
      <c r="R69" s="126" t="str">
        <f t="shared" si="3"/>
        <v/>
      </c>
      <c r="S69" s="92" t="str">
        <f t="shared" si="5"/>
        <v/>
      </c>
      <c r="T69" s="4"/>
      <c r="U69" s="4"/>
      <c r="V69" s="4"/>
      <c r="W69" s="4"/>
      <c r="X69" s="4"/>
      <c r="Y69" s="4"/>
      <c r="Z69" s="4"/>
      <c r="AA69" s="4"/>
      <c r="AB69" s="4"/>
      <c r="AC69" s="4"/>
      <c r="AD69" s="4"/>
    </row>
    <row r="70" spans="1:30" ht="15">
      <c r="A70" s="4"/>
      <c r="B70" s="84">
        <v>5</v>
      </c>
      <c r="C70" s="304" t="str">
        <f>IF('INPUT DATA'!Q15="","",'INPUT DATA'!Q15)</f>
        <v/>
      </c>
      <c r="D70" s="305"/>
      <c r="E70" s="306"/>
      <c r="F70" s="307" t="str">
        <f>IF('INPUT DATA'!T15="","",'INPUT DATA'!T15)</f>
        <v/>
      </c>
      <c r="G70" s="308"/>
      <c r="H70" s="97" t="str">
        <f>IF('INPUT DATA'!S15="","",'INPUT DATA'!S15)</f>
        <v/>
      </c>
      <c r="I70" s="223" t="str">
        <f t="shared" ca="1" si="4"/>
        <v/>
      </c>
      <c r="J70" s="212"/>
      <c r="K70" s="208"/>
      <c r="L70" s="80"/>
      <c r="M70" s="80"/>
      <c r="N70" s="80"/>
      <c r="O70" s="80"/>
      <c r="P70" s="121"/>
      <c r="Q70" s="121"/>
      <c r="R70" s="126" t="str">
        <f t="shared" si="3"/>
        <v/>
      </c>
      <c r="S70" s="92" t="str">
        <f t="shared" si="5"/>
        <v/>
      </c>
      <c r="T70" s="4"/>
      <c r="U70" s="4"/>
      <c r="V70" s="4"/>
      <c r="W70" s="4"/>
      <c r="X70" s="4"/>
      <c r="Y70" s="4"/>
      <c r="Z70" s="4"/>
      <c r="AA70" s="4"/>
      <c r="AB70" s="4"/>
      <c r="AC70" s="4"/>
      <c r="AD70" s="4"/>
    </row>
    <row r="71" spans="1:30" ht="15">
      <c r="A71" s="4"/>
      <c r="B71" s="84">
        <v>6</v>
      </c>
      <c r="C71" s="304" t="str">
        <f>IF('INPUT DATA'!Q16="","",'INPUT DATA'!Q16)</f>
        <v/>
      </c>
      <c r="D71" s="305"/>
      <c r="E71" s="306"/>
      <c r="F71" s="307" t="str">
        <f>IF('INPUT DATA'!T16="","",'INPUT DATA'!T16)</f>
        <v/>
      </c>
      <c r="G71" s="308"/>
      <c r="H71" s="97" t="str">
        <f>IF('INPUT DATA'!S16="","",'INPUT DATA'!S16)</f>
        <v/>
      </c>
      <c r="I71" s="223" t="str">
        <f t="shared" ca="1" si="4"/>
        <v/>
      </c>
      <c r="J71" s="212"/>
      <c r="K71" s="208"/>
      <c r="L71" s="80"/>
      <c r="M71" s="80"/>
      <c r="N71" s="80"/>
      <c r="O71" s="80"/>
      <c r="P71" s="121"/>
      <c r="Q71" s="121"/>
      <c r="R71" s="126" t="str">
        <f t="shared" si="3"/>
        <v/>
      </c>
      <c r="S71" s="92" t="str">
        <f t="shared" si="5"/>
        <v/>
      </c>
      <c r="T71" s="4"/>
      <c r="U71" s="4"/>
      <c r="V71" s="4"/>
      <c r="W71" s="4"/>
      <c r="X71" s="4"/>
      <c r="Y71" s="4"/>
      <c r="Z71" s="4"/>
      <c r="AA71" s="4"/>
      <c r="AB71" s="4"/>
      <c r="AC71" s="4"/>
      <c r="AD71" s="4"/>
    </row>
    <row r="72" spans="1:30" ht="15">
      <c r="A72" s="4"/>
      <c r="B72" s="84">
        <v>7</v>
      </c>
      <c r="C72" s="304" t="str">
        <f>IF('INPUT DATA'!Q17="","",'INPUT DATA'!Q17)</f>
        <v/>
      </c>
      <c r="D72" s="305"/>
      <c r="E72" s="306"/>
      <c r="F72" s="307" t="str">
        <f>IF('INPUT DATA'!T17="","",'INPUT DATA'!T17)</f>
        <v/>
      </c>
      <c r="G72" s="308"/>
      <c r="H72" s="97" t="str">
        <f>IF('INPUT DATA'!S17="","",'INPUT DATA'!S17)</f>
        <v/>
      </c>
      <c r="I72" s="223" t="str">
        <f t="shared" ca="1" si="4"/>
        <v/>
      </c>
      <c r="J72" s="212"/>
      <c r="K72" s="208"/>
      <c r="L72" s="80"/>
      <c r="M72" s="80"/>
      <c r="N72" s="80"/>
      <c r="O72" s="80"/>
      <c r="P72" s="121"/>
      <c r="Q72" s="121"/>
      <c r="R72" s="126" t="str">
        <f t="shared" si="3"/>
        <v/>
      </c>
      <c r="S72" s="92" t="str">
        <f t="shared" si="5"/>
        <v/>
      </c>
      <c r="T72" s="4"/>
      <c r="U72" s="4"/>
      <c r="V72" s="4"/>
      <c r="W72" s="4"/>
      <c r="X72" s="4"/>
      <c r="Y72" s="4"/>
      <c r="Z72" s="4"/>
      <c r="AA72" s="4"/>
      <c r="AB72" s="4"/>
      <c r="AC72" s="4"/>
      <c r="AD72" s="4"/>
    </row>
    <row r="73" spans="1:30" ht="15">
      <c r="A73" s="4"/>
      <c r="B73" s="84">
        <v>8</v>
      </c>
      <c r="C73" s="304" t="str">
        <f>IF('INPUT DATA'!Q18="","",'INPUT DATA'!Q18)</f>
        <v/>
      </c>
      <c r="D73" s="305"/>
      <c r="E73" s="306"/>
      <c r="F73" s="307" t="str">
        <f>IF('INPUT DATA'!T18="","",'INPUT DATA'!T18)</f>
        <v/>
      </c>
      <c r="G73" s="308"/>
      <c r="H73" s="97" t="str">
        <f>IF('INPUT DATA'!S18="","",'INPUT DATA'!S18)</f>
        <v/>
      </c>
      <c r="I73" s="223" t="str">
        <f t="shared" ca="1" si="4"/>
        <v/>
      </c>
      <c r="J73" s="212"/>
      <c r="K73" s="208"/>
      <c r="L73" s="80"/>
      <c r="M73" s="80"/>
      <c r="N73" s="80"/>
      <c r="O73" s="80"/>
      <c r="P73" s="121"/>
      <c r="Q73" s="121"/>
      <c r="R73" s="126" t="str">
        <f t="shared" si="3"/>
        <v/>
      </c>
      <c r="S73" s="92" t="str">
        <f t="shared" si="5"/>
        <v/>
      </c>
      <c r="T73" s="4"/>
      <c r="U73" s="4"/>
      <c r="V73" s="4"/>
      <c r="W73" s="4"/>
      <c r="X73" s="4"/>
      <c r="Y73" s="4"/>
      <c r="Z73" s="4"/>
      <c r="AA73" s="4"/>
      <c r="AB73" s="4"/>
      <c r="AC73" s="4"/>
      <c r="AD73" s="4"/>
    </row>
    <row r="74" spans="1:30" ht="15">
      <c r="A74" s="4"/>
      <c r="B74" s="84">
        <v>9</v>
      </c>
      <c r="C74" s="304" t="str">
        <f>IF('INPUT DATA'!Q19="","",'INPUT DATA'!Q19)</f>
        <v/>
      </c>
      <c r="D74" s="305"/>
      <c r="E74" s="306"/>
      <c r="F74" s="307" t="str">
        <f>IF('INPUT DATA'!T19="","",'INPUT DATA'!T19)</f>
        <v/>
      </c>
      <c r="G74" s="308"/>
      <c r="H74" s="97" t="str">
        <f>IF('INPUT DATA'!S19="","",'INPUT DATA'!S19)</f>
        <v/>
      </c>
      <c r="I74" s="223" t="str">
        <f t="shared" ca="1" si="4"/>
        <v/>
      </c>
      <c r="J74" s="212"/>
      <c r="K74" s="208"/>
      <c r="L74" s="80"/>
      <c r="M74" s="80"/>
      <c r="N74" s="80"/>
      <c r="O74" s="80"/>
      <c r="P74" s="121"/>
      <c r="Q74" s="121"/>
      <c r="R74" s="126" t="str">
        <f t="shared" si="3"/>
        <v/>
      </c>
      <c r="S74" s="92" t="str">
        <f t="shared" si="5"/>
        <v/>
      </c>
      <c r="T74" s="4"/>
      <c r="U74" s="4"/>
      <c r="V74" s="4"/>
      <c r="W74" s="4"/>
      <c r="X74" s="4"/>
      <c r="Y74" s="4"/>
      <c r="Z74" s="4"/>
      <c r="AA74" s="4"/>
      <c r="AB74" s="4"/>
      <c r="AC74" s="4"/>
      <c r="AD74" s="4"/>
    </row>
    <row r="75" spans="1:30" ht="15">
      <c r="A75" s="4"/>
      <c r="B75" s="84">
        <v>10</v>
      </c>
      <c r="C75" s="304" t="str">
        <f>IF('INPUT DATA'!Q20="","",'INPUT DATA'!Q20)</f>
        <v/>
      </c>
      <c r="D75" s="305"/>
      <c r="E75" s="306"/>
      <c r="F75" s="307" t="str">
        <f>IF('INPUT DATA'!T20="","",'INPUT DATA'!T20)</f>
        <v/>
      </c>
      <c r="G75" s="308"/>
      <c r="H75" s="97" t="str">
        <f>IF('INPUT DATA'!S20="","",'INPUT DATA'!S20)</f>
        <v/>
      </c>
      <c r="I75" s="223" t="str">
        <f t="shared" ca="1" si="4"/>
        <v/>
      </c>
      <c r="J75" s="212"/>
      <c r="K75" s="208"/>
      <c r="L75" s="80"/>
      <c r="M75" s="80"/>
      <c r="N75" s="80"/>
      <c r="O75" s="80"/>
      <c r="P75" s="121"/>
      <c r="Q75" s="121"/>
      <c r="R75" s="126" t="str">
        <f t="shared" si="3"/>
        <v/>
      </c>
      <c r="S75" s="92" t="str">
        <f t="shared" si="5"/>
        <v/>
      </c>
      <c r="T75" s="4"/>
      <c r="U75" s="4"/>
      <c r="V75" s="4"/>
      <c r="W75" s="4"/>
      <c r="X75" s="4"/>
      <c r="Y75" s="4"/>
      <c r="Z75" s="4"/>
      <c r="AA75" s="4"/>
      <c r="AB75" s="4"/>
      <c r="AC75" s="4"/>
      <c r="AD75" s="4"/>
    </row>
    <row r="76" spans="1:30" ht="15">
      <c r="A76" s="4"/>
      <c r="B76" s="84">
        <v>11</v>
      </c>
      <c r="C76" s="304" t="str">
        <f>IF('INPUT DATA'!Q21="","",'INPUT DATA'!Q21)</f>
        <v/>
      </c>
      <c r="D76" s="305"/>
      <c r="E76" s="306"/>
      <c r="F76" s="307" t="str">
        <f>IF('INPUT DATA'!T21="","",'INPUT DATA'!T21)</f>
        <v/>
      </c>
      <c r="G76" s="308"/>
      <c r="H76" s="97" t="str">
        <f>IF('INPUT DATA'!S21="","",'INPUT DATA'!S21)</f>
        <v/>
      </c>
      <c r="I76" s="223" t="str">
        <f t="shared" ca="1" si="4"/>
        <v/>
      </c>
      <c r="J76" s="212"/>
      <c r="K76" s="208"/>
      <c r="L76" s="80"/>
      <c r="M76" s="80"/>
      <c r="N76" s="80"/>
      <c r="O76" s="80"/>
      <c r="P76" s="121"/>
      <c r="Q76" s="121"/>
      <c r="R76" s="126" t="str">
        <f t="shared" si="3"/>
        <v/>
      </c>
      <c r="S76" s="92" t="str">
        <f t="shared" si="5"/>
        <v/>
      </c>
      <c r="T76" s="4"/>
      <c r="U76" s="4"/>
      <c r="V76" s="4"/>
      <c r="W76" s="4"/>
      <c r="X76" s="4"/>
      <c r="Y76" s="4"/>
      <c r="Z76" s="4"/>
      <c r="AA76" s="4"/>
      <c r="AB76" s="4"/>
      <c r="AC76" s="4"/>
      <c r="AD76" s="4"/>
    </row>
    <row r="77" spans="1:30" ht="15">
      <c r="A77" s="4"/>
      <c r="B77" s="84">
        <v>12</v>
      </c>
      <c r="C77" s="304" t="str">
        <f>IF('INPUT DATA'!Q22="","",'INPUT DATA'!Q22)</f>
        <v/>
      </c>
      <c r="D77" s="305"/>
      <c r="E77" s="306"/>
      <c r="F77" s="307" t="str">
        <f>IF('INPUT DATA'!T22="","",'INPUT DATA'!T22)</f>
        <v/>
      </c>
      <c r="G77" s="308"/>
      <c r="H77" s="97" t="str">
        <f>IF('INPUT DATA'!S22="","",'INPUT DATA'!S22)</f>
        <v/>
      </c>
      <c r="I77" s="223" t="str">
        <f t="shared" ca="1" si="4"/>
        <v/>
      </c>
      <c r="J77" s="212"/>
      <c r="K77" s="208"/>
      <c r="L77" s="80"/>
      <c r="M77" s="80"/>
      <c r="N77" s="80"/>
      <c r="O77" s="80"/>
      <c r="P77" s="121"/>
      <c r="Q77" s="121"/>
      <c r="R77" s="126" t="str">
        <f t="shared" si="3"/>
        <v/>
      </c>
      <c r="S77" s="92" t="str">
        <f t="shared" si="5"/>
        <v/>
      </c>
      <c r="T77" s="4"/>
      <c r="U77" s="4"/>
      <c r="V77" s="4"/>
      <c r="W77" s="4"/>
      <c r="X77" s="4"/>
      <c r="Y77" s="4"/>
      <c r="Z77" s="4"/>
      <c r="AA77" s="4"/>
      <c r="AB77" s="4"/>
      <c r="AC77" s="4"/>
      <c r="AD77" s="4"/>
    </row>
    <row r="78" spans="1:30" ht="15">
      <c r="A78" s="4"/>
      <c r="B78" s="84">
        <v>13</v>
      </c>
      <c r="C78" s="304" t="str">
        <f>IF('INPUT DATA'!Q23="","",'INPUT DATA'!Q23)</f>
        <v/>
      </c>
      <c r="D78" s="305"/>
      <c r="E78" s="306"/>
      <c r="F78" s="307" t="str">
        <f>IF('INPUT DATA'!T23="","",'INPUT DATA'!T23)</f>
        <v/>
      </c>
      <c r="G78" s="308"/>
      <c r="H78" s="97" t="str">
        <f>IF('INPUT DATA'!S23="","",'INPUT DATA'!S23)</f>
        <v/>
      </c>
      <c r="I78" s="223" t="str">
        <f t="shared" ca="1" si="4"/>
        <v/>
      </c>
      <c r="J78" s="212"/>
      <c r="K78" s="208"/>
      <c r="L78" s="80"/>
      <c r="M78" s="80"/>
      <c r="N78" s="80"/>
      <c r="O78" s="80"/>
      <c r="P78" s="121"/>
      <c r="Q78" s="121"/>
      <c r="R78" s="126" t="str">
        <f t="shared" si="3"/>
        <v/>
      </c>
      <c r="S78" s="92" t="str">
        <f t="shared" si="5"/>
        <v/>
      </c>
      <c r="T78" s="4"/>
      <c r="U78" s="4"/>
      <c r="V78" s="4"/>
      <c r="W78" s="4"/>
      <c r="X78" s="4"/>
      <c r="Y78" s="4"/>
      <c r="Z78" s="4"/>
      <c r="AA78" s="4"/>
      <c r="AB78" s="4"/>
      <c r="AC78" s="4"/>
      <c r="AD78" s="4"/>
    </row>
    <row r="79" spans="1:30" ht="15">
      <c r="A79" s="4"/>
      <c r="B79" s="84">
        <v>14</v>
      </c>
      <c r="C79" s="304" t="str">
        <f>IF('INPUT DATA'!Q24="","",'INPUT DATA'!Q24)</f>
        <v/>
      </c>
      <c r="D79" s="305"/>
      <c r="E79" s="306"/>
      <c r="F79" s="307" t="str">
        <f>IF('INPUT DATA'!T24="","",'INPUT DATA'!T24)</f>
        <v/>
      </c>
      <c r="G79" s="308"/>
      <c r="H79" s="97" t="str">
        <f>IF('INPUT DATA'!S24="","",'INPUT DATA'!S24)</f>
        <v/>
      </c>
      <c r="I79" s="223" t="str">
        <f t="shared" ca="1" si="4"/>
        <v/>
      </c>
      <c r="J79" s="212"/>
      <c r="K79" s="208"/>
      <c r="L79" s="80"/>
      <c r="M79" s="80"/>
      <c r="N79" s="80"/>
      <c r="O79" s="80"/>
      <c r="P79" s="121"/>
      <c r="Q79" s="121"/>
      <c r="R79" s="126" t="str">
        <f t="shared" si="3"/>
        <v/>
      </c>
      <c r="S79" s="92" t="str">
        <f t="shared" si="5"/>
        <v/>
      </c>
      <c r="T79" s="4"/>
      <c r="U79" s="4"/>
      <c r="V79" s="4"/>
      <c r="W79" s="4"/>
      <c r="X79" s="4"/>
      <c r="Y79" s="4"/>
      <c r="Z79" s="4"/>
      <c r="AA79" s="4"/>
      <c r="AB79" s="4"/>
      <c r="AC79" s="4"/>
      <c r="AD79" s="4"/>
    </row>
    <row r="80" spans="1:30" ht="15">
      <c r="A80" s="4"/>
      <c r="B80" s="84">
        <v>15</v>
      </c>
      <c r="C80" s="304" t="str">
        <f>IF('INPUT DATA'!Q25="","",'INPUT DATA'!Q25)</f>
        <v/>
      </c>
      <c r="D80" s="305"/>
      <c r="E80" s="306"/>
      <c r="F80" s="307" t="str">
        <f>IF('INPUT DATA'!T25="","",'INPUT DATA'!T25)</f>
        <v/>
      </c>
      <c r="G80" s="308"/>
      <c r="H80" s="97" t="str">
        <f>IF('INPUT DATA'!S25="","",'INPUT DATA'!S25)</f>
        <v/>
      </c>
      <c r="I80" s="223" t="str">
        <f t="shared" ca="1" si="4"/>
        <v/>
      </c>
      <c r="J80" s="212"/>
      <c r="K80" s="208"/>
      <c r="L80" s="80"/>
      <c r="M80" s="80"/>
      <c r="N80" s="80"/>
      <c r="O80" s="80"/>
      <c r="P80" s="121"/>
      <c r="Q80" s="121"/>
      <c r="R80" s="126" t="str">
        <f t="shared" si="3"/>
        <v/>
      </c>
      <c r="S80" s="92" t="str">
        <f t="shared" si="5"/>
        <v/>
      </c>
      <c r="T80" s="4"/>
      <c r="U80" s="4"/>
      <c r="V80" s="4"/>
      <c r="W80" s="4"/>
      <c r="X80" s="4"/>
      <c r="Y80" s="4"/>
      <c r="Z80" s="4"/>
      <c r="AA80" s="4"/>
      <c r="AB80" s="4"/>
      <c r="AC80" s="4"/>
      <c r="AD80" s="4"/>
    </row>
    <row r="81" spans="1:30" ht="15">
      <c r="A81" s="4"/>
      <c r="B81" s="84">
        <v>16</v>
      </c>
      <c r="C81" s="304" t="str">
        <f>IF('INPUT DATA'!Q26="","",'INPUT DATA'!Q26)</f>
        <v/>
      </c>
      <c r="D81" s="305"/>
      <c r="E81" s="306"/>
      <c r="F81" s="307" t="str">
        <f>IF('INPUT DATA'!T26="","",'INPUT DATA'!T26)</f>
        <v/>
      </c>
      <c r="G81" s="308"/>
      <c r="H81" s="97" t="str">
        <f>IF('INPUT DATA'!S26="","",'INPUT DATA'!S26)</f>
        <v/>
      </c>
      <c r="I81" s="223" t="str">
        <f t="shared" ca="1" si="4"/>
        <v/>
      </c>
      <c r="J81" s="212"/>
      <c r="K81" s="208"/>
      <c r="L81" s="80"/>
      <c r="M81" s="80"/>
      <c r="N81" s="80"/>
      <c r="O81" s="80"/>
      <c r="P81" s="121"/>
      <c r="Q81" s="121"/>
      <c r="R81" s="126" t="str">
        <f t="shared" si="3"/>
        <v/>
      </c>
      <c r="S81" s="92" t="str">
        <f t="shared" si="5"/>
        <v/>
      </c>
      <c r="T81" s="4"/>
      <c r="U81" s="4"/>
      <c r="V81" s="4"/>
      <c r="W81" s="4"/>
      <c r="X81" s="4"/>
      <c r="Y81" s="4"/>
      <c r="Z81" s="4"/>
      <c r="AA81" s="4"/>
      <c r="AB81" s="4"/>
      <c r="AC81" s="4"/>
      <c r="AD81" s="4"/>
    </row>
    <row r="82" spans="1:30" ht="15">
      <c r="A82" s="4"/>
      <c r="B82" s="84">
        <v>17</v>
      </c>
      <c r="C82" s="304" t="str">
        <f>IF('INPUT DATA'!Q27="","",'INPUT DATA'!Q27)</f>
        <v/>
      </c>
      <c r="D82" s="305"/>
      <c r="E82" s="306"/>
      <c r="F82" s="307" t="str">
        <f>IF('INPUT DATA'!T27="","",'INPUT DATA'!T27)</f>
        <v/>
      </c>
      <c r="G82" s="308"/>
      <c r="H82" s="97" t="str">
        <f>IF('INPUT DATA'!S27="","",'INPUT DATA'!S27)</f>
        <v/>
      </c>
      <c r="I82" s="223" t="str">
        <f t="shared" ca="1" si="4"/>
        <v/>
      </c>
      <c r="J82" s="212"/>
      <c r="K82" s="208"/>
      <c r="L82" s="80"/>
      <c r="M82" s="80"/>
      <c r="N82" s="80"/>
      <c r="O82" s="80"/>
      <c r="P82" s="121"/>
      <c r="Q82" s="121"/>
      <c r="R82" s="126" t="str">
        <f t="shared" si="3"/>
        <v/>
      </c>
      <c r="S82" s="92" t="str">
        <f t="shared" si="5"/>
        <v/>
      </c>
      <c r="T82" s="4"/>
      <c r="U82" s="4"/>
      <c r="V82" s="4"/>
      <c r="W82" s="4"/>
      <c r="X82" s="4"/>
      <c r="Y82" s="4"/>
      <c r="Z82" s="4"/>
      <c r="AA82" s="4"/>
      <c r="AB82" s="4"/>
      <c r="AC82" s="4"/>
      <c r="AD82" s="4"/>
    </row>
    <row r="83" spans="1:30" ht="15">
      <c r="A83" s="4"/>
      <c r="B83" s="84">
        <v>18</v>
      </c>
      <c r="C83" s="304" t="str">
        <f>IF('INPUT DATA'!Q28="","",'INPUT DATA'!Q28)</f>
        <v/>
      </c>
      <c r="D83" s="305"/>
      <c r="E83" s="306"/>
      <c r="F83" s="307" t="str">
        <f>IF('INPUT DATA'!T28="","",'INPUT DATA'!T28)</f>
        <v/>
      </c>
      <c r="G83" s="308"/>
      <c r="H83" s="97" t="str">
        <f>IF('INPUT DATA'!S28="","",'INPUT DATA'!S28)</f>
        <v/>
      </c>
      <c r="I83" s="223" t="str">
        <f t="shared" ca="1" si="4"/>
        <v/>
      </c>
      <c r="J83" s="212"/>
      <c r="K83" s="208"/>
      <c r="L83" s="80"/>
      <c r="M83" s="80"/>
      <c r="N83" s="80"/>
      <c r="O83" s="80"/>
      <c r="P83" s="121"/>
      <c r="Q83" s="121"/>
      <c r="R83" s="126" t="str">
        <f t="shared" si="3"/>
        <v/>
      </c>
      <c r="S83" s="92" t="str">
        <f t="shared" si="5"/>
        <v/>
      </c>
      <c r="T83" s="4"/>
      <c r="U83" s="4"/>
      <c r="V83" s="4"/>
      <c r="W83" s="4"/>
      <c r="X83" s="4"/>
      <c r="Y83" s="4"/>
      <c r="Z83" s="4"/>
      <c r="AA83" s="4"/>
      <c r="AB83" s="4"/>
      <c r="AC83" s="4"/>
      <c r="AD83" s="4"/>
    </row>
    <row r="84" spans="1:30" ht="15">
      <c r="A84" s="4"/>
      <c r="B84" s="84">
        <v>19</v>
      </c>
      <c r="C84" s="304" t="str">
        <f>IF('INPUT DATA'!Q29="","",'INPUT DATA'!Q29)</f>
        <v/>
      </c>
      <c r="D84" s="305"/>
      <c r="E84" s="306"/>
      <c r="F84" s="307" t="str">
        <f>IF('INPUT DATA'!T29="","",'INPUT DATA'!T29)</f>
        <v/>
      </c>
      <c r="G84" s="308"/>
      <c r="H84" s="97" t="str">
        <f>IF('INPUT DATA'!S29="","",'INPUT DATA'!S29)</f>
        <v/>
      </c>
      <c r="I84" s="223" t="str">
        <f t="shared" ca="1" si="4"/>
        <v/>
      </c>
      <c r="J84" s="212"/>
      <c r="K84" s="208"/>
      <c r="L84" s="80"/>
      <c r="M84" s="80"/>
      <c r="N84" s="80"/>
      <c r="O84" s="80"/>
      <c r="P84" s="121"/>
      <c r="Q84" s="121"/>
      <c r="R84" s="126" t="str">
        <f t="shared" si="3"/>
        <v/>
      </c>
      <c r="S84" s="92" t="str">
        <f t="shared" si="5"/>
        <v/>
      </c>
      <c r="T84" s="4"/>
      <c r="U84" s="4"/>
      <c r="V84" s="4"/>
      <c r="W84" s="4"/>
      <c r="X84" s="4"/>
      <c r="Y84" s="4"/>
      <c r="Z84" s="4"/>
      <c r="AA84" s="4"/>
      <c r="AB84" s="4"/>
      <c r="AC84" s="4"/>
      <c r="AD84" s="4"/>
    </row>
    <row r="85" spans="1:30" ht="15">
      <c r="A85" s="4"/>
      <c r="B85" s="85">
        <v>20</v>
      </c>
      <c r="C85" s="304" t="str">
        <f>IF('INPUT DATA'!Q30="","",'INPUT DATA'!Q30)</f>
        <v/>
      </c>
      <c r="D85" s="305"/>
      <c r="E85" s="306"/>
      <c r="F85" s="307" t="str">
        <f>IF('INPUT DATA'!T30="","",'INPUT DATA'!T30)</f>
        <v/>
      </c>
      <c r="G85" s="308"/>
      <c r="H85" s="97" t="str">
        <f>IF('INPUT DATA'!S30="","",'INPUT DATA'!S30)</f>
        <v/>
      </c>
      <c r="I85" s="223" t="str">
        <f t="shared" ca="1" si="4"/>
        <v/>
      </c>
      <c r="J85" s="212"/>
      <c r="K85" s="209"/>
      <c r="L85" s="81"/>
      <c r="M85" s="81"/>
      <c r="N85" s="81"/>
      <c r="O85" s="81"/>
      <c r="P85" s="122"/>
      <c r="Q85" s="122"/>
      <c r="R85" s="126" t="str">
        <f t="shared" si="3"/>
        <v/>
      </c>
      <c r="S85" s="92" t="str">
        <f t="shared" si="5"/>
        <v/>
      </c>
      <c r="T85" s="4"/>
      <c r="U85" s="4"/>
      <c r="V85" s="4"/>
      <c r="W85" s="4"/>
      <c r="X85" s="4"/>
      <c r="Y85" s="4"/>
      <c r="Z85" s="4"/>
      <c r="AA85" s="4"/>
      <c r="AB85" s="4"/>
      <c r="AC85" s="4"/>
      <c r="AD85" s="4"/>
    </row>
    <row r="86" spans="1:30" ht="15">
      <c r="A86" s="4"/>
      <c r="B86" s="85">
        <v>21</v>
      </c>
      <c r="C86" s="304" t="str">
        <f>IF('INPUT DATA'!Q31="","",'INPUT DATA'!Q31)</f>
        <v/>
      </c>
      <c r="D86" s="305"/>
      <c r="E86" s="306"/>
      <c r="F86" s="307" t="str">
        <f>IF('INPUT DATA'!T31="","",'INPUT DATA'!T31)</f>
        <v/>
      </c>
      <c r="G86" s="308"/>
      <c r="H86" s="97" t="str">
        <f>IF('INPUT DATA'!S31="","",'INPUT DATA'!S31)</f>
        <v/>
      </c>
      <c r="I86" s="223" t="str">
        <f t="shared" ca="1" si="4"/>
        <v/>
      </c>
      <c r="J86" s="212"/>
      <c r="K86" s="208"/>
      <c r="L86" s="80"/>
      <c r="M86" s="80"/>
      <c r="N86" s="80"/>
      <c r="O86" s="80"/>
      <c r="P86" s="121"/>
      <c r="Q86" s="121"/>
      <c r="R86" s="126" t="str">
        <f t="shared" si="3"/>
        <v/>
      </c>
      <c r="S86" s="92" t="str">
        <f t="shared" si="5"/>
        <v/>
      </c>
      <c r="T86" s="4"/>
      <c r="U86" s="4"/>
      <c r="V86" s="4"/>
      <c r="W86" s="4"/>
      <c r="X86" s="4"/>
      <c r="Y86" s="4"/>
      <c r="Z86" s="4"/>
      <c r="AA86" s="4"/>
      <c r="AB86" s="4"/>
      <c r="AC86" s="4"/>
      <c r="AD86" s="4"/>
    </row>
    <row r="87" spans="1:30" ht="15">
      <c r="A87" s="4"/>
      <c r="B87" s="85">
        <v>22</v>
      </c>
      <c r="C87" s="304" t="str">
        <f>IF('INPUT DATA'!Q32="","",'INPUT DATA'!Q32)</f>
        <v/>
      </c>
      <c r="D87" s="305"/>
      <c r="E87" s="306"/>
      <c r="F87" s="307" t="str">
        <f>IF('INPUT DATA'!T32="","",'INPUT DATA'!T32)</f>
        <v/>
      </c>
      <c r="G87" s="308"/>
      <c r="H87" s="97" t="str">
        <f>IF('INPUT DATA'!S32="","",'INPUT DATA'!S32)</f>
        <v/>
      </c>
      <c r="I87" s="223" t="str">
        <f t="shared" ca="1" si="4"/>
        <v/>
      </c>
      <c r="J87" s="212"/>
      <c r="K87" s="208"/>
      <c r="L87" s="80"/>
      <c r="M87" s="80"/>
      <c r="N87" s="80"/>
      <c r="O87" s="80"/>
      <c r="P87" s="121"/>
      <c r="Q87" s="121"/>
      <c r="R87" s="126" t="str">
        <f t="shared" si="3"/>
        <v/>
      </c>
      <c r="S87" s="92" t="str">
        <f t="shared" si="5"/>
        <v/>
      </c>
      <c r="T87" s="4"/>
      <c r="U87" s="4"/>
      <c r="V87" s="4"/>
      <c r="W87" s="4"/>
      <c r="X87" s="4"/>
      <c r="Y87" s="4"/>
      <c r="Z87" s="4"/>
      <c r="AA87" s="4"/>
      <c r="AB87" s="4"/>
      <c r="AC87" s="4"/>
      <c r="AD87" s="4"/>
    </row>
    <row r="88" spans="1:30" ht="15">
      <c r="A88" s="4"/>
      <c r="B88" s="85">
        <v>23</v>
      </c>
      <c r="C88" s="304" t="str">
        <f>IF('INPUT DATA'!Q33="","",'INPUT DATA'!Q33)</f>
        <v/>
      </c>
      <c r="D88" s="305"/>
      <c r="E88" s="306"/>
      <c r="F88" s="307" t="str">
        <f>IF('INPUT DATA'!T33="","",'INPUT DATA'!T33)</f>
        <v/>
      </c>
      <c r="G88" s="308"/>
      <c r="H88" s="97" t="str">
        <f>IF('INPUT DATA'!S33="","",'INPUT DATA'!S33)</f>
        <v/>
      </c>
      <c r="I88" s="223" t="str">
        <f t="shared" ca="1" si="4"/>
        <v/>
      </c>
      <c r="J88" s="212"/>
      <c r="K88" s="208"/>
      <c r="L88" s="80"/>
      <c r="M88" s="80"/>
      <c r="N88" s="80"/>
      <c r="O88" s="80"/>
      <c r="P88" s="121"/>
      <c r="Q88" s="121"/>
      <c r="R88" s="126" t="str">
        <f t="shared" si="3"/>
        <v/>
      </c>
      <c r="S88" s="92" t="str">
        <f t="shared" si="5"/>
        <v/>
      </c>
      <c r="T88" s="4"/>
      <c r="U88" s="4"/>
      <c r="V88" s="4"/>
      <c r="W88" s="4"/>
      <c r="X88" s="4"/>
      <c r="Y88" s="4"/>
      <c r="Z88" s="4"/>
      <c r="AA88" s="4"/>
      <c r="AB88" s="4"/>
      <c r="AC88" s="4"/>
      <c r="AD88" s="4"/>
    </row>
    <row r="89" spans="1:30" ht="15">
      <c r="A89" s="4"/>
      <c r="B89" s="85">
        <v>24</v>
      </c>
      <c r="C89" s="304" t="str">
        <f>IF('INPUT DATA'!Q34="","",'INPUT DATA'!Q34)</f>
        <v/>
      </c>
      <c r="D89" s="305"/>
      <c r="E89" s="306"/>
      <c r="F89" s="307" t="str">
        <f>IF('INPUT DATA'!T34="","",'INPUT DATA'!T34)</f>
        <v/>
      </c>
      <c r="G89" s="308"/>
      <c r="H89" s="97" t="str">
        <f>IF('INPUT DATA'!S34="","",'INPUT DATA'!S34)</f>
        <v/>
      </c>
      <c r="I89" s="223" t="str">
        <f t="shared" ca="1" si="4"/>
        <v/>
      </c>
      <c r="J89" s="212"/>
      <c r="K89" s="208"/>
      <c r="L89" s="80"/>
      <c r="M89" s="80"/>
      <c r="N89" s="80"/>
      <c r="O89" s="80"/>
      <c r="P89" s="121"/>
      <c r="Q89" s="121"/>
      <c r="R89" s="126" t="str">
        <f t="shared" si="3"/>
        <v/>
      </c>
      <c r="S89" s="92" t="str">
        <f t="shared" si="5"/>
        <v/>
      </c>
      <c r="T89" s="4"/>
      <c r="U89" s="4"/>
      <c r="V89" s="4"/>
      <c r="W89" s="4"/>
      <c r="X89" s="4"/>
      <c r="Y89" s="4"/>
      <c r="Z89" s="4"/>
      <c r="AA89" s="4"/>
      <c r="AB89" s="4"/>
      <c r="AC89" s="4"/>
      <c r="AD89" s="4"/>
    </row>
    <row r="90" spans="1:30" ht="15">
      <c r="A90" s="4"/>
      <c r="B90" s="85">
        <v>25</v>
      </c>
      <c r="C90" s="304" t="str">
        <f>IF('INPUT DATA'!Q35="","",'INPUT DATA'!Q35)</f>
        <v/>
      </c>
      <c r="D90" s="305"/>
      <c r="E90" s="306"/>
      <c r="F90" s="307" t="str">
        <f>IF('INPUT DATA'!T35="","",'INPUT DATA'!T35)</f>
        <v/>
      </c>
      <c r="G90" s="308"/>
      <c r="H90" s="97" t="str">
        <f>IF('INPUT DATA'!S35="","",'INPUT DATA'!S35)</f>
        <v/>
      </c>
      <c r="I90" s="223" t="str">
        <f t="shared" ca="1" si="4"/>
        <v/>
      </c>
      <c r="J90" s="212"/>
      <c r="K90" s="208"/>
      <c r="L90" s="80"/>
      <c r="M90" s="80"/>
      <c r="N90" s="80"/>
      <c r="O90" s="80"/>
      <c r="P90" s="121"/>
      <c r="Q90" s="121"/>
      <c r="R90" s="126" t="str">
        <f t="shared" si="3"/>
        <v/>
      </c>
      <c r="S90" s="92" t="str">
        <f t="shared" si="5"/>
        <v/>
      </c>
      <c r="T90" s="4"/>
      <c r="U90" s="4"/>
      <c r="V90" s="4"/>
      <c r="W90" s="4"/>
      <c r="X90" s="4"/>
      <c r="Y90" s="4"/>
      <c r="Z90" s="4"/>
      <c r="AA90" s="4"/>
      <c r="AB90" s="4"/>
      <c r="AC90" s="4"/>
      <c r="AD90" s="4"/>
    </row>
    <row r="91" spans="1:30" ht="15">
      <c r="A91" s="4"/>
      <c r="B91" s="85">
        <v>26</v>
      </c>
      <c r="C91" s="304" t="str">
        <f>IF('INPUT DATA'!Q36="","",'INPUT DATA'!Q36)</f>
        <v/>
      </c>
      <c r="D91" s="305"/>
      <c r="E91" s="306"/>
      <c r="F91" s="307" t="str">
        <f>IF('INPUT DATA'!T36="","",'INPUT DATA'!T36)</f>
        <v/>
      </c>
      <c r="G91" s="308"/>
      <c r="H91" s="97" t="str">
        <f>IF('INPUT DATA'!S36="","",'INPUT DATA'!S36)</f>
        <v/>
      </c>
      <c r="I91" s="223" t="str">
        <f t="shared" ca="1" si="4"/>
        <v/>
      </c>
      <c r="J91" s="212"/>
      <c r="K91" s="208"/>
      <c r="L91" s="80"/>
      <c r="M91" s="80"/>
      <c r="N91" s="80"/>
      <c r="O91" s="80"/>
      <c r="P91" s="121"/>
      <c r="Q91" s="121"/>
      <c r="R91" s="126" t="str">
        <f t="shared" si="3"/>
        <v/>
      </c>
      <c r="S91" s="92" t="str">
        <f t="shared" si="5"/>
        <v/>
      </c>
      <c r="T91" s="4"/>
      <c r="U91" s="4"/>
      <c r="V91" s="4"/>
      <c r="W91" s="4"/>
      <c r="X91" s="4"/>
      <c r="Y91" s="4"/>
      <c r="Z91" s="4"/>
      <c r="AA91" s="4"/>
      <c r="AB91" s="4"/>
      <c r="AC91" s="4"/>
      <c r="AD91" s="4"/>
    </row>
    <row r="92" spans="1:30" ht="15">
      <c r="A92" s="4"/>
      <c r="B92" s="85">
        <v>27</v>
      </c>
      <c r="C92" s="304" t="str">
        <f>IF('INPUT DATA'!Q37="","",'INPUT DATA'!Q37)</f>
        <v/>
      </c>
      <c r="D92" s="305"/>
      <c r="E92" s="306"/>
      <c r="F92" s="307" t="str">
        <f>IF('INPUT DATA'!T37="","",'INPUT DATA'!T37)</f>
        <v/>
      </c>
      <c r="G92" s="308"/>
      <c r="H92" s="97" t="str">
        <f>IF('INPUT DATA'!S37="","",'INPUT DATA'!S37)</f>
        <v/>
      </c>
      <c r="I92" s="223" t="str">
        <f t="shared" ca="1" si="4"/>
        <v/>
      </c>
      <c r="J92" s="212"/>
      <c r="K92" s="208"/>
      <c r="L92" s="80"/>
      <c r="M92" s="80"/>
      <c r="N92" s="80"/>
      <c r="O92" s="80"/>
      <c r="P92" s="121"/>
      <c r="Q92" s="121"/>
      <c r="R92" s="126" t="str">
        <f t="shared" si="3"/>
        <v/>
      </c>
      <c r="S92" s="92" t="str">
        <f t="shared" si="5"/>
        <v/>
      </c>
      <c r="T92" s="4"/>
      <c r="U92" s="4"/>
      <c r="V92" s="4"/>
      <c r="W92" s="4"/>
      <c r="X92" s="4"/>
      <c r="Y92" s="4"/>
      <c r="Z92" s="4"/>
      <c r="AA92" s="4"/>
      <c r="AB92" s="4"/>
      <c r="AC92" s="4"/>
      <c r="AD92" s="4"/>
    </row>
    <row r="93" spans="1:30" ht="15">
      <c r="A93" s="4"/>
      <c r="B93" s="85">
        <v>28</v>
      </c>
      <c r="C93" s="304" t="str">
        <f>IF('INPUT DATA'!Q38="","",'INPUT DATA'!Q38)</f>
        <v/>
      </c>
      <c r="D93" s="305"/>
      <c r="E93" s="306"/>
      <c r="F93" s="307" t="str">
        <f>IF('INPUT DATA'!T38="","",'INPUT DATA'!T38)</f>
        <v/>
      </c>
      <c r="G93" s="308"/>
      <c r="H93" s="97" t="str">
        <f>IF('INPUT DATA'!S38="","",'INPUT DATA'!S38)</f>
        <v/>
      </c>
      <c r="I93" s="223" t="str">
        <f t="shared" ca="1" si="4"/>
        <v/>
      </c>
      <c r="J93" s="212"/>
      <c r="K93" s="208"/>
      <c r="L93" s="80"/>
      <c r="M93" s="80"/>
      <c r="N93" s="80"/>
      <c r="O93" s="80"/>
      <c r="P93" s="121"/>
      <c r="Q93" s="121"/>
      <c r="R93" s="126" t="str">
        <f t="shared" si="3"/>
        <v/>
      </c>
      <c r="S93" s="92" t="str">
        <f t="shared" si="5"/>
        <v/>
      </c>
      <c r="T93" s="4"/>
      <c r="U93" s="4"/>
      <c r="V93" s="4"/>
      <c r="W93" s="4"/>
      <c r="X93" s="4"/>
      <c r="Y93" s="4"/>
      <c r="Z93" s="4"/>
      <c r="AA93" s="4"/>
      <c r="AB93" s="4"/>
      <c r="AC93" s="4"/>
      <c r="AD93" s="4"/>
    </row>
    <row r="94" spans="1:30" ht="15">
      <c r="A94" s="4"/>
      <c r="B94" s="85">
        <v>29</v>
      </c>
      <c r="C94" s="304" t="str">
        <f>IF('INPUT DATA'!Q39="","",'INPUT DATA'!Q39)</f>
        <v/>
      </c>
      <c r="D94" s="305"/>
      <c r="E94" s="306"/>
      <c r="F94" s="307" t="str">
        <f>IF('INPUT DATA'!T39="","",'INPUT DATA'!T39)</f>
        <v/>
      </c>
      <c r="G94" s="308"/>
      <c r="H94" s="97" t="str">
        <f>IF('INPUT DATA'!S39="","",'INPUT DATA'!S39)</f>
        <v/>
      </c>
      <c r="I94" s="223" t="str">
        <f t="shared" ca="1" si="4"/>
        <v/>
      </c>
      <c r="J94" s="212"/>
      <c r="K94" s="208"/>
      <c r="L94" s="80"/>
      <c r="M94" s="80"/>
      <c r="N94" s="80"/>
      <c r="O94" s="80"/>
      <c r="P94" s="121"/>
      <c r="Q94" s="121"/>
      <c r="R94" s="126" t="str">
        <f t="shared" si="3"/>
        <v/>
      </c>
      <c r="S94" s="92" t="str">
        <f t="shared" si="5"/>
        <v/>
      </c>
      <c r="T94" s="4"/>
      <c r="U94" s="4"/>
      <c r="V94" s="4"/>
      <c r="W94" s="4"/>
      <c r="X94" s="4"/>
      <c r="Y94" s="4"/>
      <c r="Z94" s="4"/>
      <c r="AA94" s="4"/>
      <c r="AB94" s="4"/>
      <c r="AC94" s="4"/>
      <c r="AD94" s="4"/>
    </row>
    <row r="95" spans="1:30" ht="15">
      <c r="A95" s="4"/>
      <c r="B95" s="85">
        <v>30</v>
      </c>
      <c r="C95" s="304" t="str">
        <f>IF('INPUT DATA'!Q40="","",'INPUT DATA'!Q40)</f>
        <v/>
      </c>
      <c r="D95" s="305"/>
      <c r="E95" s="306"/>
      <c r="F95" s="307" t="str">
        <f>IF('INPUT DATA'!T40="","",'INPUT DATA'!T40)</f>
        <v/>
      </c>
      <c r="G95" s="308"/>
      <c r="H95" s="97" t="str">
        <f>IF('INPUT DATA'!S40="","",'INPUT DATA'!S40)</f>
        <v/>
      </c>
      <c r="I95" s="223" t="str">
        <f t="shared" ca="1" si="4"/>
        <v/>
      </c>
      <c r="J95" s="212"/>
      <c r="K95" s="208"/>
      <c r="L95" s="80"/>
      <c r="M95" s="80"/>
      <c r="N95" s="80"/>
      <c r="O95" s="80"/>
      <c r="P95" s="121"/>
      <c r="Q95" s="121"/>
      <c r="R95" s="126" t="str">
        <f t="shared" si="3"/>
        <v/>
      </c>
      <c r="S95" s="92" t="str">
        <f t="shared" si="5"/>
        <v/>
      </c>
      <c r="T95" s="4"/>
      <c r="U95" s="4"/>
      <c r="V95" s="4"/>
      <c r="W95" s="4"/>
      <c r="X95" s="4"/>
      <c r="Y95" s="4"/>
      <c r="Z95" s="4"/>
      <c r="AA95" s="4"/>
      <c r="AB95" s="4"/>
      <c r="AC95" s="4"/>
      <c r="AD95" s="4"/>
    </row>
    <row r="96" spans="1:30" ht="15">
      <c r="A96" s="4"/>
      <c r="B96" s="85">
        <v>31</v>
      </c>
      <c r="C96" s="304" t="str">
        <f>IF('INPUT DATA'!Q41="","",'INPUT DATA'!Q41)</f>
        <v/>
      </c>
      <c r="D96" s="305"/>
      <c r="E96" s="306"/>
      <c r="F96" s="307" t="str">
        <f>IF('INPUT DATA'!T41="","",'INPUT DATA'!T41)</f>
        <v/>
      </c>
      <c r="G96" s="308"/>
      <c r="H96" s="97" t="str">
        <f>IF('INPUT DATA'!S41="","",'INPUT DATA'!S41)</f>
        <v/>
      </c>
      <c r="I96" s="223" t="str">
        <f t="shared" ca="1" si="4"/>
        <v/>
      </c>
      <c r="J96" s="212"/>
      <c r="K96" s="208"/>
      <c r="L96" s="80"/>
      <c r="M96" s="80"/>
      <c r="N96" s="80"/>
      <c r="O96" s="80"/>
      <c r="P96" s="121"/>
      <c r="Q96" s="121"/>
      <c r="R96" s="126" t="str">
        <f t="shared" si="3"/>
        <v/>
      </c>
      <c r="S96" s="92" t="str">
        <f t="shared" si="5"/>
        <v/>
      </c>
      <c r="T96" s="4"/>
      <c r="U96" s="4"/>
      <c r="V96" s="4"/>
      <c r="W96" s="4"/>
      <c r="X96" s="4"/>
      <c r="Y96" s="4"/>
      <c r="Z96" s="4"/>
      <c r="AA96" s="4"/>
      <c r="AB96" s="4"/>
      <c r="AC96" s="4"/>
      <c r="AD96" s="4"/>
    </row>
    <row r="97" spans="1:30" ht="15">
      <c r="A97" s="4"/>
      <c r="B97" s="85">
        <v>32</v>
      </c>
      <c r="C97" s="304" t="str">
        <f>IF('INPUT DATA'!Q42="","",'INPUT DATA'!Q42)</f>
        <v/>
      </c>
      <c r="D97" s="305"/>
      <c r="E97" s="306"/>
      <c r="F97" s="307" t="str">
        <f>IF('INPUT DATA'!T42="","",'INPUT DATA'!T42)</f>
        <v/>
      </c>
      <c r="G97" s="308"/>
      <c r="H97" s="97" t="str">
        <f>IF('INPUT DATA'!S42="","",'INPUT DATA'!S42)</f>
        <v/>
      </c>
      <c r="I97" s="223" t="str">
        <f t="shared" ca="1" si="4"/>
        <v/>
      </c>
      <c r="J97" s="212"/>
      <c r="K97" s="208"/>
      <c r="L97" s="80"/>
      <c r="M97" s="80"/>
      <c r="N97" s="80"/>
      <c r="O97" s="80"/>
      <c r="P97" s="121"/>
      <c r="Q97" s="121"/>
      <c r="R97" s="126" t="str">
        <f t="shared" si="3"/>
        <v/>
      </c>
      <c r="S97" s="92" t="str">
        <f t="shared" si="5"/>
        <v/>
      </c>
      <c r="T97" s="4"/>
      <c r="U97" s="4"/>
      <c r="V97" s="4"/>
      <c r="W97" s="4"/>
      <c r="X97" s="4"/>
      <c r="Y97" s="4"/>
      <c r="Z97" s="4"/>
      <c r="AA97" s="4"/>
      <c r="AB97" s="4"/>
      <c r="AC97" s="4"/>
      <c r="AD97" s="4"/>
    </row>
    <row r="98" spans="1:30" ht="15">
      <c r="A98" s="4"/>
      <c r="B98" s="85">
        <v>33</v>
      </c>
      <c r="C98" s="304" t="str">
        <f>IF('INPUT DATA'!Q43="","",'INPUT DATA'!Q43)</f>
        <v/>
      </c>
      <c r="D98" s="305"/>
      <c r="E98" s="306"/>
      <c r="F98" s="307" t="str">
        <f>IF('INPUT DATA'!T43="","",'INPUT DATA'!T43)</f>
        <v/>
      </c>
      <c r="G98" s="308"/>
      <c r="H98" s="97" t="str">
        <f>IF('INPUT DATA'!S43="","",'INPUT DATA'!S43)</f>
        <v/>
      </c>
      <c r="I98" s="223" t="str">
        <f t="shared" ca="1" si="4"/>
        <v/>
      </c>
      <c r="J98" s="212"/>
      <c r="K98" s="208"/>
      <c r="L98" s="80"/>
      <c r="M98" s="80"/>
      <c r="N98" s="80"/>
      <c r="O98" s="80"/>
      <c r="P98" s="121"/>
      <c r="Q98" s="121"/>
      <c r="R98" s="126" t="str">
        <f t="shared" si="3"/>
        <v/>
      </c>
      <c r="S98" s="92" t="str">
        <f t="shared" si="5"/>
        <v/>
      </c>
      <c r="T98" s="4"/>
      <c r="U98" s="4"/>
      <c r="V98" s="4"/>
      <c r="W98" s="4"/>
      <c r="X98" s="4"/>
      <c r="Y98" s="4"/>
      <c r="Z98" s="4"/>
      <c r="AA98" s="4"/>
      <c r="AB98" s="4"/>
      <c r="AC98" s="4"/>
      <c r="AD98" s="4"/>
    </row>
    <row r="99" spans="1:30" ht="15">
      <c r="A99" s="4"/>
      <c r="B99" s="85">
        <v>34</v>
      </c>
      <c r="C99" s="304" t="str">
        <f>IF('INPUT DATA'!Q44="","",'INPUT DATA'!Q44)</f>
        <v/>
      </c>
      <c r="D99" s="305"/>
      <c r="E99" s="306"/>
      <c r="F99" s="307" t="str">
        <f>IF('INPUT DATA'!T44="","",'INPUT DATA'!T44)</f>
        <v/>
      </c>
      <c r="G99" s="308"/>
      <c r="H99" s="97" t="str">
        <f>IF('INPUT DATA'!S44="","",'INPUT DATA'!S44)</f>
        <v/>
      </c>
      <c r="I99" s="223" t="str">
        <f t="shared" ca="1" si="4"/>
        <v/>
      </c>
      <c r="J99" s="212"/>
      <c r="K99" s="208"/>
      <c r="L99" s="80"/>
      <c r="M99" s="80"/>
      <c r="N99" s="80"/>
      <c r="O99" s="80"/>
      <c r="P99" s="121"/>
      <c r="Q99" s="121"/>
      <c r="R99" s="126" t="str">
        <f t="shared" si="3"/>
        <v/>
      </c>
      <c r="S99" s="92" t="str">
        <f t="shared" si="5"/>
        <v/>
      </c>
      <c r="T99" s="4"/>
      <c r="U99" s="4"/>
      <c r="V99" s="4"/>
      <c r="W99" s="4"/>
      <c r="X99" s="4"/>
      <c r="Y99" s="4"/>
      <c r="Z99" s="4"/>
      <c r="AA99" s="4"/>
      <c r="AB99" s="4"/>
      <c r="AC99" s="4"/>
      <c r="AD99" s="4"/>
    </row>
    <row r="100" spans="1:30" ht="15">
      <c r="A100" s="4"/>
      <c r="B100" s="85">
        <v>35</v>
      </c>
      <c r="C100" s="304" t="str">
        <f>IF('INPUT DATA'!Q45="","",'INPUT DATA'!Q45)</f>
        <v/>
      </c>
      <c r="D100" s="305"/>
      <c r="E100" s="306"/>
      <c r="F100" s="307" t="str">
        <f>IF('INPUT DATA'!T45="","",'INPUT DATA'!T45)</f>
        <v/>
      </c>
      <c r="G100" s="308"/>
      <c r="H100" s="97" t="str">
        <f>IF('INPUT DATA'!S45="","",'INPUT DATA'!S45)</f>
        <v/>
      </c>
      <c r="I100" s="223" t="str">
        <f t="shared" ca="1" si="4"/>
        <v/>
      </c>
      <c r="J100" s="212"/>
      <c r="K100" s="208"/>
      <c r="L100" s="80"/>
      <c r="M100" s="80"/>
      <c r="N100" s="80"/>
      <c r="O100" s="80"/>
      <c r="P100" s="121"/>
      <c r="Q100" s="121"/>
      <c r="R100" s="126" t="str">
        <f t="shared" si="3"/>
        <v/>
      </c>
      <c r="S100" s="92" t="str">
        <f t="shared" si="5"/>
        <v/>
      </c>
      <c r="T100" s="4"/>
      <c r="U100" s="4"/>
      <c r="V100" s="4"/>
      <c r="W100" s="4"/>
      <c r="X100" s="4"/>
      <c r="Y100" s="4"/>
      <c r="Z100" s="4"/>
      <c r="AA100" s="4"/>
      <c r="AB100" s="4"/>
      <c r="AC100" s="4"/>
      <c r="AD100" s="4"/>
    </row>
    <row r="101" spans="1:30" ht="15">
      <c r="A101" s="4"/>
      <c r="B101" s="85">
        <v>36</v>
      </c>
      <c r="C101" s="304" t="str">
        <f>IF('INPUT DATA'!Q46="","",'INPUT DATA'!Q46)</f>
        <v/>
      </c>
      <c r="D101" s="305"/>
      <c r="E101" s="306"/>
      <c r="F101" s="307" t="str">
        <f>IF('INPUT DATA'!T46="","",'INPUT DATA'!T46)</f>
        <v/>
      </c>
      <c r="G101" s="308"/>
      <c r="H101" s="97" t="str">
        <f>IF('INPUT DATA'!S46="","",'INPUT DATA'!S46)</f>
        <v/>
      </c>
      <c r="I101" s="223" t="str">
        <f t="shared" ca="1" si="4"/>
        <v/>
      </c>
      <c r="J101" s="212"/>
      <c r="K101" s="208"/>
      <c r="L101" s="80"/>
      <c r="M101" s="80"/>
      <c r="N101" s="80"/>
      <c r="O101" s="80"/>
      <c r="P101" s="121"/>
      <c r="Q101" s="121"/>
      <c r="R101" s="126" t="str">
        <f t="shared" si="3"/>
        <v/>
      </c>
      <c r="S101" s="92" t="str">
        <f t="shared" si="5"/>
        <v/>
      </c>
      <c r="T101" s="4"/>
      <c r="U101" s="4"/>
      <c r="V101" s="4"/>
      <c r="W101" s="4"/>
      <c r="X101" s="4"/>
      <c r="Y101" s="4"/>
      <c r="Z101" s="4"/>
      <c r="AA101" s="4"/>
      <c r="AB101" s="4"/>
      <c r="AC101" s="4"/>
      <c r="AD101" s="4"/>
    </row>
    <row r="102" spans="1:30" ht="15">
      <c r="A102" s="4"/>
      <c r="B102" s="85">
        <v>37</v>
      </c>
      <c r="C102" s="304" t="str">
        <f>IF('INPUT DATA'!Q47="","",'INPUT DATA'!Q47)</f>
        <v/>
      </c>
      <c r="D102" s="305"/>
      <c r="E102" s="306"/>
      <c r="F102" s="307" t="str">
        <f>IF('INPUT DATA'!T47="","",'INPUT DATA'!T47)</f>
        <v/>
      </c>
      <c r="G102" s="308"/>
      <c r="H102" s="97" t="str">
        <f>IF('INPUT DATA'!S47="","",'INPUT DATA'!S47)</f>
        <v/>
      </c>
      <c r="I102" s="223" t="str">
        <f t="shared" ca="1" si="4"/>
        <v/>
      </c>
      <c r="J102" s="212"/>
      <c r="K102" s="208"/>
      <c r="L102" s="80"/>
      <c r="M102" s="80"/>
      <c r="N102" s="80"/>
      <c r="O102" s="80"/>
      <c r="P102" s="121"/>
      <c r="Q102" s="121"/>
      <c r="R102" s="126" t="str">
        <f t="shared" si="3"/>
        <v/>
      </c>
      <c r="S102" s="92" t="str">
        <f t="shared" si="5"/>
        <v/>
      </c>
      <c r="T102" s="4"/>
      <c r="U102" s="4"/>
      <c r="V102" s="4"/>
      <c r="W102" s="4"/>
      <c r="X102" s="4"/>
      <c r="Y102" s="4"/>
      <c r="Z102" s="4"/>
      <c r="AA102" s="4"/>
      <c r="AB102" s="4"/>
      <c r="AC102" s="4"/>
      <c r="AD102" s="4"/>
    </row>
    <row r="103" spans="1:30" ht="15">
      <c r="A103" s="4"/>
      <c r="B103" s="85">
        <v>38</v>
      </c>
      <c r="C103" s="304" t="str">
        <f>IF('INPUT DATA'!Q48="","",'INPUT DATA'!Q48)</f>
        <v/>
      </c>
      <c r="D103" s="305"/>
      <c r="E103" s="306"/>
      <c r="F103" s="307" t="str">
        <f>IF('INPUT DATA'!T48="","",'INPUT DATA'!T48)</f>
        <v/>
      </c>
      <c r="G103" s="308"/>
      <c r="H103" s="97" t="str">
        <f>IF('INPUT DATA'!S48="","",'INPUT DATA'!S48)</f>
        <v/>
      </c>
      <c r="I103" s="223" t="str">
        <f t="shared" ca="1" si="4"/>
        <v/>
      </c>
      <c r="J103" s="212"/>
      <c r="K103" s="208"/>
      <c r="L103" s="80"/>
      <c r="M103" s="80"/>
      <c r="N103" s="80"/>
      <c r="O103" s="80"/>
      <c r="P103" s="121"/>
      <c r="Q103" s="121"/>
      <c r="R103" s="126" t="str">
        <f t="shared" si="3"/>
        <v/>
      </c>
      <c r="S103" s="92" t="str">
        <f t="shared" si="5"/>
        <v/>
      </c>
      <c r="T103" s="4"/>
      <c r="U103" s="4"/>
      <c r="V103" s="4"/>
      <c r="W103" s="4"/>
      <c r="X103" s="4"/>
      <c r="Y103" s="4"/>
      <c r="Z103" s="4"/>
      <c r="AA103" s="4"/>
      <c r="AB103" s="4"/>
      <c r="AC103" s="4"/>
      <c r="AD103" s="4"/>
    </row>
    <row r="104" spans="1:30" ht="15">
      <c r="A104" s="4"/>
      <c r="B104" s="85">
        <v>39</v>
      </c>
      <c r="C104" s="304" t="str">
        <f>IF('INPUT DATA'!Q49="","",'INPUT DATA'!Q49)</f>
        <v/>
      </c>
      <c r="D104" s="305"/>
      <c r="E104" s="306"/>
      <c r="F104" s="307" t="str">
        <f>IF('INPUT DATA'!T49="","",'INPUT DATA'!T49)</f>
        <v/>
      </c>
      <c r="G104" s="308"/>
      <c r="H104" s="97" t="str">
        <f>IF('INPUT DATA'!S49="","",'INPUT DATA'!S49)</f>
        <v/>
      </c>
      <c r="I104" s="223" t="str">
        <f t="shared" ca="1" si="4"/>
        <v/>
      </c>
      <c r="J104" s="212"/>
      <c r="K104" s="208"/>
      <c r="L104" s="80"/>
      <c r="M104" s="80"/>
      <c r="N104" s="80"/>
      <c r="O104" s="80"/>
      <c r="P104" s="121"/>
      <c r="Q104" s="121"/>
      <c r="R104" s="126" t="str">
        <f t="shared" si="3"/>
        <v/>
      </c>
      <c r="S104" s="92" t="str">
        <f t="shared" si="5"/>
        <v/>
      </c>
      <c r="T104" s="4"/>
      <c r="U104" s="4"/>
      <c r="V104" s="4"/>
      <c r="W104" s="4"/>
      <c r="X104" s="4"/>
      <c r="Y104" s="4"/>
      <c r="Z104" s="4"/>
      <c r="AA104" s="4"/>
      <c r="AB104" s="4"/>
      <c r="AC104" s="4"/>
      <c r="AD104" s="4"/>
    </row>
    <row r="105" spans="1:30" ht="15">
      <c r="A105" s="4"/>
      <c r="B105" s="85">
        <v>40</v>
      </c>
      <c r="C105" s="304" t="str">
        <f>IF('INPUT DATA'!Q50="","",'INPUT DATA'!Q50)</f>
        <v/>
      </c>
      <c r="D105" s="305"/>
      <c r="E105" s="306"/>
      <c r="F105" s="307" t="str">
        <f>IF('INPUT DATA'!T50="","",'INPUT DATA'!T50)</f>
        <v/>
      </c>
      <c r="G105" s="308"/>
      <c r="H105" s="97" t="str">
        <f>IF('INPUT DATA'!S50="","",'INPUT DATA'!S50)</f>
        <v/>
      </c>
      <c r="I105" s="223" t="str">
        <f t="shared" ca="1" si="4"/>
        <v/>
      </c>
      <c r="J105" s="212"/>
      <c r="K105" s="208"/>
      <c r="L105" s="80"/>
      <c r="M105" s="80"/>
      <c r="N105" s="80"/>
      <c r="O105" s="80"/>
      <c r="P105" s="121"/>
      <c r="Q105" s="121"/>
      <c r="R105" s="126" t="str">
        <f t="shared" si="3"/>
        <v/>
      </c>
      <c r="S105" s="92" t="str">
        <f t="shared" si="5"/>
        <v/>
      </c>
      <c r="T105" s="4"/>
      <c r="U105" s="4"/>
      <c r="V105" s="4"/>
      <c r="W105" s="4"/>
      <c r="X105" s="4"/>
      <c r="Y105" s="4"/>
      <c r="Z105" s="4"/>
      <c r="AA105" s="4"/>
      <c r="AB105" s="4"/>
      <c r="AC105" s="4"/>
      <c r="AD105" s="4"/>
    </row>
    <row r="106" spans="1:30" ht="15">
      <c r="A106" s="4"/>
      <c r="B106" s="85">
        <v>41</v>
      </c>
      <c r="C106" s="304" t="str">
        <f>IF('INPUT DATA'!Q51="","",'INPUT DATA'!Q51)</f>
        <v/>
      </c>
      <c r="D106" s="305"/>
      <c r="E106" s="306"/>
      <c r="F106" s="307" t="str">
        <f>IF('INPUT DATA'!T51="","",'INPUT DATA'!T51)</f>
        <v/>
      </c>
      <c r="G106" s="308"/>
      <c r="H106" s="97" t="str">
        <f>IF('INPUT DATA'!S51="","",'INPUT DATA'!S51)</f>
        <v/>
      </c>
      <c r="I106" s="223" t="str">
        <f t="shared" ca="1" si="4"/>
        <v/>
      </c>
      <c r="J106" s="212"/>
      <c r="K106" s="208"/>
      <c r="L106" s="80"/>
      <c r="M106" s="80"/>
      <c r="N106" s="80"/>
      <c r="O106" s="80"/>
      <c r="P106" s="121"/>
      <c r="Q106" s="121"/>
      <c r="R106" s="126" t="str">
        <f t="shared" si="3"/>
        <v/>
      </c>
      <c r="S106" s="92" t="str">
        <f t="shared" si="5"/>
        <v/>
      </c>
      <c r="T106" s="4"/>
      <c r="U106" s="4"/>
      <c r="V106" s="4"/>
      <c r="W106" s="4"/>
      <c r="X106" s="4"/>
      <c r="Y106" s="4"/>
      <c r="Z106" s="4"/>
      <c r="AA106" s="4"/>
      <c r="AB106" s="4"/>
      <c r="AC106" s="4"/>
      <c r="AD106" s="4"/>
    </row>
    <row r="107" spans="1:30" ht="15">
      <c r="A107" s="4"/>
      <c r="B107" s="85">
        <v>42</v>
      </c>
      <c r="C107" s="304" t="str">
        <f>IF('INPUT DATA'!Q52="","",'INPUT DATA'!Q52)</f>
        <v/>
      </c>
      <c r="D107" s="305"/>
      <c r="E107" s="306"/>
      <c r="F107" s="307" t="str">
        <f>IF('INPUT DATA'!T52="","",'INPUT DATA'!T52)</f>
        <v/>
      </c>
      <c r="G107" s="308"/>
      <c r="H107" s="97" t="str">
        <f>IF('INPUT DATA'!S52="","",'INPUT DATA'!S52)</f>
        <v/>
      </c>
      <c r="I107" s="223" t="str">
        <f t="shared" ca="1" si="4"/>
        <v/>
      </c>
      <c r="J107" s="212"/>
      <c r="K107" s="208"/>
      <c r="L107" s="80"/>
      <c r="M107" s="80"/>
      <c r="N107" s="80"/>
      <c r="O107" s="80"/>
      <c r="P107" s="121"/>
      <c r="Q107" s="121"/>
      <c r="R107" s="126" t="str">
        <f t="shared" si="3"/>
        <v/>
      </c>
      <c r="S107" s="92" t="str">
        <f t="shared" si="5"/>
        <v/>
      </c>
      <c r="T107" s="4"/>
      <c r="U107" s="4"/>
      <c r="V107" s="4"/>
      <c r="W107" s="4"/>
      <c r="X107" s="4"/>
      <c r="Y107" s="4"/>
      <c r="Z107" s="4"/>
      <c r="AA107" s="4"/>
      <c r="AB107" s="4"/>
      <c r="AC107" s="4"/>
      <c r="AD107" s="4"/>
    </row>
    <row r="108" spans="1:30" ht="15">
      <c r="A108" s="4"/>
      <c r="B108" s="85">
        <v>43</v>
      </c>
      <c r="C108" s="304" t="str">
        <f>IF('INPUT DATA'!Q53="","",'INPUT DATA'!Q53)</f>
        <v/>
      </c>
      <c r="D108" s="305"/>
      <c r="E108" s="306"/>
      <c r="F108" s="307" t="str">
        <f>IF('INPUT DATA'!T53="","",'INPUT DATA'!T53)</f>
        <v/>
      </c>
      <c r="G108" s="308"/>
      <c r="H108" s="97" t="str">
        <f>IF('INPUT DATA'!S53="","",'INPUT DATA'!S53)</f>
        <v/>
      </c>
      <c r="I108" s="223" t="str">
        <f t="shared" ca="1" si="4"/>
        <v/>
      </c>
      <c r="J108" s="212"/>
      <c r="K108" s="208"/>
      <c r="L108" s="80"/>
      <c r="M108" s="80"/>
      <c r="N108" s="80"/>
      <c r="O108" s="80"/>
      <c r="P108" s="121"/>
      <c r="Q108" s="121"/>
      <c r="R108" s="126" t="str">
        <f t="shared" si="3"/>
        <v/>
      </c>
      <c r="S108" s="92" t="str">
        <f t="shared" si="5"/>
        <v/>
      </c>
      <c r="T108" s="4"/>
      <c r="U108" s="4"/>
      <c r="V108" s="4"/>
      <c r="W108" s="4"/>
      <c r="X108" s="4"/>
      <c r="Y108" s="4"/>
      <c r="Z108" s="4"/>
      <c r="AA108" s="4"/>
      <c r="AB108" s="4"/>
      <c r="AC108" s="4"/>
      <c r="AD108" s="4"/>
    </row>
    <row r="109" spans="1:30" ht="15">
      <c r="A109" s="4"/>
      <c r="B109" s="85">
        <v>44</v>
      </c>
      <c r="C109" s="304" t="str">
        <f>IF('INPUT DATA'!Q54="","",'INPUT DATA'!Q54)</f>
        <v/>
      </c>
      <c r="D109" s="305"/>
      <c r="E109" s="306"/>
      <c r="F109" s="307" t="str">
        <f>IF('INPUT DATA'!T54="","",'INPUT DATA'!T54)</f>
        <v/>
      </c>
      <c r="G109" s="308"/>
      <c r="H109" s="97" t="str">
        <f>IF('INPUT DATA'!S54="","",'INPUT DATA'!S54)</f>
        <v/>
      </c>
      <c r="I109" s="223" t="str">
        <f t="shared" ca="1" si="4"/>
        <v/>
      </c>
      <c r="J109" s="212"/>
      <c r="K109" s="208"/>
      <c r="L109" s="80"/>
      <c r="M109" s="80"/>
      <c r="N109" s="80"/>
      <c r="O109" s="80"/>
      <c r="P109" s="121"/>
      <c r="Q109" s="121"/>
      <c r="R109" s="126" t="str">
        <f t="shared" si="3"/>
        <v/>
      </c>
      <c r="S109" s="92" t="str">
        <f t="shared" si="5"/>
        <v/>
      </c>
      <c r="T109" s="4"/>
      <c r="U109" s="4"/>
      <c r="V109" s="4"/>
      <c r="W109" s="4"/>
      <c r="X109" s="4"/>
      <c r="Y109" s="4"/>
      <c r="Z109" s="4"/>
      <c r="AA109" s="4"/>
      <c r="AB109" s="4"/>
      <c r="AC109" s="4"/>
      <c r="AD109" s="4"/>
    </row>
    <row r="110" spans="1:30" ht="15">
      <c r="A110" s="4"/>
      <c r="B110" s="85">
        <v>45</v>
      </c>
      <c r="C110" s="304" t="str">
        <f>IF('INPUT DATA'!Q55="","",'INPUT DATA'!Q55)</f>
        <v/>
      </c>
      <c r="D110" s="305"/>
      <c r="E110" s="306"/>
      <c r="F110" s="307" t="str">
        <f>IF('INPUT DATA'!T55="","",'INPUT DATA'!T55)</f>
        <v/>
      </c>
      <c r="G110" s="308"/>
      <c r="H110" s="97" t="str">
        <f>IF('INPUT DATA'!S55="","",'INPUT DATA'!S55)</f>
        <v/>
      </c>
      <c r="I110" s="223" t="str">
        <f t="shared" ca="1" si="4"/>
        <v/>
      </c>
      <c r="J110" s="212"/>
      <c r="K110" s="209"/>
      <c r="L110" s="81"/>
      <c r="M110" s="81"/>
      <c r="N110" s="81"/>
      <c r="O110" s="81"/>
      <c r="P110" s="122"/>
      <c r="Q110" s="122"/>
      <c r="R110" s="126" t="str">
        <f t="shared" si="3"/>
        <v/>
      </c>
      <c r="S110" s="92" t="str">
        <f t="shared" si="5"/>
        <v/>
      </c>
      <c r="T110" s="4"/>
      <c r="U110" s="4"/>
      <c r="V110" s="4"/>
      <c r="W110" s="4"/>
      <c r="X110" s="4"/>
      <c r="Y110" s="4"/>
      <c r="Z110" s="4"/>
      <c r="AA110" s="4"/>
      <c r="AB110" s="4"/>
      <c r="AC110" s="4"/>
      <c r="AD110" s="4"/>
    </row>
    <row r="111" spans="1:30" ht="15">
      <c r="A111" s="4"/>
      <c r="B111" s="85">
        <v>46</v>
      </c>
      <c r="C111" s="304" t="str">
        <f>IF('INPUT DATA'!Q56="","",'INPUT DATA'!Q56)</f>
        <v/>
      </c>
      <c r="D111" s="305"/>
      <c r="E111" s="306"/>
      <c r="F111" s="307" t="str">
        <f>IF('INPUT DATA'!T56="","",'INPUT DATA'!T56)</f>
        <v/>
      </c>
      <c r="G111" s="308"/>
      <c r="H111" s="97" t="str">
        <f>IF('INPUT DATA'!S56="","",'INPUT DATA'!S56)</f>
        <v/>
      </c>
      <c r="I111" s="223" t="str">
        <f t="shared" ca="1" si="4"/>
        <v/>
      </c>
      <c r="J111" s="212"/>
      <c r="K111" s="208"/>
      <c r="L111" s="80"/>
      <c r="M111" s="80"/>
      <c r="N111" s="80"/>
      <c r="O111" s="80"/>
      <c r="P111" s="121"/>
      <c r="Q111" s="121"/>
      <c r="R111" s="126" t="str">
        <f t="shared" si="3"/>
        <v/>
      </c>
      <c r="S111" s="92" t="str">
        <f t="shared" si="5"/>
        <v/>
      </c>
      <c r="T111" s="4"/>
      <c r="U111" s="4"/>
      <c r="V111" s="4"/>
      <c r="W111" s="4"/>
      <c r="X111" s="4"/>
      <c r="Y111" s="4"/>
      <c r="Z111" s="4"/>
      <c r="AA111" s="4"/>
      <c r="AB111" s="4"/>
      <c r="AC111" s="4"/>
      <c r="AD111" s="4"/>
    </row>
    <row r="112" spans="1:30" ht="15">
      <c r="A112" s="4"/>
      <c r="B112" s="85">
        <v>47</v>
      </c>
      <c r="C112" s="304" t="str">
        <f>IF('INPUT DATA'!Q57="","",'INPUT DATA'!Q57)</f>
        <v/>
      </c>
      <c r="D112" s="305"/>
      <c r="E112" s="306"/>
      <c r="F112" s="307" t="str">
        <f>IF('INPUT DATA'!T57="","",'INPUT DATA'!T57)</f>
        <v/>
      </c>
      <c r="G112" s="308"/>
      <c r="H112" s="97" t="str">
        <f>IF('INPUT DATA'!S57="","",'INPUT DATA'!S57)</f>
        <v/>
      </c>
      <c r="I112" s="223" t="str">
        <f t="shared" ca="1" si="4"/>
        <v/>
      </c>
      <c r="J112" s="212"/>
      <c r="K112" s="208"/>
      <c r="L112" s="80"/>
      <c r="M112" s="80"/>
      <c r="N112" s="80"/>
      <c r="O112" s="80"/>
      <c r="P112" s="121"/>
      <c r="Q112" s="121"/>
      <c r="R112" s="126" t="str">
        <f t="shared" si="3"/>
        <v/>
      </c>
      <c r="S112" s="92" t="str">
        <f t="shared" si="5"/>
        <v/>
      </c>
      <c r="T112" s="4"/>
      <c r="U112" s="4"/>
      <c r="V112" s="4"/>
      <c r="W112" s="4"/>
      <c r="X112" s="4"/>
      <c r="Y112" s="4"/>
      <c r="Z112" s="4"/>
      <c r="AA112" s="4"/>
      <c r="AB112" s="4"/>
      <c r="AC112" s="4"/>
      <c r="AD112" s="4"/>
    </row>
    <row r="113" spans="1:30" ht="15">
      <c r="A113" s="4"/>
      <c r="B113" s="85">
        <v>48</v>
      </c>
      <c r="C113" s="304" t="str">
        <f>IF('INPUT DATA'!Q58="","",'INPUT DATA'!Q58)</f>
        <v/>
      </c>
      <c r="D113" s="305"/>
      <c r="E113" s="306"/>
      <c r="F113" s="307" t="str">
        <f>IF('INPUT DATA'!T58="","",'INPUT DATA'!T58)</f>
        <v/>
      </c>
      <c r="G113" s="308"/>
      <c r="H113" s="97" t="str">
        <f>IF('INPUT DATA'!S58="","",'INPUT DATA'!S58)</f>
        <v/>
      </c>
      <c r="I113" s="223" t="str">
        <f t="shared" ca="1" si="4"/>
        <v/>
      </c>
      <c r="J113" s="212"/>
      <c r="K113" s="208"/>
      <c r="L113" s="80"/>
      <c r="M113" s="80"/>
      <c r="N113" s="80"/>
      <c r="O113" s="80"/>
      <c r="P113" s="121"/>
      <c r="Q113" s="121"/>
      <c r="R113" s="126" t="str">
        <f t="shared" si="3"/>
        <v/>
      </c>
      <c r="S113" s="92" t="str">
        <f t="shared" si="5"/>
        <v/>
      </c>
      <c r="T113" s="4"/>
      <c r="U113" s="4"/>
      <c r="V113" s="4"/>
      <c r="W113" s="4"/>
      <c r="X113" s="4"/>
      <c r="Y113" s="4"/>
      <c r="Z113" s="4"/>
      <c r="AA113" s="4"/>
      <c r="AB113" s="4"/>
      <c r="AC113" s="4"/>
      <c r="AD113" s="4"/>
    </row>
    <row r="114" spans="1:30" ht="15">
      <c r="A114" s="4"/>
      <c r="B114" s="85">
        <v>49</v>
      </c>
      <c r="C114" s="304" t="str">
        <f>IF('INPUT DATA'!Q59="","",'INPUT DATA'!Q59)</f>
        <v/>
      </c>
      <c r="D114" s="305"/>
      <c r="E114" s="306"/>
      <c r="F114" s="307" t="str">
        <f>IF('INPUT DATA'!T59="","",'INPUT DATA'!T59)</f>
        <v/>
      </c>
      <c r="G114" s="308"/>
      <c r="H114" s="97" t="str">
        <f>IF('INPUT DATA'!S59="","",'INPUT DATA'!S59)</f>
        <v/>
      </c>
      <c r="I114" s="223" t="str">
        <f t="shared" ca="1" si="4"/>
        <v/>
      </c>
      <c r="J114" s="212"/>
      <c r="K114" s="208"/>
      <c r="L114" s="80"/>
      <c r="M114" s="80"/>
      <c r="N114" s="80"/>
      <c r="O114" s="80"/>
      <c r="P114" s="121"/>
      <c r="Q114" s="121"/>
      <c r="R114" s="126" t="str">
        <f t="shared" si="3"/>
        <v/>
      </c>
      <c r="S114" s="92" t="str">
        <f t="shared" si="5"/>
        <v/>
      </c>
      <c r="T114" s="4"/>
      <c r="U114" s="4"/>
      <c r="V114" s="4"/>
      <c r="W114" s="4"/>
      <c r="X114" s="4"/>
      <c r="Y114" s="4"/>
      <c r="Z114" s="4"/>
      <c r="AA114" s="4"/>
      <c r="AB114" s="4"/>
      <c r="AC114" s="4"/>
      <c r="AD114" s="4"/>
    </row>
    <row r="115" spans="1:30" ht="15.6" thickBot="1">
      <c r="A115" s="4"/>
      <c r="B115" s="86">
        <v>50</v>
      </c>
      <c r="C115" s="309" t="str">
        <f>IF('INPUT DATA'!Q60="","",'INPUT DATA'!Q60)</f>
        <v/>
      </c>
      <c r="D115" s="310"/>
      <c r="E115" s="311"/>
      <c r="F115" s="312" t="str">
        <f>IF('INPUT DATA'!T60="","",'INPUT DATA'!T60)</f>
        <v/>
      </c>
      <c r="G115" s="313"/>
      <c r="H115" s="98" t="str">
        <f>IF('INPUT DATA'!S60="","",'INPUT DATA'!S60)</f>
        <v/>
      </c>
      <c r="I115" s="224" t="str">
        <f t="shared" ca="1" si="4"/>
        <v/>
      </c>
      <c r="J115" s="213"/>
      <c r="K115" s="210"/>
      <c r="L115" s="82"/>
      <c r="M115" s="82"/>
      <c r="N115" s="82"/>
      <c r="O115" s="82"/>
      <c r="P115" s="123"/>
      <c r="Q115" s="123"/>
      <c r="R115" s="127" t="str">
        <f t="shared" si="3"/>
        <v/>
      </c>
      <c r="S115" s="101" t="str">
        <f t="shared" si="5"/>
        <v/>
      </c>
      <c r="T115" s="4"/>
      <c r="U115" s="4"/>
      <c r="V115" s="4"/>
      <c r="W115" s="4"/>
      <c r="X115" s="4"/>
      <c r="Y115" s="4"/>
      <c r="Z115" s="4"/>
      <c r="AA115" s="4"/>
      <c r="AB115" s="4"/>
      <c r="AC115" s="4"/>
      <c r="AD115" s="4"/>
    </row>
    <row r="116" spans="1:30" ht="13.2">
      <c r="A116" s="225"/>
      <c r="B116" s="225"/>
      <c r="C116" s="90"/>
      <c r="D116" s="225"/>
      <c r="E116" s="225"/>
      <c r="F116" s="225"/>
      <c r="G116" s="225"/>
      <c r="H116" s="225"/>
      <c r="I116" s="225"/>
      <c r="J116" s="225"/>
      <c r="K116" s="225"/>
      <c r="L116" s="225"/>
      <c r="M116" s="225"/>
      <c r="N116" s="227"/>
      <c r="O116" s="225"/>
      <c r="P116" s="233"/>
      <c r="Q116" s="233"/>
      <c r="R116" s="225"/>
      <c r="S116" s="225"/>
      <c r="T116" s="225"/>
      <c r="U116" s="225"/>
      <c r="V116" s="225"/>
      <c r="W116" s="225"/>
      <c r="X116" s="225"/>
      <c r="Y116" s="225"/>
      <c r="Z116" s="225"/>
      <c r="AA116" s="225"/>
      <c r="AB116" s="225"/>
      <c r="AC116" s="225"/>
      <c r="AD116" s="225"/>
    </row>
    <row r="117" spans="1:30" ht="13.2">
      <c r="A117" s="225"/>
      <c r="B117" s="225"/>
      <c r="C117" s="90"/>
      <c r="D117" s="225"/>
      <c r="E117" s="225"/>
      <c r="F117" s="225"/>
      <c r="G117" s="225"/>
      <c r="H117" s="225"/>
      <c r="I117" s="225"/>
      <c r="J117" s="225"/>
      <c r="K117" s="225"/>
      <c r="L117" s="225"/>
      <c r="M117" s="225"/>
      <c r="N117" s="227"/>
      <c r="O117" s="225"/>
      <c r="P117" s="233"/>
      <c r="Q117" s="233"/>
      <c r="R117" s="225"/>
      <c r="S117" s="225"/>
      <c r="T117" s="225"/>
      <c r="U117" s="225"/>
      <c r="V117" s="225"/>
      <c r="W117" s="225"/>
      <c r="X117" s="225"/>
      <c r="Y117" s="225"/>
      <c r="Z117" s="225"/>
      <c r="AA117" s="225"/>
      <c r="AB117" s="225"/>
      <c r="AC117" s="225"/>
      <c r="AD117" s="225"/>
    </row>
    <row r="118" spans="1:30" ht="13.2">
      <c r="A118" s="225"/>
      <c r="B118" s="225"/>
      <c r="C118" s="90"/>
      <c r="D118" s="225"/>
      <c r="E118" s="225"/>
      <c r="F118" s="225"/>
      <c r="G118" s="225"/>
      <c r="H118" s="225"/>
      <c r="I118" s="225"/>
      <c r="J118" s="225"/>
      <c r="K118" s="225"/>
      <c r="L118" s="225"/>
      <c r="M118" s="225"/>
      <c r="N118" s="227"/>
      <c r="O118" s="225"/>
      <c r="P118" s="233"/>
      <c r="Q118" s="233"/>
      <c r="R118" s="225"/>
      <c r="S118" s="225"/>
      <c r="T118" s="225"/>
      <c r="U118" s="225"/>
      <c r="V118" s="225"/>
      <c r="W118" s="225"/>
      <c r="X118" s="225"/>
      <c r="Y118" s="225"/>
      <c r="Z118" s="225"/>
      <c r="AA118" s="225"/>
      <c r="AB118" s="225"/>
      <c r="AC118" s="225"/>
      <c r="AD118" s="225"/>
    </row>
    <row r="119" spans="1:30" ht="13.2">
      <c r="A119" s="225"/>
      <c r="B119" s="225"/>
      <c r="C119" s="90"/>
      <c r="D119" s="225"/>
      <c r="E119" s="225"/>
      <c r="F119" s="225"/>
      <c r="G119" s="225"/>
      <c r="H119" s="225"/>
      <c r="I119" s="225"/>
      <c r="J119" s="225"/>
      <c r="K119" s="225"/>
      <c r="L119" s="225"/>
      <c r="M119" s="225"/>
      <c r="N119" s="227"/>
      <c r="O119" s="225"/>
      <c r="P119" s="233"/>
      <c r="Q119" s="233"/>
      <c r="R119" s="225"/>
      <c r="S119" s="225"/>
      <c r="T119" s="225"/>
      <c r="U119" s="225"/>
      <c r="V119" s="225"/>
      <c r="W119" s="225"/>
      <c r="X119" s="225"/>
      <c r="Y119" s="225"/>
      <c r="Z119" s="225"/>
      <c r="AA119" s="225"/>
      <c r="AB119" s="225"/>
      <c r="AC119" s="225"/>
      <c r="AD119" s="225"/>
    </row>
    <row r="120" spans="1:30" ht="13.2">
      <c r="A120" s="225"/>
      <c r="B120" s="225"/>
      <c r="C120" s="90"/>
      <c r="D120" s="225"/>
      <c r="E120" s="225"/>
      <c r="F120" s="225"/>
      <c r="G120" s="225"/>
      <c r="H120" s="225"/>
      <c r="I120" s="225"/>
      <c r="J120" s="225"/>
      <c r="K120" s="225"/>
      <c r="L120" s="225"/>
      <c r="M120" s="225"/>
      <c r="N120" s="227"/>
      <c r="O120" s="225"/>
      <c r="P120" s="233"/>
      <c r="Q120" s="233"/>
      <c r="R120" s="225"/>
      <c r="S120" s="225"/>
      <c r="T120" s="225"/>
      <c r="U120" s="225"/>
      <c r="V120" s="225"/>
      <c r="W120" s="225"/>
      <c r="X120" s="225"/>
      <c r="Y120" s="225"/>
      <c r="Z120" s="225"/>
      <c r="AA120" s="225"/>
      <c r="AB120" s="225"/>
      <c r="AC120" s="225"/>
      <c r="AD120" s="225"/>
    </row>
    <row r="121" spans="1:30" ht="13.2">
      <c r="A121" s="225"/>
      <c r="B121" s="225"/>
      <c r="C121" s="90"/>
      <c r="D121" s="225"/>
      <c r="E121" s="225"/>
      <c r="F121" s="225"/>
      <c r="G121" s="225"/>
      <c r="H121" s="225"/>
      <c r="I121" s="225"/>
      <c r="J121" s="225"/>
      <c r="K121" s="225"/>
      <c r="L121" s="225"/>
      <c r="M121" s="225"/>
      <c r="N121" s="227"/>
      <c r="O121" s="225"/>
      <c r="P121" s="233"/>
      <c r="Q121" s="233"/>
      <c r="R121" s="225"/>
      <c r="S121" s="225"/>
      <c r="T121" s="225"/>
      <c r="U121" s="225"/>
      <c r="V121" s="225"/>
      <c r="W121" s="225"/>
      <c r="X121" s="225"/>
      <c r="Y121" s="225"/>
      <c r="Z121" s="225"/>
      <c r="AA121" s="225"/>
      <c r="AB121" s="225"/>
      <c r="AC121" s="225"/>
      <c r="AD121" s="225"/>
    </row>
    <row r="122" spans="1:30" ht="13.2">
      <c r="A122" s="225"/>
      <c r="B122" s="225"/>
      <c r="C122" s="90"/>
      <c r="D122" s="225"/>
      <c r="E122" s="225"/>
      <c r="F122" s="225"/>
      <c r="G122" s="225"/>
      <c r="H122" s="225"/>
      <c r="I122" s="225"/>
      <c r="J122" s="225"/>
      <c r="K122" s="225"/>
      <c r="L122" s="225"/>
      <c r="M122" s="225"/>
      <c r="N122" s="227"/>
      <c r="O122" s="225"/>
      <c r="P122" s="233"/>
      <c r="Q122" s="233"/>
      <c r="R122" s="225"/>
      <c r="S122" s="225"/>
      <c r="T122" s="225"/>
      <c r="U122" s="225"/>
      <c r="V122" s="225"/>
      <c r="W122" s="225"/>
      <c r="X122" s="225"/>
      <c r="Y122" s="225"/>
      <c r="Z122" s="225"/>
      <c r="AA122" s="225"/>
      <c r="AB122" s="225"/>
      <c r="AC122" s="225"/>
      <c r="AD122" s="225"/>
    </row>
    <row r="123" spans="1:30" ht="13.2">
      <c r="A123" s="225"/>
      <c r="B123" s="225"/>
      <c r="C123" s="90"/>
      <c r="D123" s="225"/>
      <c r="E123" s="225"/>
      <c r="F123" s="225"/>
      <c r="G123" s="225"/>
      <c r="H123" s="225"/>
      <c r="I123" s="225"/>
      <c r="J123" s="225"/>
      <c r="K123" s="225"/>
      <c r="L123" s="225"/>
      <c r="M123" s="225"/>
      <c r="N123" s="227"/>
      <c r="O123" s="225"/>
      <c r="P123" s="233"/>
      <c r="Q123" s="233"/>
      <c r="R123" s="225"/>
      <c r="S123" s="225"/>
      <c r="T123" s="225"/>
      <c r="U123" s="225"/>
      <c r="V123" s="225"/>
      <c r="W123" s="225"/>
      <c r="X123" s="225"/>
      <c r="Y123" s="225"/>
      <c r="Z123" s="225"/>
      <c r="AA123" s="225"/>
      <c r="AB123" s="225"/>
      <c r="AC123" s="225"/>
      <c r="AD123" s="225"/>
    </row>
    <row r="124" spans="1:30" ht="13.2">
      <c r="A124" s="225"/>
      <c r="B124" s="225"/>
      <c r="C124" s="90"/>
      <c r="D124" s="225"/>
      <c r="E124" s="225"/>
      <c r="F124" s="225"/>
      <c r="G124" s="225"/>
      <c r="H124" s="225"/>
      <c r="I124" s="225"/>
      <c r="J124" s="225"/>
      <c r="K124" s="225"/>
      <c r="L124" s="225"/>
      <c r="M124" s="225"/>
      <c r="N124" s="227"/>
      <c r="O124" s="225"/>
      <c r="P124" s="233"/>
      <c r="Q124" s="233"/>
      <c r="R124" s="225"/>
      <c r="S124" s="225"/>
      <c r="T124" s="225"/>
      <c r="U124" s="225"/>
      <c r="V124" s="225"/>
      <c r="W124" s="225"/>
      <c r="X124" s="225"/>
      <c r="Y124" s="225"/>
      <c r="Z124" s="225"/>
      <c r="AA124" s="225"/>
      <c r="AB124" s="225"/>
      <c r="AC124" s="225"/>
      <c r="AD124" s="225"/>
    </row>
    <row r="125" spans="1:30" ht="13.2">
      <c r="A125" s="225"/>
      <c r="B125" s="225"/>
      <c r="C125" s="90"/>
      <c r="D125" s="225"/>
      <c r="E125" s="225"/>
      <c r="F125" s="225"/>
      <c r="G125" s="225"/>
      <c r="H125" s="225"/>
      <c r="I125" s="225"/>
      <c r="J125" s="225"/>
      <c r="K125" s="225"/>
      <c r="L125" s="225"/>
      <c r="M125" s="225"/>
      <c r="N125" s="227"/>
      <c r="O125" s="225"/>
      <c r="P125" s="233"/>
      <c r="Q125" s="233"/>
      <c r="R125" s="225"/>
      <c r="S125" s="225"/>
      <c r="T125" s="225"/>
      <c r="U125" s="225"/>
      <c r="V125" s="225"/>
      <c r="W125" s="225"/>
      <c r="X125" s="225"/>
      <c r="Y125" s="225"/>
      <c r="Z125" s="225"/>
      <c r="AA125" s="225"/>
      <c r="AB125" s="225"/>
      <c r="AC125" s="225"/>
      <c r="AD125" s="225"/>
    </row>
    <row r="126" spans="1:30" ht="13.2">
      <c r="A126" s="225"/>
      <c r="B126" s="225"/>
      <c r="C126" s="90"/>
      <c r="D126" s="225"/>
      <c r="E126" s="225"/>
      <c r="F126" s="225"/>
      <c r="G126" s="225"/>
      <c r="H126" s="225"/>
      <c r="I126" s="225"/>
      <c r="J126" s="225"/>
      <c r="K126" s="225"/>
      <c r="L126" s="225"/>
      <c r="M126" s="225"/>
      <c r="N126" s="227"/>
      <c r="O126" s="225"/>
      <c r="P126" s="233"/>
      <c r="Q126" s="233"/>
      <c r="R126" s="225"/>
      <c r="S126" s="225"/>
      <c r="T126" s="225"/>
      <c r="U126" s="225"/>
      <c r="V126" s="225"/>
      <c r="W126" s="225"/>
      <c r="X126" s="225"/>
      <c r="Y126" s="225"/>
      <c r="Z126" s="225"/>
      <c r="AA126" s="225"/>
      <c r="AB126" s="225"/>
      <c r="AC126" s="225"/>
      <c r="AD126" s="225"/>
    </row>
  </sheetData>
  <mergeCells count="225">
    <mergeCell ref="A1:T4"/>
    <mergeCell ref="E5:G5"/>
    <mergeCell ref="E6:G6"/>
    <mergeCell ref="J5:M5"/>
    <mergeCell ref="J6:M6"/>
    <mergeCell ref="O6:P6"/>
    <mergeCell ref="Q6:R6"/>
    <mergeCell ref="C17:E17"/>
    <mergeCell ref="F17:G17"/>
    <mergeCell ref="L9:M9"/>
    <mergeCell ref="N10:S10"/>
    <mergeCell ref="N9:S9"/>
    <mergeCell ref="C18:E18"/>
    <mergeCell ref="F18:G18"/>
    <mergeCell ref="B8:S8"/>
    <mergeCell ref="B9:E10"/>
    <mergeCell ref="G9:K9"/>
    <mergeCell ref="G10:K10"/>
    <mergeCell ref="C19:E19"/>
    <mergeCell ref="F19:G19"/>
    <mergeCell ref="R11:R13"/>
    <mergeCell ref="S11:S13"/>
    <mergeCell ref="B14:S14"/>
    <mergeCell ref="C15:E15"/>
    <mergeCell ref="F15:G15"/>
    <mergeCell ref="C16:E16"/>
    <mergeCell ref="F16:G16"/>
    <mergeCell ref="B11:E13"/>
    <mergeCell ref="F11:G13"/>
    <mergeCell ref="H11:H13"/>
    <mergeCell ref="I11:I13"/>
    <mergeCell ref="J11:J13"/>
    <mergeCell ref="K11:Q11"/>
    <mergeCell ref="K12:P12"/>
    <mergeCell ref="L10:M10"/>
    <mergeCell ref="C23:E23"/>
    <mergeCell ref="F23:G23"/>
    <mergeCell ref="C24:E24"/>
    <mergeCell ref="F24:G24"/>
    <mergeCell ref="C25:E25"/>
    <mergeCell ref="F25:G25"/>
    <mergeCell ref="C20:E20"/>
    <mergeCell ref="F20:G20"/>
    <mergeCell ref="C21:E21"/>
    <mergeCell ref="F21:G21"/>
    <mergeCell ref="C22:E22"/>
    <mergeCell ref="F22:G22"/>
    <mergeCell ref="C29:E29"/>
    <mergeCell ref="F29:G29"/>
    <mergeCell ref="C30:E30"/>
    <mergeCell ref="F30:G30"/>
    <mergeCell ref="C31:E31"/>
    <mergeCell ref="F31:G31"/>
    <mergeCell ref="C26:E26"/>
    <mergeCell ref="F26:G26"/>
    <mergeCell ref="C27:E27"/>
    <mergeCell ref="F27:G27"/>
    <mergeCell ref="C28:E28"/>
    <mergeCell ref="F28:G28"/>
    <mergeCell ref="C35:E35"/>
    <mergeCell ref="F35:G35"/>
    <mergeCell ref="C36:E36"/>
    <mergeCell ref="F36:G36"/>
    <mergeCell ref="C37:E37"/>
    <mergeCell ref="F37:G37"/>
    <mergeCell ref="C32:E32"/>
    <mergeCell ref="F32:G32"/>
    <mergeCell ref="C33:E33"/>
    <mergeCell ref="F33:G33"/>
    <mergeCell ref="C34:E34"/>
    <mergeCell ref="F34:G34"/>
    <mergeCell ref="C41:E41"/>
    <mergeCell ref="F41:G41"/>
    <mergeCell ref="C42:E42"/>
    <mergeCell ref="F42:G42"/>
    <mergeCell ref="C43:E43"/>
    <mergeCell ref="F43:G43"/>
    <mergeCell ref="C38:E38"/>
    <mergeCell ref="F38:G38"/>
    <mergeCell ref="C39:E39"/>
    <mergeCell ref="F39:G39"/>
    <mergeCell ref="C40:E40"/>
    <mergeCell ref="F40:G40"/>
    <mergeCell ref="C47:E47"/>
    <mergeCell ref="F47:G47"/>
    <mergeCell ref="C48:E48"/>
    <mergeCell ref="F48:G48"/>
    <mergeCell ref="C49:E49"/>
    <mergeCell ref="F49:G49"/>
    <mergeCell ref="C44:E44"/>
    <mergeCell ref="F44:G44"/>
    <mergeCell ref="C45:E45"/>
    <mergeCell ref="F45:G45"/>
    <mergeCell ref="C46:E46"/>
    <mergeCell ref="F46:G46"/>
    <mergeCell ref="C53:E53"/>
    <mergeCell ref="F53:G53"/>
    <mergeCell ref="C54:E54"/>
    <mergeCell ref="F54:G54"/>
    <mergeCell ref="C55:E55"/>
    <mergeCell ref="F55:G55"/>
    <mergeCell ref="C50:E50"/>
    <mergeCell ref="F50:G50"/>
    <mergeCell ref="C51:E51"/>
    <mergeCell ref="F51:G51"/>
    <mergeCell ref="C52:E52"/>
    <mergeCell ref="F52:G52"/>
    <mergeCell ref="C59:E59"/>
    <mergeCell ref="F59:G59"/>
    <mergeCell ref="C60:E60"/>
    <mergeCell ref="F60:G60"/>
    <mergeCell ref="C61:E61"/>
    <mergeCell ref="F61:G61"/>
    <mergeCell ref="C56:E56"/>
    <mergeCell ref="F56:G56"/>
    <mergeCell ref="C57:E57"/>
    <mergeCell ref="F57:G57"/>
    <mergeCell ref="C58:E58"/>
    <mergeCell ref="F58:G58"/>
    <mergeCell ref="C66:E66"/>
    <mergeCell ref="F66:G66"/>
    <mergeCell ref="C67:E67"/>
    <mergeCell ref="F67:G67"/>
    <mergeCell ref="C68:E68"/>
    <mergeCell ref="F68:G68"/>
    <mergeCell ref="C62:E62"/>
    <mergeCell ref="F62:G62"/>
    <mergeCell ref="C63:E63"/>
    <mergeCell ref="F63:G63"/>
    <mergeCell ref="C64:E64"/>
    <mergeCell ref="F64:G64"/>
    <mergeCell ref="C72:E72"/>
    <mergeCell ref="F72:G72"/>
    <mergeCell ref="C73:E73"/>
    <mergeCell ref="F73:G73"/>
    <mergeCell ref="C74:E74"/>
    <mergeCell ref="F74:G74"/>
    <mergeCell ref="C69:E69"/>
    <mergeCell ref="F69:G69"/>
    <mergeCell ref="C70:E70"/>
    <mergeCell ref="F70:G70"/>
    <mergeCell ref="C71:E71"/>
    <mergeCell ref="F71:G71"/>
    <mergeCell ref="C78:E78"/>
    <mergeCell ref="F78:G78"/>
    <mergeCell ref="C79:E79"/>
    <mergeCell ref="F79:G79"/>
    <mergeCell ref="C80:E80"/>
    <mergeCell ref="F80:G80"/>
    <mergeCell ref="C75:E75"/>
    <mergeCell ref="F75:G75"/>
    <mergeCell ref="C76:E76"/>
    <mergeCell ref="F76:G76"/>
    <mergeCell ref="C77:E77"/>
    <mergeCell ref="F77:G77"/>
    <mergeCell ref="C84:E84"/>
    <mergeCell ref="F84:G84"/>
    <mergeCell ref="C85:E85"/>
    <mergeCell ref="F85:G85"/>
    <mergeCell ref="C86:E86"/>
    <mergeCell ref="F86:G86"/>
    <mergeCell ref="C81:E81"/>
    <mergeCell ref="F81:G81"/>
    <mergeCell ref="C82:E82"/>
    <mergeCell ref="F82:G82"/>
    <mergeCell ref="C83:E83"/>
    <mergeCell ref="F83:G83"/>
    <mergeCell ref="C90:E90"/>
    <mergeCell ref="F90:G90"/>
    <mergeCell ref="C91:E91"/>
    <mergeCell ref="F91:G91"/>
    <mergeCell ref="C92:E92"/>
    <mergeCell ref="F92:G92"/>
    <mergeCell ref="C87:E87"/>
    <mergeCell ref="F87:G87"/>
    <mergeCell ref="C88:E88"/>
    <mergeCell ref="F88:G88"/>
    <mergeCell ref="C89:E89"/>
    <mergeCell ref="F89:G89"/>
    <mergeCell ref="C96:E96"/>
    <mergeCell ref="F96:G96"/>
    <mergeCell ref="C97:E97"/>
    <mergeCell ref="F97:G97"/>
    <mergeCell ref="C98:E98"/>
    <mergeCell ref="F98:G98"/>
    <mergeCell ref="C93:E93"/>
    <mergeCell ref="F93:G93"/>
    <mergeCell ref="C94:E94"/>
    <mergeCell ref="F94:G94"/>
    <mergeCell ref="C95:E95"/>
    <mergeCell ref="F95:G95"/>
    <mergeCell ref="C102:E102"/>
    <mergeCell ref="F102:G102"/>
    <mergeCell ref="C103:E103"/>
    <mergeCell ref="F103:G103"/>
    <mergeCell ref="C104:E104"/>
    <mergeCell ref="F104:G104"/>
    <mergeCell ref="C99:E99"/>
    <mergeCell ref="F99:G99"/>
    <mergeCell ref="C100:E100"/>
    <mergeCell ref="F100:G100"/>
    <mergeCell ref="C101:E101"/>
    <mergeCell ref="F101:G101"/>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14:E114"/>
    <mergeCell ref="F114:G114"/>
    <mergeCell ref="C115:E115"/>
    <mergeCell ref="F115:G115"/>
    <mergeCell ref="C111:E111"/>
    <mergeCell ref="F111:G111"/>
    <mergeCell ref="C112:E112"/>
    <mergeCell ref="F112:G112"/>
    <mergeCell ref="C113:E113"/>
    <mergeCell ref="F113:G113"/>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1B26A-E10F-4AFC-9F11-9F93367B10FD}">
  <sheetPr>
    <tabColor theme="8"/>
    <outlinePr summaryBelow="0" summaryRight="0"/>
    <pageSetUpPr fitToPage="1"/>
  </sheetPr>
  <dimension ref="A1:AD126"/>
  <sheetViews>
    <sheetView showGridLines="0" zoomScale="85" zoomScaleNormal="85" workbookViewId="0">
      <selection activeCell="N10" sqref="N10:S10"/>
    </sheetView>
  </sheetViews>
  <sheetFormatPr defaultColWidth="12.6640625" defaultRowHeight="15.75" customHeight="1"/>
  <cols>
    <col min="1" max="2" width="3.88671875" style="240" customWidth="1"/>
    <col min="3" max="3" width="13.109375" style="240" customWidth="1"/>
    <col min="4" max="5" width="12.6640625" style="240"/>
    <col min="6" max="6" width="15.33203125" style="240" customWidth="1"/>
    <col min="7" max="7" width="19.44140625" style="240" customWidth="1"/>
    <col min="8" max="8" width="12.6640625" style="240"/>
    <col min="9" max="10" width="5.109375" style="240" customWidth="1"/>
    <col min="11" max="11" width="13.88671875" style="240" customWidth="1"/>
    <col min="12" max="12" width="13.77734375" style="240" customWidth="1"/>
    <col min="13" max="13" width="12.77734375" style="240" customWidth="1"/>
    <col min="14" max="14" width="11.33203125" style="240" customWidth="1"/>
    <col min="15" max="15" width="13.44140625" style="240" customWidth="1"/>
    <col min="16" max="17" width="9.44140625" style="240" customWidth="1"/>
    <col min="18" max="18" width="12.6640625" style="240"/>
    <col min="19" max="19" width="12.6640625" style="240" customWidth="1"/>
    <col min="20" max="20" width="3.88671875" style="240" customWidth="1"/>
    <col min="21" max="16384" width="12.6640625" style="240"/>
  </cols>
  <sheetData>
    <row r="1" spans="1:30" ht="13.2">
      <c r="A1" s="375" t="s">
        <v>142</v>
      </c>
      <c r="B1" s="288"/>
      <c r="C1" s="288"/>
      <c r="D1" s="288"/>
      <c r="E1" s="288"/>
      <c r="F1" s="288"/>
      <c r="G1" s="288"/>
      <c r="H1" s="288"/>
      <c r="I1" s="288"/>
      <c r="J1" s="288"/>
      <c r="K1" s="288"/>
      <c r="L1" s="288"/>
      <c r="M1" s="288"/>
      <c r="N1" s="288"/>
      <c r="O1" s="288"/>
      <c r="P1" s="288"/>
      <c r="Q1" s="288"/>
      <c r="R1" s="288"/>
      <c r="S1" s="288"/>
      <c r="T1" s="288"/>
      <c r="U1" s="90"/>
      <c r="V1" s="90"/>
      <c r="W1" s="90"/>
      <c r="X1" s="90"/>
      <c r="Y1" s="90"/>
      <c r="Z1" s="90"/>
      <c r="AA1" s="90"/>
      <c r="AB1" s="90"/>
      <c r="AC1" s="90"/>
      <c r="AD1" s="90"/>
    </row>
    <row r="2" spans="1:30" ht="13.2">
      <c r="A2" s="288"/>
      <c r="B2" s="288"/>
      <c r="C2" s="288"/>
      <c r="D2" s="288"/>
      <c r="E2" s="288"/>
      <c r="F2" s="288"/>
      <c r="G2" s="288"/>
      <c r="H2" s="288"/>
      <c r="I2" s="288"/>
      <c r="J2" s="288"/>
      <c r="K2" s="288"/>
      <c r="L2" s="288"/>
      <c r="M2" s="288"/>
      <c r="N2" s="288"/>
      <c r="O2" s="288"/>
      <c r="P2" s="288"/>
      <c r="Q2" s="288"/>
      <c r="R2" s="288"/>
      <c r="S2" s="288"/>
      <c r="T2" s="288"/>
      <c r="U2" s="90"/>
      <c r="V2" s="90"/>
      <c r="W2" s="90"/>
      <c r="X2" s="90"/>
      <c r="Y2" s="90"/>
      <c r="Z2" s="90"/>
      <c r="AA2" s="90"/>
      <c r="AB2" s="90"/>
      <c r="AC2" s="90"/>
      <c r="AD2" s="90"/>
    </row>
    <row r="3" spans="1:30" ht="13.2">
      <c r="A3" s="288"/>
      <c r="B3" s="288"/>
      <c r="C3" s="288"/>
      <c r="D3" s="288"/>
      <c r="E3" s="288"/>
      <c r="F3" s="288"/>
      <c r="G3" s="288"/>
      <c r="H3" s="288"/>
      <c r="I3" s="288"/>
      <c r="J3" s="288"/>
      <c r="K3" s="288"/>
      <c r="L3" s="288"/>
      <c r="M3" s="288"/>
      <c r="N3" s="288"/>
      <c r="O3" s="288"/>
      <c r="P3" s="288"/>
      <c r="Q3" s="288"/>
      <c r="R3" s="288"/>
      <c r="S3" s="288"/>
      <c r="T3" s="288"/>
      <c r="U3" s="90"/>
      <c r="V3" s="90"/>
      <c r="W3" s="90"/>
      <c r="X3" s="90"/>
      <c r="Y3" s="90"/>
      <c r="Z3" s="90"/>
      <c r="AA3" s="90"/>
      <c r="AB3" s="90"/>
      <c r="AC3" s="90"/>
      <c r="AD3" s="90"/>
    </row>
    <row r="4" spans="1:30" ht="13.8" thickBot="1">
      <c r="A4" s="288"/>
      <c r="B4" s="288"/>
      <c r="C4" s="288"/>
      <c r="D4" s="288"/>
      <c r="E4" s="288"/>
      <c r="F4" s="288"/>
      <c r="G4" s="288"/>
      <c r="H4" s="288"/>
      <c r="I4" s="288"/>
      <c r="J4" s="288"/>
      <c r="K4" s="288"/>
      <c r="L4" s="288"/>
      <c r="M4" s="288"/>
      <c r="N4" s="288"/>
      <c r="O4" s="288"/>
      <c r="P4" s="288"/>
      <c r="Q4" s="288"/>
      <c r="R4" s="288"/>
      <c r="S4" s="288"/>
      <c r="T4" s="288"/>
      <c r="U4" s="243"/>
      <c r="V4" s="243"/>
      <c r="W4" s="243"/>
      <c r="X4" s="243"/>
      <c r="Y4" s="243"/>
      <c r="Z4" s="243"/>
      <c r="AA4" s="243"/>
      <c r="AB4" s="243"/>
      <c r="AC4" s="243"/>
      <c r="AD4" s="243"/>
    </row>
    <row r="5" spans="1:30" ht="16.2" thickBot="1">
      <c r="A5" s="4"/>
      <c r="B5" s="5"/>
      <c r="C5" s="6"/>
      <c r="D5" s="12" t="s">
        <v>3</v>
      </c>
      <c r="E5" s="376">
        <f>'INPUT DATA'!F10</f>
        <v>0</v>
      </c>
      <c r="F5" s="377"/>
      <c r="G5" s="378"/>
      <c r="H5" s="73"/>
      <c r="I5" s="12" t="s">
        <v>6</v>
      </c>
      <c r="J5" s="379">
        <f>'INPUT DATA'!F11</f>
        <v>0</v>
      </c>
      <c r="K5" s="380"/>
      <c r="L5" s="380"/>
      <c r="M5" s="381"/>
      <c r="N5" s="228"/>
      <c r="O5" s="73"/>
      <c r="P5" s="73"/>
      <c r="Q5" s="73"/>
      <c r="R5" s="73"/>
      <c r="S5" s="73"/>
      <c r="T5" s="4"/>
      <c r="U5" s="4"/>
      <c r="V5" s="4"/>
      <c r="W5" s="4"/>
      <c r="X5" s="4"/>
      <c r="Y5" s="4"/>
      <c r="Z5" s="4"/>
      <c r="AA5" s="4"/>
      <c r="AB5" s="4"/>
      <c r="AC5" s="4"/>
      <c r="AD5" s="4"/>
    </row>
    <row r="6" spans="1:30" ht="16.2" customHeight="1" thickBot="1">
      <c r="A6" s="4"/>
      <c r="B6" s="5"/>
      <c r="C6" s="10"/>
      <c r="D6" s="12" t="s">
        <v>7</v>
      </c>
      <c r="E6" s="376">
        <f>'INPUT DATA'!F16</f>
        <v>0</v>
      </c>
      <c r="F6" s="377"/>
      <c r="G6" s="378"/>
      <c r="H6" s="73"/>
      <c r="I6" s="12" t="s">
        <v>8</v>
      </c>
      <c r="J6" s="382">
        <f>'INPUT DATA'!F15</f>
        <v>0</v>
      </c>
      <c r="K6" s="383"/>
      <c r="L6" s="383"/>
      <c r="M6" s="384"/>
      <c r="N6" s="229"/>
      <c r="O6" s="385" t="s">
        <v>10</v>
      </c>
      <c r="P6" s="385"/>
      <c r="Q6" s="382">
        <f>'INPUT DATA'!F18</f>
        <v>0</v>
      </c>
      <c r="R6" s="384"/>
      <c r="S6" s="252"/>
      <c r="T6" s="4"/>
      <c r="U6" s="4"/>
      <c r="V6" s="4"/>
      <c r="W6" s="4"/>
      <c r="X6" s="4"/>
      <c r="Y6" s="4"/>
      <c r="Z6" s="4"/>
      <c r="AA6" s="4"/>
      <c r="AB6" s="4"/>
      <c r="AC6" s="4"/>
      <c r="AD6" s="4"/>
    </row>
    <row r="7" spans="1:30" ht="13.8" thickBot="1">
      <c r="A7" s="243"/>
      <c r="B7" s="15"/>
      <c r="C7" s="22"/>
      <c r="D7" s="22"/>
      <c r="E7" s="243"/>
      <c r="F7" s="243"/>
      <c r="G7" s="20"/>
      <c r="I7" s="243"/>
      <c r="J7" s="243"/>
      <c r="K7" s="243"/>
      <c r="L7" s="22"/>
      <c r="M7" s="243"/>
      <c r="N7" s="243"/>
      <c r="O7" s="22"/>
      <c r="P7" s="22"/>
      <c r="Q7" s="22"/>
      <c r="R7" s="22"/>
      <c r="S7" s="243"/>
      <c r="T7" s="243"/>
      <c r="U7" s="243"/>
      <c r="V7" s="243"/>
      <c r="W7" s="243"/>
      <c r="X7" s="243"/>
      <c r="Y7" s="243"/>
      <c r="Z7" s="243"/>
      <c r="AA7" s="243"/>
      <c r="AB7" s="243"/>
      <c r="AC7" s="243"/>
      <c r="AD7" s="243"/>
    </row>
    <row r="8" spans="1:30" ht="13.8" thickBot="1">
      <c r="A8" s="243"/>
      <c r="B8" s="326"/>
      <c r="C8" s="327"/>
      <c r="D8" s="327"/>
      <c r="E8" s="327"/>
      <c r="F8" s="327"/>
      <c r="G8" s="327"/>
      <c r="H8" s="327"/>
      <c r="I8" s="327"/>
      <c r="J8" s="327"/>
      <c r="K8" s="327"/>
      <c r="L8" s="327"/>
      <c r="M8" s="327"/>
      <c r="N8" s="327"/>
      <c r="O8" s="327"/>
      <c r="P8" s="327"/>
      <c r="Q8" s="327"/>
      <c r="R8" s="327"/>
      <c r="S8" s="328"/>
      <c r="T8" s="243"/>
      <c r="U8" s="243"/>
      <c r="V8" s="243"/>
      <c r="W8" s="243"/>
      <c r="X8" s="243"/>
      <c r="Y8" s="243"/>
      <c r="Z8" s="243"/>
      <c r="AA8" s="243"/>
      <c r="AB8" s="243"/>
      <c r="AC8" s="243"/>
      <c r="AD8" s="243"/>
    </row>
    <row r="9" spans="1:30" ht="14.4" thickBot="1">
      <c r="A9" s="90"/>
      <c r="B9" s="329" t="s">
        <v>120</v>
      </c>
      <c r="C9" s="330"/>
      <c r="D9" s="330"/>
      <c r="E9" s="331"/>
      <c r="F9" s="99" t="s">
        <v>16</v>
      </c>
      <c r="G9" s="335">
        <f>'INPUT DATA'!F27</f>
        <v>0</v>
      </c>
      <c r="H9" s="336"/>
      <c r="I9" s="336"/>
      <c r="J9" s="336"/>
      <c r="K9" s="337"/>
      <c r="L9" s="386" t="s">
        <v>20</v>
      </c>
      <c r="M9" s="392"/>
      <c r="N9" s="392">
        <f>'INPUT DATA'!F29</f>
        <v>0</v>
      </c>
      <c r="O9" s="392"/>
      <c r="P9" s="392"/>
      <c r="Q9" s="392"/>
      <c r="R9" s="392"/>
      <c r="S9" s="393"/>
      <c r="T9" s="90"/>
      <c r="U9" s="90"/>
      <c r="V9" s="90"/>
      <c r="W9" s="90"/>
      <c r="X9" s="90"/>
      <c r="Y9" s="90"/>
      <c r="Z9" s="90"/>
      <c r="AA9" s="90"/>
      <c r="AB9" s="90"/>
      <c r="AC9" s="90"/>
      <c r="AD9" s="90"/>
    </row>
    <row r="10" spans="1:30" ht="14.4" thickBot="1">
      <c r="A10" s="90"/>
      <c r="B10" s="332"/>
      <c r="C10" s="333"/>
      <c r="D10" s="333"/>
      <c r="E10" s="334"/>
      <c r="F10" s="100" t="s">
        <v>143</v>
      </c>
      <c r="G10" s="338">
        <f>'INPUT DATA'!F28</f>
        <v>0</v>
      </c>
      <c r="H10" s="339"/>
      <c r="I10" s="339"/>
      <c r="J10" s="339"/>
      <c r="K10" s="340"/>
      <c r="L10" s="373" t="s">
        <v>18</v>
      </c>
      <c r="M10" s="374"/>
      <c r="N10" s="388">
        <f>'INPUT DATA'!F26</f>
        <v>0</v>
      </c>
      <c r="O10" s="389"/>
      <c r="P10" s="389"/>
      <c r="Q10" s="389"/>
      <c r="R10" s="389"/>
      <c r="S10" s="390"/>
      <c r="T10" s="90"/>
      <c r="U10" s="90"/>
      <c r="V10" s="90"/>
      <c r="W10" s="90"/>
      <c r="X10" s="90"/>
      <c r="Y10" s="90"/>
      <c r="Z10" s="90"/>
      <c r="AA10" s="90"/>
      <c r="AB10" s="90"/>
      <c r="AC10" s="90"/>
      <c r="AD10" s="90"/>
    </row>
    <row r="11" spans="1:30" ht="14.4" customHeight="1" thickBot="1">
      <c r="A11" s="243"/>
      <c r="B11" s="350" t="s">
        <v>21</v>
      </c>
      <c r="C11" s="351"/>
      <c r="D11" s="351"/>
      <c r="E11" s="352"/>
      <c r="F11" s="359" t="s">
        <v>12</v>
      </c>
      <c r="G11" s="360"/>
      <c r="H11" s="364" t="s">
        <v>22</v>
      </c>
      <c r="I11" s="364" t="s">
        <v>23</v>
      </c>
      <c r="J11" s="364" t="s">
        <v>123</v>
      </c>
      <c r="K11" s="362" t="s">
        <v>24</v>
      </c>
      <c r="L11" s="368"/>
      <c r="M11" s="368"/>
      <c r="N11" s="368"/>
      <c r="O11" s="368"/>
      <c r="P11" s="368"/>
      <c r="Q11" s="369"/>
      <c r="R11" s="341" t="s">
        <v>25</v>
      </c>
      <c r="S11" s="343" t="s">
        <v>26</v>
      </c>
      <c r="T11" s="34"/>
      <c r="U11" s="243"/>
      <c r="V11" s="243"/>
      <c r="W11" s="243"/>
      <c r="X11" s="243"/>
      <c r="Y11" s="243"/>
      <c r="Z11" s="243"/>
      <c r="AA11" s="243"/>
      <c r="AB11" s="243"/>
      <c r="AC11" s="243"/>
      <c r="AD11" s="243"/>
    </row>
    <row r="12" spans="1:30" ht="25.2" customHeight="1" thickBot="1">
      <c r="A12" s="243"/>
      <c r="B12" s="353"/>
      <c r="C12" s="354"/>
      <c r="D12" s="354"/>
      <c r="E12" s="355"/>
      <c r="F12" s="361"/>
      <c r="G12" s="343"/>
      <c r="H12" s="365"/>
      <c r="I12" s="365"/>
      <c r="J12" s="365"/>
      <c r="K12" s="370" t="s">
        <v>126</v>
      </c>
      <c r="L12" s="371"/>
      <c r="M12" s="371"/>
      <c r="N12" s="371"/>
      <c r="O12" s="371"/>
      <c r="P12" s="372"/>
      <c r="Q12" s="253" t="s">
        <v>134</v>
      </c>
      <c r="R12" s="341"/>
      <c r="S12" s="343"/>
      <c r="T12" s="34"/>
      <c r="U12" s="243"/>
      <c r="V12" s="243"/>
      <c r="W12" s="243"/>
      <c r="X12" s="243"/>
      <c r="Y12" s="243"/>
      <c r="Z12" s="243"/>
      <c r="AA12" s="243"/>
      <c r="AB12" s="243"/>
      <c r="AC12" s="243"/>
      <c r="AD12" s="243"/>
    </row>
    <row r="13" spans="1:30" ht="25.2" customHeight="1" thickBot="1">
      <c r="A13" s="243"/>
      <c r="B13" s="356"/>
      <c r="C13" s="357"/>
      <c r="D13" s="357"/>
      <c r="E13" s="358"/>
      <c r="F13" s="362"/>
      <c r="G13" s="363"/>
      <c r="H13" s="366"/>
      <c r="I13" s="367"/>
      <c r="J13" s="366"/>
      <c r="K13" s="250" t="s">
        <v>136</v>
      </c>
      <c r="L13" s="250" t="s">
        <v>137</v>
      </c>
      <c r="M13" s="250" t="s">
        <v>127</v>
      </c>
      <c r="N13" s="250" t="s">
        <v>131</v>
      </c>
      <c r="O13" s="250" t="s">
        <v>132</v>
      </c>
      <c r="P13" s="251" t="s">
        <v>138</v>
      </c>
      <c r="Q13" s="249" t="s">
        <v>140</v>
      </c>
      <c r="R13" s="342"/>
      <c r="S13" s="344"/>
      <c r="T13" s="34"/>
      <c r="U13" s="243"/>
      <c r="V13" s="243"/>
      <c r="W13" s="243"/>
      <c r="X13" s="243"/>
      <c r="Y13" s="243"/>
      <c r="Z13" s="243"/>
      <c r="AA13" s="243"/>
      <c r="AB13" s="243"/>
      <c r="AC13" s="243"/>
      <c r="AD13" s="243"/>
    </row>
    <row r="14" spans="1:30" ht="16.2" thickBot="1">
      <c r="A14" s="4"/>
      <c r="B14" s="394"/>
      <c r="C14" s="346"/>
      <c r="D14" s="346"/>
      <c r="E14" s="346"/>
      <c r="F14" s="346"/>
      <c r="G14" s="346"/>
      <c r="H14" s="346"/>
      <c r="I14" s="346"/>
      <c r="J14" s="347"/>
      <c r="K14" s="346"/>
      <c r="L14" s="346"/>
      <c r="M14" s="346"/>
      <c r="N14" s="346"/>
      <c r="O14" s="346"/>
      <c r="P14" s="346"/>
      <c r="Q14" s="346"/>
      <c r="R14" s="348"/>
      <c r="S14" s="349"/>
      <c r="T14" s="4"/>
      <c r="U14" s="4"/>
      <c r="V14" s="4"/>
      <c r="W14" s="4"/>
      <c r="X14" s="4"/>
      <c r="Y14" s="4"/>
      <c r="Z14" s="4"/>
      <c r="AA14" s="4"/>
      <c r="AB14" s="4"/>
      <c r="AC14" s="4"/>
      <c r="AD14" s="4"/>
    </row>
    <row r="15" spans="1:30" ht="15">
      <c r="A15" s="4"/>
      <c r="B15" s="83">
        <v>1</v>
      </c>
      <c r="C15" s="317" t="str">
        <f>IF('INPUT DATA'!L11="","",'INPUT DATA'!L11)</f>
        <v/>
      </c>
      <c r="D15" s="318"/>
      <c r="E15" s="319"/>
      <c r="F15" s="320" t="str">
        <f>IF('INPUT DATA'!M11="","",'INPUT DATA'!M11)</f>
        <v/>
      </c>
      <c r="G15" s="321"/>
      <c r="H15" s="93" t="str">
        <f>IF('INPUT DATA'!N11="","",'INPUT DATA'!N11)</f>
        <v/>
      </c>
      <c r="I15" s="206" t="str">
        <f ca="1">IF(H15="","",DATEDIF(H15,TODAY(),"Y"))</f>
        <v/>
      </c>
      <c r="J15" s="211" t="s">
        <v>124</v>
      </c>
      <c r="K15" s="207"/>
      <c r="L15" s="79"/>
      <c r="M15" s="79"/>
      <c r="N15" s="79"/>
      <c r="O15" s="79"/>
      <c r="P15" s="79"/>
      <c r="Q15" s="79"/>
      <c r="R15" s="91" t="str">
        <f>IF(COUNT(K15:Q15)=0,"",ROUND(AVERAGE(K15:Q15),0))</f>
        <v/>
      </c>
      <c r="S15" s="92" t="str">
        <f>IF(R15="","",_xlfn.RANK.AVG(R15,$R$15:$R$115))</f>
        <v/>
      </c>
      <c r="T15" s="4"/>
      <c r="U15" s="4"/>
      <c r="V15" s="4"/>
      <c r="W15" s="4"/>
      <c r="X15" s="4"/>
      <c r="Y15" s="4"/>
      <c r="Z15" s="4"/>
      <c r="AA15" s="4"/>
      <c r="AB15" s="4"/>
      <c r="AC15" s="4"/>
      <c r="AD15" s="4"/>
    </row>
    <row r="16" spans="1:30" ht="15">
      <c r="A16" s="4"/>
      <c r="B16" s="84">
        <v>2</v>
      </c>
      <c r="C16" s="317" t="str">
        <f>IF('INPUT DATA'!L12="","",'INPUT DATA'!L12)</f>
        <v/>
      </c>
      <c r="D16" s="318"/>
      <c r="E16" s="319"/>
      <c r="F16" s="320" t="str">
        <f>IF('INPUT DATA'!M12="","",'INPUT DATA'!M12)</f>
        <v/>
      </c>
      <c r="G16" s="321"/>
      <c r="H16" s="94" t="str">
        <f>IF('INPUT DATA'!N12="","",'INPUT DATA'!N12)</f>
        <v/>
      </c>
      <c r="I16" s="241" t="str">
        <f ca="1">IF(H16="","",DATEDIF(H16,TODAY(),"Y"))</f>
        <v/>
      </c>
      <c r="J16" s="212" t="s">
        <v>124</v>
      </c>
      <c r="K16" s="208"/>
      <c r="L16" s="80"/>
      <c r="M16" s="80"/>
      <c r="N16" s="80"/>
      <c r="O16" s="80"/>
      <c r="P16" s="80"/>
      <c r="Q16" s="80"/>
      <c r="R16" s="91" t="str">
        <f t="shared" ref="R16:R64" si="0">IF(COUNT(K16:Q16)=0,"",ROUND(AVERAGE(K16:Q16),0))</f>
        <v/>
      </c>
      <c r="S16" s="92" t="str">
        <f>IF(R16="","",_xlfn.RANK.AVG(R16,$R$15:$R$115))</f>
        <v/>
      </c>
      <c r="T16" s="4"/>
      <c r="U16" s="4"/>
      <c r="V16" s="4"/>
      <c r="W16" s="4"/>
      <c r="X16" s="4"/>
      <c r="Y16" s="4"/>
      <c r="Z16" s="4"/>
      <c r="AA16" s="4"/>
      <c r="AB16" s="4"/>
      <c r="AC16" s="4"/>
      <c r="AD16" s="4"/>
    </row>
    <row r="17" spans="1:30" ht="15">
      <c r="A17" s="4"/>
      <c r="B17" s="84">
        <v>3</v>
      </c>
      <c r="C17" s="317" t="str">
        <f>IF('INPUT DATA'!L13="","",'INPUT DATA'!L13)</f>
        <v/>
      </c>
      <c r="D17" s="318"/>
      <c r="E17" s="319"/>
      <c r="F17" s="320" t="str">
        <f>IF('INPUT DATA'!M13="","",'INPUT DATA'!M13)</f>
        <v/>
      </c>
      <c r="G17" s="321"/>
      <c r="H17" s="94" t="str">
        <f>IF('INPUT DATA'!N13="","",'INPUT DATA'!N13)</f>
        <v/>
      </c>
      <c r="I17" s="241" t="str">
        <f t="shared" ref="I17:I64" ca="1" si="1">IF(H17="","",DATEDIF(H17,TODAY(),"Y"))</f>
        <v/>
      </c>
      <c r="J17" s="212" t="s">
        <v>124</v>
      </c>
      <c r="K17" s="208"/>
      <c r="L17" s="80"/>
      <c r="M17" s="80"/>
      <c r="N17" s="80"/>
      <c r="O17" s="80"/>
      <c r="P17" s="80"/>
      <c r="Q17" s="80"/>
      <c r="R17" s="91" t="str">
        <f t="shared" si="0"/>
        <v/>
      </c>
      <c r="S17" s="92" t="str">
        <f t="shared" ref="S17:S64" si="2">IF(R17="","",_xlfn.RANK.AVG(R17,$R$15:$R$115))</f>
        <v/>
      </c>
      <c r="T17" s="4"/>
      <c r="U17" s="4"/>
      <c r="V17" s="4"/>
      <c r="W17" s="4"/>
      <c r="X17" s="4"/>
      <c r="Y17" s="4"/>
      <c r="Z17" s="4"/>
      <c r="AA17" s="4"/>
      <c r="AB17" s="4"/>
      <c r="AC17" s="4"/>
      <c r="AD17" s="4"/>
    </row>
    <row r="18" spans="1:30" ht="15">
      <c r="A18" s="4"/>
      <c r="B18" s="84">
        <v>4</v>
      </c>
      <c r="C18" s="317" t="str">
        <f>IF('INPUT DATA'!L14="","",'INPUT DATA'!L14)</f>
        <v/>
      </c>
      <c r="D18" s="318"/>
      <c r="E18" s="319"/>
      <c r="F18" s="320" t="str">
        <f>IF('INPUT DATA'!M14="","",'INPUT DATA'!M14)</f>
        <v/>
      </c>
      <c r="G18" s="321"/>
      <c r="H18" s="94" t="str">
        <f>IF('INPUT DATA'!N14="","",'INPUT DATA'!N14)</f>
        <v/>
      </c>
      <c r="I18" s="241" t="str">
        <f t="shared" ca="1" si="1"/>
        <v/>
      </c>
      <c r="J18" s="212"/>
      <c r="K18" s="208"/>
      <c r="L18" s="80"/>
      <c r="M18" s="80"/>
      <c r="N18" s="80"/>
      <c r="O18" s="80"/>
      <c r="P18" s="80"/>
      <c r="Q18" s="80"/>
      <c r="R18" s="91" t="str">
        <f t="shared" si="0"/>
        <v/>
      </c>
      <c r="S18" s="92" t="str">
        <f t="shared" si="2"/>
        <v/>
      </c>
      <c r="T18" s="4"/>
      <c r="U18" s="4"/>
      <c r="V18" s="4"/>
      <c r="W18" s="4"/>
      <c r="X18" s="4"/>
      <c r="Y18" s="4"/>
      <c r="Z18" s="4"/>
      <c r="AA18" s="4"/>
      <c r="AB18" s="4"/>
      <c r="AC18" s="4"/>
      <c r="AD18" s="4"/>
    </row>
    <row r="19" spans="1:30" ht="15">
      <c r="A19" s="4"/>
      <c r="B19" s="84">
        <v>5</v>
      </c>
      <c r="C19" s="317" t="str">
        <f>IF('INPUT DATA'!L15="","",'INPUT DATA'!L15)</f>
        <v/>
      </c>
      <c r="D19" s="318"/>
      <c r="E19" s="319"/>
      <c r="F19" s="320" t="str">
        <f>IF('INPUT DATA'!M15="","",'INPUT DATA'!M15)</f>
        <v/>
      </c>
      <c r="G19" s="321"/>
      <c r="H19" s="94" t="str">
        <f>IF('INPUT DATA'!N15="","",'INPUT DATA'!N15)</f>
        <v/>
      </c>
      <c r="I19" s="241" t="str">
        <f t="shared" ca="1" si="1"/>
        <v/>
      </c>
      <c r="J19" s="212"/>
      <c r="K19" s="208"/>
      <c r="L19" s="80"/>
      <c r="M19" s="80"/>
      <c r="N19" s="80"/>
      <c r="O19" s="80"/>
      <c r="P19" s="80"/>
      <c r="Q19" s="80"/>
      <c r="R19" s="91" t="str">
        <f t="shared" si="0"/>
        <v/>
      </c>
      <c r="S19" s="92" t="str">
        <f t="shared" si="2"/>
        <v/>
      </c>
      <c r="T19" s="4"/>
      <c r="U19" s="4"/>
      <c r="V19" s="4"/>
      <c r="W19" s="4"/>
      <c r="X19" s="4"/>
      <c r="Y19" s="4"/>
      <c r="Z19" s="4"/>
      <c r="AA19" s="4"/>
      <c r="AB19" s="4"/>
      <c r="AC19" s="4"/>
      <c r="AD19" s="4"/>
    </row>
    <row r="20" spans="1:30" ht="15">
      <c r="A20" s="4"/>
      <c r="B20" s="84">
        <v>6</v>
      </c>
      <c r="C20" s="317" t="str">
        <f>IF('INPUT DATA'!L16="","",'INPUT DATA'!L16)</f>
        <v/>
      </c>
      <c r="D20" s="318"/>
      <c r="E20" s="319"/>
      <c r="F20" s="320" t="str">
        <f>IF('INPUT DATA'!M16="","",'INPUT DATA'!M16)</f>
        <v/>
      </c>
      <c r="G20" s="321"/>
      <c r="H20" s="94" t="str">
        <f>IF('INPUT DATA'!N16="","",'INPUT DATA'!N16)</f>
        <v/>
      </c>
      <c r="I20" s="241" t="str">
        <f t="shared" ca="1" si="1"/>
        <v/>
      </c>
      <c r="J20" s="212"/>
      <c r="K20" s="208"/>
      <c r="L20" s="80"/>
      <c r="M20" s="80"/>
      <c r="N20" s="80"/>
      <c r="O20" s="80"/>
      <c r="P20" s="80"/>
      <c r="Q20" s="80"/>
      <c r="R20" s="91" t="str">
        <f t="shared" si="0"/>
        <v/>
      </c>
      <c r="S20" s="92" t="str">
        <f t="shared" si="2"/>
        <v/>
      </c>
      <c r="T20" s="4"/>
      <c r="U20" s="4"/>
      <c r="V20" s="4"/>
      <c r="W20" s="4"/>
      <c r="X20" s="4"/>
      <c r="Y20" s="4"/>
      <c r="Z20" s="4"/>
      <c r="AA20" s="4"/>
      <c r="AB20" s="4"/>
      <c r="AC20" s="4"/>
      <c r="AD20" s="4"/>
    </row>
    <row r="21" spans="1:30" ht="15">
      <c r="A21" s="4"/>
      <c r="B21" s="84">
        <v>7</v>
      </c>
      <c r="C21" s="317" t="str">
        <f>IF('INPUT DATA'!L17="","",'INPUT DATA'!L17)</f>
        <v/>
      </c>
      <c r="D21" s="318"/>
      <c r="E21" s="319"/>
      <c r="F21" s="320" t="str">
        <f>IF('INPUT DATA'!M17="","",'INPUT DATA'!M17)</f>
        <v/>
      </c>
      <c r="G21" s="321"/>
      <c r="H21" s="94" t="str">
        <f>IF('INPUT DATA'!N17="","",'INPUT DATA'!N17)</f>
        <v/>
      </c>
      <c r="I21" s="241" t="str">
        <f t="shared" ca="1" si="1"/>
        <v/>
      </c>
      <c r="J21" s="212"/>
      <c r="K21" s="208"/>
      <c r="L21" s="80"/>
      <c r="M21" s="80"/>
      <c r="N21" s="80"/>
      <c r="O21" s="80"/>
      <c r="P21" s="80"/>
      <c r="Q21" s="80"/>
      <c r="R21" s="91" t="str">
        <f t="shared" si="0"/>
        <v/>
      </c>
      <c r="S21" s="92" t="str">
        <f t="shared" si="2"/>
        <v/>
      </c>
      <c r="T21" s="4"/>
      <c r="U21" s="4"/>
      <c r="V21" s="4"/>
      <c r="W21" s="4"/>
      <c r="X21" s="4"/>
      <c r="Y21" s="4"/>
      <c r="Z21" s="4"/>
      <c r="AA21" s="4"/>
      <c r="AB21" s="4"/>
      <c r="AC21" s="4"/>
      <c r="AD21" s="4"/>
    </row>
    <row r="22" spans="1:30" ht="15">
      <c r="A22" s="4"/>
      <c r="B22" s="84">
        <v>8</v>
      </c>
      <c r="C22" s="317" t="str">
        <f>IF('INPUT DATA'!L18="","",'INPUT DATA'!L18)</f>
        <v/>
      </c>
      <c r="D22" s="318"/>
      <c r="E22" s="319"/>
      <c r="F22" s="320" t="str">
        <f>IF('INPUT DATA'!M18="","",'INPUT DATA'!M18)</f>
        <v/>
      </c>
      <c r="G22" s="321"/>
      <c r="H22" s="94" t="str">
        <f>IF('INPUT DATA'!N18="","",'INPUT DATA'!N18)</f>
        <v/>
      </c>
      <c r="I22" s="241" t="str">
        <f t="shared" ca="1" si="1"/>
        <v/>
      </c>
      <c r="J22" s="212"/>
      <c r="K22" s="208"/>
      <c r="L22" s="80"/>
      <c r="M22" s="80"/>
      <c r="N22" s="80"/>
      <c r="O22" s="80"/>
      <c r="P22" s="80"/>
      <c r="Q22" s="80"/>
      <c r="R22" s="91" t="str">
        <f t="shared" si="0"/>
        <v/>
      </c>
      <c r="S22" s="92" t="str">
        <f t="shared" si="2"/>
        <v/>
      </c>
      <c r="T22" s="4"/>
      <c r="U22" s="4"/>
      <c r="V22" s="4"/>
      <c r="W22" s="4"/>
      <c r="X22" s="4"/>
      <c r="Y22" s="4"/>
      <c r="Z22" s="4"/>
      <c r="AA22" s="4"/>
      <c r="AB22" s="4"/>
      <c r="AC22" s="4"/>
      <c r="AD22" s="4"/>
    </row>
    <row r="23" spans="1:30" ht="15">
      <c r="A23" s="4"/>
      <c r="B23" s="84">
        <v>9</v>
      </c>
      <c r="C23" s="317" t="str">
        <f>IF('INPUT DATA'!L19="","",'INPUT DATA'!L19)</f>
        <v/>
      </c>
      <c r="D23" s="318"/>
      <c r="E23" s="319"/>
      <c r="F23" s="320" t="str">
        <f>IF('INPUT DATA'!M19="","",'INPUT DATA'!M19)</f>
        <v/>
      </c>
      <c r="G23" s="321"/>
      <c r="H23" s="94" t="str">
        <f>IF('INPUT DATA'!N19="","",'INPUT DATA'!N19)</f>
        <v/>
      </c>
      <c r="I23" s="241" t="str">
        <f t="shared" ca="1" si="1"/>
        <v/>
      </c>
      <c r="J23" s="212"/>
      <c r="K23" s="208"/>
      <c r="L23" s="80"/>
      <c r="M23" s="80"/>
      <c r="N23" s="80"/>
      <c r="O23" s="80"/>
      <c r="P23" s="80"/>
      <c r="Q23" s="80"/>
      <c r="R23" s="91" t="str">
        <f t="shared" si="0"/>
        <v/>
      </c>
      <c r="S23" s="92" t="str">
        <f t="shared" si="2"/>
        <v/>
      </c>
      <c r="T23" s="4"/>
      <c r="U23" s="4"/>
      <c r="V23" s="4"/>
      <c r="W23" s="4"/>
      <c r="X23" s="4"/>
      <c r="Y23" s="4"/>
      <c r="Z23" s="4"/>
      <c r="AA23" s="4"/>
      <c r="AB23" s="4"/>
      <c r="AC23" s="4"/>
      <c r="AD23" s="4"/>
    </row>
    <row r="24" spans="1:30" ht="15">
      <c r="A24" s="4"/>
      <c r="B24" s="84">
        <v>10</v>
      </c>
      <c r="C24" s="317" t="str">
        <f>IF('INPUT DATA'!L20="","",'INPUT DATA'!L20)</f>
        <v/>
      </c>
      <c r="D24" s="318"/>
      <c r="E24" s="319"/>
      <c r="F24" s="320" t="str">
        <f>IF('INPUT DATA'!M20="","",'INPUT DATA'!M20)</f>
        <v/>
      </c>
      <c r="G24" s="321"/>
      <c r="H24" s="94" t="str">
        <f>IF('INPUT DATA'!N20="","",'INPUT DATA'!N20)</f>
        <v/>
      </c>
      <c r="I24" s="241" t="str">
        <f t="shared" ca="1" si="1"/>
        <v/>
      </c>
      <c r="J24" s="212"/>
      <c r="K24" s="208"/>
      <c r="L24" s="80"/>
      <c r="M24" s="80"/>
      <c r="N24" s="80"/>
      <c r="O24" s="80"/>
      <c r="P24" s="80"/>
      <c r="Q24" s="80"/>
      <c r="R24" s="91" t="str">
        <f t="shared" si="0"/>
        <v/>
      </c>
      <c r="S24" s="92" t="str">
        <f t="shared" si="2"/>
        <v/>
      </c>
      <c r="T24" s="4"/>
      <c r="U24" s="4"/>
      <c r="V24" s="4"/>
      <c r="W24" s="4"/>
      <c r="X24" s="4"/>
      <c r="Y24" s="4"/>
      <c r="Z24" s="4"/>
      <c r="AA24" s="4"/>
      <c r="AB24" s="4"/>
      <c r="AC24" s="4"/>
      <c r="AD24" s="4"/>
    </row>
    <row r="25" spans="1:30" ht="15">
      <c r="A25" s="4"/>
      <c r="B25" s="84">
        <v>11</v>
      </c>
      <c r="C25" s="317" t="str">
        <f>IF('INPUT DATA'!L21="","",'INPUT DATA'!L21)</f>
        <v/>
      </c>
      <c r="D25" s="318"/>
      <c r="E25" s="319"/>
      <c r="F25" s="320" t="str">
        <f>IF('INPUT DATA'!M21="","",'INPUT DATA'!M21)</f>
        <v/>
      </c>
      <c r="G25" s="321"/>
      <c r="H25" s="94" t="str">
        <f>IF('INPUT DATA'!N21="","",'INPUT DATA'!N21)</f>
        <v/>
      </c>
      <c r="I25" s="241" t="str">
        <f t="shared" ca="1" si="1"/>
        <v/>
      </c>
      <c r="J25" s="212"/>
      <c r="K25" s="208"/>
      <c r="L25" s="80"/>
      <c r="M25" s="80"/>
      <c r="N25" s="80"/>
      <c r="O25" s="80"/>
      <c r="P25" s="80"/>
      <c r="Q25" s="80"/>
      <c r="R25" s="91" t="str">
        <f t="shared" si="0"/>
        <v/>
      </c>
      <c r="S25" s="92" t="str">
        <f t="shared" si="2"/>
        <v/>
      </c>
      <c r="T25" s="4"/>
      <c r="U25" s="4"/>
      <c r="V25" s="4"/>
      <c r="W25" s="4"/>
      <c r="X25" s="4"/>
      <c r="Y25" s="4"/>
      <c r="Z25" s="4"/>
      <c r="AA25" s="4"/>
      <c r="AB25" s="4"/>
      <c r="AC25" s="4"/>
      <c r="AD25" s="4"/>
    </row>
    <row r="26" spans="1:30" ht="15">
      <c r="A26" s="4"/>
      <c r="B26" s="84">
        <v>12</v>
      </c>
      <c r="C26" s="317" t="str">
        <f>IF('INPUT DATA'!L22="","",'INPUT DATA'!L22)</f>
        <v/>
      </c>
      <c r="D26" s="318"/>
      <c r="E26" s="319"/>
      <c r="F26" s="320" t="str">
        <f>IF('INPUT DATA'!M22="","",'INPUT DATA'!M22)</f>
        <v/>
      </c>
      <c r="G26" s="321"/>
      <c r="H26" s="94" t="str">
        <f>IF('INPUT DATA'!N22="","",'INPUT DATA'!N22)</f>
        <v/>
      </c>
      <c r="I26" s="241" t="str">
        <f t="shared" ca="1" si="1"/>
        <v/>
      </c>
      <c r="J26" s="212"/>
      <c r="K26" s="208"/>
      <c r="L26" s="80"/>
      <c r="M26" s="80"/>
      <c r="N26" s="80"/>
      <c r="O26" s="80"/>
      <c r="P26" s="80"/>
      <c r="Q26" s="80"/>
      <c r="R26" s="91" t="str">
        <f t="shared" si="0"/>
        <v/>
      </c>
      <c r="S26" s="92" t="str">
        <f t="shared" si="2"/>
        <v/>
      </c>
      <c r="T26" s="4"/>
      <c r="U26" s="4"/>
      <c r="V26" s="4"/>
      <c r="W26" s="4"/>
      <c r="X26" s="4"/>
      <c r="Y26" s="4"/>
      <c r="Z26" s="4"/>
      <c r="AA26" s="4"/>
      <c r="AB26" s="4"/>
      <c r="AC26" s="4"/>
      <c r="AD26" s="4"/>
    </row>
    <row r="27" spans="1:30" ht="15">
      <c r="A27" s="4"/>
      <c r="B27" s="84">
        <v>13</v>
      </c>
      <c r="C27" s="317" t="str">
        <f>IF('INPUT DATA'!L23="","",'INPUT DATA'!L23)</f>
        <v/>
      </c>
      <c r="D27" s="318"/>
      <c r="E27" s="319"/>
      <c r="F27" s="320" t="str">
        <f>IF('INPUT DATA'!M23="","",'INPUT DATA'!M23)</f>
        <v/>
      </c>
      <c r="G27" s="321"/>
      <c r="H27" s="94" t="str">
        <f>IF('INPUT DATA'!N23="","",'INPUT DATA'!N23)</f>
        <v/>
      </c>
      <c r="I27" s="241" t="str">
        <f t="shared" ca="1" si="1"/>
        <v/>
      </c>
      <c r="J27" s="212"/>
      <c r="K27" s="208"/>
      <c r="L27" s="80"/>
      <c r="M27" s="80"/>
      <c r="N27" s="80"/>
      <c r="O27" s="80"/>
      <c r="P27" s="80"/>
      <c r="Q27" s="80"/>
      <c r="R27" s="91" t="str">
        <f t="shared" si="0"/>
        <v/>
      </c>
      <c r="S27" s="92" t="str">
        <f t="shared" si="2"/>
        <v/>
      </c>
      <c r="T27" s="4"/>
      <c r="U27" s="4"/>
      <c r="V27" s="4"/>
      <c r="W27" s="4"/>
      <c r="X27" s="4"/>
      <c r="Y27" s="4"/>
      <c r="Z27" s="4"/>
      <c r="AA27" s="4"/>
      <c r="AB27" s="4"/>
      <c r="AC27" s="4"/>
      <c r="AD27" s="4"/>
    </row>
    <row r="28" spans="1:30" ht="15">
      <c r="A28" s="4"/>
      <c r="B28" s="84">
        <v>14</v>
      </c>
      <c r="C28" s="317" t="str">
        <f>IF('INPUT DATA'!L24="","",'INPUT DATA'!L24)</f>
        <v/>
      </c>
      <c r="D28" s="318"/>
      <c r="E28" s="319"/>
      <c r="F28" s="320" t="str">
        <f>IF('INPUT DATA'!M24="","",'INPUT DATA'!M24)</f>
        <v/>
      </c>
      <c r="G28" s="321"/>
      <c r="H28" s="94" t="str">
        <f>IF('INPUT DATA'!N24="","",'INPUT DATA'!N24)</f>
        <v/>
      </c>
      <c r="I28" s="241" t="str">
        <f t="shared" ca="1" si="1"/>
        <v/>
      </c>
      <c r="J28" s="212"/>
      <c r="K28" s="208"/>
      <c r="L28" s="80"/>
      <c r="M28" s="80"/>
      <c r="N28" s="80"/>
      <c r="O28" s="80"/>
      <c r="P28" s="80"/>
      <c r="Q28" s="80"/>
      <c r="R28" s="91" t="str">
        <f t="shared" si="0"/>
        <v/>
      </c>
      <c r="S28" s="92" t="str">
        <f t="shared" si="2"/>
        <v/>
      </c>
      <c r="T28" s="4"/>
      <c r="U28" s="4"/>
      <c r="V28" s="4"/>
      <c r="W28" s="4"/>
      <c r="X28" s="4"/>
      <c r="Y28" s="4"/>
      <c r="Z28" s="4"/>
      <c r="AA28" s="4"/>
      <c r="AB28" s="4"/>
      <c r="AC28" s="4"/>
      <c r="AD28" s="4"/>
    </row>
    <row r="29" spans="1:30" ht="15">
      <c r="A29" s="4"/>
      <c r="B29" s="84">
        <v>15</v>
      </c>
      <c r="C29" s="317" t="str">
        <f>IF('INPUT DATA'!L25="","",'INPUT DATA'!L25)</f>
        <v/>
      </c>
      <c r="D29" s="318"/>
      <c r="E29" s="319"/>
      <c r="F29" s="320" t="str">
        <f>IF('INPUT DATA'!M25="","",'INPUT DATA'!M25)</f>
        <v/>
      </c>
      <c r="G29" s="321"/>
      <c r="H29" s="94" t="str">
        <f>IF('INPUT DATA'!N25="","",'INPUT DATA'!N25)</f>
        <v/>
      </c>
      <c r="I29" s="241" t="str">
        <f t="shared" ca="1" si="1"/>
        <v/>
      </c>
      <c r="J29" s="212"/>
      <c r="K29" s="208"/>
      <c r="L29" s="80"/>
      <c r="M29" s="80"/>
      <c r="N29" s="80"/>
      <c r="O29" s="80"/>
      <c r="P29" s="80"/>
      <c r="Q29" s="80"/>
      <c r="R29" s="91" t="str">
        <f t="shared" si="0"/>
        <v/>
      </c>
      <c r="S29" s="92" t="str">
        <f t="shared" si="2"/>
        <v/>
      </c>
      <c r="T29" s="4"/>
      <c r="U29" s="4"/>
      <c r="V29" s="4"/>
      <c r="W29" s="4"/>
      <c r="X29" s="4"/>
      <c r="Y29" s="4"/>
      <c r="Z29" s="4"/>
      <c r="AA29" s="4"/>
      <c r="AB29" s="4"/>
      <c r="AC29" s="4"/>
      <c r="AD29" s="4"/>
    </row>
    <row r="30" spans="1:30" ht="15">
      <c r="A30" s="4"/>
      <c r="B30" s="84">
        <v>16</v>
      </c>
      <c r="C30" s="317" t="str">
        <f>IF('INPUT DATA'!L26="","",'INPUT DATA'!L26)</f>
        <v/>
      </c>
      <c r="D30" s="318"/>
      <c r="E30" s="319"/>
      <c r="F30" s="320" t="str">
        <f>IF('INPUT DATA'!M26="","",'INPUT DATA'!M26)</f>
        <v/>
      </c>
      <c r="G30" s="321"/>
      <c r="H30" s="94" t="str">
        <f>IF('INPUT DATA'!N26="","",'INPUT DATA'!N26)</f>
        <v/>
      </c>
      <c r="I30" s="241" t="str">
        <f t="shared" ca="1" si="1"/>
        <v/>
      </c>
      <c r="J30" s="212"/>
      <c r="K30" s="208"/>
      <c r="L30" s="80"/>
      <c r="M30" s="80"/>
      <c r="N30" s="80"/>
      <c r="O30" s="80"/>
      <c r="P30" s="80"/>
      <c r="Q30" s="80"/>
      <c r="R30" s="91" t="str">
        <f t="shared" si="0"/>
        <v/>
      </c>
      <c r="S30" s="92" t="str">
        <f t="shared" si="2"/>
        <v/>
      </c>
      <c r="T30" s="4"/>
      <c r="U30" s="4"/>
      <c r="V30" s="4"/>
      <c r="W30" s="4"/>
      <c r="X30" s="4"/>
      <c r="Y30" s="4"/>
      <c r="Z30" s="4"/>
      <c r="AA30" s="4"/>
      <c r="AB30" s="4"/>
      <c r="AC30" s="4"/>
      <c r="AD30" s="4"/>
    </row>
    <row r="31" spans="1:30" ht="15">
      <c r="A31" s="4"/>
      <c r="B31" s="84">
        <v>17</v>
      </c>
      <c r="C31" s="317" t="str">
        <f>IF('INPUT DATA'!L27="","",'INPUT DATA'!L27)</f>
        <v/>
      </c>
      <c r="D31" s="318"/>
      <c r="E31" s="319"/>
      <c r="F31" s="320" t="str">
        <f>IF('INPUT DATA'!M27="","",'INPUT DATA'!M27)</f>
        <v/>
      </c>
      <c r="G31" s="321"/>
      <c r="H31" s="94" t="str">
        <f>IF('INPUT DATA'!N27="","",'INPUT DATA'!N27)</f>
        <v/>
      </c>
      <c r="I31" s="241" t="str">
        <f t="shared" ca="1" si="1"/>
        <v/>
      </c>
      <c r="J31" s="212"/>
      <c r="K31" s="208"/>
      <c r="L31" s="80"/>
      <c r="M31" s="80"/>
      <c r="N31" s="80"/>
      <c r="O31" s="80"/>
      <c r="P31" s="80"/>
      <c r="Q31" s="80"/>
      <c r="R31" s="91" t="str">
        <f t="shared" si="0"/>
        <v/>
      </c>
      <c r="S31" s="92" t="str">
        <f t="shared" si="2"/>
        <v/>
      </c>
      <c r="T31" s="4"/>
      <c r="U31" s="4"/>
      <c r="V31" s="4"/>
      <c r="W31" s="4"/>
      <c r="X31" s="4"/>
      <c r="Y31" s="4"/>
      <c r="Z31" s="4"/>
      <c r="AA31" s="4"/>
      <c r="AB31" s="4"/>
      <c r="AC31" s="4"/>
      <c r="AD31" s="4"/>
    </row>
    <row r="32" spans="1:30" ht="15">
      <c r="A32" s="4"/>
      <c r="B32" s="84">
        <v>18</v>
      </c>
      <c r="C32" s="317" t="str">
        <f>IF('INPUT DATA'!L28="","",'INPUT DATA'!L28)</f>
        <v/>
      </c>
      <c r="D32" s="318"/>
      <c r="E32" s="319"/>
      <c r="F32" s="320" t="str">
        <f>IF('INPUT DATA'!M28="","",'INPUT DATA'!M28)</f>
        <v/>
      </c>
      <c r="G32" s="321"/>
      <c r="H32" s="94" t="str">
        <f>IF('INPUT DATA'!N28="","",'INPUT DATA'!N28)</f>
        <v/>
      </c>
      <c r="I32" s="241" t="str">
        <f t="shared" ca="1" si="1"/>
        <v/>
      </c>
      <c r="J32" s="212"/>
      <c r="K32" s="208"/>
      <c r="L32" s="80"/>
      <c r="M32" s="80"/>
      <c r="N32" s="80"/>
      <c r="O32" s="80"/>
      <c r="P32" s="80"/>
      <c r="Q32" s="80"/>
      <c r="R32" s="91" t="str">
        <f t="shared" si="0"/>
        <v/>
      </c>
      <c r="S32" s="92" t="str">
        <f t="shared" si="2"/>
        <v/>
      </c>
      <c r="T32" s="4"/>
      <c r="U32" s="4"/>
      <c r="V32" s="4"/>
      <c r="W32" s="4"/>
      <c r="X32" s="4"/>
      <c r="Y32" s="4"/>
      <c r="Z32" s="4"/>
      <c r="AA32" s="4"/>
      <c r="AB32" s="4"/>
      <c r="AC32" s="4"/>
      <c r="AD32" s="4"/>
    </row>
    <row r="33" spans="1:30" ht="15">
      <c r="A33" s="4"/>
      <c r="B33" s="84">
        <v>19</v>
      </c>
      <c r="C33" s="317" t="str">
        <f>IF('INPUT DATA'!L29="","",'INPUT DATA'!L29)</f>
        <v/>
      </c>
      <c r="D33" s="318"/>
      <c r="E33" s="319"/>
      <c r="F33" s="320" t="str">
        <f>IF('INPUT DATA'!M29="","",'INPUT DATA'!M29)</f>
        <v/>
      </c>
      <c r="G33" s="321"/>
      <c r="H33" s="94" t="str">
        <f>IF('INPUT DATA'!N29="","",'INPUT DATA'!N29)</f>
        <v/>
      </c>
      <c r="I33" s="241" t="str">
        <f t="shared" ca="1" si="1"/>
        <v/>
      </c>
      <c r="J33" s="212"/>
      <c r="K33" s="208"/>
      <c r="L33" s="80"/>
      <c r="M33" s="80"/>
      <c r="N33" s="80"/>
      <c r="O33" s="80"/>
      <c r="P33" s="80"/>
      <c r="Q33" s="80"/>
      <c r="R33" s="91" t="str">
        <f t="shared" si="0"/>
        <v/>
      </c>
      <c r="S33" s="92" t="str">
        <f t="shared" si="2"/>
        <v/>
      </c>
      <c r="T33" s="4"/>
      <c r="U33" s="4"/>
      <c r="V33" s="4"/>
      <c r="W33" s="4"/>
      <c r="X33" s="4"/>
      <c r="Y33" s="4"/>
      <c r="Z33" s="4"/>
      <c r="AA33" s="4"/>
      <c r="AB33" s="4"/>
      <c r="AC33" s="4"/>
      <c r="AD33" s="4"/>
    </row>
    <row r="34" spans="1:30" ht="15">
      <c r="A34" s="4"/>
      <c r="B34" s="85">
        <v>20</v>
      </c>
      <c r="C34" s="317" t="str">
        <f>IF('INPUT DATA'!L30="","",'INPUT DATA'!L30)</f>
        <v/>
      </c>
      <c r="D34" s="318"/>
      <c r="E34" s="319"/>
      <c r="F34" s="320" t="str">
        <f>IF('INPUT DATA'!M30="","",'INPUT DATA'!M30)</f>
        <v/>
      </c>
      <c r="G34" s="321"/>
      <c r="H34" s="94" t="str">
        <f>IF('INPUT DATA'!N30="","",'INPUT DATA'!N30)</f>
        <v/>
      </c>
      <c r="I34" s="241" t="str">
        <f t="shared" ca="1" si="1"/>
        <v/>
      </c>
      <c r="J34" s="212"/>
      <c r="K34" s="209"/>
      <c r="L34" s="81"/>
      <c r="M34" s="81"/>
      <c r="N34" s="81"/>
      <c r="O34" s="81"/>
      <c r="P34" s="81"/>
      <c r="Q34" s="81"/>
      <c r="R34" s="91" t="str">
        <f t="shared" si="0"/>
        <v/>
      </c>
      <c r="S34" s="92" t="str">
        <f t="shared" si="2"/>
        <v/>
      </c>
      <c r="T34" s="4"/>
      <c r="U34" s="4"/>
      <c r="V34" s="4"/>
      <c r="W34" s="4"/>
      <c r="X34" s="4"/>
      <c r="Y34" s="4"/>
      <c r="Z34" s="4"/>
      <c r="AA34" s="4"/>
      <c r="AB34" s="4"/>
      <c r="AC34" s="4"/>
      <c r="AD34" s="4"/>
    </row>
    <row r="35" spans="1:30" ht="15">
      <c r="A35" s="4"/>
      <c r="B35" s="85">
        <v>21</v>
      </c>
      <c r="C35" s="317" t="str">
        <f>IF('INPUT DATA'!L31="","",'INPUT DATA'!L31)</f>
        <v/>
      </c>
      <c r="D35" s="318"/>
      <c r="E35" s="319"/>
      <c r="F35" s="320" t="str">
        <f>IF('INPUT DATA'!M31="","",'INPUT DATA'!M31)</f>
        <v/>
      </c>
      <c r="G35" s="321"/>
      <c r="H35" s="94" t="str">
        <f>IF('INPUT DATA'!N31="","",'INPUT DATA'!N31)</f>
        <v/>
      </c>
      <c r="I35" s="241" t="str">
        <f t="shared" ca="1" si="1"/>
        <v/>
      </c>
      <c r="J35" s="212"/>
      <c r="K35" s="208"/>
      <c r="L35" s="80"/>
      <c r="M35" s="80"/>
      <c r="N35" s="80"/>
      <c r="O35" s="80"/>
      <c r="P35" s="80"/>
      <c r="Q35" s="80"/>
      <c r="R35" s="91" t="str">
        <f t="shared" si="0"/>
        <v/>
      </c>
      <c r="S35" s="92" t="str">
        <f t="shared" si="2"/>
        <v/>
      </c>
      <c r="T35" s="4"/>
      <c r="U35" s="4"/>
      <c r="V35" s="4"/>
      <c r="W35" s="4"/>
      <c r="X35" s="4"/>
      <c r="Y35" s="4"/>
      <c r="Z35" s="4"/>
      <c r="AA35" s="4"/>
      <c r="AB35" s="4"/>
      <c r="AC35" s="4"/>
      <c r="AD35" s="4"/>
    </row>
    <row r="36" spans="1:30" ht="15">
      <c r="A36" s="4"/>
      <c r="B36" s="85">
        <v>22</v>
      </c>
      <c r="C36" s="317" t="str">
        <f>IF('INPUT DATA'!L32="","",'INPUT DATA'!L32)</f>
        <v/>
      </c>
      <c r="D36" s="318"/>
      <c r="E36" s="319"/>
      <c r="F36" s="320" t="str">
        <f>IF('INPUT DATA'!M32="","",'INPUT DATA'!M32)</f>
        <v/>
      </c>
      <c r="G36" s="321"/>
      <c r="H36" s="94" t="str">
        <f>IF('INPUT DATA'!N32="","",'INPUT DATA'!N32)</f>
        <v/>
      </c>
      <c r="I36" s="241" t="str">
        <f t="shared" ca="1" si="1"/>
        <v/>
      </c>
      <c r="J36" s="212"/>
      <c r="K36" s="208"/>
      <c r="L36" s="80"/>
      <c r="M36" s="80"/>
      <c r="N36" s="80"/>
      <c r="O36" s="80"/>
      <c r="P36" s="80"/>
      <c r="Q36" s="80"/>
      <c r="R36" s="91" t="str">
        <f t="shared" si="0"/>
        <v/>
      </c>
      <c r="S36" s="92" t="str">
        <f t="shared" si="2"/>
        <v/>
      </c>
      <c r="T36" s="4"/>
      <c r="U36" s="4"/>
      <c r="V36" s="4"/>
      <c r="W36" s="4"/>
      <c r="X36" s="4"/>
      <c r="Y36" s="4"/>
      <c r="Z36" s="4"/>
      <c r="AA36" s="4"/>
      <c r="AB36" s="4"/>
      <c r="AC36" s="4"/>
      <c r="AD36" s="4"/>
    </row>
    <row r="37" spans="1:30" ht="15">
      <c r="A37" s="4"/>
      <c r="B37" s="85">
        <v>23</v>
      </c>
      <c r="C37" s="317" t="str">
        <f>IF('INPUT DATA'!L33="","",'INPUT DATA'!L33)</f>
        <v/>
      </c>
      <c r="D37" s="318"/>
      <c r="E37" s="319"/>
      <c r="F37" s="320" t="str">
        <f>IF('INPUT DATA'!M33="","",'INPUT DATA'!M33)</f>
        <v/>
      </c>
      <c r="G37" s="321"/>
      <c r="H37" s="94" t="str">
        <f>IF('INPUT DATA'!N33="","",'INPUT DATA'!N33)</f>
        <v/>
      </c>
      <c r="I37" s="241" t="str">
        <f t="shared" ca="1" si="1"/>
        <v/>
      </c>
      <c r="J37" s="212"/>
      <c r="K37" s="208"/>
      <c r="L37" s="80"/>
      <c r="M37" s="80"/>
      <c r="N37" s="80"/>
      <c r="O37" s="80"/>
      <c r="P37" s="80"/>
      <c r="Q37" s="80"/>
      <c r="R37" s="91" t="str">
        <f t="shared" si="0"/>
        <v/>
      </c>
      <c r="S37" s="92" t="str">
        <f t="shared" si="2"/>
        <v/>
      </c>
      <c r="T37" s="4"/>
      <c r="U37" s="4"/>
      <c r="V37" s="4"/>
      <c r="W37" s="4"/>
      <c r="X37" s="4"/>
      <c r="Y37" s="4"/>
      <c r="Z37" s="4"/>
      <c r="AA37" s="4"/>
      <c r="AB37" s="4"/>
      <c r="AC37" s="4"/>
      <c r="AD37" s="4"/>
    </row>
    <row r="38" spans="1:30" ht="15">
      <c r="A38" s="4"/>
      <c r="B38" s="85">
        <v>24</v>
      </c>
      <c r="C38" s="317" t="str">
        <f>IF('INPUT DATA'!L34="","",'INPUT DATA'!L34)</f>
        <v/>
      </c>
      <c r="D38" s="318"/>
      <c r="E38" s="319"/>
      <c r="F38" s="320" t="str">
        <f>IF('INPUT DATA'!M34="","",'INPUT DATA'!M34)</f>
        <v/>
      </c>
      <c r="G38" s="321"/>
      <c r="H38" s="94" t="str">
        <f>IF('INPUT DATA'!N34="","",'INPUT DATA'!N34)</f>
        <v/>
      </c>
      <c r="I38" s="241" t="str">
        <f t="shared" ca="1" si="1"/>
        <v/>
      </c>
      <c r="J38" s="212"/>
      <c r="K38" s="208"/>
      <c r="L38" s="80"/>
      <c r="M38" s="80"/>
      <c r="N38" s="80"/>
      <c r="O38" s="80"/>
      <c r="P38" s="80"/>
      <c r="Q38" s="80"/>
      <c r="R38" s="91" t="str">
        <f t="shared" si="0"/>
        <v/>
      </c>
      <c r="S38" s="92" t="str">
        <f t="shared" si="2"/>
        <v/>
      </c>
      <c r="T38" s="4"/>
      <c r="U38" s="4"/>
      <c r="V38" s="4"/>
      <c r="W38" s="4"/>
      <c r="X38" s="4"/>
      <c r="Y38" s="4"/>
      <c r="Z38" s="4"/>
      <c r="AA38" s="4"/>
      <c r="AB38" s="4"/>
      <c r="AC38" s="4"/>
      <c r="AD38" s="4"/>
    </row>
    <row r="39" spans="1:30" ht="15">
      <c r="A39" s="4"/>
      <c r="B39" s="85">
        <v>25</v>
      </c>
      <c r="C39" s="317" t="str">
        <f>IF('INPUT DATA'!L35="","",'INPUT DATA'!L35)</f>
        <v/>
      </c>
      <c r="D39" s="318"/>
      <c r="E39" s="319"/>
      <c r="F39" s="320" t="str">
        <f>IF('INPUT DATA'!M35="","",'INPUT DATA'!M35)</f>
        <v/>
      </c>
      <c r="G39" s="321"/>
      <c r="H39" s="94" t="str">
        <f>IF('INPUT DATA'!N35="","",'INPUT DATA'!N35)</f>
        <v/>
      </c>
      <c r="I39" s="241" t="str">
        <f t="shared" ca="1" si="1"/>
        <v/>
      </c>
      <c r="J39" s="212"/>
      <c r="K39" s="208"/>
      <c r="L39" s="80"/>
      <c r="M39" s="80"/>
      <c r="N39" s="80"/>
      <c r="O39" s="80"/>
      <c r="P39" s="80"/>
      <c r="Q39" s="80"/>
      <c r="R39" s="91" t="str">
        <f t="shared" si="0"/>
        <v/>
      </c>
      <c r="S39" s="92" t="str">
        <f t="shared" si="2"/>
        <v/>
      </c>
      <c r="T39" s="4"/>
      <c r="U39" s="4"/>
      <c r="V39" s="4"/>
      <c r="W39" s="4"/>
      <c r="X39" s="4"/>
      <c r="Y39" s="4"/>
      <c r="Z39" s="4"/>
      <c r="AA39" s="4"/>
      <c r="AB39" s="4"/>
      <c r="AC39" s="4"/>
      <c r="AD39" s="4"/>
    </row>
    <row r="40" spans="1:30" ht="15">
      <c r="A40" s="4"/>
      <c r="B40" s="85">
        <v>26</v>
      </c>
      <c r="C40" s="317" t="str">
        <f>IF('INPUT DATA'!L36="","",'INPUT DATA'!L36)</f>
        <v/>
      </c>
      <c r="D40" s="318"/>
      <c r="E40" s="319"/>
      <c r="F40" s="320" t="str">
        <f>IF('INPUT DATA'!M36="","",'INPUT DATA'!M36)</f>
        <v/>
      </c>
      <c r="G40" s="321"/>
      <c r="H40" s="94" t="str">
        <f>IF('INPUT DATA'!N36="","",'INPUT DATA'!N36)</f>
        <v/>
      </c>
      <c r="I40" s="241" t="str">
        <f t="shared" ca="1" si="1"/>
        <v/>
      </c>
      <c r="J40" s="212"/>
      <c r="K40" s="208"/>
      <c r="L40" s="80"/>
      <c r="M40" s="80"/>
      <c r="N40" s="80"/>
      <c r="O40" s="80"/>
      <c r="P40" s="80"/>
      <c r="Q40" s="80"/>
      <c r="R40" s="91" t="str">
        <f t="shared" si="0"/>
        <v/>
      </c>
      <c r="S40" s="92" t="str">
        <f t="shared" si="2"/>
        <v/>
      </c>
      <c r="T40" s="4"/>
      <c r="U40" s="4"/>
      <c r="V40" s="4"/>
      <c r="W40" s="4"/>
      <c r="X40" s="4"/>
      <c r="Y40" s="4"/>
      <c r="Z40" s="4"/>
      <c r="AA40" s="4"/>
      <c r="AB40" s="4"/>
      <c r="AC40" s="4"/>
      <c r="AD40" s="4"/>
    </row>
    <row r="41" spans="1:30" ht="15">
      <c r="A41" s="4"/>
      <c r="B41" s="85">
        <v>27</v>
      </c>
      <c r="C41" s="317" t="str">
        <f>IF('INPUT DATA'!L37="","",'INPUT DATA'!L37)</f>
        <v/>
      </c>
      <c r="D41" s="318"/>
      <c r="E41" s="319"/>
      <c r="F41" s="320" t="str">
        <f>IF('INPUT DATA'!M37="","",'INPUT DATA'!M37)</f>
        <v/>
      </c>
      <c r="G41" s="321"/>
      <c r="H41" s="94" t="str">
        <f>IF('INPUT DATA'!N37="","",'INPUT DATA'!N37)</f>
        <v/>
      </c>
      <c r="I41" s="241" t="str">
        <f t="shared" ca="1" si="1"/>
        <v/>
      </c>
      <c r="J41" s="212"/>
      <c r="K41" s="208"/>
      <c r="L41" s="80"/>
      <c r="M41" s="80"/>
      <c r="N41" s="80"/>
      <c r="O41" s="80"/>
      <c r="P41" s="80"/>
      <c r="Q41" s="80"/>
      <c r="R41" s="91" t="str">
        <f t="shared" si="0"/>
        <v/>
      </c>
      <c r="S41" s="92" t="str">
        <f t="shared" si="2"/>
        <v/>
      </c>
      <c r="T41" s="4"/>
      <c r="U41" s="4"/>
      <c r="V41" s="4"/>
      <c r="W41" s="4"/>
      <c r="X41" s="4"/>
      <c r="Y41" s="4"/>
      <c r="Z41" s="4"/>
      <c r="AA41" s="4"/>
      <c r="AB41" s="4"/>
      <c r="AC41" s="4"/>
      <c r="AD41" s="4"/>
    </row>
    <row r="42" spans="1:30" ht="15">
      <c r="A42" s="4"/>
      <c r="B42" s="85">
        <v>28</v>
      </c>
      <c r="C42" s="317" t="str">
        <f>IF('INPUT DATA'!L38="","",'INPUT DATA'!L38)</f>
        <v/>
      </c>
      <c r="D42" s="318"/>
      <c r="E42" s="319"/>
      <c r="F42" s="320" t="str">
        <f>IF('INPUT DATA'!M38="","",'INPUT DATA'!M38)</f>
        <v/>
      </c>
      <c r="G42" s="321"/>
      <c r="H42" s="94" t="str">
        <f>IF('INPUT DATA'!N38="","",'INPUT DATA'!N38)</f>
        <v/>
      </c>
      <c r="I42" s="241" t="str">
        <f t="shared" ca="1" si="1"/>
        <v/>
      </c>
      <c r="J42" s="212"/>
      <c r="K42" s="208"/>
      <c r="L42" s="80"/>
      <c r="M42" s="80"/>
      <c r="N42" s="80"/>
      <c r="O42" s="80"/>
      <c r="P42" s="80"/>
      <c r="Q42" s="80"/>
      <c r="R42" s="91" t="str">
        <f t="shared" si="0"/>
        <v/>
      </c>
      <c r="S42" s="92" t="str">
        <f t="shared" si="2"/>
        <v/>
      </c>
      <c r="T42" s="4"/>
      <c r="U42" s="4"/>
      <c r="V42" s="4"/>
      <c r="W42" s="4"/>
      <c r="X42" s="4"/>
      <c r="Y42" s="4"/>
      <c r="Z42" s="4"/>
      <c r="AA42" s="4"/>
      <c r="AB42" s="4"/>
      <c r="AC42" s="4"/>
      <c r="AD42" s="4"/>
    </row>
    <row r="43" spans="1:30" ht="15">
      <c r="A43" s="4"/>
      <c r="B43" s="85">
        <v>29</v>
      </c>
      <c r="C43" s="317" t="str">
        <f>IF('INPUT DATA'!L39="","",'INPUT DATA'!L39)</f>
        <v/>
      </c>
      <c r="D43" s="318"/>
      <c r="E43" s="319"/>
      <c r="F43" s="320" t="str">
        <f>IF('INPUT DATA'!M39="","",'INPUT DATA'!M39)</f>
        <v/>
      </c>
      <c r="G43" s="321"/>
      <c r="H43" s="94" t="str">
        <f>IF('INPUT DATA'!N39="","",'INPUT DATA'!N39)</f>
        <v/>
      </c>
      <c r="I43" s="241" t="str">
        <f t="shared" ca="1" si="1"/>
        <v/>
      </c>
      <c r="J43" s="212"/>
      <c r="K43" s="208"/>
      <c r="L43" s="80"/>
      <c r="M43" s="80"/>
      <c r="N43" s="80"/>
      <c r="O43" s="80"/>
      <c r="P43" s="80"/>
      <c r="Q43" s="80"/>
      <c r="R43" s="91" t="str">
        <f t="shared" si="0"/>
        <v/>
      </c>
      <c r="S43" s="92" t="str">
        <f t="shared" si="2"/>
        <v/>
      </c>
      <c r="T43" s="4"/>
      <c r="U43" s="4"/>
      <c r="V43" s="4"/>
      <c r="W43" s="4"/>
      <c r="X43" s="4"/>
      <c r="Y43" s="4"/>
      <c r="Z43" s="4"/>
      <c r="AA43" s="4"/>
      <c r="AB43" s="4"/>
      <c r="AC43" s="4"/>
      <c r="AD43" s="4"/>
    </row>
    <row r="44" spans="1:30" ht="15">
      <c r="A44" s="4"/>
      <c r="B44" s="85">
        <v>30</v>
      </c>
      <c r="C44" s="317" t="str">
        <f>IF('INPUT DATA'!L40="","",'INPUT DATA'!L40)</f>
        <v/>
      </c>
      <c r="D44" s="318"/>
      <c r="E44" s="319"/>
      <c r="F44" s="320" t="str">
        <f>IF('INPUT DATA'!M40="","",'INPUT DATA'!M40)</f>
        <v/>
      </c>
      <c r="G44" s="321"/>
      <c r="H44" s="94" t="str">
        <f>IF('INPUT DATA'!N40="","",'INPUT DATA'!N40)</f>
        <v/>
      </c>
      <c r="I44" s="241" t="str">
        <f t="shared" ca="1" si="1"/>
        <v/>
      </c>
      <c r="J44" s="212"/>
      <c r="K44" s="208"/>
      <c r="L44" s="80"/>
      <c r="M44" s="80"/>
      <c r="N44" s="80"/>
      <c r="O44" s="80"/>
      <c r="P44" s="80"/>
      <c r="Q44" s="80"/>
      <c r="R44" s="91" t="str">
        <f t="shared" si="0"/>
        <v/>
      </c>
      <c r="S44" s="92" t="str">
        <f t="shared" si="2"/>
        <v/>
      </c>
      <c r="T44" s="4"/>
      <c r="U44" s="4"/>
      <c r="V44" s="4"/>
      <c r="W44" s="4"/>
      <c r="X44" s="4"/>
      <c r="Y44" s="4"/>
      <c r="Z44" s="4"/>
      <c r="AA44" s="4"/>
      <c r="AB44" s="4"/>
      <c r="AC44" s="4"/>
      <c r="AD44" s="4"/>
    </row>
    <row r="45" spans="1:30" ht="15">
      <c r="A45" s="4"/>
      <c r="B45" s="85">
        <v>31</v>
      </c>
      <c r="C45" s="317" t="str">
        <f>IF('INPUT DATA'!L41="","",'INPUT DATA'!L41)</f>
        <v/>
      </c>
      <c r="D45" s="318"/>
      <c r="E45" s="319"/>
      <c r="F45" s="320" t="str">
        <f>IF('INPUT DATA'!M41="","",'INPUT DATA'!M41)</f>
        <v/>
      </c>
      <c r="G45" s="321"/>
      <c r="H45" s="94" t="str">
        <f>IF('INPUT DATA'!N41="","",'INPUT DATA'!N41)</f>
        <v/>
      </c>
      <c r="I45" s="241" t="str">
        <f t="shared" ca="1" si="1"/>
        <v/>
      </c>
      <c r="J45" s="212"/>
      <c r="K45" s="208"/>
      <c r="L45" s="80"/>
      <c r="M45" s="80"/>
      <c r="N45" s="80"/>
      <c r="O45" s="80"/>
      <c r="P45" s="80"/>
      <c r="Q45" s="80"/>
      <c r="R45" s="91" t="str">
        <f t="shared" si="0"/>
        <v/>
      </c>
      <c r="S45" s="92" t="str">
        <f t="shared" si="2"/>
        <v/>
      </c>
      <c r="T45" s="4"/>
      <c r="U45" s="4"/>
      <c r="V45" s="4"/>
      <c r="W45" s="4"/>
      <c r="X45" s="4"/>
      <c r="Y45" s="4"/>
      <c r="Z45" s="4"/>
      <c r="AA45" s="4"/>
      <c r="AB45" s="4"/>
      <c r="AC45" s="4"/>
      <c r="AD45" s="4"/>
    </row>
    <row r="46" spans="1:30" ht="15">
      <c r="A46" s="4"/>
      <c r="B46" s="85">
        <v>32</v>
      </c>
      <c r="C46" s="317" t="str">
        <f>IF('INPUT DATA'!L42="","",'INPUT DATA'!L42)</f>
        <v/>
      </c>
      <c r="D46" s="318"/>
      <c r="E46" s="319"/>
      <c r="F46" s="320" t="str">
        <f>IF('INPUT DATA'!M42="","",'INPUT DATA'!M42)</f>
        <v/>
      </c>
      <c r="G46" s="321"/>
      <c r="H46" s="94" t="str">
        <f>IF('INPUT DATA'!N42="","",'INPUT DATA'!N42)</f>
        <v/>
      </c>
      <c r="I46" s="241" t="str">
        <f t="shared" ca="1" si="1"/>
        <v/>
      </c>
      <c r="J46" s="212"/>
      <c r="K46" s="208"/>
      <c r="L46" s="80"/>
      <c r="M46" s="80"/>
      <c r="N46" s="80"/>
      <c r="O46" s="80"/>
      <c r="P46" s="80"/>
      <c r="Q46" s="80"/>
      <c r="R46" s="91" t="str">
        <f t="shared" si="0"/>
        <v/>
      </c>
      <c r="S46" s="92" t="str">
        <f t="shared" si="2"/>
        <v/>
      </c>
      <c r="T46" s="4"/>
      <c r="U46" s="4"/>
      <c r="V46" s="4"/>
      <c r="W46" s="4"/>
      <c r="X46" s="4"/>
      <c r="Y46" s="4"/>
      <c r="Z46" s="4"/>
      <c r="AA46" s="4"/>
      <c r="AB46" s="4"/>
      <c r="AC46" s="4"/>
      <c r="AD46" s="4"/>
    </row>
    <row r="47" spans="1:30" ht="15">
      <c r="A47" s="4"/>
      <c r="B47" s="85">
        <v>33</v>
      </c>
      <c r="C47" s="317" t="str">
        <f>IF('INPUT DATA'!L43="","",'INPUT DATA'!L43)</f>
        <v/>
      </c>
      <c r="D47" s="318"/>
      <c r="E47" s="319"/>
      <c r="F47" s="320" t="str">
        <f>IF('INPUT DATA'!M43="","",'INPUT DATA'!M43)</f>
        <v/>
      </c>
      <c r="G47" s="321"/>
      <c r="H47" s="94" t="str">
        <f>IF('INPUT DATA'!N43="","",'INPUT DATA'!N43)</f>
        <v/>
      </c>
      <c r="I47" s="241" t="str">
        <f t="shared" ca="1" si="1"/>
        <v/>
      </c>
      <c r="J47" s="212"/>
      <c r="K47" s="208"/>
      <c r="L47" s="80"/>
      <c r="M47" s="80"/>
      <c r="N47" s="80"/>
      <c r="O47" s="80"/>
      <c r="P47" s="80"/>
      <c r="Q47" s="80"/>
      <c r="R47" s="91" t="str">
        <f t="shared" si="0"/>
        <v/>
      </c>
      <c r="S47" s="92" t="str">
        <f t="shared" si="2"/>
        <v/>
      </c>
      <c r="T47" s="4"/>
      <c r="U47" s="4"/>
      <c r="V47" s="4"/>
      <c r="W47" s="4"/>
      <c r="X47" s="4"/>
      <c r="Y47" s="4"/>
      <c r="Z47" s="4"/>
      <c r="AA47" s="4"/>
      <c r="AB47" s="4"/>
      <c r="AC47" s="4"/>
      <c r="AD47" s="4"/>
    </row>
    <row r="48" spans="1:30" ht="15">
      <c r="A48" s="4"/>
      <c r="B48" s="85">
        <v>34</v>
      </c>
      <c r="C48" s="317" t="str">
        <f>IF('INPUT DATA'!L44="","",'INPUT DATA'!L44)</f>
        <v/>
      </c>
      <c r="D48" s="318"/>
      <c r="E48" s="319"/>
      <c r="F48" s="320" t="str">
        <f>IF('INPUT DATA'!M44="","",'INPUT DATA'!M44)</f>
        <v/>
      </c>
      <c r="G48" s="321"/>
      <c r="H48" s="94" t="str">
        <f>IF('INPUT DATA'!N44="","",'INPUT DATA'!N44)</f>
        <v/>
      </c>
      <c r="I48" s="241" t="str">
        <f t="shared" ca="1" si="1"/>
        <v/>
      </c>
      <c r="J48" s="212"/>
      <c r="K48" s="208"/>
      <c r="L48" s="80"/>
      <c r="M48" s="80"/>
      <c r="N48" s="80"/>
      <c r="O48" s="80"/>
      <c r="P48" s="80"/>
      <c r="Q48" s="80"/>
      <c r="R48" s="91" t="str">
        <f t="shared" si="0"/>
        <v/>
      </c>
      <c r="S48" s="92" t="str">
        <f t="shared" si="2"/>
        <v/>
      </c>
      <c r="T48" s="4"/>
      <c r="U48" s="4"/>
      <c r="V48" s="4"/>
      <c r="W48" s="4"/>
      <c r="X48" s="4"/>
      <c r="Y48" s="4"/>
      <c r="Z48" s="4"/>
      <c r="AA48" s="4"/>
      <c r="AB48" s="4"/>
      <c r="AC48" s="4"/>
      <c r="AD48" s="4"/>
    </row>
    <row r="49" spans="1:30" ht="15">
      <c r="A49" s="4"/>
      <c r="B49" s="85">
        <v>35</v>
      </c>
      <c r="C49" s="317" t="str">
        <f>IF('INPUT DATA'!L45="","",'INPUT DATA'!L45)</f>
        <v/>
      </c>
      <c r="D49" s="318"/>
      <c r="E49" s="319"/>
      <c r="F49" s="320" t="str">
        <f>IF('INPUT DATA'!M45="","",'INPUT DATA'!M45)</f>
        <v/>
      </c>
      <c r="G49" s="321"/>
      <c r="H49" s="94" t="str">
        <f>IF('INPUT DATA'!N45="","",'INPUT DATA'!N45)</f>
        <v/>
      </c>
      <c r="I49" s="241" t="str">
        <f t="shared" ca="1" si="1"/>
        <v/>
      </c>
      <c r="J49" s="212"/>
      <c r="K49" s="208"/>
      <c r="L49" s="80"/>
      <c r="M49" s="80"/>
      <c r="N49" s="80"/>
      <c r="O49" s="80"/>
      <c r="P49" s="80"/>
      <c r="Q49" s="80"/>
      <c r="R49" s="91" t="str">
        <f t="shared" si="0"/>
        <v/>
      </c>
      <c r="S49" s="92" t="str">
        <f t="shared" si="2"/>
        <v/>
      </c>
      <c r="T49" s="4"/>
      <c r="U49" s="4"/>
      <c r="V49" s="4"/>
      <c r="W49" s="4"/>
      <c r="X49" s="4"/>
      <c r="Y49" s="4"/>
      <c r="Z49" s="4"/>
      <c r="AA49" s="4"/>
      <c r="AB49" s="4"/>
      <c r="AC49" s="4"/>
      <c r="AD49" s="4"/>
    </row>
    <row r="50" spans="1:30" ht="15">
      <c r="A50" s="4"/>
      <c r="B50" s="85">
        <v>36</v>
      </c>
      <c r="C50" s="317" t="str">
        <f>IF('INPUT DATA'!L46="","",'INPUT DATA'!L46)</f>
        <v/>
      </c>
      <c r="D50" s="318"/>
      <c r="E50" s="319"/>
      <c r="F50" s="320" t="str">
        <f>IF('INPUT DATA'!M46="","",'INPUT DATA'!M46)</f>
        <v/>
      </c>
      <c r="G50" s="321"/>
      <c r="H50" s="94" t="str">
        <f>IF('INPUT DATA'!N46="","",'INPUT DATA'!N46)</f>
        <v/>
      </c>
      <c r="I50" s="241" t="str">
        <f t="shared" ca="1" si="1"/>
        <v/>
      </c>
      <c r="J50" s="212"/>
      <c r="K50" s="208"/>
      <c r="L50" s="80"/>
      <c r="M50" s="80"/>
      <c r="N50" s="80"/>
      <c r="O50" s="80"/>
      <c r="P50" s="80"/>
      <c r="Q50" s="80"/>
      <c r="R50" s="91" t="str">
        <f t="shared" si="0"/>
        <v/>
      </c>
      <c r="S50" s="92" t="str">
        <f t="shared" si="2"/>
        <v/>
      </c>
      <c r="T50" s="4"/>
      <c r="U50" s="4"/>
      <c r="V50" s="4"/>
      <c r="W50" s="4"/>
      <c r="X50" s="4"/>
      <c r="Y50" s="4"/>
      <c r="Z50" s="4"/>
      <c r="AA50" s="4"/>
      <c r="AB50" s="4"/>
      <c r="AC50" s="4"/>
      <c r="AD50" s="4"/>
    </row>
    <row r="51" spans="1:30" ht="15">
      <c r="A51" s="4"/>
      <c r="B51" s="85">
        <v>37</v>
      </c>
      <c r="C51" s="317" t="str">
        <f>IF('INPUT DATA'!L47="","",'INPUT DATA'!L47)</f>
        <v/>
      </c>
      <c r="D51" s="318"/>
      <c r="E51" s="319"/>
      <c r="F51" s="320" t="str">
        <f>IF('INPUT DATA'!M47="","",'INPUT DATA'!M47)</f>
        <v/>
      </c>
      <c r="G51" s="321"/>
      <c r="H51" s="94" t="str">
        <f>IF('INPUT DATA'!N47="","",'INPUT DATA'!N47)</f>
        <v/>
      </c>
      <c r="I51" s="241" t="str">
        <f t="shared" ca="1" si="1"/>
        <v/>
      </c>
      <c r="J51" s="212"/>
      <c r="K51" s="208"/>
      <c r="L51" s="80"/>
      <c r="M51" s="80"/>
      <c r="N51" s="80"/>
      <c r="O51" s="80"/>
      <c r="P51" s="80"/>
      <c r="Q51" s="80"/>
      <c r="R51" s="91" t="str">
        <f t="shared" si="0"/>
        <v/>
      </c>
      <c r="S51" s="92" t="str">
        <f t="shared" si="2"/>
        <v/>
      </c>
      <c r="T51" s="4"/>
      <c r="U51" s="4"/>
      <c r="V51" s="4"/>
      <c r="W51" s="4"/>
      <c r="X51" s="4"/>
      <c r="Y51" s="4"/>
      <c r="Z51" s="4"/>
      <c r="AA51" s="4"/>
      <c r="AB51" s="4"/>
      <c r="AC51" s="4"/>
      <c r="AD51" s="4"/>
    </row>
    <row r="52" spans="1:30" ht="15">
      <c r="A52" s="4"/>
      <c r="B52" s="85">
        <v>38</v>
      </c>
      <c r="C52" s="317" t="str">
        <f>IF('INPUT DATA'!L48="","",'INPUT DATA'!L48)</f>
        <v/>
      </c>
      <c r="D52" s="318"/>
      <c r="E52" s="319"/>
      <c r="F52" s="320" t="str">
        <f>IF('INPUT DATA'!M48="","",'INPUT DATA'!M48)</f>
        <v/>
      </c>
      <c r="G52" s="321"/>
      <c r="H52" s="94" t="str">
        <f>IF('INPUT DATA'!N48="","",'INPUT DATA'!N48)</f>
        <v/>
      </c>
      <c r="I52" s="241" t="str">
        <f t="shared" ca="1" si="1"/>
        <v/>
      </c>
      <c r="J52" s="212"/>
      <c r="K52" s="208"/>
      <c r="L52" s="80"/>
      <c r="M52" s="80"/>
      <c r="N52" s="80"/>
      <c r="O52" s="80"/>
      <c r="P52" s="80"/>
      <c r="Q52" s="80"/>
      <c r="R52" s="91" t="str">
        <f t="shared" si="0"/>
        <v/>
      </c>
      <c r="S52" s="92" t="str">
        <f t="shared" si="2"/>
        <v/>
      </c>
      <c r="T52" s="4"/>
      <c r="U52" s="4"/>
      <c r="V52" s="4"/>
      <c r="W52" s="4"/>
      <c r="X52" s="4"/>
      <c r="Y52" s="4"/>
      <c r="Z52" s="4"/>
      <c r="AA52" s="4"/>
      <c r="AB52" s="4"/>
      <c r="AC52" s="4"/>
      <c r="AD52" s="4"/>
    </row>
    <row r="53" spans="1:30" ht="15">
      <c r="A53" s="4"/>
      <c r="B53" s="85">
        <v>39</v>
      </c>
      <c r="C53" s="317" t="str">
        <f>IF('INPUT DATA'!L49="","",'INPUT DATA'!L49)</f>
        <v/>
      </c>
      <c r="D53" s="318"/>
      <c r="E53" s="319"/>
      <c r="F53" s="320" t="str">
        <f>IF('INPUT DATA'!M49="","",'INPUT DATA'!M49)</f>
        <v/>
      </c>
      <c r="G53" s="321"/>
      <c r="H53" s="94" t="str">
        <f>IF('INPUT DATA'!N49="","",'INPUT DATA'!N49)</f>
        <v/>
      </c>
      <c r="I53" s="241" t="str">
        <f t="shared" ca="1" si="1"/>
        <v/>
      </c>
      <c r="J53" s="212"/>
      <c r="K53" s="208"/>
      <c r="L53" s="80"/>
      <c r="M53" s="80"/>
      <c r="N53" s="80"/>
      <c r="O53" s="80"/>
      <c r="P53" s="80"/>
      <c r="Q53" s="80"/>
      <c r="R53" s="91" t="str">
        <f t="shared" si="0"/>
        <v/>
      </c>
      <c r="S53" s="92" t="str">
        <f t="shared" si="2"/>
        <v/>
      </c>
      <c r="T53" s="4"/>
      <c r="U53" s="4"/>
      <c r="V53" s="4"/>
      <c r="W53" s="4"/>
      <c r="X53" s="4"/>
      <c r="Y53" s="4"/>
      <c r="Z53" s="4"/>
      <c r="AA53" s="4"/>
      <c r="AB53" s="4"/>
      <c r="AC53" s="4"/>
      <c r="AD53" s="4"/>
    </row>
    <row r="54" spans="1:30" ht="15">
      <c r="A54" s="4"/>
      <c r="B54" s="85">
        <v>40</v>
      </c>
      <c r="C54" s="317" t="str">
        <f>IF('INPUT DATA'!L50="","",'INPUT DATA'!L50)</f>
        <v/>
      </c>
      <c r="D54" s="318"/>
      <c r="E54" s="319"/>
      <c r="F54" s="320" t="str">
        <f>IF('INPUT DATA'!M50="","",'INPUT DATA'!M50)</f>
        <v/>
      </c>
      <c r="G54" s="321"/>
      <c r="H54" s="94" t="str">
        <f>IF('INPUT DATA'!N50="","",'INPUT DATA'!N50)</f>
        <v/>
      </c>
      <c r="I54" s="241" t="str">
        <f t="shared" ca="1" si="1"/>
        <v/>
      </c>
      <c r="J54" s="212"/>
      <c r="K54" s="208"/>
      <c r="L54" s="80"/>
      <c r="M54" s="80"/>
      <c r="N54" s="80"/>
      <c r="O54" s="80"/>
      <c r="P54" s="80"/>
      <c r="Q54" s="80"/>
      <c r="R54" s="91" t="str">
        <f t="shared" si="0"/>
        <v/>
      </c>
      <c r="S54" s="92" t="str">
        <f t="shared" si="2"/>
        <v/>
      </c>
      <c r="T54" s="4"/>
      <c r="U54" s="4"/>
      <c r="V54" s="4"/>
      <c r="W54" s="4"/>
      <c r="X54" s="4"/>
      <c r="Y54" s="4"/>
      <c r="Z54" s="4"/>
      <c r="AA54" s="4"/>
      <c r="AB54" s="4"/>
      <c r="AC54" s="4"/>
      <c r="AD54" s="4"/>
    </row>
    <row r="55" spans="1:30" ht="15">
      <c r="A55" s="4"/>
      <c r="B55" s="85">
        <v>41</v>
      </c>
      <c r="C55" s="317" t="str">
        <f>IF('INPUT DATA'!L51="","",'INPUT DATA'!L51)</f>
        <v/>
      </c>
      <c r="D55" s="318"/>
      <c r="E55" s="319"/>
      <c r="F55" s="320" t="str">
        <f>IF('INPUT DATA'!M51="","",'INPUT DATA'!M51)</f>
        <v/>
      </c>
      <c r="G55" s="321"/>
      <c r="H55" s="94" t="str">
        <f>IF('INPUT DATA'!N51="","",'INPUT DATA'!N51)</f>
        <v/>
      </c>
      <c r="I55" s="241" t="str">
        <f t="shared" ca="1" si="1"/>
        <v/>
      </c>
      <c r="J55" s="212"/>
      <c r="K55" s="208"/>
      <c r="L55" s="80"/>
      <c r="M55" s="80"/>
      <c r="N55" s="80"/>
      <c r="O55" s="80"/>
      <c r="P55" s="80"/>
      <c r="Q55" s="80"/>
      <c r="R55" s="91" t="str">
        <f t="shared" si="0"/>
        <v/>
      </c>
      <c r="S55" s="92" t="str">
        <f t="shared" si="2"/>
        <v/>
      </c>
      <c r="T55" s="4"/>
      <c r="U55" s="4"/>
      <c r="V55" s="4"/>
      <c r="W55" s="4"/>
      <c r="X55" s="4"/>
      <c r="Y55" s="4"/>
      <c r="Z55" s="4"/>
      <c r="AA55" s="4"/>
      <c r="AB55" s="4"/>
      <c r="AC55" s="4"/>
      <c r="AD55" s="4"/>
    </row>
    <row r="56" spans="1:30" ht="15">
      <c r="A56" s="4"/>
      <c r="B56" s="85">
        <v>42</v>
      </c>
      <c r="C56" s="317" t="str">
        <f>IF('INPUT DATA'!L52="","",'INPUT DATA'!L52)</f>
        <v/>
      </c>
      <c r="D56" s="318"/>
      <c r="E56" s="319"/>
      <c r="F56" s="320" t="str">
        <f>IF('INPUT DATA'!M52="","",'INPUT DATA'!M52)</f>
        <v/>
      </c>
      <c r="G56" s="321"/>
      <c r="H56" s="94" t="str">
        <f>IF('INPUT DATA'!N52="","",'INPUT DATA'!N52)</f>
        <v/>
      </c>
      <c r="I56" s="241" t="str">
        <f t="shared" ca="1" si="1"/>
        <v/>
      </c>
      <c r="J56" s="212"/>
      <c r="K56" s="208"/>
      <c r="L56" s="80"/>
      <c r="M56" s="80"/>
      <c r="N56" s="80"/>
      <c r="O56" s="80"/>
      <c r="P56" s="80"/>
      <c r="Q56" s="80"/>
      <c r="R56" s="91" t="str">
        <f t="shared" si="0"/>
        <v/>
      </c>
      <c r="S56" s="92" t="str">
        <f t="shared" si="2"/>
        <v/>
      </c>
      <c r="T56" s="4"/>
      <c r="U56" s="4"/>
      <c r="V56" s="4"/>
      <c r="W56" s="4"/>
      <c r="X56" s="4"/>
      <c r="Y56" s="4"/>
      <c r="Z56" s="4"/>
      <c r="AA56" s="4"/>
      <c r="AB56" s="4"/>
      <c r="AC56" s="4"/>
      <c r="AD56" s="4"/>
    </row>
    <row r="57" spans="1:30" ht="15">
      <c r="A57" s="4"/>
      <c r="B57" s="85">
        <v>43</v>
      </c>
      <c r="C57" s="317" t="str">
        <f>IF('INPUT DATA'!L53="","",'INPUT DATA'!L53)</f>
        <v/>
      </c>
      <c r="D57" s="318"/>
      <c r="E57" s="319"/>
      <c r="F57" s="320" t="str">
        <f>IF('INPUT DATA'!M53="","",'INPUT DATA'!M53)</f>
        <v/>
      </c>
      <c r="G57" s="321"/>
      <c r="H57" s="94" t="str">
        <f>IF('INPUT DATA'!N53="","",'INPUT DATA'!N53)</f>
        <v/>
      </c>
      <c r="I57" s="241" t="str">
        <f t="shared" ca="1" si="1"/>
        <v/>
      </c>
      <c r="J57" s="212"/>
      <c r="K57" s="208"/>
      <c r="L57" s="80"/>
      <c r="M57" s="80"/>
      <c r="N57" s="80"/>
      <c r="O57" s="80"/>
      <c r="P57" s="80"/>
      <c r="Q57" s="80"/>
      <c r="R57" s="91" t="str">
        <f t="shared" si="0"/>
        <v/>
      </c>
      <c r="S57" s="92" t="str">
        <f t="shared" si="2"/>
        <v/>
      </c>
      <c r="T57" s="4"/>
      <c r="U57" s="4"/>
      <c r="V57" s="4"/>
      <c r="W57" s="4"/>
      <c r="X57" s="4"/>
      <c r="Y57" s="4"/>
      <c r="Z57" s="4"/>
      <c r="AA57" s="4"/>
      <c r="AB57" s="4"/>
      <c r="AC57" s="4"/>
      <c r="AD57" s="4"/>
    </row>
    <row r="58" spans="1:30" ht="15">
      <c r="A58" s="4"/>
      <c r="B58" s="85">
        <v>44</v>
      </c>
      <c r="C58" s="317" t="str">
        <f>IF('INPUT DATA'!L54="","",'INPUT DATA'!L54)</f>
        <v/>
      </c>
      <c r="D58" s="318"/>
      <c r="E58" s="319"/>
      <c r="F58" s="320" t="str">
        <f>IF('INPUT DATA'!M54="","",'INPUT DATA'!M54)</f>
        <v/>
      </c>
      <c r="G58" s="321"/>
      <c r="H58" s="94" t="str">
        <f>IF('INPUT DATA'!N54="","",'INPUT DATA'!N54)</f>
        <v/>
      </c>
      <c r="I58" s="241" t="str">
        <f t="shared" ca="1" si="1"/>
        <v/>
      </c>
      <c r="J58" s="212"/>
      <c r="K58" s="208"/>
      <c r="L58" s="80"/>
      <c r="M58" s="80"/>
      <c r="N58" s="80"/>
      <c r="O58" s="80"/>
      <c r="P58" s="80"/>
      <c r="Q58" s="80"/>
      <c r="R58" s="91" t="str">
        <f t="shared" si="0"/>
        <v/>
      </c>
      <c r="S58" s="92" t="str">
        <f t="shared" si="2"/>
        <v/>
      </c>
      <c r="T58" s="4"/>
      <c r="U58" s="4"/>
      <c r="V58" s="4"/>
      <c r="W58" s="4"/>
      <c r="X58" s="4"/>
      <c r="Y58" s="4"/>
      <c r="Z58" s="4"/>
      <c r="AA58" s="4"/>
      <c r="AB58" s="4"/>
      <c r="AC58" s="4"/>
      <c r="AD58" s="4"/>
    </row>
    <row r="59" spans="1:30" ht="15">
      <c r="A59" s="4"/>
      <c r="B59" s="85">
        <v>45</v>
      </c>
      <c r="C59" s="317" t="str">
        <f>IF('INPUT DATA'!L55="","",'INPUT DATA'!L55)</f>
        <v/>
      </c>
      <c r="D59" s="318"/>
      <c r="E59" s="319"/>
      <c r="F59" s="320" t="str">
        <f>IF('INPUT DATA'!M55="","",'INPUT DATA'!M55)</f>
        <v/>
      </c>
      <c r="G59" s="321"/>
      <c r="H59" s="94" t="str">
        <f>IF('INPUT DATA'!N55="","",'INPUT DATA'!N55)</f>
        <v/>
      </c>
      <c r="I59" s="241" t="str">
        <f t="shared" ca="1" si="1"/>
        <v/>
      </c>
      <c r="J59" s="212"/>
      <c r="K59" s="209"/>
      <c r="L59" s="81"/>
      <c r="M59" s="81"/>
      <c r="N59" s="81"/>
      <c r="O59" s="81"/>
      <c r="P59" s="81"/>
      <c r="Q59" s="81"/>
      <c r="R59" s="91" t="str">
        <f t="shared" si="0"/>
        <v/>
      </c>
      <c r="S59" s="92" t="str">
        <f t="shared" si="2"/>
        <v/>
      </c>
      <c r="T59" s="4"/>
      <c r="U59" s="4"/>
      <c r="V59" s="4"/>
      <c r="W59" s="4"/>
      <c r="X59" s="4"/>
      <c r="Y59" s="4"/>
      <c r="Z59" s="4"/>
      <c r="AA59" s="4"/>
      <c r="AB59" s="4"/>
      <c r="AC59" s="4"/>
      <c r="AD59" s="4"/>
    </row>
    <row r="60" spans="1:30" ht="15">
      <c r="A60" s="4"/>
      <c r="B60" s="85">
        <v>46</v>
      </c>
      <c r="C60" s="317" t="str">
        <f>IF('INPUT DATA'!L56="","",'INPUT DATA'!L56)</f>
        <v/>
      </c>
      <c r="D60" s="318"/>
      <c r="E60" s="319"/>
      <c r="F60" s="320" t="str">
        <f>IF('INPUT DATA'!M56="","",'INPUT DATA'!M56)</f>
        <v/>
      </c>
      <c r="G60" s="321"/>
      <c r="H60" s="94" t="str">
        <f>IF('INPUT DATA'!N56="","",'INPUT DATA'!N56)</f>
        <v/>
      </c>
      <c r="I60" s="241" t="str">
        <f t="shared" ca="1" si="1"/>
        <v/>
      </c>
      <c r="J60" s="212"/>
      <c r="K60" s="208"/>
      <c r="L60" s="80"/>
      <c r="M60" s="80"/>
      <c r="N60" s="80"/>
      <c r="O60" s="80"/>
      <c r="P60" s="80"/>
      <c r="Q60" s="80"/>
      <c r="R60" s="91" t="str">
        <f t="shared" si="0"/>
        <v/>
      </c>
      <c r="S60" s="92" t="str">
        <f t="shared" si="2"/>
        <v/>
      </c>
      <c r="T60" s="4"/>
      <c r="U60" s="4"/>
      <c r="V60" s="4"/>
      <c r="W60" s="4"/>
      <c r="X60" s="4"/>
      <c r="Y60" s="4"/>
      <c r="Z60" s="4"/>
      <c r="AA60" s="4"/>
      <c r="AB60" s="4"/>
      <c r="AC60" s="4"/>
      <c r="AD60" s="4"/>
    </row>
    <row r="61" spans="1:30" ht="15">
      <c r="A61" s="4"/>
      <c r="B61" s="85">
        <v>47</v>
      </c>
      <c r="C61" s="317" t="str">
        <f>IF('INPUT DATA'!L57="","",'INPUT DATA'!L57)</f>
        <v/>
      </c>
      <c r="D61" s="318"/>
      <c r="E61" s="319"/>
      <c r="F61" s="320" t="str">
        <f>IF('INPUT DATA'!M57="","",'INPUT DATA'!M57)</f>
        <v/>
      </c>
      <c r="G61" s="321"/>
      <c r="H61" s="94" t="str">
        <f>IF('INPUT DATA'!N57="","",'INPUT DATA'!N57)</f>
        <v/>
      </c>
      <c r="I61" s="241" t="str">
        <f t="shared" ca="1" si="1"/>
        <v/>
      </c>
      <c r="J61" s="212"/>
      <c r="K61" s="208"/>
      <c r="L61" s="80"/>
      <c r="M61" s="80"/>
      <c r="N61" s="80"/>
      <c r="O61" s="80"/>
      <c r="P61" s="80"/>
      <c r="Q61" s="80"/>
      <c r="R61" s="91" t="str">
        <f t="shared" si="0"/>
        <v/>
      </c>
      <c r="S61" s="92" t="str">
        <f t="shared" si="2"/>
        <v/>
      </c>
      <c r="T61" s="4"/>
      <c r="U61" s="4"/>
      <c r="V61" s="4"/>
      <c r="W61" s="4"/>
      <c r="X61" s="4"/>
      <c r="Y61" s="4"/>
      <c r="Z61" s="4"/>
      <c r="AA61" s="4"/>
      <c r="AB61" s="4"/>
      <c r="AC61" s="4"/>
      <c r="AD61" s="4"/>
    </row>
    <row r="62" spans="1:30" ht="15">
      <c r="A62" s="4"/>
      <c r="B62" s="85">
        <v>48</v>
      </c>
      <c r="C62" s="317" t="str">
        <f>IF('INPUT DATA'!L58="","",'INPUT DATA'!L58)</f>
        <v/>
      </c>
      <c r="D62" s="318"/>
      <c r="E62" s="319"/>
      <c r="F62" s="320" t="str">
        <f>IF('INPUT DATA'!M58="","",'INPUT DATA'!M58)</f>
        <v/>
      </c>
      <c r="G62" s="321"/>
      <c r="H62" s="94" t="str">
        <f>IF('INPUT DATA'!N58="","",'INPUT DATA'!N58)</f>
        <v/>
      </c>
      <c r="I62" s="241" t="str">
        <f t="shared" ca="1" si="1"/>
        <v/>
      </c>
      <c r="J62" s="212"/>
      <c r="K62" s="208"/>
      <c r="L62" s="80"/>
      <c r="M62" s="80"/>
      <c r="N62" s="80"/>
      <c r="O62" s="80"/>
      <c r="P62" s="80"/>
      <c r="Q62" s="80"/>
      <c r="R62" s="91" t="str">
        <f t="shared" si="0"/>
        <v/>
      </c>
      <c r="S62" s="92" t="str">
        <f t="shared" si="2"/>
        <v/>
      </c>
      <c r="T62" s="4"/>
      <c r="U62" s="4"/>
      <c r="V62" s="4"/>
      <c r="W62" s="4"/>
      <c r="X62" s="4"/>
      <c r="Y62" s="4"/>
      <c r="Z62" s="4"/>
      <c r="AA62" s="4"/>
      <c r="AB62" s="4"/>
      <c r="AC62" s="4"/>
      <c r="AD62" s="4"/>
    </row>
    <row r="63" spans="1:30" ht="15">
      <c r="A63" s="4"/>
      <c r="B63" s="85">
        <v>49</v>
      </c>
      <c r="C63" s="317" t="str">
        <f>IF('INPUT DATA'!L59="","",'INPUT DATA'!L59)</f>
        <v/>
      </c>
      <c r="D63" s="318"/>
      <c r="E63" s="319"/>
      <c r="F63" s="320" t="str">
        <f>IF('INPUT DATA'!M59="","",'INPUT DATA'!M59)</f>
        <v/>
      </c>
      <c r="G63" s="321"/>
      <c r="H63" s="94" t="str">
        <f>IF('INPUT DATA'!N59="","",'INPUT DATA'!N59)</f>
        <v/>
      </c>
      <c r="I63" s="241" t="str">
        <f t="shared" ca="1" si="1"/>
        <v/>
      </c>
      <c r="J63" s="212"/>
      <c r="K63" s="208"/>
      <c r="L63" s="80"/>
      <c r="M63" s="80"/>
      <c r="N63" s="80"/>
      <c r="O63" s="80"/>
      <c r="P63" s="80"/>
      <c r="Q63" s="80"/>
      <c r="R63" s="91" t="str">
        <f t="shared" si="0"/>
        <v/>
      </c>
      <c r="S63" s="92" t="str">
        <f t="shared" si="2"/>
        <v/>
      </c>
      <c r="T63" s="4"/>
      <c r="U63" s="4"/>
      <c r="V63" s="4"/>
      <c r="W63" s="4"/>
      <c r="X63" s="4"/>
      <c r="Y63" s="4"/>
      <c r="Z63" s="4"/>
      <c r="AA63" s="4"/>
      <c r="AB63" s="4"/>
      <c r="AC63" s="4"/>
      <c r="AD63" s="4"/>
    </row>
    <row r="64" spans="1:30" ht="15.6" thickBot="1">
      <c r="A64" s="4"/>
      <c r="B64" s="86">
        <v>50</v>
      </c>
      <c r="C64" s="309" t="str">
        <f>IF('INPUT DATA'!L60="","",'INPUT DATA'!L60)</f>
        <v/>
      </c>
      <c r="D64" s="322"/>
      <c r="E64" s="323"/>
      <c r="F64" s="324" t="str">
        <f>IF('INPUT DATA'!M60="","",'INPUT DATA'!M60)</f>
        <v/>
      </c>
      <c r="G64" s="325"/>
      <c r="H64" s="95" t="str">
        <f>IF('INPUT DATA'!N60="","",'INPUT DATA'!N60)</f>
        <v/>
      </c>
      <c r="I64" s="241" t="str">
        <f t="shared" ca="1" si="1"/>
        <v/>
      </c>
      <c r="J64" s="213"/>
      <c r="K64" s="210"/>
      <c r="L64" s="82"/>
      <c r="M64" s="82"/>
      <c r="N64" s="82"/>
      <c r="O64" s="82"/>
      <c r="P64" s="82"/>
      <c r="Q64" s="82"/>
      <c r="R64" s="91" t="str">
        <f t="shared" si="0"/>
        <v/>
      </c>
      <c r="S64" s="92" t="str">
        <f t="shared" si="2"/>
        <v/>
      </c>
      <c r="T64" s="4"/>
      <c r="U64" s="4"/>
      <c r="V64" s="4"/>
      <c r="W64" s="4"/>
      <c r="X64" s="4"/>
      <c r="Y64" s="4"/>
      <c r="Z64" s="4"/>
      <c r="AA64" s="4"/>
      <c r="AB64" s="4"/>
      <c r="AC64" s="4"/>
      <c r="AD64" s="4"/>
    </row>
    <row r="65" spans="1:30" ht="16.2" thickBot="1">
      <c r="A65" s="4"/>
      <c r="B65" s="88" t="s">
        <v>14</v>
      </c>
      <c r="C65" s="89"/>
      <c r="D65" s="89"/>
      <c r="E65" s="89"/>
      <c r="F65" s="89"/>
      <c r="G65" s="89"/>
      <c r="H65" s="89"/>
      <c r="I65" s="51"/>
      <c r="J65" s="214"/>
      <c r="K65" s="51"/>
      <c r="L65" s="51"/>
      <c r="M65" s="51"/>
      <c r="N65" s="51"/>
      <c r="O65" s="51"/>
      <c r="P65" s="51"/>
      <c r="Q65" s="51"/>
      <c r="R65" s="124"/>
      <c r="S65" s="52"/>
      <c r="T65" s="4"/>
      <c r="U65" s="4"/>
      <c r="V65" s="4"/>
      <c r="W65" s="4"/>
      <c r="X65" s="4"/>
      <c r="Y65" s="4"/>
      <c r="Z65" s="4"/>
      <c r="AA65" s="4"/>
      <c r="AB65" s="4"/>
      <c r="AC65" s="4"/>
      <c r="AD65" s="4"/>
    </row>
    <row r="66" spans="1:30" ht="15">
      <c r="A66" s="4"/>
      <c r="B66" s="83">
        <v>1</v>
      </c>
      <c r="C66" s="314" t="str">
        <f>IF('INPUT DATA'!Q11="","",'INPUT DATA'!Q11)</f>
        <v/>
      </c>
      <c r="D66" s="315"/>
      <c r="E66" s="316"/>
      <c r="F66" s="307" t="str">
        <f>IF('INPUT DATA'!T11="","",'INPUT DATA'!T11)</f>
        <v/>
      </c>
      <c r="G66" s="308"/>
      <c r="H66" s="96" t="str">
        <f>IF('INPUT DATA'!S11="","",'INPUT DATA'!S11)</f>
        <v/>
      </c>
      <c r="I66" s="206" t="str">
        <f ca="1">IF(H66="","",DATEDIF(H66,TODAY(),"Y"))</f>
        <v/>
      </c>
      <c r="J66" s="230" t="s">
        <v>125</v>
      </c>
      <c r="K66" s="207"/>
      <c r="L66" s="79"/>
      <c r="M66" s="79"/>
      <c r="N66" s="79"/>
      <c r="O66" s="79"/>
      <c r="P66" s="79"/>
      <c r="Q66" s="120"/>
      <c r="R66" s="125" t="str">
        <f>IF(COUNT(K66:Q66)=0,"",ROUND(AVERAGE(K66:Q66),0))</f>
        <v/>
      </c>
      <c r="S66" s="92" t="str">
        <f>IF(R66="","",_xlfn.RANK.AVG(R66,$R$15:$R$115))</f>
        <v/>
      </c>
      <c r="T66" s="4"/>
      <c r="U66" s="4"/>
      <c r="V66" s="4"/>
      <c r="W66" s="4"/>
      <c r="X66" s="4"/>
      <c r="Y66" s="4"/>
      <c r="Z66" s="4"/>
      <c r="AA66" s="4"/>
      <c r="AB66" s="4"/>
      <c r="AC66" s="4"/>
      <c r="AD66" s="4"/>
    </row>
    <row r="67" spans="1:30" ht="15">
      <c r="A67" s="4"/>
      <c r="B67" s="84">
        <v>2</v>
      </c>
      <c r="C67" s="304" t="str">
        <f>IF('INPUT DATA'!Q12="","",'INPUT DATA'!Q12)</f>
        <v/>
      </c>
      <c r="D67" s="305"/>
      <c r="E67" s="306"/>
      <c r="F67" s="307" t="str">
        <f>IF('INPUT DATA'!T12="","",'INPUT DATA'!T12)</f>
        <v/>
      </c>
      <c r="G67" s="308"/>
      <c r="H67" s="97" t="str">
        <f>IF('INPUT DATA'!S12="","",'INPUT DATA'!S12)</f>
        <v/>
      </c>
      <c r="I67" s="241" t="str">
        <f ca="1">IF(H67="","",DATEDIF(H67,TODAY(),"Y"))</f>
        <v/>
      </c>
      <c r="J67" s="231" t="s">
        <v>125</v>
      </c>
      <c r="K67" s="208"/>
      <c r="L67" s="80"/>
      <c r="M67" s="80"/>
      <c r="N67" s="80"/>
      <c r="O67" s="80"/>
      <c r="P67" s="80"/>
      <c r="Q67" s="121"/>
      <c r="R67" s="126" t="str">
        <f t="shared" ref="R67:R115" si="3">IF(COUNT(K67:Q67)=0,"",ROUND(AVERAGE(K67:Q67),0))</f>
        <v/>
      </c>
      <c r="S67" s="92" t="str">
        <f>IF(R67="","",_xlfn.RANK.AVG(R67,$R$15:$R$115))</f>
        <v/>
      </c>
      <c r="T67" s="4"/>
      <c r="U67" s="4"/>
      <c r="V67" s="4"/>
      <c r="W67" s="4"/>
      <c r="X67" s="4"/>
      <c r="Y67" s="4"/>
      <c r="Z67" s="4"/>
      <c r="AA67" s="4"/>
      <c r="AB67" s="4"/>
      <c r="AC67" s="4"/>
      <c r="AD67" s="4"/>
    </row>
    <row r="68" spans="1:30" ht="15">
      <c r="A68" s="4"/>
      <c r="B68" s="84">
        <v>3</v>
      </c>
      <c r="C68" s="304" t="str">
        <f>IF('INPUT DATA'!Q13="","",'INPUT DATA'!Q13)</f>
        <v/>
      </c>
      <c r="D68" s="305"/>
      <c r="E68" s="306"/>
      <c r="F68" s="307" t="str">
        <f>IF('INPUT DATA'!T13="","",'INPUT DATA'!T13)</f>
        <v/>
      </c>
      <c r="G68" s="308"/>
      <c r="H68" s="97" t="str">
        <f>IF('INPUT DATA'!S13="","",'INPUT DATA'!S13)</f>
        <v/>
      </c>
      <c r="I68" s="241" t="str">
        <f t="shared" ref="I68:I115" ca="1" si="4">IF(H68="","",DATEDIF(H68,TODAY(),"Y"))</f>
        <v/>
      </c>
      <c r="J68" s="231" t="s">
        <v>125</v>
      </c>
      <c r="K68" s="208"/>
      <c r="L68" s="80"/>
      <c r="M68" s="80"/>
      <c r="N68" s="80"/>
      <c r="O68" s="80"/>
      <c r="P68" s="80"/>
      <c r="Q68" s="121"/>
      <c r="R68" s="126" t="str">
        <f t="shared" si="3"/>
        <v/>
      </c>
      <c r="S68" s="92" t="str">
        <f t="shared" ref="S68:S115" si="5">IF(R68="","",_xlfn.RANK.AVG(R68,$R$15:$R$115))</f>
        <v/>
      </c>
      <c r="T68" s="4"/>
      <c r="U68" s="4"/>
      <c r="V68" s="4"/>
      <c r="W68" s="4"/>
      <c r="X68" s="4"/>
      <c r="Y68" s="4"/>
      <c r="Z68" s="4"/>
      <c r="AA68" s="4"/>
      <c r="AB68" s="4"/>
      <c r="AC68" s="4"/>
      <c r="AD68" s="4"/>
    </row>
    <row r="69" spans="1:30" ht="15">
      <c r="A69" s="4"/>
      <c r="B69" s="84">
        <v>4</v>
      </c>
      <c r="C69" s="304" t="str">
        <f>IF('INPUT DATA'!Q14="","",'INPUT DATA'!Q14)</f>
        <v/>
      </c>
      <c r="D69" s="305"/>
      <c r="E69" s="306"/>
      <c r="F69" s="307" t="str">
        <f>IF('INPUT DATA'!T14="","",'INPUT DATA'!T14)</f>
        <v/>
      </c>
      <c r="G69" s="308"/>
      <c r="H69" s="97" t="str">
        <f>IF('INPUT DATA'!S14="","",'INPUT DATA'!S14)</f>
        <v/>
      </c>
      <c r="I69" s="241" t="str">
        <f t="shared" ca="1" si="4"/>
        <v/>
      </c>
      <c r="J69" s="212"/>
      <c r="K69" s="208"/>
      <c r="L69" s="80"/>
      <c r="M69" s="80"/>
      <c r="N69" s="80"/>
      <c r="O69" s="80"/>
      <c r="P69" s="121"/>
      <c r="Q69" s="121"/>
      <c r="R69" s="126" t="str">
        <f t="shared" si="3"/>
        <v/>
      </c>
      <c r="S69" s="92" t="str">
        <f t="shared" si="5"/>
        <v/>
      </c>
      <c r="T69" s="4"/>
      <c r="U69" s="4"/>
      <c r="V69" s="4"/>
      <c r="W69" s="4"/>
      <c r="X69" s="4"/>
      <c r="Y69" s="4"/>
      <c r="Z69" s="4"/>
      <c r="AA69" s="4"/>
      <c r="AB69" s="4"/>
      <c r="AC69" s="4"/>
      <c r="AD69" s="4"/>
    </row>
    <row r="70" spans="1:30" ht="15">
      <c r="A70" s="4"/>
      <c r="B70" s="84">
        <v>5</v>
      </c>
      <c r="C70" s="304" t="str">
        <f>IF('INPUT DATA'!Q15="","",'INPUT DATA'!Q15)</f>
        <v/>
      </c>
      <c r="D70" s="305"/>
      <c r="E70" s="306"/>
      <c r="F70" s="307" t="str">
        <f>IF('INPUT DATA'!T15="","",'INPUT DATA'!T15)</f>
        <v/>
      </c>
      <c r="G70" s="308"/>
      <c r="H70" s="97" t="str">
        <f>IF('INPUT DATA'!S15="","",'INPUT DATA'!S15)</f>
        <v/>
      </c>
      <c r="I70" s="241" t="str">
        <f t="shared" ca="1" si="4"/>
        <v/>
      </c>
      <c r="J70" s="212"/>
      <c r="K70" s="208"/>
      <c r="L70" s="80"/>
      <c r="M70" s="80"/>
      <c r="N70" s="80"/>
      <c r="O70" s="80"/>
      <c r="P70" s="121"/>
      <c r="Q70" s="121"/>
      <c r="R70" s="126" t="str">
        <f t="shared" si="3"/>
        <v/>
      </c>
      <c r="S70" s="92" t="str">
        <f t="shared" si="5"/>
        <v/>
      </c>
      <c r="T70" s="4"/>
      <c r="U70" s="4"/>
      <c r="V70" s="4"/>
      <c r="W70" s="4"/>
      <c r="X70" s="4"/>
      <c r="Y70" s="4"/>
      <c r="Z70" s="4"/>
      <c r="AA70" s="4"/>
      <c r="AB70" s="4"/>
      <c r="AC70" s="4"/>
      <c r="AD70" s="4"/>
    </row>
    <row r="71" spans="1:30" ht="15">
      <c r="A71" s="4"/>
      <c r="B71" s="84">
        <v>6</v>
      </c>
      <c r="C71" s="304" t="str">
        <f>IF('INPUT DATA'!Q16="","",'INPUT DATA'!Q16)</f>
        <v/>
      </c>
      <c r="D71" s="305"/>
      <c r="E71" s="306"/>
      <c r="F71" s="307" t="str">
        <f>IF('INPUT DATA'!T16="","",'INPUT DATA'!T16)</f>
        <v/>
      </c>
      <c r="G71" s="308"/>
      <c r="H71" s="97" t="str">
        <f>IF('INPUT DATA'!S16="","",'INPUT DATA'!S16)</f>
        <v/>
      </c>
      <c r="I71" s="241" t="str">
        <f t="shared" ca="1" si="4"/>
        <v/>
      </c>
      <c r="J71" s="212"/>
      <c r="K71" s="208"/>
      <c r="L71" s="80"/>
      <c r="M71" s="80"/>
      <c r="N71" s="80"/>
      <c r="O71" s="80"/>
      <c r="P71" s="121"/>
      <c r="Q71" s="121"/>
      <c r="R71" s="126" t="str">
        <f t="shared" si="3"/>
        <v/>
      </c>
      <c r="S71" s="92" t="str">
        <f t="shared" si="5"/>
        <v/>
      </c>
      <c r="T71" s="4"/>
      <c r="U71" s="4"/>
      <c r="V71" s="4"/>
      <c r="W71" s="4"/>
      <c r="X71" s="4"/>
      <c r="Y71" s="4"/>
      <c r="Z71" s="4"/>
      <c r="AA71" s="4"/>
      <c r="AB71" s="4"/>
      <c r="AC71" s="4"/>
      <c r="AD71" s="4"/>
    </row>
    <row r="72" spans="1:30" ht="15">
      <c r="A72" s="4"/>
      <c r="B72" s="84">
        <v>7</v>
      </c>
      <c r="C72" s="304" t="str">
        <f>IF('INPUT DATA'!Q17="","",'INPUT DATA'!Q17)</f>
        <v/>
      </c>
      <c r="D72" s="305"/>
      <c r="E72" s="306"/>
      <c r="F72" s="307" t="str">
        <f>IF('INPUT DATA'!T17="","",'INPUT DATA'!T17)</f>
        <v/>
      </c>
      <c r="G72" s="308"/>
      <c r="H72" s="97" t="str">
        <f>IF('INPUT DATA'!S17="","",'INPUT DATA'!S17)</f>
        <v/>
      </c>
      <c r="I72" s="241" t="str">
        <f t="shared" ca="1" si="4"/>
        <v/>
      </c>
      <c r="J72" s="212"/>
      <c r="K72" s="208"/>
      <c r="L72" s="80"/>
      <c r="M72" s="80"/>
      <c r="N72" s="80"/>
      <c r="O72" s="80"/>
      <c r="P72" s="121"/>
      <c r="Q72" s="121"/>
      <c r="R72" s="126" t="str">
        <f t="shared" si="3"/>
        <v/>
      </c>
      <c r="S72" s="92" t="str">
        <f t="shared" si="5"/>
        <v/>
      </c>
      <c r="T72" s="4"/>
      <c r="U72" s="4"/>
      <c r="V72" s="4"/>
      <c r="W72" s="4"/>
      <c r="X72" s="4"/>
      <c r="Y72" s="4"/>
      <c r="Z72" s="4"/>
      <c r="AA72" s="4"/>
      <c r="AB72" s="4"/>
      <c r="AC72" s="4"/>
      <c r="AD72" s="4"/>
    </row>
    <row r="73" spans="1:30" ht="15">
      <c r="A73" s="4"/>
      <c r="B73" s="84">
        <v>8</v>
      </c>
      <c r="C73" s="304" t="str">
        <f>IF('INPUT DATA'!Q18="","",'INPUT DATA'!Q18)</f>
        <v/>
      </c>
      <c r="D73" s="305"/>
      <c r="E73" s="306"/>
      <c r="F73" s="307" t="str">
        <f>IF('INPUT DATA'!T18="","",'INPUT DATA'!T18)</f>
        <v/>
      </c>
      <c r="G73" s="308"/>
      <c r="H73" s="97" t="str">
        <f>IF('INPUT DATA'!S18="","",'INPUT DATA'!S18)</f>
        <v/>
      </c>
      <c r="I73" s="241" t="str">
        <f t="shared" ca="1" si="4"/>
        <v/>
      </c>
      <c r="J73" s="212"/>
      <c r="K73" s="208"/>
      <c r="L73" s="80"/>
      <c r="M73" s="80"/>
      <c r="N73" s="80"/>
      <c r="O73" s="80"/>
      <c r="P73" s="121"/>
      <c r="Q73" s="121"/>
      <c r="R73" s="126" t="str">
        <f t="shared" si="3"/>
        <v/>
      </c>
      <c r="S73" s="92" t="str">
        <f t="shared" si="5"/>
        <v/>
      </c>
      <c r="T73" s="4"/>
      <c r="U73" s="4"/>
      <c r="V73" s="4"/>
      <c r="W73" s="4"/>
      <c r="X73" s="4"/>
      <c r="Y73" s="4"/>
      <c r="Z73" s="4"/>
      <c r="AA73" s="4"/>
      <c r="AB73" s="4"/>
      <c r="AC73" s="4"/>
      <c r="AD73" s="4"/>
    </row>
    <row r="74" spans="1:30" ht="15">
      <c r="A74" s="4"/>
      <c r="B74" s="84">
        <v>9</v>
      </c>
      <c r="C74" s="304" t="str">
        <f>IF('INPUT DATA'!Q19="","",'INPUT DATA'!Q19)</f>
        <v/>
      </c>
      <c r="D74" s="305"/>
      <c r="E74" s="306"/>
      <c r="F74" s="307" t="str">
        <f>IF('INPUT DATA'!T19="","",'INPUT DATA'!T19)</f>
        <v/>
      </c>
      <c r="G74" s="308"/>
      <c r="H74" s="97" t="str">
        <f>IF('INPUT DATA'!S19="","",'INPUT DATA'!S19)</f>
        <v/>
      </c>
      <c r="I74" s="241" t="str">
        <f t="shared" ca="1" si="4"/>
        <v/>
      </c>
      <c r="J74" s="212"/>
      <c r="K74" s="208"/>
      <c r="L74" s="80"/>
      <c r="M74" s="80"/>
      <c r="N74" s="80"/>
      <c r="O74" s="80"/>
      <c r="P74" s="121"/>
      <c r="Q74" s="121"/>
      <c r="R74" s="126" t="str">
        <f t="shared" si="3"/>
        <v/>
      </c>
      <c r="S74" s="92" t="str">
        <f t="shared" si="5"/>
        <v/>
      </c>
      <c r="T74" s="4"/>
      <c r="U74" s="4"/>
      <c r="V74" s="4"/>
      <c r="W74" s="4"/>
      <c r="X74" s="4"/>
      <c r="Y74" s="4"/>
      <c r="Z74" s="4"/>
      <c r="AA74" s="4"/>
      <c r="AB74" s="4"/>
      <c r="AC74" s="4"/>
      <c r="AD74" s="4"/>
    </row>
    <row r="75" spans="1:30" ht="15">
      <c r="A75" s="4"/>
      <c r="B75" s="84">
        <v>10</v>
      </c>
      <c r="C75" s="304" t="str">
        <f>IF('INPUT DATA'!Q20="","",'INPUT DATA'!Q20)</f>
        <v/>
      </c>
      <c r="D75" s="305"/>
      <c r="E75" s="306"/>
      <c r="F75" s="307" t="str">
        <f>IF('INPUT DATA'!T20="","",'INPUT DATA'!T20)</f>
        <v/>
      </c>
      <c r="G75" s="308"/>
      <c r="H75" s="97" t="str">
        <f>IF('INPUT DATA'!S20="","",'INPUT DATA'!S20)</f>
        <v/>
      </c>
      <c r="I75" s="241" t="str">
        <f t="shared" ca="1" si="4"/>
        <v/>
      </c>
      <c r="J75" s="212"/>
      <c r="K75" s="208"/>
      <c r="L75" s="80"/>
      <c r="M75" s="80"/>
      <c r="N75" s="80"/>
      <c r="O75" s="80"/>
      <c r="P75" s="121"/>
      <c r="Q75" s="121"/>
      <c r="R75" s="126" t="str">
        <f t="shared" si="3"/>
        <v/>
      </c>
      <c r="S75" s="92" t="str">
        <f t="shared" si="5"/>
        <v/>
      </c>
      <c r="T75" s="4"/>
      <c r="U75" s="4"/>
      <c r="V75" s="4"/>
      <c r="W75" s="4"/>
      <c r="X75" s="4"/>
      <c r="Y75" s="4"/>
      <c r="Z75" s="4"/>
      <c r="AA75" s="4"/>
      <c r="AB75" s="4"/>
      <c r="AC75" s="4"/>
      <c r="AD75" s="4"/>
    </row>
    <row r="76" spans="1:30" ht="15">
      <c r="A76" s="4"/>
      <c r="B76" s="84">
        <v>11</v>
      </c>
      <c r="C76" s="304" t="str">
        <f>IF('INPUT DATA'!Q21="","",'INPUT DATA'!Q21)</f>
        <v/>
      </c>
      <c r="D76" s="305"/>
      <c r="E76" s="306"/>
      <c r="F76" s="307" t="str">
        <f>IF('INPUT DATA'!T21="","",'INPUT DATA'!T21)</f>
        <v/>
      </c>
      <c r="G76" s="308"/>
      <c r="H76" s="97" t="str">
        <f>IF('INPUT DATA'!S21="","",'INPUT DATA'!S21)</f>
        <v/>
      </c>
      <c r="I76" s="241" t="str">
        <f t="shared" ca="1" si="4"/>
        <v/>
      </c>
      <c r="J76" s="212"/>
      <c r="K76" s="208"/>
      <c r="L76" s="80"/>
      <c r="M76" s="80"/>
      <c r="N76" s="80"/>
      <c r="O76" s="80"/>
      <c r="P76" s="121"/>
      <c r="Q76" s="121"/>
      <c r="R76" s="126" t="str">
        <f t="shared" si="3"/>
        <v/>
      </c>
      <c r="S76" s="92" t="str">
        <f t="shared" si="5"/>
        <v/>
      </c>
      <c r="T76" s="4"/>
      <c r="U76" s="4"/>
      <c r="V76" s="4"/>
      <c r="W76" s="4"/>
      <c r="X76" s="4"/>
      <c r="Y76" s="4"/>
      <c r="Z76" s="4"/>
      <c r="AA76" s="4"/>
      <c r="AB76" s="4"/>
      <c r="AC76" s="4"/>
      <c r="AD76" s="4"/>
    </row>
    <row r="77" spans="1:30" ht="15">
      <c r="A77" s="4"/>
      <c r="B77" s="84">
        <v>12</v>
      </c>
      <c r="C77" s="304" t="str">
        <f>IF('INPUT DATA'!Q22="","",'INPUT DATA'!Q22)</f>
        <v/>
      </c>
      <c r="D77" s="305"/>
      <c r="E77" s="306"/>
      <c r="F77" s="307" t="str">
        <f>IF('INPUT DATA'!T22="","",'INPUT DATA'!T22)</f>
        <v/>
      </c>
      <c r="G77" s="308"/>
      <c r="H77" s="97" t="str">
        <f>IF('INPUT DATA'!S22="","",'INPUT DATA'!S22)</f>
        <v/>
      </c>
      <c r="I77" s="241" t="str">
        <f t="shared" ca="1" si="4"/>
        <v/>
      </c>
      <c r="J77" s="212"/>
      <c r="K77" s="208"/>
      <c r="L77" s="80"/>
      <c r="M77" s="80"/>
      <c r="N77" s="80"/>
      <c r="O77" s="80"/>
      <c r="P77" s="121"/>
      <c r="Q77" s="121"/>
      <c r="R77" s="126" t="str">
        <f t="shared" si="3"/>
        <v/>
      </c>
      <c r="S77" s="92" t="str">
        <f t="shared" si="5"/>
        <v/>
      </c>
      <c r="T77" s="4"/>
      <c r="U77" s="4"/>
      <c r="V77" s="4"/>
      <c r="W77" s="4"/>
      <c r="X77" s="4"/>
      <c r="Y77" s="4"/>
      <c r="Z77" s="4"/>
      <c r="AA77" s="4"/>
      <c r="AB77" s="4"/>
      <c r="AC77" s="4"/>
      <c r="AD77" s="4"/>
    </row>
    <row r="78" spans="1:30" ht="15">
      <c r="A78" s="4"/>
      <c r="B78" s="84">
        <v>13</v>
      </c>
      <c r="C78" s="304" t="str">
        <f>IF('INPUT DATA'!Q23="","",'INPUT DATA'!Q23)</f>
        <v/>
      </c>
      <c r="D78" s="305"/>
      <c r="E78" s="306"/>
      <c r="F78" s="307" t="str">
        <f>IF('INPUT DATA'!T23="","",'INPUT DATA'!T23)</f>
        <v/>
      </c>
      <c r="G78" s="308"/>
      <c r="H78" s="97" t="str">
        <f>IF('INPUT DATA'!S23="","",'INPUT DATA'!S23)</f>
        <v/>
      </c>
      <c r="I78" s="241" t="str">
        <f t="shared" ca="1" si="4"/>
        <v/>
      </c>
      <c r="J78" s="212"/>
      <c r="K78" s="208"/>
      <c r="L78" s="80"/>
      <c r="M78" s="80"/>
      <c r="N78" s="80"/>
      <c r="O78" s="80"/>
      <c r="P78" s="121"/>
      <c r="Q78" s="121"/>
      <c r="R78" s="126" t="str">
        <f t="shared" si="3"/>
        <v/>
      </c>
      <c r="S78" s="92" t="str">
        <f t="shared" si="5"/>
        <v/>
      </c>
      <c r="T78" s="4"/>
      <c r="U78" s="4"/>
      <c r="V78" s="4"/>
      <c r="W78" s="4"/>
      <c r="X78" s="4"/>
      <c r="Y78" s="4"/>
      <c r="Z78" s="4"/>
      <c r="AA78" s="4"/>
      <c r="AB78" s="4"/>
      <c r="AC78" s="4"/>
      <c r="AD78" s="4"/>
    </row>
    <row r="79" spans="1:30" ht="15">
      <c r="A79" s="4"/>
      <c r="B79" s="84">
        <v>14</v>
      </c>
      <c r="C79" s="304" t="str">
        <f>IF('INPUT DATA'!Q24="","",'INPUT DATA'!Q24)</f>
        <v/>
      </c>
      <c r="D79" s="305"/>
      <c r="E79" s="306"/>
      <c r="F79" s="307" t="str">
        <f>IF('INPUT DATA'!T24="","",'INPUT DATA'!T24)</f>
        <v/>
      </c>
      <c r="G79" s="308"/>
      <c r="H79" s="97" t="str">
        <f>IF('INPUT DATA'!S24="","",'INPUT DATA'!S24)</f>
        <v/>
      </c>
      <c r="I79" s="241" t="str">
        <f t="shared" ca="1" si="4"/>
        <v/>
      </c>
      <c r="J79" s="212"/>
      <c r="K79" s="208"/>
      <c r="L79" s="80"/>
      <c r="M79" s="80"/>
      <c r="N79" s="80"/>
      <c r="O79" s="80"/>
      <c r="P79" s="121"/>
      <c r="Q79" s="121"/>
      <c r="R79" s="126" t="str">
        <f t="shared" si="3"/>
        <v/>
      </c>
      <c r="S79" s="92" t="str">
        <f t="shared" si="5"/>
        <v/>
      </c>
      <c r="T79" s="4"/>
      <c r="U79" s="4"/>
      <c r="V79" s="4"/>
      <c r="W79" s="4"/>
      <c r="X79" s="4"/>
      <c r="Y79" s="4"/>
      <c r="Z79" s="4"/>
      <c r="AA79" s="4"/>
      <c r="AB79" s="4"/>
      <c r="AC79" s="4"/>
      <c r="AD79" s="4"/>
    </row>
    <row r="80" spans="1:30" ht="15">
      <c r="A80" s="4"/>
      <c r="B80" s="84">
        <v>15</v>
      </c>
      <c r="C80" s="304" t="str">
        <f>IF('INPUT DATA'!Q25="","",'INPUT DATA'!Q25)</f>
        <v/>
      </c>
      <c r="D80" s="305"/>
      <c r="E80" s="306"/>
      <c r="F80" s="307" t="str">
        <f>IF('INPUT DATA'!T25="","",'INPUT DATA'!T25)</f>
        <v/>
      </c>
      <c r="G80" s="308"/>
      <c r="H80" s="97" t="str">
        <f>IF('INPUT DATA'!S25="","",'INPUT DATA'!S25)</f>
        <v/>
      </c>
      <c r="I80" s="241" t="str">
        <f t="shared" ca="1" si="4"/>
        <v/>
      </c>
      <c r="J80" s="212"/>
      <c r="K80" s="208"/>
      <c r="L80" s="80"/>
      <c r="M80" s="80"/>
      <c r="N80" s="80"/>
      <c r="O80" s="80"/>
      <c r="P80" s="121"/>
      <c r="Q80" s="121"/>
      <c r="R80" s="126" t="str">
        <f t="shared" si="3"/>
        <v/>
      </c>
      <c r="S80" s="92" t="str">
        <f t="shared" si="5"/>
        <v/>
      </c>
      <c r="T80" s="4"/>
      <c r="U80" s="4"/>
      <c r="V80" s="4"/>
      <c r="W80" s="4"/>
      <c r="X80" s="4"/>
      <c r="Y80" s="4"/>
      <c r="Z80" s="4"/>
      <c r="AA80" s="4"/>
      <c r="AB80" s="4"/>
      <c r="AC80" s="4"/>
      <c r="AD80" s="4"/>
    </row>
    <row r="81" spans="1:30" ht="15">
      <c r="A81" s="4"/>
      <c r="B81" s="84">
        <v>16</v>
      </c>
      <c r="C81" s="304" t="str">
        <f>IF('INPUT DATA'!Q26="","",'INPUT DATA'!Q26)</f>
        <v/>
      </c>
      <c r="D81" s="305"/>
      <c r="E81" s="306"/>
      <c r="F81" s="307" t="str">
        <f>IF('INPUT DATA'!T26="","",'INPUT DATA'!T26)</f>
        <v/>
      </c>
      <c r="G81" s="308"/>
      <c r="H81" s="97" t="str">
        <f>IF('INPUT DATA'!S26="","",'INPUT DATA'!S26)</f>
        <v/>
      </c>
      <c r="I81" s="241" t="str">
        <f t="shared" ca="1" si="4"/>
        <v/>
      </c>
      <c r="J81" s="212"/>
      <c r="K81" s="208"/>
      <c r="L81" s="80"/>
      <c r="M81" s="80"/>
      <c r="N81" s="80"/>
      <c r="O81" s="80"/>
      <c r="P81" s="121"/>
      <c r="Q81" s="121"/>
      <c r="R81" s="126" t="str">
        <f t="shared" si="3"/>
        <v/>
      </c>
      <c r="S81" s="92" t="str">
        <f t="shared" si="5"/>
        <v/>
      </c>
      <c r="T81" s="4"/>
      <c r="U81" s="4"/>
      <c r="V81" s="4"/>
      <c r="W81" s="4"/>
      <c r="X81" s="4"/>
      <c r="Y81" s="4"/>
      <c r="Z81" s="4"/>
      <c r="AA81" s="4"/>
      <c r="AB81" s="4"/>
      <c r="AC81" s="4"/>
      <c r="AD81" s="4"/>
    </row>
    <row r="82" spans="1:30" ht="15">
      <c r="A82" s="4"/>
      <c r="B82" s="84">
        <v>17</v>
      </c>
      <c r="C82" s="304" t="str">
        <f>IF('INPUT DATA'!Q27="","",'INPUT DATA'!Q27)</f>
        <v/>
      </c>
      <c r="D82" s="305"/>
      <c r="E82" s="306"/>
      <c r="F82" s="307" t="str">
        <f>IF('INPUT DATA'!T27="","",'INPUT DATA'!T27)</f>
        <v/>
      </c>
      <c r="G82" s="308"/>
      <c r="H82" s="97" t="str">
        <f>IF('INPUT DATA'!S27="","",'INPUT DATA'!S27)</f>
        <v/>
      </c>
      <c r="I82" s="241" t="str">
        <f t="shared" ca="1" si="4"/>
        <v/>
      </c>
      <c r="J82" s="212"/>
      <c r="K82" s="208"/>
      <c r="L82" s="80"/>
      <c r="M82" s="80"/>
      <c r="N82" s="80"/>
      <c r="O82" s="80"/>
      <c r="P82" s="121"/>
      <c r="Q82" s="121"/>
      <c r="R82" s="126" t="str">
        <f t="shared" si="3"/>
        <v/>
      </c>
      <c r="S82" s="92" t="str">
        <f t="shared" si="5"/>
        <v/>
      </c>
      <c r="T82" s="4"/>
      <c r="U82" s="4"/>
      <c r="V82" s="4"/>
      <c r="W82" s="4"/>
      <c r="X82" s="4"/>
      <c r="Y82" s="4"/>
      <c r="Z82" s="4"/>
      <c r="AA82" s="4"/>
      <c r="AB82" s="4"/>
      <c r="AC82" s="4"/>
      <c r="AD82" s="4"/>
    </row>
    <row r="83" spans="1:30" ht="15">
      <c r="A83" s="4"/>
      <c r="B83" s="84">
        <v>18</v>
      </c>
      <c r="C83" s="304" t="str">
        <f>IF('INPUT DATA'!Q28="","",'INPUT DATA'!Q28)</f>
        <v/>
      </c>
      <c r="D83" s="305"/>
      <c r="E83" s="306"/>
      <c r="F83" s="307" t="str">
        <f>IF('INPUT DATA'!T28="","",'INPUT DATA'!T28)</f>
        <v/>
      </c>
      <c r="G83" s="308"/>
      <c r="H83" s="97" t="str">
        <f>IF('INPUT DATA'!S28="","",'INPUT DATA'!S28)</f>
        <v/>
      </c>
      <c r="I83" s="241" t="str">
        <f t="shared" ca="1" si="4"/>
        <v/>
      </c>
      <c r="J83" s="212"/>
      <c r="K83" s="208"/>
      <c r="L83" s="80"/>
      <c r="M83" s="80"/>
      <c r="N83" s="80"/>
      <c r="O83" s="80"/>
      <c r="P83" s="121"/>
      <c r="Q83" s="121"/>
      <c r="R83" s="126" t="str">
        <f t="shared" si="3"/>
        <v/>
      </c>
      <c r="S83" s="92" t="str">
        <f t="shared" si="5"/>
        <v/>
      </c>
      <c r="T83" s="4"/>
      <c r="U83" s="4"/>
      <c r="V83" s="4"/>
      <c r="W83" s="4"/>
      <c r="X83" s="4"/>
      <c r="Y83" s="4"/>
      <c r="Z83" s="4"/>
      <c r="AA83" s="4"/>
      <c r="AB83" s="4"/>
      <c r="AC83" s="4"/>
      <c r="AD83" s="4"/>
    </row>
    <row r="84" spans="1:30" ht="15">
      <c r="A84" s="4"/>
      <c r="B84" s="84">
        <v>19</v>
      </c>
      <c r="C84" s="304" t="str">
        <f>IF('INPUT DATA'!Q29="","",'INPUT DATA'!Q29)</f>
        <v/>
      </c>
      <c r="D84" s="305"/>
      <c r="E84" s="306"/>
      <c r="F84" s="307" t="str">
        <f>IF('INPUT DATA'!T29="","",'INPUT DATA'!T29)</f>
        <v/>
      </c>
      <c r="G84" s="308"/>
      <c r="H84" s="97" t="str">
        <f>IF('INPUT DATA'!S29="","",'INPUT DATA'!S29)</f>
        <v/>
      </c>
      <c r="I84" s="241" t="str">
        <f t="shared" ca="1" si="4"/>
        <v/>
      </c>
      <c r="J84" s="212"/>
      <c r="K84" s="208"/>
      <c r="L84" s="80"/>
      <c r="M84" s="80"/>
      <c r="N84" s="80"/>
      <c r="O84" s="80"/>
      <c r="P84" s="121"/>
      <c r="Q84" s="121"/>
      <c r="R84" s="126" t="str">
        <f t="shared" si="3"/>
        <v/>
      </c>
      <c r="S84" s="92" t="str">
        <f t="shared" si="5"/>
        <v/>
      </c>
      <c r="T84" s="4"/>
      <c r="U84" s="4"/>
      <c r="V84" s="4"/>
      <c r="W84" s="4"/>
      <c r="X84" s="4"/>
      <c r="Y84" s="4"/>
      <c r="Z84" s="4"/>
      <c r="AA84" s="4"/>
      <c r="AB84" s="4"/>
      <c r="AC84" s="4"/>
      <c r="AD84" s="4"/>
    </row>
    <row r="85" spans="1:30" ht="15">
      <c r="A85" s="4"/>
      <c r="B85" s="85">
        <v>20</v>
      </c>
      <c r="C85" s="304" t="str">
        <f>IF('INPUT DATA'!Q30="","",'INPUT DATA'!Q30)</f>
        <v/>
      </c>
      <c r="D85" s="305"/>
      <c r="E85" s="306"/>
      <c r="F85" s="307" t="str">
        <f>IF('INPUT DATA'!T30="","",'INPUT DATA'!T30)</f>
        <v/>
      </c>
      <c r="G85" s="308"/>
      <c r="H85" s="97" t="str">
        <f>IF('INPUT DATA'!S30="","",'INPUT DATA'!S30)</f>
        <v/>
      </c>
      <c r="I85" s="241" t="str">
        <f t="shared" ca="1" si="4"/>
        <v/>
      </c>
      <c r="J85" s="212"/>
      <c r="K85" s="209"/>
      <c r="L85" s="81"/>
      <c r="M85" s="81"/>
      <c r="N85" s="81"/>
      <c r="O85" s="81"/>
      <c r="P85" s="122"/>
      <c r="Q85" s="122"/>
      <c r="R85" s="126" t="str">
        <f t="shared" si="3"/>
        <v/>
      </c>
      <c r="S85" s="92" t="str">
        <f t="shared" si="5"/>
        <v/>
      </c>
      <c r="T85" s="4"/>
      <c r="U85" s="4"/>
      <c r="V85" s="4"/>
      <c r="W85" s="4"/>
      <c r="X85" s="4"/>
      <c r="Y85" s="4"/>
      <c r="Z85" s="4"/>
      <c r="AA85" s="4"/>
      <c r="AB85" s="4"/>
      <c r="AC85" s="4"/>
      <c r="AD85" s="4"/>
    </row>
    <row r="86" spans="1:30" ht="15">
      <c r="A86" s="4"/>
      <c r="B86" s="85">
        <v>21</v>
      </c>
      <c r="C86" s="304" t="str">
        <f>IF('INPUT DATA'!Q31="","",'INPUT DATA'!Q31)</f>
        <v/>
      </c>
      <c r="D86" s="305"/>
      <c r="E86" s="306"/>
      <c r="F86" s="307" t="str">
        <f>IF('INPUT DATA'!T31="","",'INPUT DATA'!T31)</f>
        <v/>
      </c>
      <c r="G86" s="308"/>
      <c r="H86" s="97" t="str">
        <f>IF('INPUT DATA'!S31="","",'INPUT DATA'!S31)</f>
        <v/>
      </c>
      <c r="I86" s="241" t="str">
        <f t="shared" ca="1" si="4"/>
        <v/>
      </c>
      <c r="J86" s="212"/>
      <c r="K86" s="208"/>
      <c r="L86" s="80"/>
      <c r="M86" s="80"/>
      <c r="N86" s="80"/>
      <c r="O86" s="80"/>
      <c r="P86" s="121"/>
      <c r="Q86" s="121"/>
      <c r="R86" s="126" t="str">
        <f t="shared" si="3"/>
        <v/>
      </c>
      <c r="S86" s="92" t="str">
        <f t="shared" si="5"/>
        <v/>
      </c>
      <c r="T86" s="4"/>
      <c r="U86" s="4"/>
      <c r="V86" s="4"/>
      <c r="W86" s="4"/>
      <c r="X86" s="4"/>
      <c r="Y86" s="4"/>
      <c r="Z86" s="4"/>
      <c r="AA86" s="4"/>
      <c r="AB86" s="4"/>
      <c r="AC86" s="4"/>
      <c r="AD86" s="4"/>
    </row>
    <row r="87" spans="1:30" ht="15">
      <c r="A87" s="4"/>
      <c r="B87" s="85">
        <v>22</v>
      </c>
      <c r="C87" s="304" t="str">
        <f>IF('INPUT DATA'!Q32="","",'INPUT DATA'!Q32)</f>
        <v/>
      </c>
      <c r="D87" s="305"/>
      <c r="E87" s="306"/>
      <c r="F87" s="307" t="str">
        <f>IF('INPUT DATA'!T32="","",'INPUT DATA'!T32)</f>
        <v/>
      </c>
      <c r="G87" s="308"/>
      <c r="H87" s="97" t="str">
        <f>IF('INPUT DATA'!S32="","",'INPUT DATA'!S32)</f>
        <v/>
      </c>
      <c r="I87" s="241" t="str">
        <f t="shared" ca="1" si="4"/>
        <v/>
      </c>
      <c r="J87" s="212"/>
      <c r="K87" s="208"/>
      <c r="L87" s="80"/>
      <c r="M87" s="80"/>
      <c r="N87" s="80"/>
      <c r="O87" s="80"/>
      <c r="P87" s="121"/>
      <c r="Q87" s="121"/>
      <c r="R87" s="126" t="str">
        <f t="shared" si="3"/>
        <v/>
      </c>
      <c r="S87" s="92" t="str">
        <f t="shared" si="5"/>
        <v/>
      </c>
      <c r="T87" s="4"/>
      <c r="U87" s="4"/>
      <c r="V87" s="4"/>
      <c r="W87" s="4"/>
      <c r="X87" s="4"/>
      <c r="Y87" s="4"/>
      <c r="Z87" s="4"/>
      <c r="AA87" s="4"/>
      <c r="AB87" s="4"/>
      <c r="AC87" s="4"/>
      <c r="AD87" s="4"/>
    </row>
    <row r="88" spans="1:30" ht="15">
      <c r="A88" s="4"/>
      <c r="B88" s="85">
        <v>23</v>
      </c>
      <c r="C88" s="304" t="str">
        <f>IF('INPUT DATA'!Q33="","",'INPUT DATA'!Q33)</f>
        <v/>
      </c>
      <c r="D88" s="305"/>
      <c r="E88" s="306"/>
      <c r="F88" s="307" t="str">
        <f>IF('INPUT DATA'!T33="","",'INPUT DATA'!T33)</f>
        <v/>
      </c>
      <c r="G88" s="308"/>
      <c r="H88" s="97" t="str">
        <f>IF('INPUT DATA'!S33="","",'INPUT DATA'!S33)</f>
        <v/>
      </c>
      <c r="I88" s="241" t="str">
        <f t="shared" ca="1" si="4"/>
        <v/>
      </c>
      <c r="J88" s="212"/>
      <c r="K88" s="208"/>
      <c r="L88" s="80"/>
      <c r="M88" s="80"/>
      <c r="N88" s="80"/>
      <c r="O88" s="80"/>
      <c r="P88" s="121"/>
      <c r="Q88" s="121"/>
      <c r="R88" s="126" t="str">
        <f t="shared" si="3"/>
        <v/>
      </c>
      <c r="S88" s="92" t="str">
        <f t="shared" si="5"/>
        <v/>
      </c>
      <c r="T88" s="4"/>
      <c r="U88" s="4"/>
      <c r="V88" s="4"/>
      <c r="W88" s="4"/>
      <c r="X88" s="4"/>
      <c r="Y88" s="4"/>
      <c r="Z88" s="4"/>
      <c r="AA88" s="4"/>
      <c r="AB88" s="4"/>
      <c r="AC88" s="4"/>
      <c r="AD88" s="4"/>
    </row>
    <row r="89" spans="1:30" ht="15">
      <c r="A89" s="4"/>
      <c r="B89" s="85">
        <v>24</v>
      </c>
      <c r="C89" s="304" t="str">
        <f>IF('INPUT DATA'!Q34="","",'INPUT DATA'!Q34)</f>
        <v/>
      </c>
      <c r="D89" s="305"/>
      <c r="E89" s="306"/>
      <c r="F89" s="307" t="str">
        <f>IF('INPUT DATA'!T34="","",'INPUT DATA'!T34)</f>
        <v/>
      </c>
      <c r="G89" s="308"/>
      <c r="H89" s="97" t="str">
        <f>IF('INPUT DATA'!S34="","",'INPUT DATA'!S34)</f>
        <v/>
      </c>
      <c r="I89" s="241" t="str">
        <f t="shared" ca="1" si="4"/>
        <v/>
      </c>
      <c r="J89" s="212"/>
      <c r="K89" s="208"/>
      <c r="L89" s="80"/>
      <c r="M89" s="80"/>
      <c r="N89" s="80"/>
      <c r="O89" s="80"/>
      <c r="P89" s="121"/>
      <c r="Q89" s="121"/>
      <c r="R89" s="126" t="str">
        <f t="shared" si="3"/>
        <v/>
      </c>
      <c r="S89" s="92" t="str">
        <f t="shared" si="5"/>
        <v/>
      </c>
      <c r="T89" s="4"/>
      <c r="U89" s="4"/>
      <c r="V89" s="4"/>
      <c r="W89" s="4"/>
      <c r="X89" s="4"/>
      <c r="Y89" s="4"/>
      <c r="Z89" s="4"/>
      <c r="AA89" s="4"/>
      <c r="AB89" s="4"/>
      <c r="AC89" s="4"/>
      <c r="AD89" s="4"/>
    </row>
    <row r="90" spans="1:30" ht="15">
      <c r="A90" s="4"/>
      <c r="B90" s="85">
        <v>25</v>
      </c>
      <c r="C90" s="304" t="str">
        <f>IF('INPUT DATA'!Q35="","",'INPUT DATA'!Q35)</f>
        <v/>
      </c>
      <c r="D90" s="305"/>
      <c r="E90" s="306"/>
      <c r="F90" s="307" t="str">
        <f>IF('INPUT DATA'!T35="","",'INPUT DATA'!T35)</f>
        <v/>
      </c>
      <c r="G90" s="308"/>
      <c r="H90" s="97" t="str">
        <f>IF('INPUT DATA'!S35="","",'INPUT DATA'!S35)</f>
        <v/>
      </c>
      <c r="I90" s="241" t="str">
        <f t="shared" ca="1" si="4"/>
        <v/>
      </c>
      <c r="J90" s="212"/>
      <c r="K90" s="208"/>
      <c r="L90" s="80"/>
      <c r="M90" s="80"/>
      <c r="N90" s="80"/>
      <c r="O90" s="80"/>
      <c r="P90" s="121"/>
      <c r="Q90" s="121"/>
      <c r="R90" s="126" t="str">
        <f t="shared" si="3"/>
        <v/>
      </c>
      <c r="S90" s="92" t="str">
        <f t="shared" si="5"/>
        <v/>
      </c>
      <c r="T90" s="4"/>
      <c r="U90" s="4"/>
      <c r="V90" s="4"/>
      <c r="W90" s="4"/>
      <c r="X90" s="4"/>
      <c r="Y90" s="4"/>
      <c r="Z90" s="4"/>
      <c r="AA90" s="4"/>
      <c r="AB90" s="4"/>
      <c r="AC90" s="4"/>
      <c r="AD90" s="4"/>
    </row>
    <row r="91" spans="1:30" ht="15">
      <c r="A91" s="4"/>
      <c r="B91" s="85">
        <v>26</v>
      </c>
      <c r="C91" s="304" t="str">
        <f>IF('INPUT DATA'!Q36="","",'INPUT DATA'!Q36)</f>
        <v/>
      </c>
      <c r="D91" s="305"/>
      <c r="E91" s="306"/>
      <c r="F91" s="307" t="str">
        <f>IF('INPUT DATA'!T36="","",'INPUT DATA'!T36)</f>
        <v/>
      </c>
      <c r="G91" s="308"/>
      <c r="H91" s="97" t="str">
        <f>IF('INPUT DATA'!S36="","",'INPUT DATA'!S36)</f>
        <v/>
      </c>
      <c r="I91" s="241" t="str">
        <f t="shared" ca="1" si="4"/>
        <v/>
      </c>
      <c r="J91" s="212"/>
      <c r="K91" s="208"/>
      <c r="L91" s="80"/>
      <c r="M91" s="80"/>
      <c r="N91" s="80"/>
      <c r="O91" s="80"/>
      <c r="P91" s="121"/>
      <c r="Q91" s="121"/>
      <c r="R91" s="126" t="str">
        <f t="shared" si="3"/>
        <v/>
      </c>
      <c r="S91" s="92" t="str">
        <f t="shared" si="5"/>
        <v/>
      </c>
      <c r="T91" s="4"/>
      <c r="U91" s="4"/>
      <c r="V91" s="4"/>
      <c r="W91" s="4"/>
      <c r="X91" s="4"/>
      <c r="Y91" s="4"/>
      <c r="Z91" s="4"/>
      <c r="AA91" s="4"/>
      <c r="AB91" s="4"/>
      <c r="AC91" s="4"/>
      <c r="AD91" s="4"/>
    </row>
    <row r="92" spans="1:30" ht="15">
      <c r="A92" s="4"/>
      <c r="B92" s="85">
        <v>27</v>
      </c>
      <c r="C92" s="304" t="str">
        <f>IF('INPUT DATA'!Q37="","",'INPUT DATA'!Q37)</f>
        <v/>
      </c>
      <c r="D92" s="305"/>
      <c r="E92" s="306"/>
      <c r="F92" s="307" t="str">
        <f>IF('INPUT DATA'!T37="","",'INPUT DATA'!T37)</f>
        <v/>
      </c>
      <c r="G92" s="308"/>
      <c r="H92" s="97" t="str">
        <f>IF('INPUT DATA'!S37="","",'INPUT DATA'!S37)</f>
        <v/>
      </c>
      <c r="I92" s="241" t="str">
        <f t="shared" ca="1" si="4"/>
        <v/>
      </c>
      <c r="J92" s="212"/>
      <c r="K92" s="208"/>
      <c r="L92" s="80"/>
      <c r="M92" s="80"/>
      <c r="N92" s="80"/>
      <c r="O92" s="80"/>
      <c r="P92" s="121"/>
      <c r="Q92" s="121"/>
      <c r="R92" s="126" t="str">
        <f t="shared" si="3"/>
        <v/>
      </c>
      <c r="S92" s="92" t="str">
        <f t="shared" si="5"/>
        <v/>
      </c>
      <c r="T92" s="4"/>
      <c r="U92" s="4"/>
      <c r="V92" s="4"/>
      <c r="W92" s="4"/>
      <c r="X92" s="4"/>
      <c r="Y92" s="4"/>
      <c r="Z92" s="4"/>
      <c r="AA92" s="4"/>
      <c r="AB92" s="4"/>
      <c r="AC92" s="4"/>
      <c r="AD92" s="4"/>
    </row>
    <row r="93" spans="1:30" ht="15">
      <c r="A93" s="4"/>
      <c r="B93" s="85">
        <v>28</v>
      </c>
      <c r="C93" s="304" t="str">
        <f>IF('INPUT DATA'!Q38="","",'INPUT DATA'!Q38)</f>
        <v/>
      </c>
      <c r="D93" s="305"/>
      <c r="E93" s="306"/>
      <c r="F93" s="307" t="str">
        <f>IF('INPUT DATA'!T38="","",'INPUT DATA'!T38)</f>
        <v/>
      </c>
      <c r="G93" s="308"/>
      <c r="H93" s="97" t="str">
        <f>IF('INPUT DATA'!S38="","",'INPUT DATA'!S38)</f>
        <v/>
      </c>
      <c r="I93" s="241" t="str">
        <f t="shared" ca="1" si="4"/>
        <v/>
      </c>
      <c r="J93" s="212"/>
      <c r="K93" s="208"/>
      <c r="L93" s="80"/>
      <c r="M93" s="80"/>
      <c r="N93" s="80"/>
      <c r="O93" s="80"/>
      <c r="P93" s="121"/>
      <c r="Q93" s="121"/>
      <c r="R93" s="126" t="str">
        <f t="shared" si="3"/>
        <v/>
      </c>
      <c r="S93" s="92" t="str">
        <f t="shared" si="5"/>
        <v/>
      </c>
      <c r="T93" s="4"/>
      <c r="U93" s="4"/>
      <c r="V93" s="4"/>
      <c r="W93" s="4"/>
      <c r="X93" s="4"/>
      <c r="Y93" s="4"/>
      <c r="Z93" s="4"/>
      <c r="AA93" s="4"/>
      <c r="AB93" s="4"/>
      <c r="AC93" s="4"/>
      <c r="AD93" s="4"/>
    </row>
    <row r="94" spans="1:30" ht="15">
      <c r="A94" s="4"/>
      <c r="B94" s="85">
        <v>29</v>
      </c>
      <c r="C94" s="304" t="str">
        <f>IF('INPUT DATA'!Q39="","",'INPUT DATA'!Q39)</f>
        <v/>
      </c>
      <c r="D94" s="305"/>
      <c r="E94" s="306"/>
      <c r="F94" s="307" t="str">
        <f>IF('INPUT DATA'!T39="","",'INPUT DATA'!T39)</f>
        <v/>
      </c>
      <c r="G94" s="308"/>
      <c r="H94" s="97" t="str">
        <f>IF('INPUT DATA'!S39="","",'INPUT DATA'!S39)</f>
        <v/>
      </c>
      <c r="I94" s="241" t="str">
        <f t="shared" ca="1" si="4"/>
        <v/>
      </c>
      <c r="J94" s="212"/>
      <c r="K94" s="208"/>
      <c r="L94" s="80"/>
      <c r="M94" s="80"/>
      <c r="N94" s="80"/>
      <c r="O94" s="80"/>
      <c r="P94" s="121"/>
      <c r="Q94" s="121"/>
      <c r="R94" s="126" t="str">
        <f t="shared" si="3"/>
        <v/>
      </c>
      <c r="S94" s="92" t="str">
        <f t="shared" si="5"/>
        <v/>
      </c>
      <c r="T94" s="4"/>
      <c r="U94" s="4"/>
      <c r="V94" s="4"/>
      <c r="W94" s="4"/>
      <c r="X94" s="4"/>
      <c r="Y94" s="4"/>
      <c r="Z94" s="4"/>
      <c r="AA94" s="4"/>
      <c r="AB94" s="4"/>
      <c r="AC94" s="4"/>
      <c r="AD94" s="4"/>
    </row>
    <row r="95" spans="1:30" ht="15">
      <c r="A95" s="4"/>
      <c r="B95" s="85">
        <v>30</v>
      </c>
      <c r="C95" s="304" t="str">
        <f>IF('INPUT DATA'!Q40="","",'INPUT DATA'!Q40)</f>
        <v/>
      </c>
      <c r="D95" s="305"/>
      <c r="E95" s="306"/>
      <c r="F95" s="307" t="str">
        <f>IF('INPUT DATA'!T40="","",'INPUT DATA'!T40)</f>
        <v/>
      </c>
      <c r="G95" s="308"/>
      <c r="H95" s="97" t="str">
        <f>IF('INPUT DATA'!S40="","",'INPUT DATA'!S40)</f>
        <v/>
      </c>
      <c r="I95" s="241" t="str">
        <f t="shared" ca="1" si="4"/>
        <v/>
      </c>
      <c r="J95" s="212"/>
      <c r="K95" s="208"/>
      <c r="L95" s="80"/>
      <c r="M95" s="80"/>
      <c r="N95" s="80"/>
      <c r="O95" s="80"/>
      <c r="P95" s="121"/>
      <c r="Q95" s="121"/>
      <c r="R95" s="126" t="str">
        <f t="shared" si="3"/>
        <v/>
      </c>
      <c r="S95" s="92" t="str">
        <f t="shared" si="5"/>
        <v/>
      </c>
      <c r="T95" s="4"/>
      <c r="U95" s="4"/>
      <c r="V95" s="4"/>
      <c r="W95" s="4"/>
      <c r="X95" s="4"/>
      <c r="Y95" s="4"/>
      <c r="Z95" s="4"/>
      <c r="AA95" s="4"/>
      <c r="AB95" s="4"/>
      <c r="AC95" s="4"/>
      <c r="AD95" s="4"/>
    </row>
    <row r="96" spans="1:30" ht="15">
      <c r="A96" s="4"/>
      <c r="B96" s="85">
        <v>31</v>
      </c>
      <c r="C96" s="304" t="str">
        <f>IF('INPUT DATA'!Q41="","",'INPUT DATA'!Q41)</f>
        <v/>
      </c>
      <c r="D96" s="305"/>
      <c r="E96" s="306"/>
      <c r="F96" s="307" t="str">
        <f>IF('INPUT DATA'!T41="","",'INPUT DATA'!T41)</f>
        <v/>
      </c>
      <c r="G96" s="308"/>
      <c r="H96" s="97" t="str">
        <f>IF('INPUT DATA'!S41="","",'INPUT DATA'!S41)</f>
        <v/>
      </c>
      <c r="I96" s="241" t="str">
        <f t="shared" ca="1" si="4"/>
        <v/>
      </c>
      <c r="J96" s="212"/>
      <c r="K96" s="208"/>
      <c r="L96" s="80"/>
      <c r="M96" s="80"/>
      <c r="N96" s="80"/>
      <c r="O96" s="80"/>
      <c r="P96" s="121"/>
      <c r="Q96" s="121"/>
      <c r="R96" s="126" t="str">
        <f t="shared" si="3"/>
        <v/>
      </c>
      <c r="S96" s="92" t="str">
        <f t="shared" si="5"/>
        <v/>
      </c>
      <c r="T96" s="4"/>
      <c r="U96" s="4"/>
      <c r="V96" s="4"/>
      <c r="W96" s="4"/>
      <c r="X96" s="4"/>
      <c r="Y96" s="4"/>
      <c r="Z96" s="4"/>
      <c r="AA96" s="4"/>
      <c r="AB96" s="4"/>
      <c r="AC96" s="4"/>
      <c r="AD96" s="4"/>
    </row>
    <row r="97" spans="1:30" ht="15">
      <c r="A97" s="4"/>
      <c r="B97" s="85">
        <v>32</v>
      </c>
      <c r="C97" s="304" t="str">
        <f>IF('INPUT DATA'!Q42="","",'INPUT DATA'!Q42)</f>
        <v/>
      </c>
      <c r="D97" s="305"/>
      <c r="E97" s="306"/>
      <c r="F97" s="307" t="str">
        <f>IF('INPUT DATA'!T42="","",'INPUT DATA'!T42)</f>
        <v/>
      </c>
      <c r="G97" s="308"/>
      <c r="H97" s="97" t="str">
        <f>IF('INPUT DATA'!S42="","",'INPUT DATA'!S42)</f>
        <v/>
      </c>
      <c r="I97" s="241" t="str">
        <f t="shared" ca="1" si="4"/>
        <v/>
      </c>
      <c r="J97" s="212"/>
      <c r="K97" s="208"/>
      <c r="L97" s="80"/>
      <c r="M97" s="80"/>
      <c r="N97" s="80"/>
      <c r="O97" s="80"/>
      <c r="P97" s="121"/>
      <c r="Q97" s="121"/>
      <c r="R97" s="126" t="str">
        <f t="shared" si="3"/>
        <v/>
      </c>
      <c r="S97" s="92" t="str">
        <f t="shared" si="5"/>
        <v/>
      </c>
      <c r="T97" s="4"/>
      <c r="U97" s="4"/>
      <c r="V97" s="4"/>
      <c r="W97" s="4"/>
      <c r="X97" s="4"/>
      <c r="Y97" s="4"/>
      <c r="Z97" s="4"/>
      <c r="AA97" s="4"/>
      <c r="AB97" s="4"/>
      <c r="AC97" s="4"/>
      <c r="AD97" s="4"/>
    </row>
    <row r="98" spans="1:30" ht="15">
      <c r="A98" s="4"/>
      <c r="B98" s="85">
        <v>33</v>
      </c>
      <c r="C98" s="304" t="str">
        <f>IF('INPUT DATA'!Q43="","",'INPUT DATA'!Q43)</f>
        <v/>
      </c>
      <c r="D98" s="305"/>
      <c r="E98" s="306"/>
      <c r="F98" s="307" t="str">
        <f>IF('INPUT DATA'!T43="","",'INPUT DATA'!T43)</f>
        <v/>
      </c>
      <c r="G98" s="308"/>
      <c r="H98" s="97" t="str">
        <f>IF('INPUT DATA'!S43="","",'INPUT DATA'!S43)</f>
        <v/>
      </c>
      <c r="I98" s="241" t="str">
        <f t="shared" ca="1" si="4"/>
        <v/>
      </c>
      <c r="J98" s="212"/>
      <c r="K98" s="208"/>
      <c r="L98" s="80"/>
      <c r="M98" s="80"/>
      <c r="N98" s="80"/>
      <c r="O98" s="80"/>
      <c r="P98" s="121"/>
      <c r="Q98" s="121"/>
      <c r="R98" s="126" t="str">
        <f t="shared" si="3"/>
        <v/>
      </c>
      <c r="S98" s="92" t="str">
        <f t="shared" si="5"/>
        <v/>
      </c>
      <c r="T98" s="4"/>
      <c r="U98" s="4"/>
      <c r="V98" s="4"/>
      <c r="W98" s="4"/>
      <c r="X98" s="4"/>
      <c r="Y98" s="4"/>
      <c r="Z98" s="4"/>
      <c r="AA98" s="4"/>
      <c r="AB98" s="4"/>
      <c r="AC98" s="4"/>
      <c r="AD98" s="4"/>
    </row>
    <row r="99" spans="1:30" ht="15">
      <c r="A99" s="4"/>
      <c r="B99" s="85">
        <v>34</v>
      </c>
      <c r="C99" s="304" t="str">
        <f>IF('INPUT DATA'!Q44="","",'INPUT DATA'!Q44)</f>
        <v/>
      </c>
      <c r="D99" s="305"/>
      <c r="E99" s="306"/>
      <c r="F99" s="307" t="str">
        <f>IF('INPUT DATA'!T44="","",'INPUT DATA'!T44)</f>
        <v/>
      </c>
      <c r="G99" s="308"/>
      <c r="H99" s="97" t="str">
        <f>IF('INPUT DATA'!S44="","",'INPUT DATA'!S44)</f>
        <v/>
      </c>
      <c r="I99" s="241" t="str">
        <f t="shared" ca="1" si="4"/>
        <v/>
      </c>
      <c r="J99" s="212"/>
      <c r="K99" s="208"/>
      <c r="L99" s="80"/>
      <c r="M99" s="80"/>
      <c r="N99" s="80"/>
      <c r="O99" s="80"/>
      <c r="P99" s="121"/>
      <c r="Q99" s="121"/>
      <c r="R99" s="126" t="str">
        <f t="shared" si="3"/>
        <v/>
      </c>
      <c r="S99" s="92" t="str">
        <f t="shared" si="5"/>
        <v/>
      </c>
      <c r="T99" s="4"/>
      <c r="U99" s="4"/>
      <c r="V99" s="4"/>
      <c r="W99" s="4"/>
      <c r="X99" s="4"/>
      <c r="Y99" s="4"/>
      <c r="Z99" s="4"/>
      <c r="AA99" s="4"/>
      <c r="AB99" s="4"/>
      <c r="AC99" s="4"/>
      <c r="AD99" s="4"/>
    </row>
    <row r="100" spans="1:30" ht="15">
      <c r="A100" s="4"/>
      <c r="B100" s="85">
        <v>35</v>
      </c>
      <c r="C100" s="304" t="str">
        <f>IF('INPUT DATA'!Q45="","",'INPUT DATA'!Q45)</f>
        <v/>
      </c>
      <c r="D100" s="305"/>
      <c r="E100" s="306"/>
      <c r="F100" s="307" t="str">
        <f>IF('INPUT DATA'!T45="","",'INPUT DATA'!T45)</f>
        <v/>
      </c>
      <c r="G100" s="308"/>
      <c r="H100" s="97" t="str">
        <f>IF('INPUT DATA'!S45="","",'INPUT DATA'!S45)</f>
        <v/>
      </c>
      <c r="I100" s="241" t="str">
        <f t="shared" ca="1" si="4"/>
        <v/>
      </c>
      <c r="J100" s="212"/>
      <c r="K100" s="208"/>
      <c r="L100" s="80"/>
      <c r="M100" s="80"/>
      <c r="N100" s="80"/>
      <c r="O100" s="80"/>
      <c r="P100" s="121"/>
      <c r="Q100" s="121"/>
      <c r="R100" s="126" t="str">
        <f t="shared" si="3"/>
        <v/>
      </c>
      <c r="S100" s="92" t="str">
        <f t="shared" si="5"/>
        <v/>
      </c>
      <c r="T100" s="4"/>
      <c r="U100" s="4"/>
      <c r="V100" s="4"/>
      <c r="W100" s="4"/>
      <c r="X100" s="4"/>
      <c r="Y100" s="4"/>
      <c r="Z100" s="4"/>
      <c r="AA100" s="4"/>
      <c r="AB100" s="4"/>
      <c r="AC100" s="4"/>
      <c r="AD100" s="4"/>
    </row>
    <row r="101" spans="1:30" ht="15">
      <c r="A101" s="4"/>
      <c r="B101" s="85">
        <v>36</v>
      </c>
      <c r="C101" s="304" t="str">
        <f>IF('INPUT DATA'!Q46="","",'INPUT DATA'!Q46)</f>
        <v/>
      </c>
      <c r="D101" s="305"/>
      <c r="E101" s="306"/>
      <c r="F101" s="307" t="str">
        <f>IF('INPUT DATA'!T46="","",'INPUT DATA'!T46)</f>
        <v/>
      </c>
      <c r="G101" s="308"/>
      <c r="H101" s="97" t="str">
        <f>IF('INPUT DATA'!S46="","",'INPUT DATA'!S46)</f>
        <v/>
      </c>
      <c r="I101" s="241" t="str">
        <f t="shared" ca="1" si="4"/>
        <v/>
      </c>
      <c r="J101" s="212"/>
      <c r="K101" s="208"/>
      <c r="L101" s="80"/>
      <c r="M101" s="80"/>
      <c r="N101" s="80"/>
      <c r="O101" s="80"/>
      <c r="P101" s="121"/>
      <c r="Q101" s="121"/>
      <c r="R101" s="126" t="str">
        <f t="shared" si="3"/>
        <v/>
      </c>
      <c r="S101" s="92" t="str">
        <f t="shared" si="5"/>
        <v/>
      </c>
      <c r="T101" s="4"/>
      <c r="U101" s="4"/>
      <c r="V101" s="4"/>
      <c r="W101" s="4"/>
      <c r="X101" s="4"/>
      <c r="Y101" s="4"/>
      <c r="Z101" s="4"/>
      <c r="AA101" s="4"/>
      <c r="AB101" s="4"/>
      <c r="AC101" s="4"/>
      <c r="AD101" s="4"/>
    </row>
    <row r="102" spans="1:30" ht="15">
      <c r="A102" s="4"/>
      <c r="B102" s="85">
        <v>37</v>
      </c>
      <c r="C102" s="304" t="str">
        <f>IF('INPUT DATA'!Q47="","",'INPUT DATA'!Q47)</f>
        <v/>
      </c>
      <c r="D102" s="305"/>
      <c r="E102" s="306"/>
      <c r="F102" s="307" t="str">
        <f>IF('INPUT DATA'!T47="","",'INPUT DATA'!T47)</f>
        <v/>
      </c>
      <c r="G102" s="308"/>
      <c r="H102" s="97" t="str">
        <f>IF('INPUT DATA'!S47="","",'INPUT DATA'!S47)</f>
        <v/>
      </c>
      <c r="I102" s="241" t="str">
        <f t="shared" ca="1" si="4"/>
        <v/>
      </c>
      <c r="J102" s="212"/>
      <c r="K102" s="208"/>
      <c r="L102" s="80"/>
      <c r="M102" s="80"/>
      <c r="N102" s="80"/>
      <c r="O102" s="80"/>
      <c r="P102" s="121"/>
      <c r="Q102" s="121"/>
      <c r="R102" s="126" t="str">
        <f t="shared" si="3"/>
        <v/>
      </c>
      <c r="S102" s="92" t="str">
        <f t="shared" si="5"/>
        <v/>
      </c>
      <c r="T102" s="4"/>
      <c r="U102" s="4"/>
      <c r="V102" s="4"/>
      <c r="W102" s="4"/>
      <c r="X102" s="4"/>
      <c r="Y102" s="4"/>
      <c r="Z102" s="4"/>
      <c r="AA102" s="4"/>
      <c r="AB102" s="4"/>
      <c r="AC102" s="4"/>
      <c r="AD102" s="4"/>
    </row>
    <row r="103" spans="1:30" ht="15">
      <c r="A103" s="4"/>
      <c r="B103" s="85">
        <v>38</v>
      </c>
      <c r="C103" s="304" t="str">
        <f>IF('INPUT DATA'!Q48="","",'INPUT DATA'!Q48)</f>
        <v/>
      </c>
      <c r="D103" s="305"/>
      <c r="E103" s="306"/>
      <c r="F103" s="307" t="str">
        <f>IF('INPUT DATA'!T48="","",'INPUT DATA'!T48)</f>
        <v/>
      </c>
      <c r="G103" s="308"/>
      <c r="H103" s="97" t="str">
        <f>IF('INPUT DATA'!S48="","",'INPUT DATA'!S48)</f>
        <v/>
      </c>
      <c r="I103" s="241" t="str">
        <f t="shared" ca="1" si="4"/>
        <v/>
      </c>
      <c r="J103" s="212"/>
      <c r="K103" s="208"/>
      <c r="L103" s="80"/>
      <c r="M103" s="80"/>
      <c r="N103" s="80"/>
      <c r="O103" s="80"/>
      <c r="P103" s="121"/>
      <c r="Q103" s="121"/>
      <c r="R103" s="126" t="str">
        <f t="shared" si="3"/>
        <v/>
      </c>
      <c r="S103" s="92" t="str">
        <f t="shared" si="5"/>
        <v/>
      </c>
      <c r="T103" s="4"/>
      <c r="U103" s="4"/>
      <c r="V103" s="4"/>
      <c r="W103" s="4"/>
      <c r="X103" s="4"/>
      <c r="Y103" s="4"/>
      <c r="Z103" s="4"/>
      <c r="AA103" s="4"/>
      <c r="AB103" s="4"/>
      <c r="AC103" s="4"/>
      <c r="AD103" s="4"/>
    </row>
    <row r="104" spans="1:30" ht="15">
      <c r="A104" s="4"/>
      <c r="B104" s="85">
        <v>39</v>
      </c>
      <c r="C104" s="304" t="str">
        <f>IF('INPUT DATA'!Q49="","",'INPUT DATA'!Q49)</f>
        <v/>
      </c>
      <c r="D104" s="305"/>
      <c r="E104" s="306"/>
      <c r="F104" s="307" t="str">
        <f>IF('INPUT DATA'!T49="","",'INPUT DATA'!T49)</f>
        <v/>
      </c>
      <c r="G104" s="308"/>
      <c r="H104" s="97" t="str">
        <f>IF('INPUT DATA'!S49="","",'INPUT DATA'!S49)</f>
        <v/>
      </c>
      <c r="I104" s="241" t="str">
        <f t="shared" ca="1" si="4"/>
        <v/>
      </c>
      <c r="J104" s="212"/>
      <c r="K104" s="208"/>
      <c r="L104" s="80"/>
      <c r="M104" s="80"/>
      <c r="N104" s="80"/>
      <c r="O104" s="80"/>
      <c r="P104" s="121"/>
      <c r="Q104" s="121"/>
      <c r="R104" s="126" t="str">
        <f t="shared" si="3"/>
        <v/>
      </c>
      <c r="S104" s="92" t="str">
        <f t="shared" si="5"/>
        <v/>
      </c>
      <c r="T104" s="4"/>
      <c r="U104" s="4"/>
      <c r="V104" s="4"/>
      <c r="W104" s="4"/>
      <c r="X104" s="4"/>
      <c r="Y104" s="4"/>
      <c r="Z104" s="4"/>
      <c r="AA104" s="4"/>
      <c r="AB104" s="4"/>
      <c r="AC104" s="4"/>
      <c r="AD104" s="4"/>
    </row>
    <row r="105" spans="1:30" ht="15">
      <c r="A105" s="4"/>
      <c r="B105" s="85">
        <v>40</v>
      </c>
      <c r="C105" s="304" t="str">
        <f>IF('INPUT DATA'!Q50="","",'INPUT DATA'!Q50)</f>
        <v/>
      </c>
      <c r="D105" s="305"/>
      <c r="E105" s="306"/>
      <c r="F105" s="307" t="str">
        <f>IF('INPUT DATA'!T50="","",'INPUT DATA'!T50)</f>
        <v/>
      </c>
      <c r="G105" s="308"/>
      <c r="H105" s="97" t="str">
        <f>IF('INPUT DATA'!S50="","",'INPUT DATA'!S50)</f>
        <v/>
      </c>
      <c r="I105" s="241" t="str">
        <f t="shared" ca="1" si="4"/>
        <v/>
      </c>
      <c r="J105" s="212"/>
      <c r="K105" s="208"/>
      <c r="L105" s="80"/>
      <c r="M105" s="80"/>
      <c r="N105" s="80"/>
      <c r="O105" s="80"/>
      <c r="P105" s="121"/>
      <c r="Q105" s="121"/>
      <c r="R105" s="126" t="str">
        <f t="shared" si="3"/>
        <v/>
      </c>
      <c r="S105" s="92" t="str">
        <f t="shared" si="5"/>
        <v/>
      </c>
      <c r="T105" s="4"/>
      <c r="U105" s="4"/>
      <c r="V105" s="4"/>
      <c r="W105" s="4"/>
      <c r="X105" s="4"/>
      <c r="Y105" s="4"/>
      <c r="Z105" s="4"/>
      <c r="AA105" s="4"/>
      <c r="AB105" s="4"/>
      <c r="AC105" s="4"/>
      <c r="AD105" s="4"/>
    </row>
    <row r="106" spans="1:30" ht="15">
      <c r="A106" s="4"/>
      <c r="B106" s="85">
        <v>41</v>
      </c>
      <c r="C106" s="304" t="str">
        <f>IF('INPUT DATA'!Q51="","",'INPUT DATA'!Q51)</f>
        <v/>
      </c>
      <c r="D106" s="305"/>
      <c r="E106" s="306"/>
      <c r="F106" s="307" t="str">
        <f>IF('INPUT DATA'!T51="","",'INPUT DATA'!T51)</f>
        <v/>
      </c>
      <c r="G106" s="308"/>
      <c r="H106" s="97" t="str">
        <f>IF('INPUT DATA'!S51="","",'INPUT DATA'!S51)</f>
        <v/>
      </c>
      <c r="I106" s="241" t="str">
        <f t="shared" ca="1" si="4"/>
        <v/>
      </c>
      <c r="J106" s="212"/>
      <c r="K106" s="208"/>
      <c r="L106" s="80"/>
      <c r="M106" s="80"/>
      <c r="N106" s="80"/>
      <c r="O106" s="80"/>
      <c r="P106" s="121"/>
      <c r="Q106" s="121"/>
      <c r="R106" s="126" t="str">
        <f t="shared" si="3"/>
        <v/>
      </c>
      <c r="S106" s="92" t="str">
        <f t="shared" si="5"/>
        <v/>
      </c>
      <c r="T106" s="4"/>
      <c r="U106" s="4"/>
      <c r="V106" s="4"/>
      <c r="W106" s="4"/>
      <c r="X106" s="4"/>
      <c r="Y106" s="4"/>
      <c r="Z106" s="4"/>
      <c r="AA106" s="4"/>
      <c r="AB106" s="4"/>
      <c r="AC106" s="4"/>
      <c r="AD106" s="4"/>
    </row>
    <row r="107" spans="1:30" ht="15">
      <c r="A107" s="4"/>
      <c r="B107" s="85">
        <v>42</v>
      </c>
      <c r="C107" s="304" t="str">
        <f>IF('INPUT DATA'!Q52="","",'INPUT DATA'!Q52)</f>
        <v/>
      </c>
      <c r="D107" s="305"/>
      <c r="E107" s="306"/>
      <c r="F107" s="307" t="str">
        <f>IF('INPUT DATA'!T52="","",'INPUT DATA'!T52)</f>
        <v/>
      </c>
      <c r="G107" s="308"/>
      <c r="H107" s="97" t="str">
        <f>IF('INPUT DATA'!S52="","",'INPUT DATA'!S52)</f>
        <v/>
      </c>
      <c r="I107" s="241" t="str">
        <f t="shared" ca="1" si="4"/>
        <v/>
      </c>
      <c r="J107" s="212"/>
      <c r="K107" s="208"/>
      <c r="L107" s="80"/>
      <c r="M107" s="80"/>
      <c r="N107" s="80"/>
      <c r="O107" s="80"/>
      <c r="P107" s="121"/>
      <c r="Q107" s="121"/>
      <c r="R107" s="126" t="str">
        <f t="shared" si="3"/>
        <v/>
      </c>
      <c r="S107" s="92" t="str">
        <f t="shared" si="5"/>
        <v/>
      </c>
      <c r="T107" s="4"/>
      <c r="U107" s="4"/>
      <c r="V107" s="4"/>
      <c r="W107" s="4"/>
      <c r="X107" s="4"/>
      <c r="Y107" s="4"/>
      <c r="Z107" s="4"/>
      <c r="AA107" s="4"/>
      <c r="AB107" s="4"/>
      <c r="AC107" s="4"/>
      <c r="AD107" s="4"/>
    </row>
    <row r="108" spans="1:30" ht="15">
      <c r="A108" s="4"/>
      <c r="B108" s="85">
        <v>43</v>
      </c>
      <c r="C108" s="304" t="str">
        <f>IF('INPUT DATA'!Q53="","",'INPUT DATA'!Q53)</f>
        <v/>
      </c>
      <c r="D108" s="305"/>
      <c r="E108" s="306"/>
      <c r="F108" s="307" t="str">
        <f>IF('INPUT DATA'!T53="","",'INPUT DATA'!T53)</f>
        <v/>
      </c>
      <c r="G108" s="308"/>
      <c r="H108" s="97" t="str">
        <f>IF('INPUT DATA'!S53="","",'INPUT DATA'!S53)</f>
        <v/>
      </c>
      <c r="I108" s="241" t="str">
        <f t="shared" ca="1" si="4"/>
        <v/>
      </c>
      <c r="J108" s="212"/>
      <c r="K108" s="208"/>
      <c r="L108" s="80"/>
      <c r="M108" s="80"/>
      <c r="N108" s="80"/>
      <c r="O108" s="80"/>
      <c r="P108" s="121"/>
      <c r="Q108" s="121"/>
      <c r="R108" s="126" t="str">
        <f t="shared" si="3"/>
        <v/>
      </c>
      <c r="S108" s="92" t="str">
        <f t="shared" si="5"/>
        <v/>
      </c>
      <c r="T108" s="4"/>
      <c r="U108" s="4"/>
      <c r="V108" s="4"/>
      <c r="W108" s="4"/>
      <c r="X108" s="4"/>
      <c r="Y108" s="4"/>
      <c r="Z108" s="4"/>
      <c r="AA108" s="4"/>
      <c r="AB108" s="4"/>
      <c r="AC108" s="4"/>
      <c r="AD108" s="4"/>
    </row>
    <row r="109" spans="1:30" ht="15">
      <c r="A109" s="4"/>
      <c r="B109" s="85">
        <v>44</v>
      </c>
      <c r="C109" s="304" t="str">
        <f>IF('INPUT DATA'!Q54="","",'INPUT DATA'!Q54)</f>
        <v/>
      </c>
      <c r="D109" s="305"/>
      <c r="E109" s="306"/>
      <c r="F109" s="307" t="str">
        <f>IF('INPUT DATA'!T54="","",'INPUT DATA'!T54)</f>
        <v/>
      </c>
      <c r="G109" s="308"/>
      <c r="H109" s="97" t="str">
        <f>IF('INPUT DATA'!S54="","",'INPUT DATA'!S54)</f>
        <v/>
      </c>
      <c r="I109" s="241" t="str">
        <f t="shared" ca="1" si="4"/>
        <v/>
      </c>
      <c r="J109" s="212"/>
      <c r="K109" s="208"/>
      <c r="L109" s="80"/>
      <c r="M109" s="80"/>
      <c r="N109" s="80"/>
      <c r="O109" s="80"/>
      <c r="P109" s="121"/>
      <c r="Q109" s="121"/>
      <c r="R109" s="126" t="str">
        <f t="shared" si="3"/>
        <v/>
      </c>
      <c r="S109" s="92" t="str">
        <f t="shared" si="5"/>
        <v/>
      </c>
      <c r="T109" s="4"/>
      <c r="U109" s="4"/>
      <c r="V109" s="4"/>
      <c r="W109" s="4"/>
      <c r="X109" s="4"/>
      <c r="Y109" s="4"/>
      <c r="Z109" s="4"/>
      <c r="AA109" s="4"/>
      <c r="AB109" s="4"/>
      <c r="AC109" s="4"/>
      <c r="AD109" s="4"/>
    </row>
    <row r="110" spans="1:30" ht="15">
      <c r="A110" s="4"/>
      <c r="B110" s="85">
        <v>45</v>
      </c>
      <c r="C110" s="304" t="str">
        <f>IF('INPUT DATA'!Q55="","",'INPUT DATA'!Q55)</f>
        <v/>
      </c>
      <c r="D110" s="305"/>
      <c r="E110" s="306"/>
      <c r="F110" s="307" t="str">
        <f>IF('INPUT DATA'!T55="","",'INPUT DATA'!T55)</f>
        <v/>
      </c>
      <c r="G110" s="308"/>
      <c r="H110" s="97" t="str">
        <f>IF('INPUT DATA'!S55="","",'INPUT DATA'!S55)</f>
        <v/>
      </c>
      <c r="I110" s="241" t="str">
        <f t="shared" ca="1" si="4"/>
        <v/>
      </c>
      <c r="J110" s="212"/>
      <c r="K110" s="209"/>
      <c r="L110" s="81"/>
      <c r="M110" s="81"/>
      <c r="N110" s="81"/>
      <c r="O110" s="81"/>
      <c r="P110" s="122"/>
      <c r="Q110" s="122"/>
      <c r="R110" s="126" t="str">
        <f t="shared" si="3"/>
        <v/>
      </c>
      <c r="S110" s="92" t="str">
        <f t="shared" si="5"/>
        <v/>
      </c>
      <c r="T110" s="4"/>
      <c r="U110" s="4"/>
      <c r="V110" s="4"/>
      <c r="W110" s="4"/>
      <c r="X110" s="4"/>
      <c r="Y110" s="4"/>
      <c r="Z110" s="4"/>
      <c r="AA110" s="4"/>
      <c r="AB110" s="4"/>
      <c r="AC110" s="4"/>
      <c r="AD110" s="4"/>
    </row>
    <row r="111" spans="1:30" ht="15">
      <c r="A111" s="4"/>
      <c r="B111" s="85">
        <v>46</v>
      </c>
      <c r="C111" s="304" t="str">
        <f>IF('INPUT DATA'!Q56="","",'INPUT DATA'!Q56)</f>
        <v/>
      </c>
      <c r="D111" s="305"/>
      <c r="E111" s="306"/>
      <c r="F111" s="307" t="str">
        <f>IF('INPUT DATA'!T56="","",'INPUT DATA'!T56)</f>
        <v/>
      </c>
      <c r="G111" s="308"/>
      <c r="H111" s="97" t="str">
        <f>IF('INPUT DATA'!S56="","",'INPUT DATA'!S56)</f>
        <v/>
      </c>
      <c r="I111" s="241" t="str">
        <f t="shared" ca="1" si="4"/>
        <v/>
      </c>
      <c r="J111" s="212"/>
      <c r="K111" s="208"/>
      <c r="L111" s="80"/>
      <c r="M111" s="80"/>
      <c r="N111" s="80"/>
      <c r="O111" s="80"/>
      <c r="P111" s="121"/>
      <c r="Q111" s="121"/>
      <c r="R111" s="126" t="str">
        <f t="shared" si="3"/>
        <v/>
      </c>
      <c r="S111" s="92" t="str">
        <f t="shared" si="5"/>
        <v/>
      </c>
      <c r="T111" s="4"/>
      <c r="U111" s="4"/>
      <c r="V111" s="4"/>
      <c r="W111" s="4"/>
      <c r="X111" s="4"/>
      <c r="Y111" s="4"/>
      <c r="Z111" s="4"/>
      <c r="AA111" s="4"/>
      <c r="AB111" s="4"/>
      <c r="AC111" s="4"/>
      <c r="AD111" s="4"/>
    </row>
    <row r="112" spans="1:30" ht="15">
      <c r="A112" s="4"/>
      <c r="B112" s="85">
        <v>47</v>
      </c>
      <c r="C112" s="304" t="str">
        <f>IF('INPUT DATA'!Q57="","",'INPUT DATA'!Q57)</f>
        <v/>
      </c>
      <c r="D112" s="305"/>
      <c r="E112" s="306"/>
      <c r="F112" s="307" t="str">
        <f>IF('INPUT DATA'!T57="","",'INPUT DATA'!T57)</f>
        <v/>
      </c>
      <c r="G112" s="308"/>
      <c r="H112" s="97" t="str">
        <f>IF('INPUT DATA'!S57="","",'INPUT DATA'!S57)</f>
        <v/>
      </c>
      <c r="I112" s="241" t="str">
        <f t="shared" ca="1" si="4"/>
        <v/>
      </c>
      <c r="J112" s="212"/>
      <c r="K112" s="208"/>
      <c r="L112" s="80"/>
      <c r="M112" s="80"/>
      <c r="N112" s="80"/>
      <c r="O112" s="80"/>
      <c r="P112" s="121"/>
      <c r="Q112" s="121"/>
      <c r="R112" s="126" t="str">
        <f t="shared" si="3"/>
        <v/>
      </c>
      <c r="S112" s="92" t="str">
        <f t="shared" si="5"/>
        <v/>
      </c>
      <c r="T112" s="4"/>
      <c r="U112" s="4"/>
      <c r="V112" s="4"/>
      <c r="W112" s="4"/>
      <c r="X112" s="4"/>
      <c r="Y112" s="4"/>
      <c r="Z112" s="4"/>
      <c r="AA112" s="4"/>
      <c r="AB112" s="4"/>
      <c r="AC112" s="4"/>
      <c r="AD112" s="4"/>
    </row>
    <row r="113" spans="1:30" ht="15">
      <c r="A113" s="4"/>
      <c r="B113" s="85">
        <v>48</v>
      </c>
      <c r="C113" s="304" t="str">
        <f>IF('INPUT DATA'!Q58="","",'INPUT DATA'!Q58)</f>
        <v/>
      </c>
      <c r="D113" s="305"/>
      <c r="E113" s="306"/>
      <c r="F113" s="307" t="str">
        <f>IF('INPUT DATA'!T58="","",'INPUT DATA'!T58)</f>
        <v/>
      </c>
      <c r="G113" s="308"/>
      <c r="H113" s="97" t="str">
        <f>IF('INPUT DATA'!S58="","",'INPUT DATA'!S58)</f>
        <v/>
      </c>
      <c r="I113" s="241" t="str">
        <f t="shared" ca="1" si="4"/>
        <v/>
      </c>
      <c r="J113" s="212"/>
      <c r="K113" s="208"/>
      <c r="L113" s="80"/>
      <c r="M113" s="80"/>
      <c r="N113" s="80"/>
      <c r="O113" s="80"/>
      <c r="P113" s="121"/>
      <c r="Q113" s="121"/>
      <c r="R113" s="126" t="str">
        <f t="shared" si="3"/>
        <v/>
      </c>
      <c r="S113" s="92" t="str">
        <f t="shared" si="5"/>
        <v/>
      </c>
      <c r="T113" s="4"/>
      <c r="U113" s="4"/>
      <c r="V113" s="4"/>
      <c r="W113" s="4"/>
      <c r="X113" s="4"/>
      <c r="Y113" s="4"/>
      <c r="Z113" s="4"/>
      <c r="AA113" s="4"/>
      <c r="AB113" s="4"/>
      <c r="AC113" s="4"/>
      <c r="AD113" s="4"/>
    </row>
    <row r="114" spans="1:30" ht="15">
      <c r="A114" s="4"/>
      <c r="B114" s="85">
        <v>49</v>
      </c>
      <c r="C114" s="304" t="str">
        <f>IF('INPUT DATA'!Q59="","",'INPUT DATA'!Q59)</f>
        <v/>
      </c>
      <c r="D114" s="305"/>
      <c r="E114" s="306"/>
      <c r="F114" s="307" t="str">
        <f>IF('INPUT DATA'!T59="","",'INPUT DATA'!T59)</f>
        <v/>
      </c>
      <c r="G114" s="308"/>
      <c r="H114" s="97" t="str">
        <f>IF('INPUT DATA'!S59="","",'INPUT DATA'!S59)</f>
        <v/>
      </c>
      <c r="I114" s="241" t="str">
        <f t="shared" ca="1" si="4"/>
        <v/>
      </c>
      <c r="J114" s="212"/>
      <c r="K114" s="208"/>
      <c r="L114" s="80"/>
      <c r="M114" s="80"/>
      <c r="N114" s="80"/>
      <c r="O114" s="80"/>
      <c r="P114" s="121"/>
      <c r="Q114" s="121"/>
      <c r="R114" s="126" t="str">
        <f t="shared" si="3"/>
        <v/>
      </c>
      <c r="S114" s="92" t="str">
        <f t="shared" si="5"/>
        <v/>
      </c>
      <c r="T114" s="4"/>
      <c r="U114" s="4"/>
      <c r="V114" s="4"/>
      <c r="W114" s="4"/>
      <c r="X114" s="4"/>
      <c r="Y114" s="4"/>
      <c r="Z114" s="4"/>
      <c r="AA114" s="4"/>
      <c r="AB114" s="4"/>
      <c r="AC114" s="4"/>
      <c r="AD114" s="4"/>
    </row>
    <row r="115" spans="1:30" ht="15.6" thickBot="1">
      <c r="A115" s="4"/>
      <c r="B115" s="86">
        <v>50</v>
      </c>
      <c r="C115" s="309" t="str">
        <f>IF('INPUT DATA'!Q60="","",'INPUT DATA'!Q60)</f>
        <v/>
      </c>
      <c r="D115" s="310"/>
      <c r="E115" s="311"/>
      <c r="F115" s="312" t="str">
        <f>IF('INPUT DATA'!T60="","",'INPUT DATA'!T60)</f>
        <v/>
      </c>
      <c r="G115" s="313"/>
      <c r="H115" s="98" t="str">
        <f>IF('INPUT DATA'!S60="","",'INPUT DATA'!S60)</f>
        <v/>
      </c>
      <c r="I115" s="242" t="str">
        <f t="shared" ca="1" si="4"/>
        <v/>
      </c>
      <c r="J115" s="213"/>
      <c r="K115" s="210"/>
      <c r="L115" s="82"/>
      <c r="M115" s="82"/>
      <c r="N115" s="82"/>
      <c r="O115" s="82"/>
      <c r="P115" s="123"/>
      <c r="Q115" s="123"/>
      <c r="R115" s="127" t="str">
        <f t="shared" si="3"/>
        <v/>
      </c>
      <c r="S115" s="101" t="str">
        <f t="shared" si="5"/>
        <v/>
      </c>
      <c r="T115" s="4"/>
      <c r="U115" s="4"/>
      <c r="V115" s="4"/>
      <c r="W115" s="4"/>
      <c r="X115" s="4"/>
      <c r="Y115" s="4"/>
      <c r="Z115" s="4"/>
      <c r="AA115" s="4"/>
      <c r="AB115" s="4"/>
      <c r="AC115" s="4"/>
      <c r="AD115" s="4"/>
    </row>
    <row r="116" spans="1:30" ht="13.2">
      <c r="A116" s="243"/>
      <c r="B116" s="243"/>
      <c r="C116" s="90"/>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c r="AA116" s="243"/>
      <c r="AB116" s="243"/>
      <c r="AC116" s="243"/>
      <c r="AD116" s="243"/>
    </row>
    <row r="117" spans="1:30" ht="13.2">
      <c r="A117" s="243"/>
      <c r="B117" s="243"/>
      <c r="C117" s="90"/>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c r="AA117" s="243"/>
      <c r="AB117" s="243"/>
      <c r="AC117" s="243"/>
      <c r="AD117" s="243"/>
    </row>
    <row r="118" spans="1:30" ht="13.2">
      <c r="A118" s="243"/>
      <c r="B118" s="243"/>
      <c r="C118" s="90"/>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c r="AA118" s="243"/>
      <c r="AB118" s="243"/>
      <c r="AC118" s="243"/>
      <c r="AD118" s="243"/>
    </row>
    <row r="119" spans="1:30" ht="13.2">
      <c r="A119" s="243"/>
      <c r="B119" s="243"/>
      <c r="C119" s="90"/>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c r="AA119" s="243"/>
      <c r="AB119" s="243"/>
      <c r="AC119" s="243"/>
      <c r="AD119" s="243"/>
    </row>
    <row r="120" spans="1:30" ht="13.2">
      <c r="A120" s="243"/>
      <c r="B120" s="243"/>
      <c r="C120" s="90"/>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c r="AA120" s="243"/>
      <c r="AB120" s="243"/>
      <c r="AC120" s="243"/>
      <c r="AD120" s="243"/>
    </row>
    <row r="121" spans="1:30" ht="13.2">
      <c r="A121" s="243"/>
      <c r="B121" s="243"/>
      <c r="C121" s="90"/>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c r="AA121" s="243"/>
      <c r="AB121" s="243"/>
      <c r="AC121" s="243"/>
      <c r="AD121" s="243"/>
    </row>
    <row r="122" spans="1:30" ht="13.2">
      <c r="A122" s="243"/>
      <c r="B122" s="243"/>
      <c r="C122" s="90"/>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c r="AA122" s="243"/>
      <c r="AB122" s="243"/>
      <c r="AC122" s="243"/>
      <c r="AD122" s="243"/>
    </row>
    <row r="123" spans="1:30" ht="13.2">
      <c r="A123" s="243"/>
      <c r="B123" s="243"/>
      <c r="C123" s="90"/>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c r="AA123" s="243"/>
      <c r="AB123" s="243"/>
      <c r="AC123" s="243"/>
      <c r="AD123" s="243"/>
    </row>
    <row r="124" spans="1:30" ht="13.2">
      <c r="A124" s="243"/>
      <c r="B124" s="243"/>
      <c r="C124" s="90"/>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c r="AA124" s="243"/>
      <c r="AB124" s="243"/>
      <c r="AC124" s="243"/>
      <c r="AD124" s="243"/>
    </row>
    <row r="125" spans="1:30" ht="13.2">
      <c r="A125" s="243"/>
      <c r="B125" s="243"/>
      <c r="C125" s="90"/>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c r="AA125" s="243"/>
      <c r="AB125" s="243"/>
      <c r="AC125" s="243"/>
      <c r="AD125" s="243"/>
    </row>
    <row r="126" spans="1:30" ht="13.2">
      <c r="A126" s="243"/>
      <c r="B126" s="243"/>
      <c r="C126" s="90"/>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c r="AA126" s="243"/>
      <c r="AB126" s="243"/>
      <c r="AC126" s="243"/>
      <c r="AD126" s="243"/>
    </row>
  </sheetData>
  <mergeCells count="225">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 ref="C104:E104"/>
    <mergeCell ref="F104:G104"/>
    <mergeCell ref="C105:E105"/>
    <mergeCell ref="F105:G105"/>
    <mergeCell ref="C106:E106"/>
    <mergeCell ref="F106:G106"/>
    <mergeCell ref="C101:E101"/>
    <mergeCell ref="F101:G101"/>
    <mergeCell ref="C102:E102"/>
    <mergeCell ref="F102:G102"/>
    <mergeCell ref="C103:E103"/>
    <mergeCell ref="F103:G103"/>
    <mergeCell ref="C98:E98"/>
    <mergeCell ref="F98:G98"/>
    <mergeCell ref="C99:E99"/>
    <mergeCell ref="F99:G99"/>
    <mergeCell ref="C100:E100"/>
    <mergeCell ref="F100:G100"/>
    <mergeCell ref="C95:E95"/>
    <mergeCell ref="F95:G95"/>
    <mergeCell ref="C96:E96"/>
    <mergeCell ref="F96:G96"/>
    <mergeCell ref="C97:E97"/>
    <mergeCell ref="F97:G97"/>
    <mergeCell ref="C92:E92"/>
    <mergeCell ref="F92:G92"/>
    <mergeCell ref="C93:E93"/>
    <mergeCell ref="F93:G93"/>
    <mergeCell ref="C94:E94"/>
    <mergeCell ref="F94:G94"/>
    <mergeCell ref="C89:E89"/>
    <mergeCell ref="F89:G89"/>
    <mergeCell ref="C90:E90"/>
    <mergeCell ref="F90:G90"/>
    <mergeCell ref="C91:E91"/>
    <mergeCell ref="F91:G91"/>
    <mergeCell ref="C86:E86"/>
    <mergeCell ref="F86:G86"/>
    <mergeCell ref="C87:E87"/>
    <mergeCell ref="F87:G87"/>
    <mergeCell ref="C88:E88"/>
    <mergeCell ref="F88:G88"/>
    <mergeCell ref="C83:E83"/>
    <mergeCell ref="F83:G83"/>
    <mergeCell ref="C84:E84"/>
    <mergeCell ref="F84:G84"/>
    <mergeCell ref="C85:E85"/>
    <mergeCell ref="F85:G85"/>
    <mergeCell ref="C80:E80"/>
    <mergeCell ref="F80:G80"/>
    <mergeCell ref="C81:E81"/>
    <mergeCell ref="F81:G81"/>
    <mergeCell ref="C82:E82"/>
    <mergeCell ref="F82:G82"/>
    <mergeCell ref="C77:E77"/>
    <mergeCell ref="F77:G77"/>
    <mergeCell ref="C78:E78"/>
    <mergeCell ref="F78:G78"/>
    <mergeCell ref="C79:E79"/>
    <mergeCell ref="F79:G79"/>
    <mergeCell ref="C74:E74"/>
    <mergeCell ref="F74:G74"/>
    <mergeCell ref="C75:E75"/>
    <mergeCell ref="F75:G75"/>
    <mergeCell ref="C76:E76"/>
    <mergeCell ref="F76:G76"/>
    <mergeCell ref="C71:E71"/>
    <mergeCell ref="F71:G71"/>
    <mergeCell ref="C72:E72"/>
    <mergeCell ref="F72:G72"/>
    <mergeCell ref="C73:E73"/>
    <mergeCell ref="F73:G73"/>
    <mergeCell ref="C68:E68"/>
    <mergeCell ref="F68:G68"/>
    <mergeCell ref="C69:E69"/>
    <mergeCell ref="F69:G69"/>
    <mergeCell ref="C70:E70"/>
    <mergeCell ref="F70:G70"/>
    <mergeCell ref="C64:E64"/>
    <mergeCell ref="F64:G64"/>
    <mergeCell ref="C66:E66"/>
    <mergeCell ref="F66:G66"/>
    <mergeCell ref="C67:E67"/>
    <mergeCell ref="F67:G67"/>
    <mergeCell ref="C61:E61"/>
    <mergeCell ref="F61:G61"/>
    <mergeCell ref="C62:E62"/>
    <mergeCell ref="F62:G62"/>
    <mergeCell ref="C63:E63"/>
    <mergeCell ref="F63:G63"/>
    <mergeCell ref="C58:E58"/>
    <mergeCell ref="F58:G58"/>
    <mergeCell ref="C59:E59"/>
    <mergeCell ref="F59:G59"/>
    <mergeCell ref="C60:E60"/>
    <mergeCell ref="F60:G60"/>
    <mergeCell ref="C55:E55"/>
    <mergeCell ref="F55:G55"/>
    <mergeCell ref="C56:E56"/>
    <mergeCell ref="F56:G56"/>
    <mergeCell ref="C57:E57"/>
    <mergeCell ref="F57:G57"/>
    <mergeCell ref="C52:E52"/>
    <mergeCell ref="F52:G52"/>
    <mergeCell ref="C53:E53"/>
    <mergeCell ref="F53:G53"/>
    <mergeCell ref="C54:E54"/>
    <mergeCell ref="F54:G54"/>
    <mergeCell ref="C49:E49"/>
    <mergeCell ref="F49:G49"/>
    <mergeCell ref="C50:E50"/>
    <mergeCell ref="F50:G50"/>
    <mergeCell ref="C51:E51"/>
    <mergeCell ref="F51:G51"/>
    <mergeCell ref="C46:E46"/>
    <mergeCell ref="F46:G46"/>
    <mergeCell ref="C47:E47"/>
    <mergeCell ref="F47:G47"/>
    <mergeCell ref="C48:E48"/>
    <mergeCell ref="F48:G48"/>
    <mergeCell ref="C43:E43"/>
    <mergeCell ref="F43:G43"/>
    <mergeCell ref="C44:E44"/>
    <mergeCell ref="F44:G44"/>
    <mergeCell ref="C45:E45"/>
    <mergeCell ref="F45:G45"/>
    <mergeCell ref="C40:E40"/>
    <mergeCell ref="F40:G40"/>
    <mergeCell ref="C41:E41"/>
    <mergeCell ref="F41:G41"/>
    <mergeCell ref="C42:E42"/>
    <mergeCell ref="F42:G42"/>
    <mergeCell ref="C37:E37"/>
    <mergeCell ref="F37:G37"/>
    <mergeCell ref="C38:E38"/>
    <mergeCell ref="F38:G38"/>
    <mergeCell ref="C39:E39"/>
    <mergeCell ref="F39:G39"/>
    <mergeCell ref="C34:E34"/>
    <mergeCell ref="F34:G34"/>
    <mergeCell ref="C35:E35"/>
    <mergeCell ref="F35:G35"/>
    <mergeCell ref="C36:E36"/>
    <mergeCell ref="F36:G36"/>
    <mergeCell ref="C31:E31"/>
    <mergeCell ref="F31:G31"/>
    <mergeCell ref="C32:E32"/>
    <mergeCell ref="F32:G32"/>
    <mergeCell ref="C33:E33"/>
    <mergeCell ref="F33:G33"/>
    <mergeCell ref="C28:E28"/>
    <mergeCell ref="F28:G28"/>
    <mergeCell ref="C29:E29"/>
    <mergeCell ref="F29:G29"/>
    <mergeCell ref="C30:E30"/>
    <mergeCell ref="F30:G30"/>
    <mergeCell ref="C25:E25"/>
    <mergeCell ref="F25:G25"/>
    <mergeCell ref="C26:E26"/>
    <mergeCell ref="F26:G26"/>
    <mergeCell ref="C27:E27"/>
    <mergeCell ref="F27:G27"/>
    <mergeCell ref="C22:E22"/>
    <mergeCell ref="F22:G22"/>
    <mergeCell ref="C23:E23"/>
    <mergeCell ref="F23:G23"/>
    <mergeCell ref="C24:E24"/>
    <mergeCell ref="F24:G24"/>
    <mergeCell ref="C19:E19"/>
    <mergeCell ref="F19:G19"/>
    <mergeCell ref="C20:E20"/>
    <mergeCell ref="F20:G20"/>
    <mergeCell ref="C21:E21"/>
    <mergeCell ref="F21:G21"/>
    <mergeCell ref="C16:E16"/>
    <mergeCell ref="F16:G16"/>
    <mergeCell ref="C17:E17"/>
    <mergeCell ref="F17:G17"/>
    <mergeCell ref="C18:E18"/>
    <mergeCell ref="F18:G18"/>
    <mergeCell ref="R11:R13"/>
    <mergeCell ref="S11:S13"/>
    <mergeCell ref="K12:P12"/>
    <mergeCell ref="B14:S14"/>
    <mergeCell ref="C15:E15"/>
    <mergeCell ref="F15:G15"/>
    <mergeCell ref="B11:E13"/>
    <mergeCell ref="F11:G13"/>
    <mergeCell ref="H11:H13"/>
    <mergeCell ref="I11:I13"/>
    <mergeCell ref="J11:J13"/>
    <mergeCell ref="K11:Q11"/>
    <mergeCell ref="B8:S8"/>
    <mergeCell ref="B9:E10"/>
    <mergeCell ref="G9:K9"/>
    <mergeCell ref="G10:K10"/>
    <mergeCell ref="A1:T4"/>
    <mergeCell ref="E5:G5"/>
    <mergeCell ref="J5:M5"/>
    <mergeCell ref="E6:G6"/>
    <mergeCell ref="J6:M6"/>
    <mergeCell ref="O6:P6"/>
    <mergeCell ref="Q6:R6"/>
    <mergeCell ref="L10:M10"/>
    <mergeCell ref="N10:S10"/>
    <mergeCell ref="L9:M9"/>
    <mergeCell ref="N9:S9"/>
  </mergeCells>
  <dataValidations count="1">
    <dataValidation type="list" allowBlank="1" showInputMessage="1" showErrorMessage="1" sqref="J15:J64 J66:J115" xr:uid="{ACA55E3F-88D2-45DE-BE57-667F5C37499B}">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8EDA-61F0-40B1-ABDA-6C3670753F8A}">
  <sheetPr>
    <tabColor theme="8"/>
    <outlinePr summaryBelow="0" summaryRight="0"/>
    <pageSetUpPr fitToPage="1"/>
  </sheetPr>
  <dimension ref="A1:AD126"/>
  <sheetViews>
    <sheetView showGridLines="0" zoomScale="85" zoomScaleNormal="85" workbookViewId="0">
      <selection activeCell="L20" sqref="L20"/>
    </sheetView>
  </sheetViews>
  <sheetFormatPr defaultColWidth="12.6640625" defaultRowHeight="15.75" customHeight="1"/>
  <cols>
    <col min="1" max="2" width="3.88671875" style="240" customWidth="1"/>
    <col min="3" max="3" width="13.109375" style="240" customWidth="1"/>
    <col min="4" max="5" width="12.6640625" style="240"/>
    <col min="6" max="6" width="15.33203125" style="240" customWidth="1"/>
    <col min="7" max="7" width="19.44140625" style="240" customWidth="1"/>
    <col min="8" max="8" width="12.6640625" style="240"/>
    <col min="9" max="10" width="5.109375" style="240" customWidth="1"/>
    <col min="11" max="11" width="13.88671875" style="240" customWidth="1"/>
    <col min="12" max="12" width="13.77734375" style="240" customWidth="1"/>
    <col min="13" max="13" width="12.77734375" style="240" customWidth="1"/>
    <col min="14" max="14" width="11.33203125" style="240" customWidth="1"/>
    <col min="15" max="15" width="13.44140625" style="240" customWidth="1"/>
    <col min="16" max="17" width="9.44140625" style="240" customWidth="1"/>
    <col min="18" max="18" width="12.6640625" style="240"/>
    <col min="19" max="19" width="12.6640625" style="240" customWidth="1"/>
    <col min="20" max="20" width="3.88671875" style="240" customWidth="1"/>
    <col min="21" max="16384" width="12.6640625" style="240"/>
  </cols>
  <sheetData>
    <row r="1" spans="1:30" ht="13.2">
      <c r="A1" s="375" t="s">
        <v>142</v>
      </c>
      <c r="B1" s="288"/>
      <c r="C1" s="288"/>
      <c r="D1" s="288"/>
      <c r="E1" s="288"/>
      <c r="F1" s="288"/>
      <c r="G1" s="288"/>
      <c r="H1" s="288"/>
      <c r="I1" s="288"/>
      <c r="J1" s="288"/>
      <c r="K1" s="288"/>
      <c r="L1" s="288"/>
      <c r="M1" s="288"/>
      <c r="N1" s="288"/>
      <c r="O1" s="288"/>
      <c r="P1" s="288"/>
      <c r="Q1" s="288"/>
      <c r="R1" s="288"/>
      <c r="S1" s="288"/>
      <c r="T1" s="288"/>
      <c r="U1" s="90"/>
      <c r="V1" s="90"/>
      <c r="W1" s="90"/>
      <c r="X1" s="90"/>
      <c r="Y1" s="90"/>
      <c r="Z1" s="90"/>
      <c r="AA1" s="90"/>
      <c r="AB1" s="90"/>
      <c r="AC1" s="90"/>
      <c r="AD1" s="90"/>
    </row>
    <row r="2" spans="1:30" ht="13.2">
      <c r="A2" s="288"/>
      <c r="B2" s="288"/>
      <c r="C2" s="288"/>
      <c r="D2" s="288"/>
      <c r="E2" s="288"/>
      <c r="F2" s="288"/>
      <c r="G2" s="288"/>
      <c r="H2" s="288"/>
      <c r="I2" s="288"/>
      <c r="J2" s="288"/>
      <c r="K2" s="288"/>
      <c r="L2" s="288"/>
      <c r="M2" s="288"/>
      <c r="N2" s="288"/>
      <c r="O2" s="288"/>
      <c r="P2" s="288"/>
      <c r="Q2" s="288"/>
      <c r="R2" s="288"/>
      <c r="S2" s="288"/>
      <c r="T2" s="288"/>
      <c r="U2" s="90"/>
      <c r="V2" s="90"/>
      <c r="W2" s="90"/>
      <c r="X2" s="90"/>
      <c r="Y2" s="90"/>
      <c r="Z2" s="90"/>
      <c r="AA2" s="90"/>
      <c r="AB2" s="90"/>
      <c r="AC2" s="90"/>
      <c r="AD2" s="90"/>
    </row>
    <row r="3" spans="1:30" ht="13.2">
      <c r="A3" s="288"/>
      <c r="B3" s="288"/>
      <c r="C3" s="288"/>
      <c r="D3" s="288"/>
      <c r="E3" s="288"/>
      <c r="F3" s="288"/>
      <c r="G3" s="288"/>
      <c r="H3" s="288"/>
      <c r="I3" s="288"/>
      <c r="J3" s="288"/>
      <c r="K3" s="288"/>
      <c r="L3" s="288"/>
      <c r="M3" s="288"/>
      <c r="N3" s="288"/>
      <c r="O3" s="288"/>
      <c r="P3" s="288"/>
      <c r="Q3" s="288"/>
      <c r="R3" s="288"/>
      <c r="S3" s="288"/>
      <c r="T3" s="288"/>
      <c r="U3" s="90"/>
      <c r="V3" s="90"/>
      <c r="W3" s="90"/>
      <c r="X3" s="90"/>
      <c r="Y3" s="90"/>
      <c r="Z3" s="90"/>
      <c r="AA3" s="90"/>
      <c r="AB3" s="90"/>
      <c r="AC3" s="90"/>
      <c r="AD3" s="90"/>
    </row>
    <row r="4" spans="1:30" ht="13.8" thickBot="1">
      <c r="A4" s="288"/>
      <c r="B4" s="288"/>
      <c r="C4" s="288"/>
      <c r="D4" s="288"/>
      <c r="E4" s="288"/>
      <c r="F4" s="288"/>
      <c r="G4" s="288"/>
      <c r="H4" s="288"/>
      <c r="I4" s="288"/>
      <c r="J4" s="288"/>
      <c r="K4" s="288"/>
      <c r="L4" s="288"/>
      <c r="M4" s="288"/>
      <c r="N4" s="288"/>
      <c r="O4" s="288"/>
      <c r="P4" s="288"/>
      <c r="Q4" s="288"/>
      <c r="R4" s="288"/>
      <c r="S4" s="288"/>
      <c r="T4" s="288"/>
      <c r="U4" s="243"/>
      <c r="V4" s="243"/>
      <c r="W4" s="243"/>
      <c r="X4" s="243"/>
      <c r="Y4" s="243"/>
      <c r="Z4" s="243"/>
      <c r="AA4" s="243"/>
      <c r="AB4" s="243"/>
      <c r="AC4" s="243"/>
      <c r="AD4" s="243"/>
    </row>
    <row r="5" spans="1:30" ht="16.2" thickBot="1">
      <c r="A5" s="4"/>
      <c r="B5" s="5"/>
      <c r="C5" s="6"/>
      <c r="D5" s="12" t="s">
        <v>3</v>
      </c>
      <c r="E5" s="376">
        <f>'INPUT DATA'!F10</f>
        <v>0</v>
      </c>
      <c r="F5" s="377"/>
      <c r="G5" s="378"/>
      <c r="H5" s="73"/>
      <c r="I5" s="12" t="s">
        <v>6</v>
      </c>
      <c r="J5" s="379">
        <f>'INPUT DATA'!F11</f>
        <v>0</v>
      </c>
      <c r="K5" s="380"/>
      <c r="L5" s="380"/>
      <c r="M5" s="381"/>
      <c r="N5" s="228"/>
      <c r="O5" s="73"/>
      <c r="P5" s="73"/>
      <c r="Q5" s="73"/>
      <c r="R5" s="73"/>
      <c r="S5" s="73"/>
      <c r="T5" s="4"/>
      <c r="U5" s="4"/>
      <c r="V5" s="4"/>
      <c r="W5" s="4"/>
      <c r="X5" s="4"/>
      <c r="Y5" s="4"/>
      <c r="Z5" s="4"/>
      <c r="AA5" s="4"/>
      <c r="AB5" s="4"/>
      <c r="AC5" s="4"/>
      <c r="AD5" s="4"/>
    </row>
    <row r="6" spans="1:30" ht="16.2" customHeight="1" thickBot="1">
      <c r="A6" s="4"/>
      <c r="B6" s="5"/>
      <c r="C6" s="10"/>
      <c r="D6" s="12" t="s">
        <v>7</v>
      </c>
      <c r="E6" s="376">
        <f>'INPUT DATA'!F16</f>
        <v>0</v>
      </c>
      <c r="F6" s="377"/>
      <c r="G6" s="378"/>
      <c r="H6" s="73"/>
      <c r="I6" s="12" t="s">
        <v>8</v>
      </c>
      <c r="J6" s="382">
        <f>'INPUT DATA'!F15</f>
        <v>0</v>
      </c>
      <c r="K6" s="383"/>
      <c r="L6" s="383"/>
      <c r="M6" s="384"/>
      <c r="N6" s="229"/>
      <c r="O6" s="385" t="s">
        <v>10</v>
      </c>
      <c r="P6" s="385"/>
      <c r="Q6" s="382">
        <f>'INPUT DATA'!F18</f>
        <v>0</v>
      </c>
      <c r="R6" s="384"/>
      <c r="S6" s="252"/>
      <c r="T6" s="4"/>
      <c r="U6" s="4"/>
      <c r="V6" s="4"/>
      <c r="W6" s="4"/>
      <c r="X6" s="4"/>
      <c r="Y6" s="4"/>
      <c r="Z6" s="4"/>
      <c r="AA6" s="4"/>
      <c r="AB6" s="4"/>
      <c r="AC6" s="4"/>
      <c r="AD6" s="4"/>
    </row>
    <row r="7" spans="1:30" ht="13.8" thickBot="1">
      <c r="A7" s="243"/>
      <c r="B7" s="15"/>
      <c r="C7" s="22"/>
      <c r="D7" s="22"/>
      <c r="E7" s="243"/>
      <c r="F7" s="243"/>
      <c r="G7" s="20"/>
      <c r="I7" s="243"/>
      <c r="J7" s="243"/>
      <c r="K7" s="243"/>
      <c r="L7" s="22"/>
      <c r="M7" s="243"/>
      <c r="N7" s="243"/>
      <c r="O7" s="22"/>
      <c r="P7" s="22"/>
      <c r="Q7" s="22"/>
      <c r="R7" s="22"/>
      <c r="S7" s="243"/>
      <c r="T7" s="243"/>
      <c r="U7" s="243"/>
      <c r="V7" s="243"/>
      <c r="W7" s="243"/>
      <c r="X7" s="243"/>
      <c r="Y7" s="243"/>
      <c r="Z7" s="243"/>
      <c r="AA7" s="243"/>
      <c r="AB7" s="243"/>
      <c r="AC7" s="243"/>
      <c r="AD7" s="243"/>
    </row>
    <row r="8" spans="1:30" ht="13.8" thickBot="1">
      <c r="A8" s="243"/>
      <c r="B8" s="326"/>
      <c r="C8" s="327"/>
      <c r="D8" s="327"/>
      <c r="E8" s="327"/>
      <c r="F8" s="327"/>
      <c r="G8" s="327"/>
      <c r="H8" s="327"/>
      <c r="I8" s="327"/>
      <c r="J8" s="327"/>
      <c r="K8" s="327"/>
      <c r="L8" s="327"/>
      <c r="M8" s="327"/>
      <c r="N8" s="327"/>
      <c r="O8" s="327"/>
      <c r="P8" s="327"/>
      <c r="Q8" s="327"/>
      <c r="R8" s="327"/>
      <c r="S8" s="328"/>
      <c r="T8" s="243"/>
      <c r="U8" s="243"/>
      <c r="V8" s="243"/>
      <c r="W8" s="243"/>
      <c r="X8" s="243"/>
      <c r="Y8" s="243"/>
      <c r="Z8" s="243"/>
      <c r="AA8" s="243"/>
      <c r="AB8" s="243"/>
      <c r="AC8" s="243"/>
      <c r="AD8" s="243"/>
    </row>
    <row r="9" spans="1:30" ht="14.4" thickBot="1">
      <c r="A9" s="90"/>
      <c r="B9" s="329" t="s">
        <v>119</v>
      </c>
      <c r="C9" s="330"/>
      <c r="D9" s="330"/>
      <c r="E9" s="331"/>
      <c r="F9" s="99" t="s">
        <v>16</v>
      </c>
      <c r="G9" s="335">
        <f>'INPUT DATA'!F27</f>
        <v>0</v>
      </c>
      <c r="H9" s="336"/>
      <c r="I9" s="336"/>
      <c r="J9" s="336"/>
      <c r="K9" s="337"/>
      <c r="L9" s="386" t="s">
        <v>20</v>
      </c>
      <c r="M9" s="395"/>
      <c r="N9" s="391">
        <f>'INPUT DATA'!F29</f>
        <v>0</v>
      </c>
      <c r="O9" s="392"/>
      <c r="P9" s="392"/>
      <c r="Q9" s="392"/>
      <c r="R9" s="392"/>
      <c r="S9" s="393"/>
      <c r="T9" s="90"/>
      <c r="U9" s="90"/>
      <c r="V9" s="90"/>
      <c r="W9" s="90"/>
      <c r="X9" s="90"/>
      <c r="Y9" s="90"/>
      <c r="Z9" s="90"/>
      <c r="AA9" s="90"/>
      <c r="AB9" s="90"/>
      <c r="AC9" s="90"/>
      <c r="AD9" s="90"/>
    </row>
    <row r="10" spans="1:30" ht="14.4" thickBot="1">
      <c r="A10" s="90"/>
      <c r="B10" s="332"/>
      <c r="C10" s="333"/>
      <c r="D10" s="333"/>
      <c r="E10" s="334"/>
      <c r="F10" s="100" t="s">
        <v>143</v>
      </c>
      <c r="G10" s="338">
        <f>'INPUT DATA'!F28</f>
        <v>0</v>
      </c>
      <c r="H10" s="339"/>
      <c r="I10" s="339"/>
      <c r="J10" s="339"/>
      <c r="K10" s="340"/>
      <c r="L10" s="373" t="s">
        <v>18</v>
      </c>
      <c r="M10" s="374"/>
      <c r="N10" s="388">
        <f>'INPUT DATA'!F26</f>
        <v>0</v>
      </c>
      <c r="O10" s="389"/>
      <c r="P10" s="389"/>
      <c r="Q10" s="389"/>
      <c r="R10" s="389"/>
      <c r="S10" s="390"/>
      <c r="T10" s="90"/>
      <c r="U10" s="90"/>
      <c r="V10" s="90"/>
      <c r="W10" s="90"/>
      <c r="X10" s="90"/>
      <c r="Y10" s="90"/>
      <c r="Z10" s="90"/>
      <c r="AA10" s="90"/>
      <c r="AB10" s="90"/>
      <c r="AC10" s="90"/>
      <c r="AD10" s="90"/>
    </row>
    <row r="11" spans="1:30" ht="14.4" customHeight="1" thickBot="1">
      <c r="A11" s="243"/>
      <c r="B11" s="350" t="s">
        <v>21</v>
      </c>
      <c r="C11" s="351"/>
      <c r="D11" s="351"/>
      <c r="E11" s="352"/>
      <c r="F11" s="359" t="s">
        <v>12</v>
      </c>
      <c r="G11" s="360"/>
      <c r="H11" s="364" t="s">
        <v>22</v>
      </c>
      <c r="I11" s="364" t="s">
        <v>23</v>
      </c>
      <c r="J11" s="364" t="s">
        <v>123</v>
      </c>
      <c r="K11" s="362" t="s">
        <v>24</v>
      </c>
      <c r="L11" s="368"/>
      <c r="M11" s="368"/>
      <c r="N11" s="368"/>
      <c r="O11" s="368"/>
      <c r="P11" s="368"/>
      <c r="Q11" s="369"/>
      <c r="R11" s="341" t="s">
        <v>25</v>
      </c>
      <c r="S11" s="343" t="s">
        <v>26</v>
      </c>
      <c r="T11" s="34"/>
      <c r="U11" s="243"/>
      <c r="V11" s="243"/>
      <c r="W11" s="243"/>
      <c r="X11" s="243"/>
      <c r="Y11" s="243"/>
      <c r="Z11" s="243"/>
      <c r="AA11" s="243"/>
      <c r="AB11" s="243"/>
      <c r="AC11" s="243"/>
      <c r="AD11" s="243"/>
    </row>
    <row r="12" spans="1:30" ht="25.2" customHeight="1" thickBot="1">
      <c r="A12" s="243"/>
      <c r="B12" s="353"/>
      <c r="C12" s="354"/>
      <c r="D12" s="354"/>
      <c r="E12" s="355"/>
      <c r="F12" s="361"/>
      <c r="G12" s="343"/>
      <c r="H12" s="365"/>
      <c r="I12" s="365"/>
      <c r="J12" s="365"/>
      <c r="K12" s="370" t="s">
        <v>126</v>
      </c>
      <c r="L12" s="371"/>
      <c r="M12" s="371"/>
      <c r="N12" s="371"/>
      <c r="O12" s="371"/>
      <c r="P12" s="372"/>
      <c r="Q12" s="253" t="s">
        <v>134</v>
      </c>
      <c r="R12" s="341"/>
      <c r="S12" s="343"/>
      <c r="T12" s="34"/>
      <c r="U12" s="243"/>
      <c r="V12" s="243"/>
      <c r="W12" s="243"/>
      <c r="X12" s="243"/>
      <c r="Y12" s="243"/>
      <c r="Z12" s="243"/>
      <c r="AA12" s="243"/>
      <c r="AB12" s="243"/>
      <c r="AC12" s="243"/>
      <c r="AD12" s="243"/>
    </row>
    <row r="13" spans="1:30" ht="25.2" customHeight="1" thickBot="1">
      <c r="A13" s="243"/>
      <c r="B13" s="356"/>
      <c r="C13" s="357"/>
      <c r="D13" s="357"/>
      <c r="E13" s="358"/>
      <c r="F13" s="362"/>
      <c r="G13" s="363"/>
      <c r="H13" s="366"/>
      <c r="I13" s="367"/>
      <c r="J13" s="366"/>
      <c r="K13" s="250" t="s">
        <v>136</v>
      </c>
      <c r="L13" s="250" t="s">
        <v>137</v>
      </c>
      <c r="M13" s="250" t="s">
        <v>127</v>
      </c>
      <c r="N13" s="250" t="s">
        <v>131</v>
      </c>
      <c r="O13" s="250" t="s">
        <v>132</v>
      </c>
      <c r="P13" s="251" t="s">
        <v>138</v>
      </c>
      <c r="Q13" s="249" t="s">
        <v>141</v>
      </c>
      <c r="R13" s="342"/>
      <c r="S13" s="344"/>
      <c r="T13" s="34"/>
      <c r="U13" s="243"/>
      <c r="V13" s="243"/>
      <c r="W13" s="243"/>
      <c r="X13" s="243"/>
      <c r="Y13" s="243"/>
      <c r="Z13" s="243"/>
      <c r="AA13" s="243"/>
      <c r="AB13" s="243"/>
      <c r="AC13" s="243"/>
      <c r="AD13" s="243"/>
    </row>
    <row r="14" spans="1:30" ht="16.2" thickBot="1">
      <c r="A14" s="4"/>
      <c r="B14" s="394"/>
      <c r="C14" s="346"/>
      <c r="D14" s="346"/>
      <c r="E14" s="346"/>
      <c r="F14" s="346"/>
      <c r="G14" s="346"/>
      <c r="H14" s="346"/>
      <c r="I14" s="346"/>
      <c r="J14" s="347"/>
      <c r="K14" s="346"/>
      <c r="L14" s="346"/>
      <c r="M14" s="346"/>
      <c r="N14" s="346"/>
      <c r="O14" s="346"/>
      <c r="P14" s="346"/>
      <c r="Q14" s="346"/>
      <c r="R14" s="348"/>
      <c r="S14" s="349"/>
      <c r="T14" s="4"/>
      <c r="U14" s="4"/>
      <c r="V14" s="4"/>
      <c r="W14" s="4"/>
      <c r="X14" s="4"/>
      <c r="Y14" s="4"/>
      <c r="Z14" s="4"/>
      <c r="AA14" s="4"/>
      <c r="AB14" s="4"/>
      <c r="AC14" s="4"/>
      <c r="AD14" s="4"/>
    </row>
    <row r="15" spans="1:30" ht="15">
      <c r="A15" s="4"/>
      <c r="B15" s="83">
        <v>1</v>
      </c>
      <c r="C15" s="317" t="str">
        <f>IF('INPUT DATA'!L11="","",'INPUT DATA'!L11)</f>
        <v/>
      </c>
      <c r="D15" s="318"/>
      <c r="E15" s="319"/>
      <c r="F15" s="320" t="str">
        <f>IF('INPUT DATA'!M11="","",'INPUT DATA'!M11)</f>
        <v/>
      </c>
      <c r="G15" s="321"/>
      <c r="H15" s="93" t="str">
        <f>IF('INPUT DATA'!N11="","",'INPUT DATA'!N11)</f>
        <v/>
      </c>
      <c r="I15" s="206" t="str">
        <f ca="1">IF(H15="","",DATEDIF(H15,TODAY(),"Y"))</f>
        <v/>
      </c>
      <c r="J15" s="211" t="s">
        <v>124</v>
      </c>
      <c r="K15" s="207"/>
      <c r="L15" s="79"/>
      <c r="M15" s="79"/>
      <c r="N15" s="79"/>
      <c r="O15" s="79"/>
      <c r="P15" s="79"/>
      <c r="Q15" s="79"/>
      <c r="R15" s="91" t="str">
        <f>IF(COUNT(K15:Q15)=0,"",ROUND(AVERAGE(K15:Q15),0))</f>
        <v/>
      </c>
      <c r="S15" s="92" t="str">
        <f>IF(R15="","",_xlfn.RANK.AVG(R15,$R$15:$R$115))</f>
        <v/>
      </c>
      <c r="T15" s="4"/>
      <c r="U15" s="4"/>
      <c r="V15" s="4"/>
      <c r="W15" s="4"/>
      <c r="X15" s="4"/>
      <c r="Y15" s="4"/>
      <c r="Z15" s="4"/>
      <c r="AA15" s="4"/>
      <c r="AB15" s="4"/>
      <c r="AC15" s="4"/>
      <c r="AD15" s="4"/>
    </row>
    <row r="16" spans="1:30" ht="15">
      <c r="A16" s="4"/>
      <c r="B16" s="84">
        <v>2</v>
      </c>
      <c r="C16" s="317" t="str">
        <f>IF('INPUT DATA'!L12="","",'INPUT DATA'!L12)</f>
        <v/>
      </c>
      <c r="D16" s="318"/>
      <c r="E16" s="319"/>
      <c r="F16" s="320" t="str">
        <f>IF('INPUT DATA'!M12="","",'INPUT DATA'!M12)</f>
        <v/>
      </c>
      <c r="G16" s="321"/>
      <c r="H16" s="94" t="str">
        <f>IF('INPUT DATA'!N12="","",'INPUT DATA'!N12)</f>
        <v/>
      </c>
      <c r="I16" s="241" t="str">
        <f ca="1">IF(H16="","",DATEDIF(H16,TODAY(),"Y"))</f>
        <v/>
      </c>
      <c r="J16" s="212" t="s">
        <v>124</v>
      </c>
      <c r="K16" s="208"/>
      <c r="L16" s="80"/>
      <c r="M16" s="80"/>
      <c r="N16" s="80"/>
      <c r="O16" s="80"/>
      <c r="P16" s="80"/>
      <c r="Q16" s="80"/>
      <c r="R16" s="91" t="str">
        <f t="shared" ref="R16:R64" si="0">IF(COUNT(K16:Q16)=0,"",ROUND(AVERAGE(K16:Q16),0))</f>
        <v/>
      </c>
      <c r="S16" s="92" t="str">
        <f>IF(R16="","",_xlfn.RANK.AVG(R16,$R$15:$R$115))</f>
        <v/>
      </c>
      <c r="T16" s="4"/>
      <c r="U16" s="4"/>
      <c r="V16" s="4"/>
      <c r="W16" s="4"/>
      <c r="X16" s="4"/>
      <c r="Y16" s="4"/>
      <c r="Z16" s="4"/>
      <c r="AA16" s="4"/>
      <c r="AB16" s="4"/>
      <c r="AC16" s="4"/>
      <c r="AD16" s="4"/>
    </row>
    <row r="17" spans="1:30" ht="15">
      <c r="A17" s="4"/>
      <c r="B17" s="84">
        <v>3</v>
      </c>
      <c r="C17" s="317" t="str">
        <f>IF('INPUT DATA'!L13="","",'INPUT DATA'!L13)</f>
        <v/>
      </c>
      <c r="D17" s="318"/>
      <c r="E17" s="319"/>
      <c r="F17" s="320" t="str">
        <f>IF('INPUT DATA'!M13="","",'INPUT DATA'!M13)</f>
        <v/>
      </c>
      <c r="G17" s="321"/>
      <c r="H17" s="94" t="str">
        <f>IF('INPUT DATA'!N13="","",'INPUT DATA'!N13)</f>
        <v/>
      </c>
      <c r="I17" s="241" t="str">
        <f t="shared" ref="I17:I64" ca="1" si="1">IF(H17="","",DATEDIF(H17,TODAY(),"Y"))</f>
        <v/>
      </c>
      <c r="J17" s="212" t="s">
        <v>124</v>
      </c>
      <c r="K17" s="208"/>
      <c r="L17" s="80"/>
      <c r="M17" s="80"/>
      <c r="N17" s="80"/>
      <c r="O17" s="80"/>
      <c r="P17" s="80"/>
      <c r="Q17" s="80"/>
      <c r="R17" s="91" t="str">
        <f t="shared" si="0"/>
        <v/>
      </c>
      <c r="S17" s="92" t="str">
        <f t="shared" ref="S17:S64" si="2">IF(R17="","",_xlfn.RANK.AVG(R17,$R$15:$R$115))</f>
        <v/>
      </c>
      <c r="T17" s="4"/>
      <c r="U17" s="4"/>
      <c r="V17" s="4"/>
      <c r="W17" s="4"/>
      <c r="X17" s="4"/>
      <c r="Y17" s="4"/>
      <c r="Z17" s="4"/>
      <c r="AA17" s="4"/>
      <c r="AB17" s="4"/>
      <c r="AC17" s="4"/>
      <c r="AD17" s="4"/>
    </row>
    <row r="18" spans="1:30" ht="15">
      <c r="A18" s="4"/>
      <c r="B18" s="84">
        <v>4</v>
      </c>
      <c r="C18" s="317" t="str">
        <f>IF('INPUT DATA'!L14="","",'INPUT DATA'!L14)</f>
        <v/>
      </c>
      <c r="D18" s="318"/>
      <c r="E18" s="319"/>
      <c r="F18" s="320" t="str">
        <f>IF('INPUT DATA'!M14="","",'INPUT DATA'!M14)</f>
        <v/>
      </c>
      <c r="G18" s="321"/>
      <c r="H18" s="94" t="str">
        <f>IF('INPUT DATA'!N14="","",'INPUT DATA'!N14)</f>
        <v/>
      </c>
      <c r="I18" s="241" t="str">
        <f t="shared" ca="1" si="1"/>
        <v/>
      </c>
      <c r="J18" s="212"/>
      <c r="K18" s="208"/>
      <c r="L18" s="80"/>
      <c r="M18" s="80"/>
      <c r="N18" s="80"/>
      <c r="O18" s="80"/>
      <c r="P18" s="80"/>
      <c r="Q18" s="80"/>
      <c r="R18" s="91" t="str">
        <f t="shared" si="0"/>
        <v/>
      </c>
      <c r="S18" s="92" t="str">
        <f t="shared" si="2"/>
        <v/>
      </c>
      <c r="T18" s="4"/>
      <c r="U18" s="4"/>
      <c r="V18" s="4"/>
      <c r="W18" s="4"/>
      <c r="X18" s="4"/>
      <c r="Y18" s="4"/>
      <c r="Z18" s="4"/>
      <c r="AA18" s="4"/>
      <c r="AB18" s="4"/>
      <c r="AC18" s="4"/>
      <c r="AD18" s="4"/>
    </row>
    <row r="19" spans="1:30" ht="15">
      <c r="A19" s="4"/>
      <c r="B19" s="84">
        <v>5</v>
      </c>
      <c r="C19" s="317" t="str">
        <f>IF('INPUT DATA'!L15="","",'INPUT DATA'!L15)</f>
        <v/>
      </c>
      <c r="D19" s="318"/>
      <c r="E19" s="319"/>
      <c r="F19" s="320" t="str">
        <f>IF('INPUT DATA'!M15="","",'INPUT DATA'!M15)</f>
        <v/>
      </c>
      <c r="G19" s="321"/>
      <c r="H19" s="94" t="str">
        <f>IF('INPUT DATA'!N15="","",'INPUT DATA'!N15)</f>
        <v/>
      </c>
      <c r="I19" s="241" t="str">
        <f t="shared" ca="1" si="1"/>
        <v/>
      </c>
      <c r="J19" s="212"/>
      <c r="K19" s="208"/>
      <c r="L19" s="80"/>
      <c r="M19" s="80"/>
      <c r="N19" s="80"/>
      <c r="O19" s="80"/>
      <c r="P19" s="80"/>
      <c r="Q19" s="80"/>
      <c r="R19" s="91" t="str">
        <f t="shared" si="0"/>
        <v/>
      </c>
      <c r="S19" s="92" t="str">
        <f t="shared" si="2"/>
        <v/>
      </c>
      <c r="T19" s="4"/>
      <c r="U19" s="4"/>
      <c r="V19" s="4"/>
      <c r="W19" s="4"/>
      <c r="X19" s="4"/>
      <c r="Y19" s="4"/>
      <c r="Z19" s="4"/>
      <c r="AA19" s="4"/>
      <c r="AB19" s="4"/>
      <c r="AC19" s="4"/>
      <c r="AD19" s="4"/>
    </row>
    <row r="20" spans="1:30" ht="15">
      <c r="A20" s="4"/>
      <c r="B20" s="84">
        <v>6</v>
      </c>
      <c r="C20" s="317" t="str">
        <f>IF('INPUT DATA'!L16="","",'INPUT DATA'!L16)</f>
        <v/>
      </c>
      <c r="D20" s="318"/>
      <c r="E20" s="319"/>
      <c r="F20" s="320" t="str">
        <f>IF('INPUT DATA'!M16="","",'INPUT DATA'!M16)</f>
        <v/>
      </c>
      <c r="G20" s="321"/>
      <c r="H20" s="94" t="str">
        <f>IF('INPUT DATA'!N16="","",'INPUT DATA'!N16)</f>
        <v/>
      </c>
      <c r="I20" s="241" t="str">
        <f t="shared" ca="1" si="1"/>
        <v/>
      </c>
      <c r="J20" s="212"/>
      <c r="K20" s="208"/>
      <c r="L20" s="80"/>
      <c r="M20" s="80"/>
      <c r="N20" s="80"/>
      <c r="O20" s="80"/>
      <c r="P20" s="80"/>
      <c r="Q20" s="80"/>
      <c r="R20" s="91" t="str">
        <f t="shared" si="0"/>
        <v/>
      </c>
      <c r="S20" s="92" t="str">
        <f t="shared" si="2"/>
        <v/>
      </c>
      <c r="T20" s="4"/>
      <c r="U20" s="4"/>
      <c r="V20" s="4"/>
      <c r="W20" s="4"/>
      <c r="X20" s="4"/>
      <c r="Y20" s="4"/>
      <c r="Z20" s="4"/>
      <c r="AA20" s="4"/>
      <c r="AB20" s="4"/>
      <c r="AC20" s="4"/>
      <c r="AD20" s="4"/>
    </row>
    <row r="21" spans="1:30" ht="15">
      <c r="A21" s="4"/>
      <c r="B21" s="84">
        <v>7</v>
      </c>
      <c r="C21" s="317" t="str">
        <f>IF('INPUT DATA'!L17="","",'INPUT DATA'!L17)</f>
        <v/>
      </c>
      <c r="D21" s="318"/>
      <c r="E21" s="319"/>
      <c r="F21" s="320" t="str">
        <f>IF('INPUT DATA'!M17="","",'INPUT DATA'!M17)</f>
        <v/>
      </c>
      <c r="G21" s="321"/>
      <c r="H21" s="94" t="str">
        <f>IF('INPUT DATA'!N17="","",'INPUT DATA'!N17)</f>
        <v/>
      </c>
      <c r="I21" s="241" t="str">
        <f t="shared" ca="1" si="1"/>
        <v/>
      </c>
      <c r="J21" s="212"/>
      <c r="K21" s="208"/>
      <c r="L21" s="80"/>
      <c r="M21" s="80"/>
      <c r="N21" s="80"/>
      <c r="O21" s="80"/>
      <c r="P21" s="80"/>
      <c r="Q21" s="80"/>
      <c r="R21" s="91" t="str">
        <f t="shared" si="0"/>
        <v/>
      </c>
      <c r="S21" s="92" t="str">
        <f t="shared" si="2"/>
        <v/>
      </c>
      <c r="T21" s="4"/>
      <c r="U21" s="4"/>
      <c r="V21" s="4"/>
      <c r="W21" s="4"/>
      <c r="X21" s="4"/>
      <c r="Y21" s="4"/>
      <c r="Z21" s="4"/>
      <c r="AA21" s="4"/>
      <c r="AB21" s="4"/>
      <c r="AC21" s="4"/>
      <c r="AD21" s="4"/>
    </row>
    <row r="22" spans="1:30" ht="15">
      <c r="A22" s="4"/>
      <c r="B22" s="84">
        <v>8</v>
      </c>
      <c r="C22" s="317" t="str">
        <f>IF('INPUT DATA'!L18="","",'INPUT DATA'!L18)</f>
        <v/>
      </c>
      <c r="D22" s="318"/>
      <c r="E22" s="319"/>
      <c r="F22" s="320" t="str">
        <f>IF('INPUT DATA'!M18="","",'INPUT DATA'!M18)</f>
        <v/>
      </c>
      <c r="G22" s="321"/>
      <c r="H22" s="94" t="str">
        <f>IF('INPUT DATA'!N18="","",'INPUT DATA'!N18)</f>
        <v/>
      </c>
      <c r="I22" s="241" t="str">
        <f t="shared" ca="1" si="1"/>
        <v/>
      </c>
      <c r="J22" s="212"/>
      <c r="K22" s="208"/>
      <c r="L22" s="80"/>
      <c r="M22" s="80"/>
      <c r="N22" s="80"/>
      <c r="O22" s="80"/>
      <c r="P22" s="80"/>
      <c r="Q22" s="80"/>
      <c r="R22" s="91" t="str">
        <f t="shared" si="0"/>
        <v/>
      </c>
      <c r="S22" s="92" t="str">
        <f t="shared" si="2"/>
        <v/>
      </c>
      <c r="T22" s="4"/>
      <c r="U22" s="4"/>
      <c r="V22" s="4"/>
      <c r="W22" s="4"/>
      <c r="X22" s="4"/>
      <c r="Y22" s="4"/>
      <c r="Z22" s="4"/>
      <c r="AA22" s="4"/>
      <c r="AB22" s="4"/>
      <c r="AC22" s="4"/>
      <c r="AD22" s="4"/>
    </row>
    <row r="23" spans="1:30" ht="15">
      <c r="A23" s="4"/>
      <c r="B23" s="84">
        <v>9</v>
      </c>
      <c r="C23" s="317" t="str">
        <f>IF('INPUT DATA'!L19="","",'INPUT DATA'!L19)</f>
        <v/>
      </c>
      <c r="D23" s="318"/>
      <c r="E23" s="319"/>
      <c r="F23" s="320" t="str">
        <f>IF('INPUT DATA'!M19="","",'INPUT DATA'!M19)</f>
        <v/>
      </c>
      <c r="G23" s="321"/>
      <c r="H23" s="94" t="str">
        <f>IF('INPUT DATA'!N19="","",'INPUT DATA'!N19)</f>
        <v/>
      </c>
      <c r="I23" s="241" t="str">
        <f t="shared" ca="1" si="1"/>
        <v/>
      </c>
      <c r="J23" s="212"/>
      <c r="K23" s="208"/>
      <c r="L23" s="80"/>
      <c r="M23" s="80"/>
      <c r="N23" s="80"/>
      <c r="O23" s="80"/>
      <c r="P23" s="80"/>
      <c r="Q23" s="80"/>
      <c r="R23" s="91" t="str">
        <f t="shared" si="0"/>
        <v/>
      </c>
      <c r="S23" s="92" t="str">
        <f t="shared" si="2"/>
        <v/>
      </c>
      <c r="T23" s="4"/>
      <c r="U23" s="4"/>
      <c r="V23" s="4"/>
      <c r="W23" s="4"/>
      <c r="X23" s="4"/>
      <c r="Y23" s="4"/>
      <c r="Z23" s="4"/>
      <c r="AA23" s="4"/>
      <c r="AB23" s="4"/>
      <c r="AC23" s="4"/>
      <c r="AD23" s="4"/>
    </row>
    <row r="24" spans="1:30" ht="15">
      <c r="A24" s="4"/>
      <c r="B24" s="84">
        <v>10</v>
      </c>
      <c r="C24" s="317" t="str">
        <f>IF('INPUT DATA'!L20="","",'INPUT DATA'!L20)</f>
        <v/>
      </c>
      <c r="D24" s="318"/>
      <c r="E24" s="319"/>
      <c r="F24" s="320" t="str">
        <f>IF('INPUT DATA'!M20="","",'INPUT DATA'!M20)</f>
        <v/>
      </c>
      <c r="G24" s="321"/>
      <c r="H24" s="94" t="str">
        <f>IF('INPUT DATA'!N20="","",'INPUT DATA'!N20)</f>
        <v/>
      </c>
      <c r="I24" s="241" t="str">
        <f t="shared" ca="1" si="1"/>
        <v/>
      </c>
      <c r="J24" s="212"/>
      <c r="K24" s="208"/>
      <c r="L24" s="80"/>
      <c r="M24" s="80"/>
      <c r="N24" s="80"/>
      <c r="O24" s="80"/>
      <c r="P24" s="80"/>
      <c r="Q24" s="80"/>
      <c r="R24" s="91" t="str">
        <f t="shared" si="0"/>
        <v/>
      </c>
      <c r="S24" s="92" t="str">
        <f t="shared" si="2"/>
        <v/>
      </c>
      <c r="T24" s="4"/>
      <c r="U24" s="4"/>
      <c r="V24" s="4"/>
      <c r="W24" s="4"/>
      <c r="X24" s="4"/>
      <c r="Y24" s="4"/>
      <c r="Z24" s="4"/>
      <c r="AA24" s="4"/>
      <c r="AB24" s="4"/>
      <c r="AC24" s="4"/>
      <c r="AD24" s="4"/>
    </row>
    <row r="25" spans="1:30" ht="15">
      <c r="A25" s="4"/>
      <c r="B25" s="84">
        <v>11</v>
      </c>
      <c r="C25" s="317" t="str">
        <f>IF('INPUT DATA'!L21="","",'INPUT DATA'!L21)</f>
        <v/>
      </c>
      <c r="D25" s="318"/>
      <c r="E25" s="319"/>
      <c r="F25" s="320" t="str">
        <f>IF('INPUT DATA'!M21="","",'INPUT DATA'!M21)</f>
        <v/>
      </c>
      <c r="G25" s="321"/>
      <c r="H25" s="94" t="str">
        <f>IF('INPUT DATA'!N21="","",'INPUT DATA'!N21)</f>
        <v/>
      </c>
      <c r="I25" s="241" t="str">
        <f t="shared" ca="1" si="1"/>
        <v/>
      </c>
      <c r="J25" s="212"/>
      <c r="K25" s="208"/>
      <c r="L25" s="80"/>
      <c r="M25" s="80"/>
      <c r="N25" s="80"/>
      <c r="O25" s="80"/>
      <c r="P25" s="80"/>
      <c r="Q25" s="80"/>
      <c r="R25" s="91" t="str">
        <f t="shared" si="0"/>
        <v/>
      </c>
      <c r="S25" s="92" t="str">
        <f t="shared" si="2"/>
        <v/>
      </c>
      <c r="T25" s="4"/>
      <c r="U25" s="4"/>
      <c r="V25" s="4"/>
      <c r="W25" s="4"/>
      <c r="X25" s="4"/>
      <c r="Y25" s="4"/>
      <c r="Z25" s="4"/>
      <c r="AA25" s="4"/>
      <c r="AB25" s="4"/>
      <c r="AC25" s="4"/>
      <c r="AD25" s="4"/>
    </row>
    <row r="26" spans="1:30" ht="15">
      <c r="A26" s="4"/>
      <c r="B26" s="84">
        <v>12</v>
      </c>
      <c r="C26" s="317" t="str">
        <f>IF('INPUT DATA'!L22="","",'INPUT DATA'!L22)</f>
        <v/>
      </c>
      <c r="D26" s="318"/>
      <c r="E26" s="319"/>
      <c r="F26" s="320" t="str">
        <f>IF('INPUT DATA'!M22="","",'INPUT DATA'!M22)</f>
        <v/>
      </c>
      <c r="G26" s="321"/>
      <c r="H26" s="94" t="str">
        <f>IF('INPUT DATA'!N22="","",'INPUT DATA'!N22)</f>
        <v/>
      </c>
      <c r="I26" s="241" t="str">
        <f t="shared" ca="1" si="1"/>
        <v/>
      </c>
      <c r="J26" s="212"/>
      <c r="K26" s="208"/>
      <c r="L26" s="80"/>
      <c r="M26" s="80"/>
      <c r="N26" s="80"/>
      <c r="O26" s="80"/>
      <c r="P26" s="80"/>
      <c r="Q26" s="80"/>
      <c r="R26" s="91" t="str">
        <f t="shared" si="0"/>
        <v/>
      </c>
      <c r="S26" s="92" t="str">
        <f t="shared" si="2"/>
        <v/>
      </c>
      <c r="T26" s="4"/>
      <c r="U26" s="4"/>
      <c r="V26" s="4"/>
      <c r="W26" s="4"/>
      <c r="X26" s="4"/>
      <c r="Y26" s="4"/>
      <c r="Z26" s="4"/>
      <c r="AA26" s="4"/>
      <c r="AB26" s="4"/>
      <c r="AC26" s="4"/>
      <c r="AD26" s="4"/>
    </row>
    <row r="27" spans="1:30" ht="15">
      <c r="A27" s="4"/>
      <c r="B27" s="84">
        <v>13</v>
      </c>
      <c r="C27" s="317" t="str">
        <f>IF('INPUT DATA'!L23="","",'INPUT DATA'!L23)</f>
        <v/>
      </c>
      <c r="D27" s="318"/>
      <c r="E27" s="319"/>
      <c r="F27" s="320" t="str">
        <f>IF('INPUT DATA'!M23="","",'INPUT DATA'!M23)</f>
        <v/>
      </c>
      <c r="G27" s="321"/>
      <c r="H27" s="94" t="str">
        <f>IF('INPUT DATA'!N23="","",'INPUT DATA'!N23)</f>
        <v/>
      </c>
      <c r="I27" s="241" t="str">
        <f t="shared" ca="1" si="1"/>
        <v/>
      </c>
      <c r="J27" s="212"/>
      <c r="K27" s="208"/>
      <c r="L27" s="80"/>
      <c r="M27" s="80"/>
      <c r="N27" s="80"/>
      <c r="O27" s="80"/>
      <c r="P27" s="80"/>
      <c r="Q27" s="80"/>
      <c r="R27" s="91" t="str">
        <f t="shared" si="0"/>
        <v/>
      </c>
      <c r="S27" s="92" t="str">
        <f t="shared" si="2"/>
        <v/>
      </c>
      <c r="T27" s="4"/>
      <c r="U27" s="4"/>
      <c r="V27" s="4"/>
      <c r="W27" s="4"/>
      <c r="X27" s="4"/>
      <c r="Y27" s="4"/>
      <c r="Z27" s="4"/>
      <c r="AA27" s="4"/>
      <c r="AB27" s="4"/>
      <c r="AC27" s="4"/>
      <c r="AD27" s="4"/>
    </row>
    <row r="28" spans="1:30" ht="15">
      <c r="A28" s="4"/>
      <c r="B28" s="84">
        <v>14</v>
      </c>
      <c r="C28" s="317" t="str">
        <f>IF('INPUT DATA'!L24="","",'INPUT DATA'!L24)</f>
        <v/>
      </c>
      <c r="D28" s="318"/>
      <c r="E28" s="319"/>
      <c r="F28" s="320" t="str">
        <f>IF('INPUT DATA'!M24="","",'INPUT DATA'!M24)</f>
        <v/>
      </c>
      <c r="G28" s="321"/>
      <c r="H28" s="94" t="str">
        <f>IF('INPUT DATA'!N24="","",'INPUT DATA'!N24)</f>
        <v/>
      </c>
      <c r="I28" s="241" t="str">
        <f t="shared" ca="1" si="1"/>
        <v/>
      </c>
      <c r="J28" s="212"/>
      <c r="K28" s="208"/>
      <c r="L28" s="80"/>
      <c r="M28" s="80"/>
      <c r="N28" s="80"/>
      <c r="O28" s="80"/>
      <c r="P28" s="80"/>
      <c r="Q28" s="80"/>
      <c r="R28" s="91" t="str">
        <f t="shared" si="0"/>
        <v/>
      </c>
      <c r="S28" s="92" t="str">
        <f t="shared" si="2"/>
        <v/>
      </c>
      <c r="T28" s="4"/>
      <c r="U28" s="4"/>
      <c r="V28" s="4"/>
      <c r="W28" s="4"/>
      <c r="X28" s="4"/>
      <c r="Y28" s="4"/>
      <c r="Z28" s="4"/>
      <c r="AA28" s="4"/>
      <c r="AB28" s="4"/>
      <c r="AC28" s="4"/>
      <c r="AD28" s="4"/>
    </row>
    <row r="29" spans="1:30" ht="15">
      <c r="A29" s="4"/>
      <c r="B29" s="84">
        <v>15</v>
      </c>
      <c r="C29" s="317" t="str">
        <f>IF('INPUT DATA'!L25="","",'INPUT DATA'!L25)</f>
        <v/>
      </c>
      <c r="D29" s="318"/>
      <c r="E29" s="319"/>
      <c r="F29" s="320" t="str">
        <f>IF('INPUT DATA'!M25="","",'INPUT DATA'!M25)</f>
        <v/>
      </c>
      <c r="G29" s="321"/>
      <c r="H29" s="94" t="str">
        <f>IF('INPUT DATA'!N25="","",'INPUT DATA'!N25)</f>
        <v/>
      </c>
      <c r="I29" s="241" t="str">
        <f t="shared" ca="1" si="1"/>
        <v/>
      </c>
      <c r="J29" s="212"/>
      <c r="K29" s="208"/>
      <c r="L29" s="80"/>
      <c r="M29" s="80"/>
      <c r="N29" s="80"/>
      <c r="O29" s="80"/>
      <c r="P29" s="80"/>
      <c r="Q29" s="80"/>
      <c r="R29" s="91" t="str">
        <f t="shared" si="0"/>
        <v/>
      </c>
      <c r="S29" s="92" t="str">
        <f t="shared" si="2"/>
        <v/>
      </c>
      <c r="T29" s="4"/>
      <c r="U29" s="4"/>
      <c r="V29" s="4"/>
      <c r="W29" s="4"/>
      <c r="X29" s="4"/>
      <c r="Y29" s="4"/>
      <c r="Z29" s="4"/>
      <c r="AA29" s="4"/>
      <c r="AB29" s="4"/>
      <c r="AC29" s="4"/>
      <c r="AD29" s="4"/>
    </row>
    <row r="30" spans="1:30" ht="15">
      <c r="A30" s="4"/>
      <c r="B30" s="84">
        <v>16</v>
      </c>
      <c r="C30" s="317" t="str">
        <f>IF('INPUT DATA'!L26="","",'INPUT DATA'!L26)</f>
        <v/>
      </c>
      <c r="D30" s="318"/>
      <c r="E30" s="319"/>
      <c r="F30" s="320" t="str">
        <f>IF('INPUT DATA'!M26="","",'INPUT DATA'!M26)</f>
        <v/>
      </c>
      <c r="G30" s="321"/>
      <c r="H30" s="94" t="str">
        <f>IF('INPUT DATA'!N26="","",'INPUT DATA'!N26)</f>
        <v/>
      </c>
      <c r="I30" s="241" t="str">
        <f t="shared" ca="1" si="1"/>
        <v/>
      </c>
      <c r="J30" s="212"/>
      <c r="K30" s="208"/>
      <c r="L30" s="80"/>
      <c r="M30" s="80"/>
      <c r="N30" s="80"/>
      <c r="O30" s="80"/>
      <c r="P30" s="80"/>
      <c r="Q30" s="80"/>
      <c r="R30" s="91" t="str">
        <f t="shared" si="0"/>
        <v/>
      </c>
      <c r="S30" s="92" t="str">
        <f t="shared" si="2"/>
        <v/>
      </c>
      <c r="T30" s="4"/>
      <c r="U30" s="4"/>
      <c r="V30" s="4"/>
      <c r="W30" s="4"/>
      <c r="X30" s="4"/>
      <c r="Y30" s="4"/>
      <c r="Z30" s="4"/>
      <c r="AA30" s="4"/>
      <c r="AB30" s="4"/>
      <c r="AC30" s="4"/>
      <c r="AD30" s="4"/>
    </row>
    <row r="31" spans="1:30" ht="15">
      <c r="A31" s="4"/>
      <c r="B31" s="84">
        <v>17</v>
      </c>
      <c r="C31" s="317" t="str">
        <f>IF('INPUT DATA'!L27="","",'INPUT DATA'!L27)</f>
        <v/>
      </c>
      <c r="D31" s="318"/>
      <c r="E31" s="319"/>
      <c r="F31" s="320" t="str">
        <f>IF('INPUT DATA'!M27="","",'INPUT DATA'!M27)</f>
        <v/>
      </c>
      <c r="G31" s="321"/>
      <c r="H31" s="94" t="str">
        <f>IF('INPUT DATA'!N27="","",'INPUT DATA'!N27)</f>
        <v/>
      </c>
      <c r="I31" s="241" t="str">
        <f t="shared" ca="1" si="1"/>
        <v/>
      </c>
      <c r="J31" s="212"/>
      <c r="K31" s="208"/>
      <c r="L31" s="80"/>
      <c r="M31" s="80"/>
      <c r="N31" s="80"/>
      <c r="O31" s="80"/>
      <c r="P31" s="80"/>
      <c r="Q31" s="80"/>
      <c r="R31" s="91" t="str">
        <f t="shared" si="0"/>
        <v/>
      </c>
      <c r="S31" s="92" t="str">
        <f t="shared" si="2"/>
        <v/>
      </c>
      <c r="T31" s="4"/>
      <c r="U31" s="4"/>
      <c r="V31" s="4"/>
      <c r="W31" s="4"/>
      <c r="X31" s="4"/>
      <c r="Y31" s="4"/>
      <c r="Z31" s="4"/>
      <c r="AA31" s="4"/>
      <c r="AB31" s="4"/>
      <c r="AC31" s="4"/>
      <c r="AD31" s="4"/>
    </row>
    <row r="32" spans="1:30" ht="15">
      <c r="A32" s="4"/>
      <c r="B32" s="84">
        <v>18</v>
      </c>
      <c r="C32" s="317" t="str">
        <f>IF('INPUT DATA'!L28="","",'INPUT DATA'!L28)</f>
        <v/>
      </c>
      <c r="D32" s="318"/>
      <c r="E32" s="319"/>
      <c r="F32" s="320" t="str">
        <f>IF('INPUT DATA'!M28="","",'INPUT DATA'!M28)</f>
        <v/>
      </c>
      <c r="G32" s="321"/>
      <c r="H32" s="94" t="str">
        <f>IF('INPUT DATA'!N28="","",'INPUT DATA'!N28)</f>
        <v/>
      </c>
      <c r="I32" s="241" t="str">
        <f t="shared" ca="1" si="1"/>
        <v/>
      </c>
      <c r="J32" s="212"/>
      <c r="K32" s="208"/>
      <c r="L32" s="80"/>
      <c r="M32" s="80"/>
      <c r="N32" s="80"/>
      <c r="O32" s="80"/>
      <c r="P32" s="80"/>
      <c r="Q32" s="80"/>
      <c r="R32" s="91" t="str">
        <f t="shared" si="0"/>
        <v/>
      </c>
      <c r="S32" s="92" t="str">
        <f t="shared" si="2"/>
        <v/>
      </c>
      <c r="T32" s="4"/>
      <c r="U32" s="4"/>
      <c r="V32" s="4"/>
      <c r="W32" s="4"/>
      <c r="X32" s="4"/>
      <c r="Y32" s="4"/>
      <c r="Z32" s="4"/>
      <c r="AA32" s="4"/>
      <c r="AB32" s="4"/>
      <c r="AC32" s="4"/>
      <c r="AD32" s="4"/>
    </row>
    <row r="33" spans="1:30" ht="15">
      <c r="A33" s="4"/>
      <c r="B33" s="84">
        <v>19</v>
      </c>
      <c r="C33" s="317" t="str">
        <f>IF('INPUT DATA'!L29="","",'INPUT DATA'!L29)</f>
        <v/>
      </c>
      <c r="D33" s="318"/>
      <c r="E33" s="319"/>
      <c r="F33" s="320" t="str">
        <f>IF('INPUT DATA'!M29="","",'INPUT DATA'!M29)</f>
        <v/>
      </c>
      <c r="G33" s="321"/>
      <c r="H33" s="94" t="str">
        <f>IF('INPUT DATA'!N29="","",'INPUT DATA'!N29)</f>
        <v/>
      </c>
      <c r="I33" s="241" t="str">
        <f t="shared" ca="1" si="1"/>
        <v/>
      </c>
      <c r="J33" s="212"/>
      <c r="K33" s="208"/>
      <c r="L33" s="80"/>
      <c r="M33" s="80"/>
      <c r="N33" s="80"/>
      <c r="O33" s="80"/>
      <c r="P33" s="80"/>
      <c r="Q33" s="80"/>
      <c r="R33" s="91" t="str">
        <f t="shared" si="0"/>
        <v/>
      </c>
      <c r="S33" s="92" t="str">
        <f t="shared" si="2"/>
        <v/>
      </c>
      <c r="T33" s="4"/>
      <c r="U33" s="4"/>
      <c r="V33" s="4"/>
      <c r="W33" s="4"/>
      <c r="X33" s="4"/>
      <c r="Y33" s="4"/>
      <c r="Z33" s="4"/>
      <c r="AA33" s="4"/>
      <c r="AB33" s="4"/>
      <c r="AC33" s="4"/>
      <c r="AD33" s="4"/>
    </row>
    <row r="34" spans="1:30" ht="15">
      <c r="A34" s="4"/>
      <c r="B34" s="85">
        <v>20</v>
      </c>
      <c r="C34" s="317" t="str">
        <f>IF('INPUT DATA'!L30="","",'INPUT DATA'!L30)</f>
        <v/>
      </c>
      <c r="D34" s="318"/>
      <c r="E34" s="319"/>
      <c r="F34" s="320" t="str">
        <f>IF('INPUT DATA'!M30="","",'INPUT DATA'!M30)</f>
        <v/>
      </c>
      <c r="G34" s="321"/>
      <c r="H34" s="94" t="str">
        <f>IF('INPUT DATA'!N30="","",'INPUT DATA'!N30)</f>
        <v/>
      </c>
      <c r="I34" s="241" t="str">
        <f t="shared" ca="1" si="1"/>
        <v/>
      </c>
      <c r="J34" s="212"/>
      <c r="K34" s="209"/>
      <c r="L34" s="81"/>
      <c r="M34" s="81"/>
      <c r="N34" s="81"/>
      <c r="O34" s="81"/>
      <c r="P34" s="81"/>
      <c r="Q34" s="81"/>
      <c r="R34" s="91" t="str">
        <f t="shared" si="0"/>
        <v/>
      </c>
      <c r="S34" s="92" t="str">
        <f t="shared" si="2"/>
        <v/>
      </c>
      <c r="T34" s="4"/>
      <c r="U34" s="4"/>
      <c r="V34" s="4"/>
      <c r="W34" s="4"/>
      <c r="X34" s="4"/>
      <c r="Y34" s="4"/>
      <c r="Z34" s="4"/>
      <c r="AA34" s="4"/>
      <c r="AB34" s="4"/>
      <c r="AC34" s="4"/>
      <c r="AD34" s="4"/>
    </row>
    <row r="35" spans="1:30" ht="15">
      <c r="A35" s="4"/>
      <c r="B35" s="85">
        <v>21</v>
      </c>
      <c r="C35" s="317" t="str">
        <f>IF('INPUT DATA'!L31="","",'INPUT DATA'!L31)</f>
        <v/>
      </c>
      <c r="D35" s="318"/>
      <c r="E35" s="319"/>
      <c r="F35" s="320" t="str">
        <f>IF('INPUT DATA'!M31="","",'INPUT DATA'!M31)</f>
        <v/>
      </c>
      <c r="G35" s="321"/>
      <c r="H35" s="94" t="str">
        <f>IF('INPUT DATA'!N31="","",'INPUT DATA'!N31)</f>
        <v/>
      </c>
      <c r="I35" s="241" t="str">
        <f t="shared" ca="1" si="1"/>
        <v/>
      </c>
      <c r="J35" s="212"/>
      <c r="K35" s="208"/>
      <c r="L35" s="80"/>
      <c r="M35" s="80"/>
      <c r="N35" s="80"/>
      <c r="O35" s="80"/>
      <c r="P35" s="80"/>
      <c r="Q35" s="80"/>
      <c r="R35" s="91" t="str">
        <f t="shared" si="0"/>
        <v/>
      </c>
      <c r="S35" s="92" t="str">
        <f t="shared" si="2"/>
        <v/>
      </c>
      <c r="T35" s="4"/>
      <c r="U35" s="4"/>
      <c r="V35" s="4"/>
      <c r="W35" s="4"/>
      <c r="X35" s="4"/>
      <c r="Y35" s="4"/>
      <c r="Z35" s="4"/>
      <c r="AA35" s="4"/>
      <c r="AB35" s="4"/>
      <c r="AC35" s="4"/>
      <c r="AD35" s="4"/>
    </row>
    <row r="36" spans="1:30" ht="15">
      <c r="A36" s="4"/>
      <c r="B36" s="85">
        <v>22</v>
      </c>
      <c r="C36" s="317" t="str">
        <f>IF('INPUT DATA'!L32="","",'INPUT DATA'!L32)</f>
        <v/>
      </c>
      <c r="D36" s="318"/>
      <c r="E36" s="319"/>
      <c r="F36" s="320" t="str">
        <f>IF('INPUT DATA'!M32="","",'INPUT DATA'!M32)</f>
        <v/>
      </c>
      <c r="G36" s="321"/>
      <c r="H36" s="94" t="str">
        <f>IF('INPUT DATA'!N32="","",'INPUT DATA'!N32)</f>
        <v/>
      </c>
      <c r="I36" s="241" t="str">
        <f t="shared" ca="1" si="1"/>
        <v/>
      </c>
      <c r="J36" s="212"/>
      <c r="K36" s="208"/>
      <c r="L36" s="80"/>
      <c r="M36" s="80"/>
      <c r="N36" s="80"/>
      <c r="O36" s="80"/>
      <c r="P36" s="80"/>
      <c r="Q36" s="80"/>
      <c r="R36" s="91" t="str">
        <f t="shared" si="0"/>
        <v/>
      </c>
      <c r="S36" s="92" t="str">
        <f t="shared" si="2"/>
        <v/>
      </c>
      <c r="T36" s="4"/>
      <c r="U36" s="4"/>
      <c r="V36" s="4"/>
      <c r="W36" s="4"/>
      <c r="X36" s="4"/>
      <c r="Y36" s="4"/>
      <c r="Z36" s="4"/>
      <c r="AA36" s="4"/>
      <c r="AB36" s="4"/>
      <c r="AC36" s="4"/>
      <c r="AD36" s="4"/>
    </row>
    <row r="37" spans="1:30" ht="15">
      <c r="A37" s="4"/>
      <c r="B37" s="85">
        <v>23</v>
      </c>
      <c r="C37" s="317" t="str">
        <f>IF('INPUT DATA'!L33="","",'INPUT DATA'!L33)</f>
        <v/>
      </c>
      <c r="D37" s="318"/>
      <c r="E37" s="319"/>
      <c r="F37" s="320" t="str">
        <f>IF('INPUT DATA'!M33="","",'INPUT DATA'!M33)</f>
        <v/>
      </c>
      <c r="G37" s="321"/>
      <c r="H37" s="94" t="str">
        <f>IF('INPUT DATA'!N33="","",'INPUT DATA'!N33)</f>
        <v/>
      </c>
      <c r="I37" s="241" t="str">
        <f t="shared" ca="1" si="1"/>
        <v/>
      </c>
      <c r="J37" s="212"/>
      <c r="K37" s="208"/>
      <c r="L37" s="80"/>
      <c r="M37" s="80"/>
      <c r="N37" s="80"/>
      <c r="O37" s="80"/>
      <c r="P37" s="80"/>
      <c r="Q37" s="80"/>
      <c r="R37" s="91" t="str">
        <f t="shared" si="0"/>
        <v/>
      </c>
      <c r="S37" s="92" t="str">
        <f t="shared" si="2"/>
        <v/>
      </c>
      <c r="T37" s="4"/>
      <c r="U37" s="4"/>
      <c r="V37" s="4"/>
      <c r="W37" s="4"/>
      <c r="X37" s="4"/>
      <c r="Y37" s="4"/>
      <c r="Z37" s="4"/>
      <c r="AA37" s="4"/>
      <c r="AB37" s="4"/>
      <c r="AC37" s="4"/>
      <c r="AD37" s="4"/>
    </row>
    <row r="38" spans="1:30" ht="15">
      <c r="A38" s="4"/>
      <c r="B38" s="85">
        <v>24</v>
      </c>
      <c r="C38" s="317" t="str">
        <f>IF('INPUT DATA'!L34="","",'INPUT DATA'!L34)</f>
        <v/>
      </c>
      <c r="D38" s="318"/>
      <c r="E38" s="319"/>
      <c r="F38" s="320" t="str">
        <f>IF('INPUT DATA'!M34="","",'INPUT DATA'!M34)</f>
        <v/>
      </c>
      <c r="G38" s="321"/>
      <c r="H38" s="94" t="str">
        <f>IF('INPUT DATA'!N34="","",'INPUT DATA'!N34)</f>
        <v/>
      </c>
      <c r="I38" s="241" t="str">
        <f t="shared" ca="1" si="1"/>
        <v/>
      </c>
      <c r="J38" s="212"/>
      <c r="K38" s="208"/>
      <c r="L38" s="80"/>
      <c r="M38" s="80"/>
      <c r="N38" s="80"/>
      <c r="O38" s="80"/>
      <c r="P38" s="80"/>
      <c r="Q38" s="80"/>
      <c r="R38" s="91" t="str">
        <f t="shared" si="0"/>
        <v/>
      </c>
      <c r="S38" s="92" t="str">
        <f t="shared" si="2"/>
        <v/>
      </c>
      <c r="T38" s="4"/>
      <c r="U38" s="4"/>
      <c r="V38" s="4"/>
      <c r="W38" s="4"/>
      <c r="X38" s="4"/>
      <c r="Y38" s="4"/>
      <c r="Z38" s="4"/>
      <c r="AA38" s="4"/>
      <c r="AB38" s="4"/>
      <c r="AC38" s="4"/>
      <c r="AD38" s="4"/>
    </row>
    <row r="39" spans="1:30" ht="15">
      <c r="A39" s="4"/>
      <c r="B39" s="85">
        <v>25</v>
      </c>
      <c r="C39" s="317" t="str">
        <f>IF('INPUT DATA'!L35="","",'INPUT DATA'!L35)</f>
        <v/>
      </c>
      <c r="D39" s="318"/>
      <c r="E39" s="319"/>
      <c r="F39" s="320" t="str">
        <f>IF('INPUT DATA'!M35="","",'INPUT DATA'!M35)</f>
        <v/>
      </c>
      <c r="G39" s="321"/>
      <c r="H39" s="94" t="str">
        <f>IF('INPUT DATA'!N35="","",'INPUT DATA'!N35)</f>
        <v/>
      </c>
      <c r="I39" s="241" t="str">
        <f t="shared" ca="1" si="1"/>
        <v/>
      </c>
      <c r="J39" s="212"/>
      <c r="K39" s="208"/>
      <c r="L39" s="80"/>
      <c r="M39" s="80"/>
      <c r="N39" s="80"/>
      <c r="O39" s="80"/>
      <c r="P39" s="80"/>
      <c r="Q39" s="80"/>
      <c r="R39" s="91" t="str">
        <f t="shared" si="0"/>
        <v/>
      </c>
      <c r="S39" s="92" t="str">
        <f t="shared" si="2"/>
        <v/>
      </c>
      <c r="T39" s="4"/>
      <c r="U39" s="4"/>
      <c r="V39" s="4"/>
      <c r="W39" s="4"/>
      <c r="X39" s="4"/>
      <c r="Y39" s="4"/>
      <c r="Z39" s="4"/>
      <c r="AA39" s="4"/>
      <c r="AB39" s="4"/>
      <c r="AC39" s="4"/>
      <c r="AD39" s="4"/>
    </row>
    <row r="40" spans="1:30" ht="15">
      <c r="A40" s="4"/>
      <c r="B40" s="85">
        <v>26</v>
      </c>
      <c r="C40" s="317" t="str">
        <f>IF('INPUT DATA'!L36="","",'INPUT DATA'!L36)</f>
        <v/>
      </c>
      <c r="D40" s="318"/>
      <c r="E40" s="319"/>
      <c r="F40" s="320" t="str">
        <f>IF('INPUT DATA'!M36="","",'INPUT DATA'!M36)</f>
        <v/>
      </c>
      <c r="G40" s="321"/>
      <c r="H40" s="94" t="str">
        <f>IF('INPUT DATA'!N36="","",'INPUT DATA'!N36)</f>
        <v/>
      </c>
      <c r="I40" s="241" t="str">
        <f t="shared" ca="1" si="1"/>
        <v/>
      </c>
      <c r="J40" s="212"/>
      <c r="K40" s="208"/>
      <c r="L40" s="80"/>
      <c r="M40" s="80"/>
      <c r="N40" s="80"/>
      <c r="O40" s="80"/>
      <c r="P40" s="80"/>
      <c r="Q40" s="80"/>
      <c r="R40" s="91" t="str">
        <f t="shared" si="0"/>
        <v/>
      </c>
      <c r="S40" s="92" t="str">
        <f t="shared" si="2"/>
        <v/>
      </c>
      <c r="T40" s="4"/>
      <c r="U40" s="4"/>
      <c r="V40" s="4"/>
      <c r="W40" s="4"/>
      <c r="X40" s="4"/>
      <c r="Y40" s="4"/>
      <c r="Z40" s="4"/>
      <c r="AA40" s="4"/>
      <c r="AB40" s="4"/>
      <c r="AC40" s="4"/>
      <c r="AD40" s="4"/>
    </row>
    <row r="41" spans="1:30" ht="15">
      <c r="A41" s="4"/>
      <c r="B41" s="85">
        <v>27</v>
      </c>
      <c r="C41" s="317" t="str">
        <f>IF('INPUT DATA'!L37="","",'INPUT DATA'!L37)</f>
        <v/>
      </c>
      <c r="D41" s="318"/>
      <c r="E41" s="319"/>
      <c r="F41" s="320" t="str">
        <f>IF('INPUT DATA'!M37="","",'INPUT DATA'!M37)</f>
        <v/>
      </c>
      <c r="G41" s="321"/>
      <c r="H41" s="94" t="str">
        <f>IF('INPUT DATA'!N37="","",'INPUT DATA'!N37)</f>
        <v/>
      </c>
      <c r="I41" s="241" t="str">
        <f t="shared" ca="1" si="1"/>
        <v/>
      </c>
      <c r="J41" s="212"/>
      <c r="K41" s="208"/>
      <c r="L41" s="80"/>
      <c r="M41" s="80"/>
      <c r="N41" s="80"/>
      <c r="O41" s="80"/>
      <c r="P41" s="80"/>
      <c r="Q41" s="80"/>
      <c r="R41" s="91" t="str">
        <f t="shared" si="0"/>
        <v/>
      </c>
      <c r="S41" s="92" t="str">
        <f t="shared" si="2"/>
        <v/>
      </c>
      <c r="T41" s="4"/>
      <c r="U41" s="4"/>
      <c r="V41" s="4"/>
      <c r="W41" s="4"/>
      <c r="X41" s="4"/>
      <c r="Y41" s="4"/>
      <c r="Z41" s="4"/>
      <c r="AA41" s="4"/>
      <c r="AB41" s="4"/>
      <c r="AC41" s="4"/>
      <c r="AD41" s="4"/>
    </row>
    <row r="42" spans="1:30" ht="15">
      <c r="A42" s="4"/>
      <c r="B42" s="85">
        <v>28</v>
      </c>
      <c r="C42" s="317" t="str">
        <f>IF('INPUT DATA'!L38="","",'INPUT DATA'!L38)</f>
        <v/>
      </c>
      <c r="D42" s="318"/>
      <c r="E42" s="319"/>
      <c r="F42" s="320" t="str">
        <f>IF('INPUT DATA'!M38="","",'INPUT DATA'!M38)</f>
        <v/>
      </c>
      <c r="G42" s="321"/>
      <c r="H42" s="94" t="str">
        <f>IF('INPUT DATA'!N38="","",'INPUT DATA'!N38)</f>
        <v/>
      </c>
      <c r="I42" s="241" t="str">
        <f t="shared" ca="1" si="1"/>
        <v/>
      </c>
      <c r="J42" s="212"/>
      <c r="K42" s="208"/>
      <c r="L42" s="80"/>
      <c r="M42" s="80"/>
      <c r="N42" s="80"/>
      <c r="O42" s="80"/>
      <c r="P42" s="80"/>
      <c r="Q42" s="80"/>
      <c r="R42" s="91" t="str">
        <f t="shared" si="0"/>
        <v/>
      </c>
      <c r="S42" s="92" t="str">
        <f t="shared" si="2"/>
        <v/>
      </c>
      <c r="T42" s="4"/>
      <c r="U42" s="4"/>
      <c r="V42" s="4"/>
      <c r="W42" s="4"/>
      <c r="X42" s="4"/>
      <c r="Y42" s="4"/>
      <c r="Z42" s="4"/>
      <c r="AA42" s="4"/>
      <c r="AB42" s="4"/>
      <c r="AC42" s="4"/>
      <c r="AD42" s="4"/>
    </row>
    <row r="43" spans="1:30" ht="15">
      <c r="A43" s="4"/>
      <c r="B43" s="85">
        <v>29</v>
      </c>
      <c r="C43" s="317" t="str">
        <f>IF('INPUT DATA'!L39="","",'INPUT DATA'!L39)</f>
        <v/>
      </c>
      <c r="D43" s="318"/>
      <c r="E43" s="319"/>
      <c r="F43" s="320" t="str">
        <f>IF('INPUT DATA'!M39="","",'INPUT DATA'!M39)</f>
        <v/>
      </c>
      <c r="G43" s="321"/>
      <c r="H43" s="94" t="str">
        <f>IF('INPUT DATA'!N39="","",'INPUT DATA'!N39)</f>
        <v/>
      </c>
      <c r="I43" s="241" t="str">
        <f t="shared" ca="1" si="1"/>
        <v/>
      </c>
      <c r="J43" s="212"/>
      <c r="K43" s="208"/>
      <c r="L43" s="80"/>
      <c r="M43" s="80"/>
      <c r="N43" s="80"/>
      <c r="O43" s="80"/>
      <c r="P43" s="80"/>
      <c r="Q43" s="80"/>
      <c r="R43" s="91" t="str">
        <f t="shared" si="0"/>
        <v/>
      </c>
      <c r="S43" s="92" t="str">
        <f t="shared" si="2"/>
        <v/>
      </c>
      <c r="T43" s="4"/>
      <c r="U43" s="4"/>
      <c r="V43" s="4"/>
      <c r="W43" s="4"/>
      <c r="X43" s="4"/>
      <c r="Y43" s="4"/>
      <c r="Z43" s="4"/>
      <c r="AA43" s="4"/>
      <c r="AB43" s="4"/>
      <c r="AC43" s="4"/>
      <c r="AD43" s="4"/>
    </row>
    <row r="44" spans="1:30" ht="15">
      <c r="A44" s="4"/>
      <c r="B44" s="85">
        <v>30</v>
      </c>
      <c r="C44" s="317" t="str">
        <f>IF('INPUT DATA'!L40="","",'INPUT DATA'!L40)</f>
        <v/>
      </c>
      <c r="D44" s="318"/>
      <c r="E44" s="319"/>
      <c r="F44" s="320" t="str">
        <f>IF('INPUT DATA'!M40="","",'INPUT DATA'!M40)</f>
        <v/>
      </c>
      <c r="G44" s="321"/>
      <c r="H44" s="94" t="str">
        <f>IF('INPUT DATA'!N40="","",'INPUT DATA'!N40)</f>
        <v/>
      </c>
      <c r="I44" s="241" t="str">
        <f t="shared" ca="1" si="1"/>
        <v/>
      </c>
      <c r="J44" s="212"/>
      <c r="K44" s="208"/>
      <c r="L44" s="80"/>
      <c r="M44" s="80"/>
      <c r="N44" s="80"/>
      <c r="O44" s="80"/>
      <c r="P44" s="80"/>
      <c r="Q44" s="80"/>
      <c r="R44" s="91" t="str">
        <f t="shared" si="0"/>
        <v/>
      </c>
      <c r="S44" s="92" t="str">
        <f t="shared" si="2"/>
        <v/>
      </c>
      <c r="T44" s="4"/>
      <c r="U44" s="4"/>
      <c r="V44" s="4"/>
      <c r="W44" s="4"/>
      <c r="X44" s="4"/>
      <c r="Y44" s="4"/>
      <c r="Z44" s="4"/>
      <c r="AA44" s="4"/>
      <c r="AB44" s="4"/>
      <c r="AC44" s="4"/>
      <c r="AD44" s="4"/>
    </row>
    <row r="45" spans="1:30" ht="15">
      <c r="A45" s="4"/>
      <c r="B45" s="85">
        <v>31</v>
      </c>
      <c r="C45" s="317" t="str">
        <f>IF('INPUT DATA'!L41="","",'INPUT DATA'!L41)</f>
        <v/>
      </c>
      <c r="D45" s="318"/>
      <c r="E45" s="319"/>
      <c r="F45" s="320" t="str">
        <f>IF('INPUT DATA'!M41="","",'INPUT DATA'!M41)</f>
        <v/>
      </c>
      <c r="G45" s="321"/>
      <c r="H45" s="94" t="str">
        <f>IF('INPUT DATA'!N41="","",'INPUT DATA'!N41)</f>
        <v/>
      </c>
      <c r="I45" s="241" t="str">
        <f t="shared" ca="1" si="1"/>
        <v/>
      </c>
      <c r="J45" s="212"/>
      <c r="K45" s="208"/>
      <c r="L45" s="80"/>
      <c r="M45" s="80"/>
      <c r="N45" s="80"/>
      <c r="O45" s="80"/>
      <c r="P45" s="80"/>
      <c r="Q45" s="80"/>
      <c r="R45" s="91" t="str">
        <f t="shared" si="0"/>
        <v/>
      </c>
      <c r="S45" s="92" t="str">
        <f t="shared" si="2"/>
        <v/>
      </c>
      <c r="T45" s="4"/>
      <c r="U45" s="4"/>
      <c r="V45" s="4"/>
      <c r="W45" s="4"/>
      <c r="X45" s="4"/>
      <c r="Y45" s="4"/>
      <c r="Z45" s="4"/>
      <c r="AA45" s="4"/>
      <c r="AB45" s="4"/>
      <c r="AC45" s="4"/>
      <c r="AD45" s="4"/>
    </row>
    <row r="46" spans="1:30" ht="15">
      <c r="A46" s="4"/>
      <c r="B46" s="85">
        <v>32</v>
      </c>
      <c r="C46" s="317" t="str">
        <f>IF('INPUT DATA'!L42="","",'INPUT DATA'!L42)</f>
        <v/>
      </c>
      <c r="D46" s="318"/>
      <c r="E46" s="319"/>
      <c r="F46" s="320" t="str">
        <f>IF('INPUT DATA'!M42="","",'INPUT DATA'!M42)</f>
        <v/>
      </c>
      <c r="G46" s="321"/>
      <c r="H46" s="94" t="str">
        <f>IF('INPUT DATA'!N42="","",'INPUT DATA'!N42)</f>
        <v/>
      </c>
      <c r="I46" s="241" t="str">
        <f t="shared" ca="1" si="1"/>
        <v/>
      </c>
      <c r="J46" s="212"/>
      <c r="K46" s="208"/>
      <c r="L46" s="80"/>
      <c r="M46" s="80"/>
      <c r="N46" s="80"/>
      <c r="O46" s="80"/>
      <c r="P46" s="80"/>
      <c r="Q46" s="80"/>
      <c r="R46" s="91" t="str">
        <f t="shared" si="0"/>
        <v/>
      </c>
      <c r="S46" s="92" t="str">
        <f t="shared" si="2"/>
        <v/>
      </c>
      <c r="T46" s="4"/>
      <c r="U46" s="4"/>
      <c r="V46" s="4"/>
      <c r="W46" s="4"/>
      <c r="X46" s="4"/>
      <c r="Y46" s="4"/>
      <c r="Z46" s="4"/>
      <c r="AA46" s="4"/>
      <c r="AB46" s="4"/>
      <c r="AC46" s="4"/>
      <c r="AD46" s="4"/>
    </row>
    <row r="47" spans="1:30" ht="15">
      <c r="A47" s="4"/>
      <c r="B47" s="85">
        <v>33</v>
      </c>
      <c r="C47" s="317" t="str">
        <f>IF('INPUT DATA'!L43="","",'INPUT DATA'!L43)</f>
        <v/>
      </c>
      <c r="D47" s="318"/>
      <c r="E47" s="319"/>
      <c r="F47" s="320" t="str">
        <f>IF('INPUT DATA'!M43="","",'INPUT DATA'!M43)</f>
        <v/>
      </c>
      <c r="G47" s="321"/>
      <c r="H47" s="94" t="str">
        <f>IF('INPUT DATA'!N43="","",'INPUT DATA'!N43)</f>
        <v/>
      </c>
      <c r="I47" s="241" t="str">
        <f t="shared" ca="1" si="1"/>
        <v/>
      </c>
      <c r="J47" s="212"/>
      <c r="K47" s="208"/>
      <c r="L47" s="80"/>
      <c r="M47" s="80"/>
      <c r="N47" s="80"/>
      <c r="O47" s="80"/>
      <c r="P47" s="80"/>
      <c r="Q47" s="80"/>
      <c r="R47" s="91" t="str">
        <f t="shared" si="0"/>
        <v/>
      </c>
      <c r="S47" s="92" t="str">
        <f t="shared" si="2"/>
        <v/>
      </c>
      <c r="T47" s="4"/>
      <c r="U47" s="4"/>
      <c r="V47" s="4"/>
      <c r="W47" s="4"/>
      <c r="X47" s="4"/>
      <c r="Y47" s="4"/>
      <c r="Z47" s="4"/>
      <c r="AA47" s="4"/>
      <c r="AB47" s="4"/>
      <c r="AC47" s="4"/>
      <c r="AD47" s="4"/>
    </row>
    <row r="48" spans="1:30" ht="15">
      <c r="A48" s="4"/>
      <c r="B48" s="85">
        <v>34</v>
      </c>
      <c r="C48" s="317" t="str">
        <f>IF('INPUT DATA'!L44="","",'INPUT DATA'!L44)</f>
        <v/>
      </c>
      <c r="D48" s="318"/>
      <c r="E48" s="319"/>
      <c r="F48" s="320" t="str">
        <f>IF('INPUT DATA'!M44="","",'INPUT DATA'!M44)</f>
        <v/>
      </c>
      <c r="G48" s="321"/>
      <c r="H48" s="94" t="str">
        <f>IF('INPUT DATA'!N44="","",'INPUT DATA'!N44)</f>
        <v/>
      </c>
      <c r="I48" s="241" t="str">
        <f t="shared" ca="1" si="1"/>
        <v/>
      </c>
      <c r="J48" s="212"/>
      <c r="K48" s="208"/>
      <c r="L48" s="80"/>
      <c r="M48" s="80"/>
      <c r="N48" s="80"/>
      <c r="O48" s="80"/>
      <c r="P48" s="80"/>
      <c r="Q48" s="80"/>
      <c r="R48" s="91" t="str">
        <f t="shared" si="0"/>
        <v/>
      </c>
      <c r="S48" s="92" t="str">
        <f t="shared" si="2"/>
        <v/>
      </c>
      <c r="T48" s="4"/>
      <c r="U48" s="4"/>
      <c r="V48" s="4"/>
      <c r="W48" s="4"/>
      <c r="X48" s="4"/>
      <c r="Y48" s="4"/>
      <c r="Z48" s="4"/>
      <c r="AA48" s="4"/>
      <c r="AB48" s="4"/>
      <c r="AC48" s="4"/>
      <c r="AD48" s="4"/>
    </row>
    <row r="49" spans="1:30" ht="15">
      <c r="A49" s="4"/>
      <c r="B49" s="85">
        <v>35</v>
      </c>
      <c r="C49" s="317" t="str">
        <f>IF('INPUT DATA'!L45="","",'INPUT DATA'!L45)</f>
        <v/>
      </c>
      <c r="D49" s="318"/>
      <c r="E49" s="319"/>
      <c r="F49" s="320" t="str">
        <f>IF('INPUT DATA'!M45="","",'INPUT DATA'!M45)</f>
        <v/>
      </c>
      <c r="G49" s="321"/>
      <c r="H49" s="94" t="str">
        <f>IF('INPUT DATA'!N45="","",'INPUT DATA'!N45)</f>
        <v/>
      </c>
      <c r="I49" s="241" t="str">
        <f t="shared" ca="1" si="1"/>
        <v/>
      </c>
      <c r="J49" s="212"/>
      <c r="K49" s="208"/>
      <c r="L49" s="80"/>
      <c r="M49" s="80"/>
      <c r="N49" s="80"/>
      <c r="O49" s="80"/>
      <c r="P49" s="80"/>
      <c r="Q49" s="80"/>
      <c r="R49" s="91" t="str">
        <f t="shared" si="0"/>
        <v/>
      </c>
      <c r="S49" s="92" t="str">
        <f t="shared" si="2"/>
        <v/>
      </c>
      <c r="T49" s="4"/>
      <c r="U49" s="4"/>
      <c r="V49" s="4"/>
      <c r="W49" s="4"/>
      <c r="X49" s="4"/>
      <c r="Y49" s="4"/>
      <c r="Z49" s="4"/>
      <c r="AA49" s="4"/>
      <c r="AB49" s="4"/>
      <c r="AC49" s="4"/>
      <c r="AD49" s="4"/>
    </row>
    <row r="50" spans="1:30" ht="15">
      <c r="A50" s="4"/>
      <c r="B50" s="85">
        <v>36</v>
      </c>
      <c r="C50" s="317" t="str">
        <f>IF('INPUT DATA'!L46="","",'INPUT DATA'!L46)</f>
        <v/>
      </c>
      <c r="D50" s="318"/>
      <c r="E50" s="319"/>
      <c r="F50" s="320" t="str">
        <f>IF('INPUT DATA'!M46="","",'INPUT DATA'!M46)</f>
        <v/>
      </c>
      <c r="G50" s="321"/>
      <c r="H50" s="94" t="str">
        <f>IF('INPUT DATA'!N46="","",'INPUT DATA'!N46)</f>
        <v/>
      </c>
      <c r="I50" s="241" t="str">
        <f t="shared" ca="1" si="1"/>
        <v/>
      </c>
      <c r="J50" s="212"/>
      <c r="K50" s="208"/>
      <c r="L50" s="80"/>
      <c r="M50" s="80"/>
      <c r="N50" s="80"/>
      <c r="O50" s="80"/>
      <c r="P50" s="80"/>
      <c r="Q50" s="80"/>
      <c r="R50" s="91" t="str">
        <f t="shared" si="0"/>
        <v/>
      </c>
      <c r="S50" s="92" t="str">
        <f t="shared" si="2"/>
        <v/>
      </c>
      <c r="T50" s="4"/>
      <c r="U50" s="4"/>
      <c r="V50" s="4"/>
      <c r="W50" s="4"/>
      <c r="X50" s="4"/>
      <c r="Y50" s="4"/>
      <c r="Z50" s="4"/>
      <c r="AA50" s="4"/>
      <c r="AB50" s="4"/>
      <c r="AC50" s="4"/>
      <c r="AD50" s="4"/>
    </row>
    <row r="51" spans="1:30" ht="15">
      <c r="A51" s="4"/>
      <c r="B51" s="85">
        <v>37</v>
      </c>
      <c r="C51" s="317" t="str">
        <f>IF('INPUT DATA'!L47="","",'INPUT DATA'!L47)</f>
        <v/>
      </c>
      <c r="D51" s="318"/>
      <c r="E51" s="319"/>
      <c r="F51" s="320" t="str">
        <f>IF('INPUT DATA'!M47="","",'INPUT DATA'!M47)</f>
        <v/>
      </c>
      <c r="G51" s="321"/>
      <c r="H51" s="94" t="str">
        <f>IF('INPUT DATA'!N47="","",'INPUT DATA'!N47)</f>
        <v/>
      </c>
      <c r="I51" s="241" t="str">
        <f t="shared" ca="1" si="1"/>
        <v/>
      </c>
      <c r="J51" s="212"/>
      <c r="K51" s="208"/>
      <c r="L51" s="80"/>
      <c r="M51" s="80"/>
      <c r="N51" s="80"/>
      <c r="O51" s="80"/>
      <c r="P51" s="80"/>
      <c r="Q51" s="80"/>
      <c r="R51" s="91" t="str">
        <f t="shared" si="0"/>
        <v/>
      </c>
      <c r="S51" s="92" t="str">
        <f t="shared" si="2"/>
        <v/>
      </c>
      <c r="T51" s="4"/>
      <c r="U51" s="4"/>
      <c r="V51" s="4"/>
      <c r="W51" s="4"/>
      <c r="X51" s="4"/>
      <c r="Y51" s="4"/>
      <c r="Z51" s="4"/>
      <c r="AA51" s="4"/>
      <c r="AB51" s="4"/>
      <c r="AC51" s="4"/>
      <c r="AD51" s="4"/>
    </row>
    <row r="52" spans="1:30" ht="15">
      <c r="A52" s="4"/>
      <c r="B52" s="85">
        <v>38</v>
      </c>
      <c r="C52" s="317" t="str">
        <f>IF('INPUT DATA'!L48="","",'INPUT DATA'!L48)</f>
        <v/>
      </c>
      <c r="D52" s="318"/>
      <c r="E52" s="319"/>
      <c r="F52" s="320" t="str">
        <f>IF('INPUT DATA'!M48="","",'INPUT DATA'!M48)</f>
        <v/>
      </c>
      <c r="G52" s="321"/>
      <c r="H52" s="94" t="str">
        <f>IF('INPUT DATA'!N48="","",'INPUT DATA'!N48)</f>
        <v/>
      </c>
      <c r="I52" s="241" t="str">
        <f t="shared" ca="1" si="1"/>
        <v/>
      </c>
      <c r="J52" s="212"/>
      <c r="K52" s="208"/>
      <c r="L52" s="80"/>
      <c r="M52" s="80"/>
      <c r="N52" s="80"/>
      <c r="O52" s="80"/>
      <c r="P52" s="80"/>
      <c r="Q52" s="80"/>
      <c r="R52" s="91" t="str">
        <f t="shared" si="0"/>
        <v/>
      </c>
      <c r="S52" s="92" t="str">
        <f t="shared" si="2"/>
        <v/>
      </c>
      <c r="T52" s="4"/>
      <c r="U52" s="4"/>
      <c r="V52" s="4"/>
      <c r="W52" s="4"/>
      <c r="X52" s="4"/>
      <c r="Y52" s="4"/>
      <c r="Z52" s="4"/>
      <c r="AA52" s="4"/>
      <c r="AB52" s="4"/>
      <c r="AC52" s="4"/>
      <c r="AD52" s="4"/>
    </row>
    <row r="53" spans="1:30" ht="15">
      <c r="A53" s="4"/>
      <c r="B53" s="85">
        <v>39</v>
      </c>
      <c r="C53" s="317" t="str">
        <f>IF('INPUT DATA'!L49="","",'INPUT DATA'!L49)</f>
        <v/>
      </c>
      <c r="D53" s="318"/>
      <c r="E53" s="319"/>
      <c r="F53" s="320" t="str">
        <f>IF('INPUT DATA'!M49="","",'INPUT DATA'!M49)</f>
        <v/>
      </c>
      <c r="G53" s="321"/>
      <c r="H53" s="94" t="str">
        <f>IF('INPUT DATA'!N49="","",'INPUT DATA'!N49)</f>
        <v/>
      </c>
      <c r="I53" s="241" t="str">
        <f t="shared" ca="1" si="1"/>
        <v/>
      </c>
      <c r="J53" s="212"/>
      <c r="K53" s="208"/>
      <c r="L53" s="80"/>
      <c r="M53" s="80"/>
      <c r="N53" s="80"/>
      <c r="O53" s="80"/>
      <c r="P53" s="80"/>
      <c r="Q53" s="80"/>
      <c r="R53" s="91" t="str">
        <f t="shared" si="0"/>
        <v/>
      </c>
      <c r="S53" s="92" t="str">
        <f t="shared" si="2"/>
        <v/>
      </c>
      <c r="T53" s="4"/>
      <c r="U53" s="4"/>
      <c r="V53" s="4"/>
      <c r="W53" s="4"/>
      <c r="X53" s="4"/>
      <c r="Y53" s="4"/>
      <c r="Z53" s="4"/>
      <c r="AA53" s="4"/>
      <c r="AB53" s="4"/>
      <c r="AC53" s="4"/>
      <c r="AD53" s="4"/>
    </row>
    <row r="54" spans="1:30" ht="15">
      <c r="A54" s="4"/>
      <c r="B54" s="85">
        <v>40</v>
      </c>
      <c r="C54" s="317" t="str">
        <f>IF('INPUT DATA'!L50="","",'INPUT DATA'!L50)</f>
        <v/>
      </c>
      <c r="D54" s="318"/>
      <c r="E54" s="319"/>
      <c r="F54" s="320" t="str">
        <f>IF('INPUT DATA'!M50="","",'INPUT DATA'!M50)</f>
        <v/>
      </c>
      <c r="G54" s="321"/>
      <c r="H54" s="94" t="str">
        <f>IF('INPUT DATA'!N50="","",'INPUT DATA'!N50)</f>
        <v/>
      </c>
      <c r="I54" s="241" t="str">
        <f t="shared" ca="1" si="1"/>
        <v/>
      </c>
      <c r="J54" s="212"/>
      <c r="K54" s="208"/>
      <c r="L54" s="80"/>
      <c r="M54" s="80"/>
      <c r="N54" s="80"/>
      <c r="O54" s="80"/>
      <c r="P54" s="80"/>
      <c r="Q54" s="80"/>
      <c r="R54" s="91" t="str">
        <f t="shared" si="0"/>
        <v/>
      </c>
      <c r="S54" s="92" t="str">
        <f t="shared" si="2"/>
        <v/>
      </c>
      <c r="T54" s="4"/>
      <c r="U54" s="4"/>
      <c r="V54" s="4"/>
      <c r="W54" s="4"/>
      <c r="X54" s="4"/>
      <c r="Y54" s="4"/>
      <c r="Z54" s="4"/>
      <c r="AA54" s="4"/>
      <c r="AB54" s="4"/>
      <c r="AC54" s="4"/>
      <c r="AD54" s="4"/>
    </row>
    <row r="55" spans="1:30" ht="15">
      <c r="A55" s="4"/>
      <c r="B55" s="85">
        <v>41</v>
      </c>
      <c r="C55" s="317" t="str">
        <f>IF('INPUT DATA'!L51="","",'INPUT DATA'!L51)</f>
        <v/>
      </c>
      <c r="D55" s="318"/>
      <c r="E55" s="319"/>
      <c r="F55" s="320" t="str">
        <f>IF('INPUT DATA'!M51="","",'INPUT DATA'!M51)</f>
        <v/>
      </c>
      <c r="G55" s="321"/>
      <c r="H55" s="94" t="str">
        <f>IF('INPUT DATA'!N51="","",'INPUT DATA'!N51)</f>
        <v/>
      </c>
      <c r="I55" s="241" t="str">
        <f t="shared" ca="1" si="1"/>
        <v/>
      </c>
      <c r="J55" s="212"/>
      <c r="K55" s="208"/>
      <c r="L55" s="80"/>
      <c r="M55" s="80"/>
      <c r="N55" s="80"/>
      <c r="O55" s="80"/>
      <c r="P55" s="80"/>
      <c r="Q55" s="80"/>
      <c r="R55" s="91" t="str">
        <f t="shared" si="0"/>
        <v/>
      </c>
      <c r="S55" s="92" t="str">
        <f t="shared" si="2"/>
        <v/>
      </c>
      <c r="T55" s="4"/>
      <c r="U55" s="4"/>
      <c r="V55" s="4"/>
      <c r="W55" s="4"/>
      <c r="X55" s="4"/>
      <c r="Y55" s="4"/>
      <c r="Z55" s="4"/>
      <c r="AA55" s="4"/>
      <c r="AB55" s="4"/>
      <c r="AC55" s="4"/>
      <c r="AD55" s="4"/>
    </row>
    <row r="56" spans="1:30" ht="15">
      <c r="A56" s="4"/>
      <c r="B56" s="85">
        <v>42</v>
      </c>
      <c r="C56" s="317" t="str">
        <f>IF('INPUT DATA'!L52="","",'INPUT DATA'!L52)</f>
        <v/>
      </c>
      <c r="D56" s="318"/>
      <c r="E56" s="319"/>
      <c r="F56" s="320" t="str">
        <f>IF('INPUT DATA'!M52="","",'INPUT DATA'!M52)</f>
        <v/>
      </c>
      <c r="G56" s="321"/>
      <c r="H56" s="94" t="str">
        <f>IF('INPUT DATA'!N52="","",'INPUT DATA'!N52)</f>
        <v/>
      </c>
      <c r="I56" s="241" t="str">
        <f t="shared" ca="1" si="1"/>
        <v/>
      </c>
      <c r="J56" s="212"/>
      <c r="K56" s="208"/>
      <c r="L56" s="80"/>
      <c r="M56" s="80"/>
      <c r="N56" s="80"/>
      <c r="O56" s="80"/>
      <c r="P56" s="80"/>
      <c r="Q56" s="80"/>
      <c r="R56" s="91" t="str">
        <f t="shared" si="0"/>
        <v/>
      </c>
      <c r="S56" s="92" t="str">
        <f t="shared" si="2"/>
        <v/>
      </c>
      <c r="T56" s="4"/>
      <c r="U56" s="4"/>
      <c r="V56" s="4"/>
      <c r="W56" s="4"/>
      <c r="X56" s="4"/>
      <c r="Y56" s="4"/>
      <c r="Z56" s="4"/>
      <c r="AA56" s="4"/>
      <c r="AB56" s="4"/>
      <c r="AC56" s="4"/>
      <c r="AD56" s="4"/>
    </row>
    <row r="57" spans="1:30" ht="15">
      <c r="A57" s="4"/>
      <c r="B57" s="85">
        <v>43</v>
      </c>
      <c r="C57" s="317" t="str">
        <f>IF('INPUT DATA'!L53="","",'INPUT DATA'!L53)</f>
        <v/>
      </c>
      <c r="D57" s="318"/>
      <c r="E57" s="319"/>
      <c r="F57" s="320" t="str">
        <f>IF('INPUT DATA'!M53="","",'INPUT DATA'!M53)</f>
        <v/>
      </c>
      <c r="G57" s="321"/>
      <c r="H57" s="94" t="str">
        <f>IF('INPUT DATA'!N53="","",'INPUT DATA'!N53)</f>
        <v/>
      </c>
      <c r="I57" s="241" t="str">
        <f t="shared" ca="1" si="1"/>
        <v/>
      </c>
      <c r="J57" s="212"/>
      <c r="K57" s="208"/>
      <c r="L57" s="80"/>
      <c r="M57" s="80"/>
      <c r="N57" s="80"/>
      <c r="O57" s="80"/>
      <c r="P57" s="80"/>
      <c r="Q57" s="80"/>
      <c r="R57" s="91" t="str">
        <f t="shared" si="0"/>
        <v/>
      </c>
      <c r="S57" s="92" t="str">
        <f t="shared" si="2"/>
        <v/>
      </c>
      <c r="T57" s="4"/>
      <c r="U57" s="4"/>
      <c r="V57" s="4"/>
      <c r="W57" s="4"/>
      <c r="X57" s="4"/>
      <c r="Y57" s="4"/>
      <c r="Z57" s="4"/>
      <c r="AA57" s="4"/>
      <c r="AB57" s="4"/>
      <c r="AC57" s="4"/>
      <c r="AD57" s="4"/>
    </row>
    <row r="58" spans="1:30" ht="15">
      <c r="A58" s="4"/>
      <c r="B58" s="85">
        <v>44</v>
      </c>
      <c r="C58" s="317" t="str">
        <f>IF('INPUT DATA'!L54="","",'INPUT DATA'!L54)</f>
        <v/>
      </c>
      <c r="D58" s="318"/>
      <c r="E58" s="319"/>
      <c r="F58" s="320" t="str">
        <f>IF('INPUT DATA'!M54="","",'INPUT DATA'!M54)</f>
        <v/>
      </c>
      <c r="G58" s="321"/>
      <c r="H58" s="94" t="str">
        <f>IF('INPUT DATA'!N54="","",'INPUT DATA'!N54)</f>
        <v/>
      </c>
      <c r="I58" s="241" t="str">
        <f t="shared" ca="1" si="1"/>
        <v/>
      </c>
      <c r="J58" s="212"/>
      <c r="K58" s="208"/>
      <c r="L58" s="80"/>
      <c r="M58" s="80"/>
      <c r="N58" s="80"/>
      <c r="O58" s="80"/>
      <c r="P58" s="80"/>
      <c r="Q58" s="80"/>
      <c r="R58" s="91" t="str">
        <f t="shared" si="0"/>
        <v/>
      </c>
      <c r="S58" s="92" t="str">
        <f t="shared" si="2"/>
        <v/>
      </c>
      <c r="T58" s="4"/>
      <c r="U58" s="4"/>
      <c r="V58" s="4"/>
      <c r="W58" s="4"/>
      <c r="X58" s="4"/>
      <c r="Y58" s="4"/>
      <c r="Z58" s="4"/>
      <c r="AA58" s="4"/>
      <c r="AB58" s="4"/>
      <c r="AC58" s="4"/>
      <c r="AD58" s="4"/>
    </row>
    <row r="59" spans="1:30" ht="15">
      <c r="A59" s="4"/>
      <c r="B59" s="85">
        <v>45</v>
      </c>
      <c r="C59" s="317" t="str">
        <f>IF('INPUT DATA'!L55="","",'INPUT DATA'!L55)</f>
        <v/>
      </c>
      <c r="D59" s="318"/>
      <c r="E59" s="319"/>
      <c r="F59" s="320" t="str">
        <f>IF('INPUT DATA'!M55="","",'INPUT DATA'!M55)</f>
        <v/>
      </c>
      <c r="G59" s="321"/>
      <c r="H59" s="94" t="str">
        <f>IF('INPUT DATA'!N55="","",'INPUT DATA'!N55)</f>
        <v/>
      </c>
      <c r="I59" s="241" t="str">
        <f t="shared" ca="1" si="1"/>
        <v/>
      </c>
      <c r="J59" s="212"/>
      <c r="K59" s="209"/>
      <c r="L59" s="81"/>
      <c r="M59" s="81"/>
      <c r="N59" s="81"/>
      <c r="O59" s="81"/>
      <c r="P59" s="81"/>
      <c r="Q59" s="81"/>
      <c r="R59" s="91" t="str">
        <f t="shared" si="0"/>
        <v/>
      </c>
      <c r="S59" s="92" t="str">
        <f t="shared" si="2"/>
        <v/>
      </c>
      <c r="T59" s="4"/>
      <c r="U59" s="4"/>
      <c r="V59" s="4"/>
      <c r="W59" s="4"/>
      <c r="X59" s="4"/>
      <c r="Y59" s="4"/>
      <c r="Z59" s="4"/>
      <c r="AA59" s="4"/>
      <c r="AB59" s="4"/>
      <c r="AC59" s="4"/>
      <c r="AD59" s="4"/>
    </row>
    <row r="60" spans="1:30" ht="15">
      <c r="A60" s="4"/>
      <c r="B60" s="85">
        <v>46</v>
      </c>
      <c r="C60" s="317" t="str">
        <f>IF('INPUT DATA'!L56="","",'INPUT DATA'!L56)</f>
        <v/>
      </c>
      <c r="D60" s="318"/>
      <c r="E60" s="319"/>
      <c r="F60" s="320" t="str">
        <f>IF('INPUT DATA'!M56="","",'INPUT DATA'!M56)</f>
        <v/>
      </c>
      <c r="G60" s="321"/>
      <c r="H60" s="94" t="str">
        <f>IF('INPUT DATA'!N56="","",'INPUT DATA'!N56)</f>
        <v/>
      </c>
      <c r="I60" s="241" t="str">
        <f t="shared" ca="1" si="1"/>
        <v/>
      </c>
      <c r="J60" s="212"/>
      <c r="K60" s="208"/>
      <c r="L60" s="80"/>
      <c r="M60" s="80"/>
      <c r="N60" s="80"/>
      <c r="O60" s="80"/>
      <c r="P60" s="80"/>
      <c r="Q60" s="80"/>
      <c r="R60" s="91" t="str">
        <f t="shared" si="0"/>
        <v/>
      </c>
      <c r="S60" s="92" t="str">
        <f t="shared" si="2"/>
        <v/>
      </c>
      <c r="T60" s="4"/>
      <c r="U60" s="4"/>
      <c r="V60" s="4"/>
      <c r="W60" s="4"/>
      <c r="X60" s="4"/>
      <c r="Y60" s="4"/>
      <c r="Z60" s="4"/>
      <c r="AA60" s="4"/>
      <c r="AB60" s="4"/>
      <c r="AC60" s="4"/>
      <c r="AD60" s="4"/>
    </row>
    <row r="61" spans="1:30" ht="15">
      <c r="A61" s="4"/>
      <c r="B61" s="85">
        <v>47</v>
      </c>
      <c r="C61" s="317" t="str">
        <f>IF('INPUT DATA'!L57="","",'INPUT DATA'!L57)</f>
        <v/>
      </c>
      <c r="D61" s="318"/>
      <c r="E61" s="319"/>
      <c r="F61" s="320" t="str">
        <f>IF('INPUT DATA'!M57="","",'INPUT DATA'!M57)</f>
        <v/>
      </c>
      <c r="G61" s="321"/>
      <c r="H61" s="94" t="str">
        <f>IF('INPUT DATA'!N57="","",'INPUT DATA'!N57)</f>
        <v/>
      </c>
      <c r="I61" s="241" t="str">
        <f t="shared" ca="1" si="1"/>
        <v/>
      </c>
      <c r="J61" s="212"/>
      <c r="K61" s="208"/>
      <c r="L61" s="80"/>
      <c r="M61" s="80"/>
      <c r="N61" s="80"/>
      <c r="O61" s="80"/>
      <c r="P61" s="80"/>
      <c r="Q61" s="80"/>
      <c r="R61" s="91" t="str">
        <f t="shared" si="0"/>
        <v/>
      </c>
      <c r="S61" s="92" t="str">
        <f t="shared" si="2"/>
        <v/>
      </c>
      <c r="T61" s="4"/>
      <c r="U61" s="4"/>
      <c r="V61" s="4"/>
      <c r="W61" s="4"/>
      <c r="X61" s="4"/>
      <c r="Y61" s="4"/>
      <c r="Z61" s="4"/>
      <c r="AA61" s="4"/>
      <c r="AB61" s="4"/>
      <c r="AC61" s="4"/>
      <c r="AD61" s="4"/>
    </row>
    <row r="62" spans="1:30" ht="15">
      <c r="A62" s="4"/>
      <c r="B62" s="85">
        <v>48</v>
      </c>
      <c r="C62" s="317" t="str">
        <f>IF('INPUT DATA'!L58="","",'INPUT DATA'!L58)</f>
        <v/>
      </c>
      <c r="D62" s="318"/>
      <c r="E62" s="319"/>
      <c r="F62" s="320" t="str">
        <f>IF('INPUT DATA'!M58="","",'INPUT DATA'!M58)</f>
        <v/>
      </c>
      <c r="G62" s="321"/>
      <c r="H62" s="94" t="str">
        <f>IF('INPUT DATA'!N58="","",'INPUT DATA'!N58)</f>
        <v/>
      </c>
      <c r="I62" s="241" t="str">
        <f t="shared" ca="1" si="1"/>
        <v/>
      </c>
      <c r="J62" s="212"/>
      <c r="K62" s="208"/>
      <c r="L62" s="80"/>
      <c r="M62" s="80"/>
      <c r="N62" s="80"/>
      <c r="O62" s="80"/>
      <c r="P62" s="80"/>
      <c r="Q62" s="80"/>
      <c r="R62" s="91" t="str">
        <f t="shared" si="0"/>
        <v/>
      </c>
      <c r="S62" s="92" t="str">
        <f t="shared" si="2"/>
        <v/>
      </c>
      <c r="T62" s="4"/>
      <c r="U62" s="4"/>
      <c r="V62" s="4"/>
      <c r="W62" s="4"/>
      <c r="X62" s="4"/>
      <c r="Y62" s="4"/>
      <c r="Z62" s="4"/>
      <c r="AA62" s="4"/>
      <c r="AB62" s="4"/>
      <c r="AC62" s="4"/>
      <c r="AD62" s="4"/>
    </row>
    <row r="63" spans="1:30" ht="15">
      <c r="A63" s="4"/>
      <c r="B63" s="85">
        <v>49</v>
      </c>
      <c r="C63" s="317" t="str">
        <f>IF('INPUT DATA'!L59="","",'INPUT DATA'!L59)</f>
        <v/>
      </c>
      <c r="D63" s="318"/>
      <c r="E63" s="319"/>
      <c r="F63" s="320" t="str">
        <f>IF('INPUT DATA'!M59="","",'INPUT DATA'!M59)</f>
        <v/>
      </c>
      <c r="G63" s="321"/>
      <c r="H63" s="94" t="str">
        <f>IF('INPUT DATA'!N59="","",'INPUT DATA'!N59)</f>
        <v/>
      </c>
      <c r="I63" s="241" t="str">
        <f t="shared" ca="1" si="1"/>
        <v/>
      </c>
      <c r="J63" s="212"/>
      <c r="K63" s="208"/>
      <c r="L63" s="80"/>
      <c r="M63" s="80"/>
      <c r="N63" s="80"/>
      <c r="O63" s="80"/>
      <c r="P63" s="80"/>
      <c r="Q63" s="80"/>
      <c r="R63" s="91" t="str">
        <f t="shared" si="0"/>
        <v/>
      </c>
      <c r="S63" s="92" t="str">
        <f t="shared" si="2"/>
        <v/>
      </c>
      <c r="T63" s="4"/>
      <c r="U63" s="4"/>
      <c r="V63" s="4"/>
      <c r="W63" s="4"/>
      <c r="X63" s="4"/>
      <c r="Y63" s="4"/>
      <c r="Z63" s="4"/>
      <c r="AA63" s="4"/>
      <c r="AB63" s="4"/>
      <c r="AC63" s="4"/>
      <c r="AD63" s="4"/>
    </row>
    <row r="64" spans="1:30" ht="15.6" thickBot="1">
      <c r="A64" s="4"/>
      <c r="B64" s="86">
        <v>50</v>
      </c>
      <c r="C64" s="309" t="str">
        <f>IF('INPUT DATA'!L60="","",'INPUT DATA'!L60)</f>
        <v/>
      </c>
      <c r="D64" s="322"/>
      <c r="E64" s="323"/>
      <c r="F64" s="324" t="str">
        <f>IF('INPUT DATA'!M60="","",'INPUT DATA'!M60)</f>
        <v/>
      </c>
      <c r="G64" s="325"/>
      <c r="H64" s="95" t="str">
        <f>IF('INPUT DATA'!N60="","",'INPUT DATA'!N60)</f>
        <v/>
      </c>
      <c r="I64" s="241" t="str">
        <f t="shared" ca="1" si="1"/>
        <v/>
      </c>
      <c r="J64" s="213"/>
      <c r="K64" s="210"/>
      <c r="L64" s="82"/>
      <c r="M64" s="82"/>
      <c r="N64" s="82"/>
      <c r="O64" s="82"/>
      <c r="P64" s="82"/>
      <c r="Q64" s="82"/>
      <c r="R64" s="91" t="str">
        <f t="shared" si="0"/>
        <v/>
      </c>
      <c r="S64" s="92" t="str">
        <f t="shared" si="2"/>
        <v/>
      </c>
      <c r="T64" s="4"/>
      <c r="U64" s="4"/>
      <c r="V64" s="4"/>
      <c r="W64" s="4"/>
      <c r="X64" s="4"/>
      <c r="Y64" s="4"/>
      <c r="Z64" s="4"/>
      <c r="AA64" s="4"/>
      <c r="AB64" s="4"/>
      <c r="AC64" s="4"/>
      <c r="AD64" s="4"/>
    </row>
    <row r="65" spans="1:30" ht="16.2" thickBot="1">
      <c r="A65" s="4"/>
      <c r="B65" s="88" t="s">
        <v>14</v>
      </c>
      <c r="C65" s="89"/>
      <c r="D65" s="89"/>
      <c r="E65" s="89"/>
      <c r="F65" s="89"/>
      <c r="G65" s="89"/>
      <c r="H65" s="89"/>
      <c r="I65" s="51"/>
      <c r="J65" s="214"/>
      <c r="K65" s="51"/>
      <c r="L65" s="51"/>
      <c r="M65" s="51"/>
      <c r="N65" s="51"/>
      <c r="O65" s="51"/>
      <c r="P65" s="51"/>
      <c r="Q65" s="51"/>
      <c r="R65" s="124"/>
      <c r="S65" s="52"/>
      <c r="T65" s="4"/>
      <c r="U65" s="4"/>
      <c r="V65" s="4"/>
      <c r="W65" s="4"/>
      <c r="X65" s="4"/>
      <c r="Y65" s="4"/>
      <c r="Z65" s="4"/>
      <c r="AA65" s="4"/>
      <c r="AB65" s="4"/>
      <c r="AC65" s="4"/>
      <c r="AD65" s="4"/>
    </row>
    <row r="66" spans="1:30" ht="15">
      <c r="A66" s="4"/>
      <c r="B66" s="83">
        <v>1</v>
      </c>
      <c r="C66" s="314" t="str">
        <f>IF('INPUT DATA'!Q11="","",'INPUT DATA'!Q11)</f>
        <v/>
      </c>
      <c r="D66" s="315"/>
      <c r="E66" s="316"/>
      <c r="F66" s="307" t="str">
        <f>IF('INPUT DATA'!T11="","",'INPUT DATA'!T11)</f>
        <v/>
      </c>
      <c r="G66" s="308"/>
      <c r="H66" s="96" t="str">
        <f>IF('INPUT DATA'!S11="","",'INPUT DATA'!S11)</f>
        <v/>
      </c>
      <c r="I66" s="206" t="str">
        <f ca="1">IF(H66="","",DATEDIF(H66,TODAY(),"Y"))</f>
        <v/>
      </c>
      <c r="J66" s="230" t="s">
        <v>125</v>
      </c>
      <c r="K66" s="207"/>
      <c r="L66" s="79"/>
      <c r="M66" s="79"/>
      <c r="N66" s="79"/>
      <c r="O66" s="79"/>
      <c r="P66" s="79"/>
      <c r="Q66" s="120"/>
      <c r="R66" s="125" t="str">
        <f>IF(COUNT(K66:Q66)=0,"",ROUND(AVERAGE(K66:Q66),0))</f>
        <v/>
      </c>
      <c r="S66" s="92" t="str">
        <f>IF(R66="","",_xlfn.RANK.AVG(R66,$R$15:$R$115))</f>
        <v/>
      </c>
      <c r="T66" s="4"/>
      <c r="U66" s="4"/>
      <c r="V66" s="4"/>
      <c r="W66" s="4"/>
      <c r="X66" s="4"/>
      <c r="Y66" s="4"/>
      <c r="Z66" s="4"/>
      <c r="AA66" s="4"/>
      <c r="AB66" s="4"/>
      <c r="AC66" s="4"/>
      <c r="AD66" s="4"/>
    </row>
    <row r="67" spans="1:30" ht="15">
      <c r="A67" s="4"/>
      <c r="B67" s="84">
        <v>2</v>
      </c>
      <c r="C67" s="304" t="str">
        <f>IF('INPUT DATA'!Q12="","",'INPUT DATA'!Q12)</f>
        <v/>
      </c>
      <c r="D67" s="305"/>
      <c r="E67" s="306"/>
      <c r="F67" s="307" t="str">
        <f>IF('INPUT DATA'!T12="","",'INPUT DATA'!T12)</f>
        <v/>
      </c>
      <c r="G67" s="308"/>
      <c r="H67" s="97" t="str">
        <f>IF('INPUT DATA'!S12="","",'INPUT DATA'!S12)</f>
        <v/>
      </c>
      <c r="I67" s="241" t="str">
        <f ca="1">IF(H67="","",DATEDIF(H67,TODAY(),"Y"))</f>
        <v/>
      </c>
      <c r="J67" s="231" t="s">
        <v>125</v>
      </c>
      <c r="K67" s="208"/>
      <c r="L67" s="80"/>
      <c r="M67" s="80"/>
      <c r="N67" s="80"/>
      <c r="O67" s="80"/>
      <c r="P67" s="80"/>
      <c r="Q67" s="121"/>
      <c r="R67" s="126" t="str">
        <f t="shared" ref="R67:R115" si="3">IF(COUNT(K67:Q67)=0,"",ROUND(AVERAGE(K67:Q67),0))</f>
        <v/>
      </c>
      <c r="S67" s="92" t="str">
        <f>IF(R67="","",_xlfn.RANK.AVG(R67,$R$15:$R$115))</f>
        <v/>
      </c>
      <c r="T67" s="4"/>
      <c r="U67" s="4"/>
      <c r="V67" s="4"/>
      <c r="W67" s="4"/>
      <c r="X67" s="4"/>
      <c r="Y67" s="4"/>
      <c r="Z67" s="4"/>
      <c r="AA67" s="4"/>
      <c r="AB67" s="4"/>
      <c r="AC67" s="4"/>
      <c r="AD67" s="4"/>
    </row>
    <row r="68" spans="1:30" ht="15">
      <c r="A68" s="4"/>
      <c r="B68" s="84">
        <v>3</v>
      </c>
      <c r="C68" s="304" t="str">
        <f>IF('INPUT DATA'!Q13="","",'INPUT DATA'!Q13)</f>
        <v/>
      </c>
      <c r="D68" s="305"/>
      <c r="E68" s="306"/>
      <c r="F68" s="307" t="str">
        <f>IF('INPUT DATA'!T13="","",'INPUT DATA'!T13)</f>
        <v/>
      </c>
      <c r="G68" s="308"/>
      <c r="H68" s="97" t="str">
        <f>IF('INPUT DATA'!S13="","",'INPUT DATA'!S13)</f>
        <v/>
      </c>
      <c r="I68" s="241" t="str">
        <f t="shared" ref="I68:I115" ca="1" si="4">IF(H68="","",DATEDIF(H68,TODAY(),"Y"))</f>
        <v/>
      </c>
      <c r="J68" s="231" t="s">
        <v>125</v>
      </c>
      <c r="K68" s="208"/>
      <c r="L68" s="80"/>
      <c r="M68" s="80"/>
      <c r="N68" s="80"/>
      <c r="O68" s="80"/>
      <c r="P68" s="80"/>
      <c r="Q68" s="121"/>
      <c r="R68" s="126" t="str">
        <f t="shared" si="3"/>
        <v/>
      </c>
      <c r="S68" s="92" t="str">
        <f t="shared" ref="S68:S115" si="5">IF(R68="","",_xlfn.RANK.AVG(R68,$R$15:$R$115))</f>
        <v/>
      </c>
      <c r="T68" s="4"/>
      <c r="U68" s="4"/>
      <c r="V68" s="4"/>
      <c r="W68" s="4"/>
      <c r="X68" s="4"/>
      <c r="Y68" s="4"/>
      <c r="Z68" s="4"/>
      <c r="AA68" s="4"/>
      <c r="AB68" s="4"/>
      <c r="AC68" s="4"/>
      <c r="AD68" s="4"/>
    </row>
    <row r="69" spans="1:30" ht="15">
      <c r="A69" s="4"/>
      <c r="B69" s="84">
        <v>4</v>
      </c>
      <c r="C69" s="304" t="str">
        <f>IF('INPUT DATA'!Q14="","",'INPUT DATA'!Q14)</f>
        <v/>
      </c>
      <c r="D69" s="305"/>
      <c r="E69" s="306"/>
      <c r="F69" s="307" t="str">
        <f>IF('INPUT DATA'!T14="","",'INPUT DATA'!T14)</f>
        <v/>
      </c>
      <c r="G69" s="308"/>
      <c r="H69" s="97" t="str">
        <f>IF('INPUT DATA'!S14="","",'INPUT DATA'!S14)</f>
        <v/>
      </c>
      <c r="I69" s="241" t="str">
        <f t="shared" ca="1" si="4"/>
        <v/>
      </c>
      <c r="J69" s="212"/>
      <c r="K69" s="208"/>
      <c r="L69" s="80"/>
      <c r="M69" s="80"/>
      <c r="N69" s="80"/>
      <c r="O69" s="80"/>
      <c r="P69" s="121"/>
      <c r="Q69" s="121"/>
      <c r="R69" s="126" t="str">
        <f t="shared" si="3"/>
        <v/>
      </c>
      <c r="S69" s="92" t="str">
        <f t="shared" si="5"/>
        <v/>
      </c>
      <c r="T69" s="4"/>
      <c r="U69" s="4"/>
      <c r="V69" s="4"/>
      <c r="W69" s="4"/>
      <c r="X69" s="4"/>
      <c r="Y69" s="4"/>
      <c r="Z69" s="4"/>
      <c r="AA69" s="4"/>
      <c r="AB69" s="4"/>
      <c r="AC69" s="4"/>
      <c r="AD69" s="4"/>
    </row>
    <row r="70" spans="1:30" ht="15">
      <c r="A70" s="4"/>
      <c r="B70" s="84">
        <v>5</v>
      </c>
      <c r="C70" s="304" t="str">
        <f>IF('INPUT DATA'!Q15="","",'INPUT DATA'!Q15)</f>
        <v/>
      </c>
      <c r="D70" s="305"/>
      <c r="E70" s="306"/>
      <c r="F70" s="307" t="str">
        <f>IF('INPUT DATA'!T15="","",'INPUT DATA'!T15)</f>
        <v/>
      </c>
      <c r="G70" s="308"/>
      <c r="H70" s="97" t="str">
        <f>IF('INPUT DATA'!S15="","",'INPUT DATA'!S15)</f>
        <v/>
      </c>
      <c r="I70" s="241" t="str">
        <f t="shared" ca="1" si="4"/>
        <v/>
      </c>
      <c r="J70" s="212"/>
      <c r="K70" s="208"/>
      <c r="L70" s="80"/>
      <c r="M70" s="80"/>
      <c r="N70" s="80"/>
      <c r="O70" s="80"/>
      <c r="P70" s="121"/>
      <c r="Q70" s="121"/>
      <c r="R70" s="126" t="str">
        <f t="shared" si="3"/>
        <v/>
      </c>
      <c r="S70" s="92" t="str">
        <f t="shared" si="5"/>
        <v/>
      </c>
      <c r="T70" s="4"/>
      <c r="U70" s="4"/>
      <c r="V70" s="4"/>
      <c r="W70" s="4"/>
      <c r="X70" s="4"/>
      <c r="Y70" s="4"/>
      <c r="Z70" s="4"/>
      <c r="AA70" s="4"/>
      <c r="AB70" s="4"/>
      <c r="AC70" s="4"/>
      <c r="AD70" s="4"/>
    </row>
    <row r="71" spans="1:30" ht="15">
      <c r="A71" s="4"/>
      <c r="B71" s="84">
        <v>6</v>
      </c>
      <c r="C71" s="304" t="str">
        <f>IF('INPUT DATA'!Q16="","",'INPUT DATA'!Q16)</f>
        <v/>
      </c>
      <c r="D71" s="305"/>
      <c r="E71" s="306"/>
      <c r="F71" s="307" t="str">
        <f>IF('INPUT DATA'!T16="","",'INPUT DATA'!T16)</f>
        <v/>
      </c>
      <c r="G71" s="308"/>
      <c r="H71" s="97" t="str">
        <f>IF('INPUT DATA'!S16="","",'INPUT DATA'!S16)</f>
        <v/>
      </c>
      <c r="I71" s="241" t="str">
        <f t="shared" ca="1" si="4"/>
        <v/>
      </c>
      <c r="J71" s="212"/>
      <c r="K71" s="208"/>
      <c r="L71" s="80"/>
      <c r="M71" s="80"/>
      <c r="N71" s="80"/>
      <c r="O71" s="80"/>
      <c r="P71" s="121"/>
      <c r="Q71" s="121"/>
      <c r="R71" s="126" t="str">
        <f t="shared" si="3"/>
        <v/>
      </c>
      <c r="S71" s="92" t="str">
        <f t="shared" si="5"/>
        <v/>
      </c>
      <c r="T71" s="4"/>
      <c r="U71" s="4"/>
      <c r="V71" s="4"/>
      <c r="W71" s="4"/>
      <c r="X71" s="4"/>
      <c r="Y71" s="4"/>
      <c r="Z71" s="4"/>
      <c r="AA71" s="4"/>
      <c r="AB71" s="4"/>
      <c r="AC71" s="4"/>
      <c r="AD71" s="4"/>
    </row>
    <row r="72" spans="1:30" ht="15">
      <c r="A72" s="4"/>
      <c r="B72" s="84">
        <v>7</v>
      </c>
      <c r="C72" s="304" t="str">
        <f>IF('INPUT DATA'!Q17="","",'INPUT DATA'!Q17)</f>
        <v/>
      </c>
      <c r="D72" s="305"/>
      <c r="E72" s="306"/>
      <c r="F72" s="307" t="str">
        <f>IF('INPUT DATA'!T17="","",'INPUT DATA'!T17)</f>
        <v/>
      </c>
      <c r="G72" s="308"/>
      <c r="H72" s="97" t="str">
        <f>IF('INPUT DATA'!S17="","",'INPUT DATA'!S17)</f>
        <v/>
      </c>
      <c r="I72" s="241" t="str">
        <f t="shared" ca="1" si="4"/>
        <v/>
      </c>
      <c r="J72" s="212"/>
      <c r="K72" s="208"/>
      <c r="L72" s="80"/>
      <c r="M72" s="80"/>
      <c r="N72" s="80"/>
      <c r="O72" s="80"/>
      <c r="P72" s="121"/>
      <c r="Q72" s="121"/>
      <c r="R72" s="126" t="str">
        <f t="shared" si="3"/>
        <v/>
      </c>
      <c r="S72" s="92" t="str">
        <f t="shared" si="5"/>
        <v/>
      </c>
      <c r="T72" s="4"/>
      <c r="U72" s="4"/>
      <c r="V72" s="4"/>
      <c r="W72" s="4"/>
      <c r="X72" s="4"/>
      <c r="Y72" s="4"/>
      <c r="Z72" s="4"/>
      <c r="AA72" s="4"/>
      <c r="AB72" s="4"/>
      <c r="AC72" s="4"/>
      <c r="AD72" s="4"/>
    </row>
    <row r="73" spans="1:30" ht="15">
      <c r="A73" s="4"/>
      <c r="B73" s="84">
        <v>8</v>
      </c>
      <c r="C73" s="304" t="str">
        <f>IF('INPUT DATA'!Q18="","",'INPUT DATA'!Q18)</f>
        <v/>
      </c>
      <c r="D73" s="305"/>
      <c r="E73" s="306"/>
      <c r="F73" s="307" t="str">
        <f>IF('INPUT DATA'!T18="","",'INPUT DATA'!T18)</f>
        <v/>
      </c>
      <c r="G73" s="308"/>
      <c r="H73" s="97" t="str">
        <f>IF('INPUT DATA'!S18="","",'INPUT DATA'!S18)</f>
        <v/>
      </c>
      <c r="I73" s="241" t="str">
        <f t="shared" ca="1" si="4"/>
        <v/>
      </c>
      <c r="J73" s="212"/>
      <c r="K73" s="208"/>
      <c r="L73" s="80"/>
      <c r="M73" s="80"/>
      <c r="N73" s="80"/>
      <c r="O73" s="80"/>
      <c r="P73" s="121"/>
      <c r="Q73" s="121"/>
      <c r="R73" s="126" t="str">
        <f t="shared" si="3"/>
        <v/>
      </c>
      <c r="S73" s="92" t="str">
        <f t="shared" si="5"/>
        <v/>
      </c>
      <c r="T73" s="4"/>
      <c r="U73" s="4"/>
      <c r="V73" s="4"/>
      <c r="W73" s="4"/>
      <c r="X73" s="4"/>
      <c r="Y73" s="4"/>
      <c r="Z73" s="4"/>
      <c r="AA73" s="4"/>
      <c r="AB73" s="4"/>
      <c r="AC73" s="4"/>
      <c r="AD73" s="4"/>
    </row>
    <row r="74" spans="1:30" ht="15">
      <c r="A74" s="4"/>
      <c r="B74" s="84">
        <v>9</v>
      </c>
      <c r="C74" s="304" t="str">
        <f>IF('INPUT DATA'!Q19="","",'INPUT DATA'!Q19)</f>
        <v/>
      </c>
      <c r="D74" s="305"/>
      <c r="E74" s="306"/>
      <c r="F74" s="307" t="str">
        <f>IF('INPUT DATA'!T19="","",'INPUT DATA'!T19)</f>
        <v/>
      </c>
      <c r="G74" s="308"/>
      <c r="H74" s="97" t="str">
        <f>IF('INPUT DATA'!S19="","",'INPUT DATA'!S19)</f>
        <v/>
      </c>
      <c r="I74" s="241" t="str">
        <f t="shared" ca="1" si="4"/>
        <v/>
      </c>
      <c r="J74" s="212"/>
      <c r="K74" s="208"/>
      <c r="L74" s="80"/>
      <c r="M74" s="80"/>
      <c r="N74" s="80"/>
      <c r="O74" s="80"/>
      <c r="P74" s="121"/>
      <c r="Q74" s="121"/>
      <c r="R74" s="126" t="str">
        <f t="shared" si="3"/>
        <v/>
      </c>
      <c r="S74" s="92" t="str">
        <f t="shared" si="5"/>
        <v/>
      </c>
      <c r="T74" s="4"/>
      <c r="U74" s="4"/>
      <c r="V74" s="4"/>
      <c r="W74" s="4"/>
      <c r="X74" s="4"/>
      <c r="Y74" s="4"/>
      <c r="Z74" s="4"/>
      <c r="AA74" s="4"/>
      <c r="AB74" s="4"/>
      <c r="AC74" s="4"/>
      <c r="AD74" s="4"/>
    </row>
    <row r="75" spans="1:30" ht="15">
      <c r="A75" s="4"/>
      <c r="B75" s="84">
        <v>10</v>
      </c>
      <c r="C75" s="304" t="str">
        <f>IF('INPUT DATA'!Q20="","",'INPUT DATA'!Q20)</f>
        <v/>
      </c>
      <c r="D75" s="305"/>
      <c r="E75" s="306"/>
      <c r="F75" s="307" t="str">
        <f>IF('INPUT DATA'!T20="","",'INPUT DATA'!T20)</f>
        <v/>
      </c>
      <c r="G75" s="308"/>
      <c r="H75" s="97" t="str">
        <f>IF('INPUT DATA'!S20="","",'INPUT DATA'!S20)</f>
        <v/>
      </c>
      <c r="I75" s="241" t="str">
        <f t="shared" ca="1" si="4"/>
        <v/>
      </c>
      <c r="J75" s="212"/>
      <c r="K75" s="208"/>
      <c r="L75" s="80"/>
      <c r="M75" s="80"/>
      <c r="N75" s="80"/>
      <c r="O75" s="80"/>
      <c r="P75" s="121"/>
      <c r="Q75" s="121"/>
      <c r="R75" s="126" t="str">
        <f t="shared" si="3"/>
        <v/>
      </c>
      <c r="S75" s="92" t="str">
        <f t="shared" si="5"/>
        <v/>
      </c>
      <c r="T75" s="4"/>
      <c r="U75" s="4"/>
      <c r="V75" s="4"/>
      <c r="W75" s="4"/>
      <c r="X75" s="4"/>
      <c r="Y75" s="4"/>
      <c r="Z75" s="4"/>
      <c r="AA75" s="4"/>
      <c r="AB75" s="4"/>
      <c r="AC75" s="4"/>
      <c r="AD75" s="4"/>
    </row>
    <row r="76" spans="1:30" ht="15">
      <c r="A76" s="4"/>
      <c r="B76" s="84">
        <v>11</v>
      </c>
      <c r="C76" s="304" t="str">
        <f>IF('INPUT DATA'!Q21="","",'INPUT DATA'!Q21)</f>
        <v/>
      </c>
      <c r="D76" s="305"/>
      <c r="E76" s="306"/>
      <c r="F76" s="307" t="str">
        <f>IF('INPUT DATA'!T21="","",'INPUT DATA'!T21)</f>
        <v/>
      </c>
      <c r="G76" s="308"/>
      <c r="H76" s="97" t="str">
        <f>IF('INPUT DATA'!S21="","",'INPUT DATA'!S21)</f>
        <v/>
      </c>
      <c r="I76" s="241" t="str">
        <f t="shared" ca="1" si="4"/>
        <v/>
      </c>
      <c r="J76" s="212"/>
      <c r="K76" s="208"/>
      <c r="L76" s="80"/>
      <c r="M76" s="80"/>
      <c r="N76" s="80"/>
      <c r="O76" s="80"/>
      <c r="P76" s="121"/>
      <c r="Q76" s="121"/>
      <c r="R76" s="126" t="str">
        <f t="shared" si="3"/>
        <v/>
      </c>
      <c r="S76" s="92" t="str">
        <f t="shared" si="5"/>
        <v/>
      </c>
      <c r="T76" s="4"/>
      <c r="U76" s="4"/>
      <c r="V76" s="4"/>
      <c r="W76" s="4"/>
      <c r="X76" s="4"/>
      <c r="Y76" s="4"/>
      <c r="Z76" s="4"/>
      <c r="AA76" s="4"/>
      <c r="AB76" s="4"/>
      <c r="AC76" s="4"/>
      <c r="AD76" s="4"/>
    </row>
    <row r="77" spans="1:30" ht="15">
      <c r="A77" s="4"/>
      <c r="B77" s="84">
        <v>12</v>
      </c>
      <c r="C77" s="304" t="str">
        <f>IF('INPUT DATA'!Q22="","",'INPUT DATA'!Q22)</f>
        <v/>
      </c>
      <c r="D77" s="305"/>
      <c r="E77" s="306"/>
      <c r="F77" s="307" t="str">
        <f>IF('INPUT DATA'!T22="","",'INPUT DATA'!T22)</f>
        <v/>
      </c>
      <c r="G77" s="308"/>
      <c r="H77" s="97" t="str">
        <f>IF('INPUT DATA'!S22="","",'INPUT DATA'!S22)</f>
        <v/>
      </c>
      <c r="I77" s="241" t="str">
        <f t="shared" ca="1" si="4"/>
        <v/>
      </c>
      <c r="J77" s="212"/>
      <c r="K77" s="208"/>
      <c r="L77" s="80"/>
      <c r="M77" s="80"/>
      <c r="N77" s="80"/>
      <c r="O77" s="80"/>
      <c r="P77" s="121"/>
      <c r="Q77" s="121"/>
      <c r="R77" s="126" t="str">
        <f t="shared" si="3"/>
        <v/>
      </c>
      <c r="S77" s="92" t="str">
        <f t="shared" si="5"/>
        <v/>
      </c>
      <c r="T77" s="4"/>
      <c r="U77" s="4"/>
      <c r="V77" s="4"/>
      <c r="W77" s="4"/>
      <c r="X77" s="4"/>
      <c r="Y77" s="4"/>
      <c r="Z77" s="4"/>
      <c r="AA77" s="4"/>
      <c r="AB77" s="4"/>
      <c r="AC77" s="4"/>
      <c r="AD77" s="4"/>
    </row>
    <row r="78" spans="1:30" ht="15">
      <c r="A78" s="4"/>
      <c r="B78" s="84">
        <v>13</v>
      </c>
      <c r="C78" s="304" t="str">
        <f>IF('INPUT DATA'!Q23="","",'INPUT DATA'!Q23)</f>
        <v/>
      </c>
      <c r="D78" s="305"/>
      <c r="E78" s="306"/>
      <c r="F78" s="307" t="str">
        <f>IF('INPUT DATA'!T23="","",'INPUT DATA'!T23)</f>
        <v/>
      </c>
      <c r="G78" s="308"/>
      <c r="H78" s="97" t="str">
        <f>IF('INPUT DATA'!S23="","",'INPUT DATA'!S23)</f>
        <v/>
      </c>
      <c r="I78" s="241" t="str">
        <f t="shared" ca="1" si="4"/>
        <v/>
      </c>
      <c r="J78" s="212"/>
      <c r="K78" s="208"/>
      <c r="L78" s="80"/>
      <c r="M78" s="80"/>
      <c r="N78" s="80"/>
      <c r="O78" s="80"/>
      <c r="P78" s="121"/>
      <c r="Q78" s="121"/>
      <c r="R78" s="126" t="str">
        <f t="shared" si="3"/>
        <v/>
      </c>
      <c r="S78" s="92" t="str">
        <f t="shared" si="5"/>
        <v/>
      </c>
      <c r="T78" s="4"/>
      <c r="U78" s="4"/>
      <c r="V78" s="4"/>
      <c r="W78" s="4"/>
      <c r="X78" s="4"/>
      <c r="Y78" s="4"/>
      <c r="Z78" s="4"/>
      <c r="AA78" s="4"/>
      <c r="AB78" s="4"/>
      <c r="AC78" s="4"/>
      <c r="AD78" s="4"/>
    </row>
    <row r="79" spans="1:30" ht="15">
      <c r="A79" s="4"/>
      <c r="B79" s="84">
        <v>14</v>
      </c>
      <c r="C79" s="304" t="str">
        <f>IF('INPUT DATA'!Q24="","",'INPUT DATA'!Q24)</f>
        <v/>
      </c>
      <c r="D79" s="305"/>
      <c r="E79" s="306"/>
      <c r="F79" s="307" t="str">
        <f>IF('INPUT DATA'!T24="","",'INPUT DATA'!T24)</f>
        <v/>
      </c>
      <c r="G79" s="308"/>
      <c r="H79" s="97" t="str">
        <f>IF('INPUT DATA'!S24="","",'INPUT DATA'!S24)</f>
        <v/>
      </c>
      <c r="I79" s="241" t="str">
        <f t="shared" ca="1" si="4"/>
        <v/>
      </c>
      <c r="J79" s="212"/>
      <c r="K79" s="208"/>
      <c r="L79" s="80"/>
      <c r="M79" s="80"/>
      <c r="N79" s="80"/>
      <c r="O79" s="80"/>
      <c r="P79" s="121"/>
      <c r="Q79" s="121"/>
      <c r="R79" s="126" t="str">
        <f t="shared" si="3"/>
        <v/>
      </c>
      <c r="S79" s="92" t="str">
        <f t="shared" si="5"/>
        <v/>
      </c>
      <c r="T79" s="4"/>
      <c r="U79" s="4"/>
      <c r="V79" s="4"/>
      <c r="W79" s="4"/>
      <c r="X79" s="4"/>
      <c r="Y79" s="4"/>
      <c r="Z79" s="4"/>
      <c r="AA79" s="4"/>
      <c r="AB79" s="4"/>
      <c r="AC79" s="4"/>
      <c r="AD79" s="4"/>
    </row>
    <row r="80" spans="1:30" ht="15">
      <c r="A80" s="4"/>
      <c r="B80" s="84">
        <v>15</v>
      </c>
      <c r="C80" s="304" t="str">
        <f>IF('INPUT DATA'!Q25="","",'INPUT DATA'!Q25)</f>
        <v/>
      </c>
      <c r="D80" s="305"/>
      <c r="E80" s="306"/>
      <c r="F80" s="307" t="str">
        <f>IF('INPUT DATA'!T25="","",'INPUT DATA'!T25)</f>
        <v/>
      </c>
      <c r="G80" s="308"/>
      <c r="H80" s="97" t="str">
        <f>IF('INPUT DATA'!S25="","",'INPUT DATA'!S25)</f>
        <v/>
      </c>
      <c r="I80" s="241" t="str">
        <f t="shared" ca="1" si="4"/>
        <v/>
      </c>
      <c r="J80" s="212"/>
      <c r="K80" s="208"/>
      <c r="L80" s="80"/>
      <c r="M80" s="80"/>
      <c r="N80" s="80"/>
      <c r="O80" s="80"/>
      <c r="P80" s="121"/>
      <c r="Q80" s="121"/>
      <c r="R80" s="126" t="str">
        <f t="shared" si="3"/>
        <v/>
      </c>
      <c r="S80" s="92" t="str">
        <f t="shared" si="5"/>
        <v/>
      </c>
      <c r="T80" s="4"/>
      <c r="U80" s="4"/>
      <c r="V80" s="4"/>
      <c r="W80" s="4"/>
      <c r="X80" s="4"/>
      <c r="Y80" s="4"/>
      <c r="Z80" s="4"/>
      <c r="AA80" s="4"/>
      <c r="AB80" s="4"/>
      <c r="AC80" s="4"/>
      <c r="AD80" s="4"/>
    </row>
    <row r="81" spans="1:30" ht="15">
      <c r="A81" s="4"/>
      <c r="B81" s="84">
        <v>16</v>
      </c>
      <c r="C81" s="304" t="str">
        <f>IF('INPUT DATA'!Q26="","",'INPUT DATA'!Q26)</f>
        <v/>
      </c>
      <c r="D81" s="305"/>
      <c r="E81" s="306"/>
      <c r="F81" s="307" t="str">
        <f>IF('INPUT DATA'!T26="","",'INPUT DATA'!T26)</f>
        <v/>
      </c>
      <c r="G81" s="308"/>
      <c r="H81" s="97" t="str">
        <f>IF('INPUT DATA'!S26="","",'INPUT DATA'!S26)</f>
        <v/>
      </c>
      <c r="I81" s="241" t="str">
        <f t="shared" ca="1" si="4"/>
        <v/>
      </c>
      <c r="J81" s="212"/>
      <c r="K81" s="208"/>
      <c r="L81" s="80"/>
      <c r="M81" s="80"/>
      <c r="N81" s="80"/>
      <c r="O81" s="80"/>
      <c r="P81" s="121"/>
      <c r="Q81" s="121"/>
      <c r="R81" s="126" t="str">
        <f t="shared" si="3"/>
        <v/>
      </c>
      <c r="S81" s="92" t="str">
        <f t="shared" si="5"/>
        <v/>
      </c>
      <c r="T81" s="4"/>
      <c r="U81" s="4"/>
      <c r="V81" s="4"/>
      <c r="W81" s="4"/>
      <c r="X81" s="4"/>
      <c r="Y81" s="4"/>
      <c r="Z81" s="4"/>
      <c r="AA81" s="4"/>
      <c r="AB81" s="4"/>
      <c r="AC81" s="4"/>
      <c r="AD81" s="4"/>
    </row>
    <row r="82" spans="1:30" ht="15">
      <c r="A82" s="4"/>
      <c r="B82" s="84">
        <v>17</v>
      </c>
      <c r="C82" s="304" t="str">
        <f>IF('INPUT DATA'!Q27="","",'INPUT DATA'!Q27)</f>
        <v/>
      </c>
      <c r="D82" s="305"/>
      <c r="E82" s="306"/>
      <c r="F82" s="307" t="str">
        <f>IF('INPUT DATA'!T27="","",'INPUT DATA'!T27)</f>
        <v/>
      </c>
      <c r="G82" s="308"/>
      <c r="H82" s="97" t="str">
        <f>IF('INPUT DATA'!S27="","",'INPUT DATA'!S27)</f>
        <v/>
      </c>
      <c r="I82" s="241" t="str">
        <f t="shared" ca="1" si="4"/>
        <v/>
      </c>
      <c r="J82" s="212"/>
      <c r="K82" s="208"/>
      <c r="L82" s="80"/>
      <c r="M82" s="80"/>
      <c r="N82" s="80"/>
      <c r="O82" s="80"/>
      <c r="P82" s="121"/>
      <c r="Q82" s="121"/>
      <c r="R82" s="126" t="str">
        <f t="shared" si="3"/>
        <v/>
      </c>
      <c r="S82" s="92" t="str">
        <f t="shared" si="5"/>
        <v/>
      </c>
      <c r="T82" s="4"/>
      <c r="U82" s="4"/>
      <c r="V82" s="4"/>
      <c r="W82" s="4"/>
      <c r="X82" s="4"/>
      <c r="Y82" s="4"/>
      <c r="Z82" s="4"/>
      <c r="AA82" s="4"/>
      <c r="AB82" s="4"/>
      <c r="AC82" s="4"/>
      <c r="AD82" s="4"/>
    </row>
    <row r="83" spans="1:30" ht="15">
      <c r="A83" s="4"/>
      <c r="B83" s="84">
        <v>18</v>
      </c>
      <c r="C83" s="304" t="str">
        <f>IF('INPUT DATA'!Q28="","",'INPUT DATA'!Q28)</f>
        <v/>
      </c>
      <c r="D83" s="305"/>
      <c r="E83" s="306"/>
      <c r="F83" s="307" t="str">
        <f>IF('INPUT DATA'!T28="","",'INPUT DATA'!T28)</f>
        <v/>
      </c>
      <c r="G83" s="308"/>
      <c r="H83" s="97" t="str">
        <f>IF('INPUT DATA'!S28="","",'INPUT DATA'!S28)</f>
        <v/>
      </c>
      <c r="I83" s="241" t="str">
        <f t="shared" ca="1" si="4"/>
        <v/>
      </c>
      <c r="J83" s="212"/>
      <c r="K83" s="208"/>
      <c r="L83" s="80"/>
      <c r="M83" s="80"/>
      <c r="N83" s="80"/>
      <c r="O83" s="80"/>
      <c r="P83" s="121"/>
      <c r="Q83" s="121"/>
      <c r="R83" s="126" t="str">
        <f t="shared" si="3"/>
        <v/>
      </c>
      <c r="S83" s="92" t="str">
        <f t="shared" si="5"/>
        <v/>
      </c>
      <c r="T83" s="4"/>
      <c r="U83" s="4"/>
      <c r="V83" s="4"/>
      <c r="W83" s="4"/>
      <c r="X83" s="4"/>
      <c r="Y83" s="4"/>
      <c r="Z83" s="4"/>
      <c r="AA83" s="4"/>
      <c r="AB83" s="4"/>
      <c r="AC83" s="4"/>
      <c r="AD83" s="4"/>
    </row>
    <row r="84" spans="1:30" ht="15">
      <c r="A84" s="4"/>
      <c r="B84" s="84">
        <v>19</v>
      </c>
      <c r="C84" s="304" t="str">
        <f>IF('INPUT DATA'!Q29="","",'INPUT DATA'!Q29)</f>
        <v/>
      </c>
      <c r="D84" s="305"/>
      <c r="E84" s="306"/>
      <c r="F84" s="307" t="str">
        <f>IF('INPUT DATA'!T29="","",'INPUT DATA'!T29)</f>
        <v/>
      </c>
      <c r="G84" s="308"/>
      <c r="H84" s="97" t="str">
        <f>IF('INPUT DATA'!S29="","",'INPUT DATA'!S29)</f>
        <v/>
      </c>
      <c r="I84" s="241" t="str">
        <f t="shared" ca="1" si="4"/>
        <v/>
      </c>
      <c r="J84" s="212"/>
      <c r="K84" s="208"/>
      <c r="L84" s="80"/>
      <c r="M84" s="80"/>
      <c r="N84" s="80"/>
      <c r="O84" s="80"/>
      <c r="P84" s="121"/>
      <c r="Q84" s="121"/>
      <c r="R84" s="126" t="str">
        <f t="shared" si="3"/>
        <v/>
      </c>
      <c r="S84" s="92" t="str">
        <f t="shared" si="5"/>
        <v/>
      </c>
      <c r="T84" s="4"/>
      <c r="U84" s="4"/>
      <c r="V84" s="4"/>
      <c r="W84" s="4"/>
      <c r="X84" s="4"/>
      <c r="Y84" s="4"/>
      <c r="Z84" s="4"/>
      <c r="AA84" s="4"/>
      <c r="AB84" s="4"/>
      <c r="AC84" s="4"/>
      <c r="AD84" s="4"/>
    </row>
    <row r="85" spans="1:30" ht="15">
      <c r="A85" s="4"/>
      <c r="B85" s="85">
        <v>20</v>
      </c>
      <c r="C85" s="304" t="str">
        <f>IF('INPUT DATA'!Q30="","",'INPUT DATA'!Q30)</f>
        <v/>
      </c>
      <c r="D85" s="305"/>
      <c r="E85" s="306"/>
      <c r="F85" s="307" t="str">
        <f>IF('INPUT DATA'!T30="","",'INPUT DATA'!T30)</f>
        <v/>
      </c>
      <c r="G85" s="308"/>
      <c r="H85" s="97" t="str">
        <f>IF('INPUT DATA'!S30="","",'INPUT DATA'!S30)</f>
        <v/>
      </c>
      <c r="I85" s="241" t="str">
        <f t="shared" ca="1" si="4"/>
        <v/>
      </c>
      <c r="J85" s="212"/>
      <c r="K85" s="209"/>
      <c r="L85" s="81"/>
      <c r="M85" s="81"/>
      <c r="N85" s="81"/>
      <c r="O85" s="81"/>
      <c r="P85" s="122"/>
      <c r="Q85" s="122"/>
      <c r="R85" s="126" t="str">
        <f t="shared" si="3"/>
        <v/>
      </c>
      <c r="S85" s="92" t="str">
        <f t="shared" si="5"/>
        <v/>
      </c>
      <c r="T85" s="4"/>
      <c r="U85" s="4"/>
      <c r="V85" s="4"/>
      <c r="W85" s="4"/>
      <c r="X85" s="4"/>
      <c r="Y85" s="4"/>
      <c r="Z85" s="4"/>
      <c r="AA85" s="4"/>
      <c r="AB85" s="4"/>
      <c r="AC85" s="4"/>
      <c r="AD85" s="4"/>
    </row>
    <row r="86" spans="1:30" ht="15">
      <c r="A86" s="4"/>
      <c r="B86" s="85">
        <v>21</v>
      </c>
      <c r="C86" s="304" t="str">
        <f>IF('INPUT DATA'!Q31="","",'INPUT DATA'!Q31)</f>
        <v/>
      </c>
      <c r="D86" s="305"/>
      <c r="E86" s="306"/>
      <c r="F86" s="307" t="str">
        <f>IF('INPUT DATA'!T31="","",'INPUT DATA'!T31)</f>
        <v/>
      </c>
      <c r="G86" s="308"/>
      <c r="H86" s="97" t="str">
        <f>IF('INPUT DATA'!S31="","",'INPUT DATA'!S31)</f>
        <v/>
      </c>
      <c r="I86" s="241" t="str">
        <f t="shared" ca="1" si="4"/>
        <v/>
      </c>
      <c r="J86" s="212"/>
      <c r="K86" s="208"/>
      <c r="L86" s="80"/>
      <c r="M86" s="80"/>
      <c r="N86" s="80"/>
      <c r="O86" s="80"/>
      <c r="P86" s="121"/>
      <c r="Q86" s="121"/>
      <c r="R86" s="126" t="str">
        <f t="shared" si="3"/>
        <v/>
      </c>
      <c r="S86" s="92" t="str">
        <f t="shared" si="5"/>
        <v/>
      </c>
      <c r="T86" s="4"/>
      <c r="U86" s="4"/>
      <c r="V86" s="4"/>
      <c r="W86" s="4"/>
      <c r="X86" s="4"/>
      <c r="Y86" s="4"/>
      <c r="Z86" s="4"/>
      <c r="AA86" s="4"/>
      <c r="AB86" s="4"/>
      <c r="AC86" s="4"/>
      <c r="AD86" s="4"/>
    </row>
    <row r="87" spans="1:30" ht="15">
      <c r="A87" s="4"/>
      <c r="B87" s="85">
        <v>22</v>
      </c>
      <c r="C87" s="304" t="str">
        <f>IF('INPUT DATA'!Q32="","",'INPUT DATA'!Q32)</f>
        <v/>
      </c>
      <c r="D87" s="305"/>
      <c r="E87" s="306"/>
      <c r="F87" s="307" t="str">
        <f>IF('INPUT DATA'!T32="","",'INPUT DATA'!T32)</f>
        <v/>
      </c>
      <c r="G87" s="308"/>
      <c r="H87" s="97" t="str">
        <f>IF('INPUT DATA'!S32="","",'INPUT DATA'!S32)</f>
        <v/>
      </c>
      <c r="I87" s="241" t="str">
        <f t="shared" ca="1" si="4"/>
        <v/>
      </c>
      <c r="J87" s="212"/>
      <c r="K87" s="208"/>
      <c r="L87" s="80"/>
      <c r="M87" s="80"/>
      <c r="N87" s="80"/>
      <c r="O87" s="80"/>
      <c r="P87" s="121"/>
      <c r="Q87" s="121"/>
      <c r="R87" s="126" t="str">
        <f t="shared" si="3"/>
        <v/>
      </c>
      <c r="S87" s="92" t="str">
        <f t="shared" si="5"/>
        <v/>
      </c>
      <c r="T87" s="4"/>
      <c r="U87" s="4"/>
      <c r="V87" s="4"/>
      <c r="W87" s="4"/>
      <c r="X87" s="4"/>
      <c r="Y87" s="4"/>
      <c r="Z87" s="4"/>
      <c r="AA87" s="4"/>
      <c r="AB87" s="4"/>
      <c r="AC87" s="4"/>
      <c r="AD87" s="4"/>
    </row>
    <row r="88" spans="1:30" ht="15">
      <c r="A88" s="4"/>
      <c r="B88" s="85">
        <v>23</v>
      </c>
      <c r="C88" s="304" t="str">
        <f>IF('INPUT DATA'!Q33="","",'INPUT DATA'!Q33)</f>
        <v/>
      </c>
      <c r="D88" s="305"/>
      <c r="E88" s="306"/>
      <c r="F88" s="307" t="str">
        <f>IF('INPUT DATA'!T33="","",'INPUT DATA'!T33)</f>
        <v/>
      </c>
      <c r="G88" s="308"/>
      <c r="H88" s="97" t="str">
        <f>IF('INPUT DATA'!S33="","",'INPUT DATA'!S33)</f>
        <v/>
      </c>
      <c r="I88" s="241" t="str">
        <f t="shared" ca="1" si="4"/>
        <v/>
      </c>
      <c r="J88" s="212"/>
      <c r="K88" s="208"/>
      <c r="L88" s="80"/>
      <c r="M88" s="80"/>
      <c r="N88" s="80"/>
      <c r="O88" s="80"/>
      <c r="P88" s="121"/>
      <c r="Q88" s="121"/>
      <c r="R88" s="126" t="str">
        <f t="shared" si="3"/>
        <v/>
      </c>
      <c r="S88" s="92" t="str">
        <f t="shared" si="5"/>
        <v/>
      </c>
      <c r="T88" s="4"/>
      <c r="U88" s="4"/>
      <c r="V88" s="4"/>
      <c r="W88" s="4"/>
      <c r="X88" s="4"/>
      <c r="Y88" s="4"/>
      <c r="Z88" s="4"/>
      <c r="AA88" s="4"/>
      <c r="AB88" s="4"/>
      <c r="AC88" s="4"/>
      <c r="AD88" s="4"/>
    </row>
    <row r="89" spans="1:30" ht="15">
      <c r="A89" s="4"/>
      <c r="B89" s="85">
        <v>24</v>
      </c>
      <c r="C89" s="304" t="str">
        <f>IF('INPUT DATA'!Q34="","",'INPUT DATA'!Q34)</f>
        <v/>
      </c>
      <c r="D89" s="305"/>
      <c r="E89" s="306"/>
      <c r="F89" s="307" t="str">
        <f>IF('INPUT DATA'!T34="","",'INPUT DATA'!T34)</f>
        <v/>
      </c>
      <c r="G89" s="308"/>
      <c r="H89" s="97" t="str">
        <f>IF('INPUT DATA'!S34="","",'INPUT DATA'!S34)</f>
        <v/>
      </c>
      <c r="I89" s="241" t="str">
        <f t="shared" ca="1" si="4"/>
        <v/>
      </c>
      <c r="J89" s="212"/>
      <c r="K89" s="208"/>
      <c r="L89" s="80"/>
      <c r="M89" s="80"/>
      <c r="N89" s="80"/>
      <c r="O89" s="80"/>
      <c r="P89" s="121"/>
      <c r="Q89" s="121"/>
      <c r="R89" s="126" t="str">
        <f t="shared" si="3"/>
        <v/>
      </c>
      <c r="S89" s="92" t="str">
        <f t="shared" si="5"/>
        <v/>
      </c>
      <c r="T89" s="4"/>
      <c r="U89" s="4"/>
      <c r="V89" s="4"/>
      <c r="W89" s="4"/>
      <c r="X89" s="4"/>
      <c r="Y89" s="4"/>
      <c r="Z89" s="4"/>
      <c r="AA89" s="4"/>
      <c r="AB89" s="4"/>
      <c r="AC89" s="4"/>
      <c r="AD89" s="4"/>
    </row>
    <row r="90" spans="1:30" ht="15">
      <c r="A90" s="4"/>
      <c r="B90" s="85">
        <v>25</v>
      </c>
      <c r="C90" s="304" t="str">
        <f>IF('INPUT DATA'!Q35="","",'INPUT DATA'!Q35)</f>
        <v/>
      </c>
      <c r="D90" s="305"/>
      <c r="E90" s="306"/>
      <c r="F90" s="307" t="str">
        <f>IF('INPUT DATA'!T35="","",'INPUT DATA'!T35)</f>
        <v/>
      </c>
      <c r="G90" s="308"/>
      <c r="H90" s="97" t="str">
        <f>IF('INPUT DATA'!S35="","",'INPUT DATA'!S35)</f>
        <v/>
      </c>
      <c r="I90" s="241" t="str">
        <f t="shared" ca="1" si="4"/>
        <v/>
      </c>
      <c r="J90" s="212"/>
      <c r="K90" s="208"/>
      <c r="L90" s="80"/>
      <c r="M90" s="80"/>
      <c r="N90" s="80"/>
      <c r="O90" s="80"/>
      <c r="P90" s="121"/>
      <c r="Q90" s="121"/>
      <c r="R90" s="126" t="str">
        <f t="shared" si="3"/>
        <v/>
      </c>
      <c r="S90" s="92" t="str">
        <f t="shared" si="5"/>
        <v/>
      </c>
      <c r="T90" s="4"/>
      <c r="U90" s="4"/>
      <c r="V90" s="4"/>
      <c r="W90" s="4"/>
      <c r="X90" s="4"/>
      <c r="Y90" s="4"/>
      <c r="Z90" s="4"/>
      <c r="AA90" s="4"/>
      <c r="AB90" s="4"/>
      <c r="AC90" s="4"/>
      <c r="AD90" s="4"/>
    </row>
    <row r="91" spans="1:30" ht="15">
      <c r="A91" s="4"/>
      <c r="B91" s="85">
        <v>26</v>
      </c>
      <c r="C91" s="304" t="str">
        <f>IF('INPUT DATA'!Q36="","",'INPUT DATA'!Q36)</f>
        <v/>
      </c>
      <c r="D91" s="305"/>
      <c r="E91" s="306"/>
      <c r="F91" s="307" t="str">
        <f>IF('INPUT DATA'!T36="","",'INPUT DATA'!T36)</f>
        <v/>
      </c>
      <c r="G91" s="308"/>
      <c r="H91" s="97" t="str">
        <f>IF('INPUT DATA'!S36="","",'INPUT DATA'!S36)</f>
        <v/>
      </c>
      <c r="I91" s="241" t="str">
        <f t="shared" ca="1" si="4"/>
        <v/>
      </c>
      <c r="J91" s="212"/>
      <c r="K91" s="208"/>
      <c r="L91" s="80"/>
      <c r="M91" s="80"/>
      <c r="N91" s="80"/>
      <c r="O91" s="80"/>
      <c r="P91" s="121"/>
      <c r="Q91" s="121"/>
      <c r="R91" s="126" t="str">
        <f t="shared" si="3"/>
        <v/>
      </c>
      <c r="S91" s="92" t="str">
        <f t="shared" si="5"/>
        <v/>
      </c>
      <c r="T91" s="4"/>
      <c r="U91" s="4"/>
      <c r="V91" s="4"/>
      <c r="W91" s="4"/>
      <c r="X91" s="4"/>
      <c r="Y91" s="4"/>
      <c r="Z91" s="4"/>
      <c r="AA91" s="4"/>
      <c r="AB91" s="4"/>
      <c r="AC91" s="4"/>
      <c r="AD91" s="4"/>
    </row>
    <row r="92" spans="1:30" ht="15">
      <c r="A92" s="4"/>
      <c r="B92" s="85">
        <v>27</v>
      </c>
      <c r="C92" s="304" t="str">
        <f>IF('INPUT DATA'!Q37="","",'INPUT DATA'!Q37)</f>
        <v/>
      </c>
      <c r="D92" s="305"/>
      <c r="E92" s="306"/>
      <c r="F92" s="307" t="str">
        <f>IF('INPUT DATA'!T37="","",'INPUT DATA'!T37)</f>
        <v/>
      </c>
      <c r="G92" s="308"/>
      <c r="H92" s="97" t="str">
        <f>IF('INPUT DATA'!S37="","",'INPUT DATA'!S37)</f>
        <v/>
      </c>
      <c r="I92" s="241" t="str">
        <f t="shared" ca="1" si="4"/>
        <v/>
      </c>
      <c r="J92" s="212"/>
      <c r="K92" s="208"/>
      <c r="L92" s="80"/>
      <c r="M92" s="80"/>
      <c r="N92" s="80"/>
      <c r="O92" s="80"/>
      <c r="P92" s="121"/>
      <c r="Q92" s="121"/>
      <c r="R92" s="126" t="str">
        <f t="shared" si="3"/>
        <v/>
      </c>
      <c r="S92" s="92" t="str">
        <f t="shared" si="5"/>
        <v/>
      </c>
      <c r="T92" s="4"/>
      <c r="U92" s="4"/>
      <c r="V92" s="4"/>
      <c r="W92" s="4"/>
      <c r="X92" s="4"/>
      <c r="Y92" s="4"/>
      <c r="Z92" s="4"/>
      <c r="AA92" s="4"/>
      <c r="AB92" s="4"/>
      <c r="AC92" s="4"/>
      <c r="AD92" s="4"/>
    </row>
    <row r="93" spans="1:30" ht="15">
      <c r="A93" s="4"/>
      <c r="B93" s="85">
        <v>28</v>
      </c>
      <c r="C93" s="304" t="str">
        <f>IF('INPUT DATA'!Q38="","",'INPUT DATA'!Q38)</f>
        <v/>
      </c>
      <c r="D93" s="305"/>
      <c r="E93" s="306"/>
      <c r="F93" s="307" t="str">
        <f>IF('INPUT DATA'!T38="","",'INPUT DATA'!T38)</f>
        <v/>
      </c>
      <c r="G93" s="308"/>
      <c r="H93" s="97" t="str">
        <f>IF('INPUT DATA'!S38="","",'INPUT DATA'!S38)</f>
        <v/>
      </c>
      <c r="I93" s="241" t="str">
        <f t="shared" ca="1" si="4"/>
        <v/>
      </c>
      <c r="J93" s="212"/>
      <c r="K93" s="208"/>
      <c r="L93" s="80"/>
      <c r="M93" s="80"/>
      <c r="N93" s="80"/>
      <c r="O93" s="80"/>
      <c r="P93" s="121"/>
      <c r="Q93" s="121"/>
      <c r="R93" s="126" t="str">
        <f t="shared" si="3"/>
        <v/>
      </c>
      <c r="S93" s="92" t="str">
        <f t="shared" si="5"/>
        <v/>
      </c>
      <c r="T93" s="4"/>
      <c r="U93" s="4"/>
      <c r="V93" s="4"/>
      <c r="W93" s="4"/>
      <c r="X93" s="4"/>
      <c r="Y93" s="4"/>
      <c r="Z93" s="4"/>
      <c r="AA93" s="4"/>
      <c r="AB93" s="4"/>
      <c r="AC93" s="4"/>
      <c r="AD93" s="4"/>
    </row>
    <row r="94" spans="1:30" ht="15">
      <c r="A94" s="4"/>
      <c r="B94" s="85">
        <v>29</v>
      </c>
      <c r="C94" s="304" t="str">
        <f>IF('INPUT DATA'!Q39="","",'INPUT DATA'!Q39)</f>
        <v/>
      </c>
      <c r="D94" s="305"/>
      <c r="E94" s="306"/>
      <c r="F94" s="307" t="str">
        <f>IF('INPUT DATA'!T39="","",'INPUT DATA'!T39)</f>
        <v/>
      </c>
      <c r="G94" s="308"/>
      <c r="H94" s="97" t="str">
        <f>IF('INPUT DATA'!S39="","",'INPUT DATA'!S39)</f>
        <v/>
      </c>
      <c r="I94" s="241" t="str">
        <f t="shared" ca="1" si="4"/>
        <v/>
      </c>
      <c r="J94" s="212"/>
      <c r="K94" s="208"/>
      <c r="L94" s="80"/>
      <c r="M94" s="80"/>
      <c r="N94" s="80"/>
      <c r="O94" s="80"/>
      <c r="P94" s="121"/>
      <c r="Q94" s="121"/>
      <c r="R94" s="126" t="str">
        <f t="shared" si="3"/>
        <v/>
      </c>
      <c r="S94" s="92" t="str">
        <f t="shared" si="5"/>
        <v/>
      </c>
      <c r="T94" s="4"/>
      <c r="U94" s="4"/>
      <c r="V94" s="4"/>
      <c r="W94" s="4"/>
      <c r="X94" s="4"/>
      <c r="Y94" s="4"/>
      <c r="Z94" s="4"/>
      <c r="AA94" s="4"/>
      <c r="AB94" s="4"/>
      <c r="AC94" s="4"/>
      <c r="AD94" s="4"/>
    </row>
    <row r="95" spans="1:30" ht="15">
      <c r="A95" s="4"/>
      <c r="B95" s="85">
        <v>30</v>
      </c>
      <c r="C95" s="304" t="str">
        <f>IF('INPUT DATA'!Q40="","",'INPUT DATA'!Q40)</f>
        <v/>
      </c>
      <c r="D95" s="305"/>
      <c r="E95" s="306"/>
      <c r="F95" s="307" t="str">
        <f>IF('INPUT DATA'!T40="","",'INPUT DATA'!T40)</f>
        <v/>
      </c>
      <c r="G95" s="308"/>
      <c r="H95" s="97" t="str">
        <f>IF('INPUT DATA'!S40="","",'INPUT DATA'!S40)</f>
        <v/>
      </c>
      <c r="I95" s="241" t="str">
        <f t="shared" ca="1" si="4"/>
        <v/>
      </c>
      <c r="J95" s="212"/>
      <c r="K95" s="208"/>
      <c r="L95" s="80"/>
      <c r="M95" s="80"/>
      <c r="N95" s="80"/>
      <c r="O95" s="80"/>
      <c r="P95" s="121"/>
      <c r="Q95" s="121"/>
      <c r="R95" s="126" t="str">
        <f t="shared" si="3"/>
        <v/>
      </c>
      <c r="S95" s="92" t="str">
        <f t="shared" si="5"/>
        <v/>
      </c>
      <c r="T95" s="4"/>
      <c r="U95" s="4"/>
      <c r="V95" s="4"/>
      <c r="W95" s="4"/>
      <c r="X95" s="4"/>
      <c r="Y95" s="4"/>
      <c r="Z95" s="4"/>
      <c r="AA95" s="4"/>
      <c r="AB95" s="4"/>
      <c r="AC95" s="4"/>
      <c r="AD95" s="4"/>
    </row>
    <row r="96" spans="1:30" ht="15">
      <c r="A96" s="4"/>
      <c r="B96" s="85">
        <v>31</v>
      </c>
      <c r="C96" s="304" t="str">
        <f>IF('INPUT DATA'!Q41="","",'INPUT DATA'!Q41)</f>
        <v/>
      </c>
      <c r="D96" s="305"/>
      <c r="E96" s="306"/>
      <c r="F96" s="307" t="str">
        <f>IF('INPUT DATA'!T41="","",'INPUT DATA'!T41)</f>
        <v/>
      </c>
      <c r="G96" s="308"/>
      <c r="H96" s="97" t="str">
        <f>IF('INPUT DATA'!S41="","",'INPUT DATA'!S41)</f>
        <v/>
      </c>
      <c r="I96" s="241" t="str">
        <f t="shared" ca="1" si="4"/>
        <v/>
      </c>
      <c r="J96" s="212"/>
      <c r="K96" s="208"/>
      <c r="L96" s="80"/>
      <c r="M96" s="80"/>
      <c r="N96" s="80"/>
      <c r="O96" s="80"/>
      <c r="P96" s="121"/>
      <c r="Q96" s="121"/>
      <c r="R96" s="126" t="str">
        <f t="shared" si="3"/>
        <v/>
      </c>
      <c r="S96" s="92" t="str">
        <f t="shared" si="5"/>
        <v/>
      </c>
      <c r="T96" s="4"/>
      <c r="U96" s="4"/>
      <c r="V96" s="4"/>
      <c r="W96" s="4"/>
      <c r="X96" s="4"/>
      <c r="Y96" s="4"/>
      <c r="Z96" s="4"/>
      <c r="AA96" s="4"/>
      <c r="AB96" s="4"/>
      <c r="AC96" s="4"/>
      <c r="AD96" s="4"/>
    </row>
    <row r="97" spans="1:30" ht="15">
      <c r="A97" s="4"/>
      <c r="B97" s="85">
        <v>32</v>
      </c>
      <c r="C97" s="304" t="str">
        <f>IF('INPUT DATA'!Q42="","",'INPUT DATA'!Q42)</f>
        <v/>
      </c>
      <c r="D97" s="305"/>
      <c r="E97" s="306"/>
      <c r="F97" s="307" t="str">
        <f>IF('INPUT DATA'!T42="","",'INPUT DATA'!T42)</f>
        <v/>
      </c>
      <c r="G97" s="308"/>
      <c r="H97" s="97" t="str">
        <f>IF('INPUT DATA'!S42="","",'INPUT DATA'!S42)</f>
        <v/>
      </c>
      <c r="I97" s="241" t="str">
        <f t="shared" ca="1" si="4"/>
        <v/>
      </c>
      <c r="J97" s="212"/>
      <c r="K97" s="208"/>
      <c r="L97" s="80"/>
      <c r="M97" s="80"/>
      <c r="N97" s="80"/>
      <c r="O97" s="80"/>
      <c r="P97" s="121"/>
      <c r="Q97" s="121"/>
      <c r="R97" s="126" t="str">
        <f t="shared" si="3"/>
        <v/>
      </c>
      <c r="S97" s="92" t="str">
        <f t="shared" si="5"/>
        <v/>
      </c>
      <c r="T97" s="4"/>
      <c r="U97" s="4"/>
      <c r="V97" s="4"/>
      <c r="W97" s="4"/>
      <c r="X97" s="4"/>
      <c r="Y97" s="4"/>
      <c r="Z97" s="4"/>
      <c r="AA97" s="4"/>
      <c r="AB97" s="4"/>
      <c r="AC97" s="4"/>
      <c r="AD97" s="4"/>
    </row>
    <row r="98" spans="1:30" ht="15">
      <c r="A98" s="4"/>
      <c r="B98" s="85">
        <v>33</v>
      </c>
      <c r="C98" s="304" t="str">
        <f>IF('INPUT DATA'!Q43="","",'INPUT DATA'!Q43)</f>
        <v/>
      </c>
      <c r="D98" s="305"/>
      <c r="E98" s="306"/>
      <c r="F98" s="307" t="str">
        <f>IF('INPUT DATA'!T43="","",'INPUT DATA'!T43)</f>
        <v/>
      </c>
      <c r="G98" s="308"/>
      <c r="H98" s="97" t="str">
        <f>IF('INPUT DATA'!S43="","",'INPUT DATA'!S43)</f>
        <v/>
      </c>
      <c r="I98" s="241" t="str">
        <f t="shared" ca="1" si="4"/>
        <v/>
      </c>
      <c r="J98" s="212"/>
      <c r="K98" s="208"/>
      <c r="L98" s="80"/>
      <c r="M98" s="80"/>
      <c r="N98" s="80"/>
      <c r="O98" s="80"/>
      <c r="P98" s="121"/>
      <c r="Q98" s="121"/>
      <c r="R98" s="126" t="str">
        <f t="shared" si="3"/>
        <v/>
      </c>
      <c r="S98" s="92" t="str">
        <f t="shared" si="5"/>
        <v/>
      </c>
      <c r="T98" s="4"/>
      <c r="U98" s="4"/>
      <c r="V98" s="4"/>
      <c r="W98" s="4"/>
      <c r="X98" s="4"/>
      <c r="Y98" s="4"/>
      <c r="Z98" s="4"/>
      <c r="AA98" s="4"/>
      <c r="AB98" s="4"/>
      <c r="AC98" s="4"/>
      <c r="AD98" s="4"/>
    </row>
    <row r="99" spans="1:30" ht="15">
      <c r="A99" s="4"/>
      <c r="B99" s="85">
        <v>34</v>
      </c>
      <c r="C99" s="304" t="str">
        <f>IF('INPUT DATA'!Q44="","",'INPUT DATA'!Q44)</f>
        <v/>
      </c>
      <c r="D99" s="305"/>
      <c r="E99" s="306"/>
      <c r="F99" s="307" t="str">
        <f>IF('INPUT DATA'!T44="","",'INPUT DATA'!T44)</f>
        <v/>
      </c>
      <c r="G99" s="308"/>
      <c r="H99" s="97" t="str">
        <f>IF('INPUT DATA'!S44="","",'INPUT DATA'!S44)</f>
        <v/>
      </c>
      <c r="I99" s="241" t="str">
        <f t="shared" ca="1" si="4"/>
        <v/>
      </c>
      <c r="J99" s="212"/>
      <c r="K99" s="208"/>
      <c r="L99" s="80"/>
      <c r="M99" s="80"/>
      <c r="N99" s="80"/>
      <c r="O99" s="80"/>
      <c r="P99" s="121"/>
      <c r="Q99" s="121"/>
      <c r="R99" s="126" t="str">
        <f t="shared" si="3"/>
        <v/>
      </c>
      <c r="S99" s="92" t="str">
        <f t="shared" si="5"/>
        <v/>
      </c>
      <c r="T99" s="4"/>
      <c r="U99" s="4"/>
      <c r="V99" s="4"/>
      <c r="W99" s="4"/>
      <c r="X99" s="4"/>
      <c r="Y99" s="4"/>
      <c r="Z99" s="4"/>
      <c r="AA99" s="4"/>
      <c r="AB99" s="4"/>
      <c r="AC99" s="4"/>
      <c r="AD99" s="4"/>
    </row>
    <row r="100" spans="1:30" ht="15">
      <c r="A100" s="4"/>
      <c r="B100" s="85">
        <v>35</v>
      </c>
      <c r="C100" s="304" t="str">
        <f>IF('INPUT DATA'!Q45="","",'INPUT DATA'!Q45)</f>
        <v/>
      </c>
      <c r="D100" s="305"/>
      <c r="E100" s="306"/>
      <c r="F100" s="307" t="str">
        <f>IF('INPUT DATA'!T45="","",'INPUT DATA'!T45)</f>
        <v/>
      </c>
      <c r="G100" s="308"/>
      <c r="H100" s="97" t="str">
        <f>IF('INPUT DATA'!S45="","",'INPUT DATA'!S45)</f>
        <v/>
      </c>
      <c r="I100" s="241" t="str">
        <f t="shared" ca="1" si="4"/>
        <v/>
      </c>
      <c r="J100" s="212"/>
      <c r="K100" s="208"/>
      <c r="L100" s="80"/>
      <c r="M100" s="80"/>
      <c r="N100" s="80"/>
      <c r="O100" s="80"/>
      <c r="P100" s="121"/>
      <c r="Q100" s="121"/>
      <c r="R100" s="126" t="str">
        <f t="shared" si="3"/>
        <v/>
      </c>
      <c r="S100" s="92" t="str">
        <f t="shared" si="5"/>
        <v/>
      </c>
      <c r="T100" s="4"/>
      <c r="U100" s="4"/>
      <c r="V100" s="4"/>
      <c r="W100" s="4"/>
      <c r="X100" s="4"/>
      <c r="Y100" s="4"/>
      <c r="Z100" s="4"/>
      <c r="AA100" s="4"/>
      <c r="AB100" s="4"/>
      <c r="AC100" s="4"/>
      <c r="AD100" s="4"/>
    </row>
    <row r="101" spans="1:30" ht="15">
      <c r="A101" s="4"/>
      <c r="B101" s="85">
        <v>36</v>
      </c>
      <c r="C101" s="304" t="str">
        <f>IF('INPUT DATA'!Q46="","",'INPUT DATA'!Q46)</f>
        <v/>
      </c>
      <c r="D101" s="305"/>
      <c r="E101" s="306"/>
      <c r="F101" s="307" t="str">
        <f>IF('INPUT DATA'!T46="","",'INPUT DATA'!T46)</f>
        <v/>
      </c>
      <c r="G101" s="308"/>
      <c r="H101" s="97" t="str">
        <f>IF('INPUT DATA'!S46="","",'INPUT DATA'!S46)</f>
        <v/>
      </c>
      <c r="I101" s="241" t="str">
        <f t="shared" ca="1" si="4"/>
        <v/>
      </c>
      <c r="J101" s="212"/>
      <c r="K101" s="208"/>
      <c r="L101" s="80"/>
      <c r="M101" s="80"/>
      <c r="N101" s="80"/>
      <c r="O101" s="80"/>
      <c r="P101" s="121"/>
      <c r="Q101" s="121"/>
      <c r="R101" s="126" t="str">
        <f t="shared" si="3"/>
        <v/>
      </c>
      <c r="S101" s="92" t="str">
        <f t="shared" si="5"/>
        <v/>
      </c>
      <c r="T101" s="4"/>
      <c r="U101" s="4"/>
      <c r="V101" s="4"/>
      <c r="W101" s="4"/>
      <c r="X101" s="4"/>
      <c r="Y101" s="4"/>
      <c r="Z101" s="4"/>
      <c r="AA101" s="4"/>
      <c r="AB101" s="4"/>
      <c r="AC101" s="4"/>
      <c r="AD101" s="4"/>
    </row>
    <row r="102" spans="1:30" ht="15">
      <c r="A102" s="4"/>
      <c r="B102" s="85">
        <v>37</v>
      </c>
      <c r="C102" s="304" t="str">
        <f>IF('INPUT DATA'!Q47="","",'INPUT DATA'!Q47)</f>
        <v/>
      </c>
      <c r="D102" s="305"/>
      <c r="E102" s="306"/>
      <c r="F102" s="307" t="str">
        <f>IF('INPUT DATA'!T47="","",'INPUT DATA'!T47)</f>
        <v/>
      </c>
      <c r="G102" s="308"/>
      <c r="H102" s="97" t="str">
        <f>IF('INPUT DATA'!S47="","",'INPUT DATA'!S47)</f>
        <v/>
      </c>
      <c r="I102" s="241" t="str">
        <f t="shared" ca="1" si="4"/>
        <v/>
      </c>
      <c r="J102" s="212"/>
      <c r="K102" s="208"/>
      <c r="L102" s="80"/>
      <c r="M102" s="80"/>
      <c r="N102" s="80"/>
      <c r="O102" s="80"/>
      <c r="P102" s="121"/>
      <c r="Q102" s="121"/>
      <c r="R102" s="126" t="str">
        <f t="shared" si="3"/>
        <v/>
      </c>
      <c r="S102" s="92" t="str">
        <f t="shared" si="5"/>
        <v/>
      </c>
      <c r="T102" s="4"/>
      <c r="U102" s="4"/>
      <c r="V102" s="4"/>
      <c r="W102" s="4"/>
      <c r="X102" s="4"/>
      <c r="Y102" s="4"/>
      <c r="Z102" s="4"/>
      <c r="AA102" s="4"/>
      <c r="AB102" s="4"/>
      <c r="AC102" s="4"/>
      <c r="AD102" s="4"/>
    </row>
    <row r="103" spans="1:30" ht="15">
      <c r="A103" s="4"/>
      <c r="B103" s="85">
        <v>38</v>
      </c>
      <c r="C103" s="304" t="str">
        <f>IF('INPUT DATA'!Q48="","",'INPUT DATA'!Q48)</f>
        <v/>
      </c>
      <c r="D103" s="305"/>
      <c r="E103" s="306"/>
      <c r="F103" s="307" t="str">
        <f>IF('INPUT DATA'!T48="","",'INPUT DATA'!T48)</f>
        <v/>
      </c>
      <c r="G103" s="308"/>
      <c r="H103" s="97" t="str">
        <f>IF('INPUT DATA'!S48="","",'INPUT DATA'!S48)</f>
        <v/>
      </c>
      <c r="I103" s="241" t="str">
        <f t="shared" ca="1" si="4"/>
        <v/>
      </c>
      <c r="J103" s="212"/>
      <c r="K103" s="208"/>
      <c r="L103" s="80"/>
      <c r="M103" s="80"/>
      <c r="N103" s="80"/>
      <c r="O103" s="80"/>
      <c r="P103" s="121"/>
      <c r="Q103" s="121"/>
      <c r="R103" s="126" t="str">
        <f t="shared" si="3"/>
        <v/>
      </c>
      <c r="S103" s="92" t="str">
        <f t="shared" si="5"/>
        <v/>
      </c>
      <c r="T103" s="4"/>
      <c r="U103" s="4"/>
      <c r="V103" s="4"/>
      <c r="W103" s="4"/>
      <c r="X103" s="4"/>
      <c r="Y103" s="4"/>
      <c r="Z103" s="4"/>
      <c r="AA103" s="4"/>
      <c r="AB103" s="4"/>
      <c r="AC103" s="4"/>
      <c r="AD103" s="4"/>
    </row>
    <row r="104" spans="1:30" ht="15">
      <c r="A104" s="4"/>
      <c r="B104" s="85">
        <v>39</v>
      </c>
      <c r="C104" s="304" t="str">
        <f>IF('INPUT DATA'!Q49="","",'INPUT DATA'!Q49)</f>
        <v/>
      </c>
      <c r="D104" s="305"/>
      <c r="E104" s="306"/>
      <c r="F104" s="307" t="str">
        <f>IF('INPUT DATA'!T49="","",'INPUT DATA'!T49)</f>
        <v/>
      </c>
      <c r="G104" s="308"/>
      <c r="H104" s="97" t="str">
        <f>IF('INPUT DATA'!S49="","",'INPUT DATA'!S49)</f>
        <v/>
      </c>
      <c r="I104" s="241" t="str">
        <f t="shared" ca="1" si="4"/>
        <v/>
      </c>
      <c r="J104" s="212"/>
      <c r="K104" s="208"/>
      <c r="L104" s="80"/>
      <c r="M104" s="80"/>
      <c r="N104" s="80"/>
      <c r="O104" s="80"/>
      <c r="P104" s="121"/>
      <c r="Q104" s="121"/>
      <c r="R104" s="126" t="str">
        <f t="shared" si="3"/>
        <v/>
      </c>
      <c r="S104" s="92" t="str">
        <f t="shared" si="5"/>
        <v/>
      </c>
      <c r="T104" s="4"/>
      <c r="U104" s="4"/>
      <c r="V104" s="4"/>
      <c r="W104" s="4"/>
      <c r="X104" s="4"/>
      <c r="Y104" s="4"/>
      <c r="Z104" s="4"/>
      <c r="AA104" s="4"/>
      <c r="AB104" s="4"/>
      <c r="AC104" s="4"/>
      <c r="AD104" s="4"/>
    </row>
    <row r="105" spans="1:30" ht="15">
      <c r="A105" s="4"/>
      <c r="B105" s="85">
        <v>40</v>
      </c>
      <c r="C105" s="304" t="str">
        <f>IF('INPUT DATA'!Q50="","",'INPUT DATA'!Q50)</f>
        <v/>
      </c>
      <c r="D105" s="305"/>
      <c r="E105" s="306"/>
      <c r="F105" s="307" t="str">
        <f>IF('INPUT DATA'!T50="","",'INPUT DATA'!T50)</f>
        <v/>
      </c>
      <c r="G105" s="308"/>
      <c r="H105" s="97" t="str">
        <f>IF('INPUT DATA'!S50="","",'INPUT DATA'!S50)</f>
        <v/>
      </c>
      <c r="I105" s="241" t="str">
        <f t="shared" ca="1" si="4"/>
        <v/>
      </c>
      <c r="J105" s="212"/>
      <c r="K105" s="208"/>
      <c r="L105" s="80"/>
      <c r="M105" s="80"/>
      <c r="N105" s="80"/>
      <c r="O105" s="80"/>
      <c r="P105" s="121"/>
      <c r="Q105" s="121"/>
      <c r="R105" s="126" t="str">
        <f t="shared" si="3"/>
        <v/>
      </c>
      <c r="S105" s="92" t="str">
        <f t="shared" si="5"/>
        <v/>
      </c>
      <c r="T105" s="4"/>
      <c r="U105" s="4"/>
      <c r="V105" s="4"/>
      <c r="W105" s="4"/>
      <c r="X105" s="4"/>
      <c r="Y105" s="4"/>
      <c r="Z105" s="4"/>
      <c r="AA105" s="4"/>
      <c r="AB105" s="4"/>
      <c r="AC105" s="4"/>
      <c r="AD105" s="4"/>
    </row>
    <row r="106" spans="1:30" ht="15">
      <c r="A106" s="4"/>
      <c r="B106" s="85">
        <v>41</v>
      </c>
      <c r="C106" s="304" t="str">
        <f>IF('INPUT DATA'!Q51="","",'INPUT DATA'!Q51)</f>
        <v/>
      </c>
      <c r="D106" s="305"/>
      <c r="E106" s="306"/>
      <c r="F106" s="307" t="str">
        <f>IF('INPUT DATA'!T51="","",'INPUT DATA'!T51)</f>
        <v/>
      </c>
      <c r="G106" s="308"/>
      <c r="H106" s="97" t="str">
        <f>IF('INPUT DATA'!S51="","",'INPUT DATA'!S51)</f>
        <v/>
      </c>
      <c r="I106" s="241" t="str">
        <f t="shared" ca="1" si="4"/>
        <v/>
      </c>
      <c r="J106" s="212"/>
      <c r="K106" s="208"/>
      <c r="L106" s="80"/>
      <c r="M106" s="80"/>
      <c r="N106" s="80"/>
      <c r="O106" s="80"/>
      <c r="P106" s="121"/>
      <c r="Q106" s="121"/>
      <c r="R106" s="126" t="str">
        <f t="shared" si="3"/>
        <v/>
      </c>
      <c r="S106" s="92" t="str">
        <f t="shared" si="5"/>
        <v/>
      </c>
      <c r="T106" s="4"/>
      <c r="U106" s="4"/>
      <c r="V106" s="4"/>
      <c r="W106" s="4"/>
      <c r="X106" s="4"/>
      <c r="Y106" s="4"/>
      <c r="Z106" s="4"/>
      <c r="AA106" s="4"/>
      <c r="AB106" s="4"/>
      <c r="AC106" s="4"/>
      <c r="AD106" s="4"/>
    </row>
    <row r="107" spans="1:30" ht="15">
      <c r="A107" s="4"/>
      <c r="B107" s="85">
        <v>42</v>
      </c>
      <c r="C107" s="304" t="str">
        <f>IF('INPUT DATA'!Q52="","",'INPUT DATA'!Q52)</f>
        <v/>
      </c>
      <c r="D107" s="305"/>
      <c r="E107" s="306"/>
      <c r="F107" s="307" t="str">
        <f>IF('INPUT DATA'!T52="","",'INPUT DATA'!T52)</f>
        <v/>
      </c>
      <c r="G107" s="308"/>
      <c r="H107" s="97" t="str">
        <f>IF('INPUT DATA'!S52="","",'INPUT DATA'!S52)</f>
        <v/>
      </c>
      <c r="I107" s="241" t="str">
        <f t="shared" ca="1" si="4"/>
        <v/>
      </c>
      <c r="J107" s="212"/>
      <c r="K107" s="208"/>
      <c r="L107" s="80"/>
      <c r="M107" s="80"/>
      <c r="N107" s="80"/>
      <c r="O107" s="80"/>
      <c r="P107" s="121"/>
      <c r="Q107" s="121"/>
      <c r="R107" s="126" t="str">
        <f t="shared" si="3"/>
        <v/>
      </c>
      <c r="S107" s="92" t="str">
        <f t="shared" si="5"/>
        <v/>
      </c>
      <c r="T107" s="4"/>
      <c r="U107" s="4"/>
      <c r="V107" s="4"/>
      <c r="W107" s="4"/>
      <c r="X107" s="4"/>
      <c r="Y107" s="4"/>
      <c r="Z107" s="4"/>
      <c r="AA107" s="4"/>
      <c r="AB107" s="4"/>
      <c r="AC107" s="4"/>
      <c r="AD107" s="4"/>
    </row>
    <row r="108" spans="1:30" ht="15">
      <c r="A108" s="4"/>
      <c r="B108" s="85">
        <v>43</v>
      </c>
      <c r="C108" s="304" t="str">
        <f>IF('INPUT DATA'!Q53="","",'INPUT DATA'!Q53)</f>
        <v/>
      </c>
      <c r="D108" s="305"/>
      <c r="E108" s="306"/>
      <c r="F108" s="307" t="str">
        <f>IF('INPUT DATA'!T53="","",'INPUT DATA'!T53)</f>
        <v/>
      </c>
      <c r="G108" s="308"/>
      <c r="H108" s="97" t="str">
        <f>IF('INPUT DATA'!S53="","",'INPUT DATA'!S53)</f>
        <v/>
      </c>
      <c r="I108" s="241" t="str">
        <f t="shared" ca="1" si="4"/>
        <v/>
      </c>
      <c r="J108" s="212"/>
      <c r="K108" s="208"/>
      <c r="L108" s="80"/>
      <c r="M108" s="80"/>
      <c r="N108" s="80"/>
      <c r="O108" s="80"/>
      <c r="P108" s="121"/>
      <c r="Q108" s="121"/>
      <c r="R108" s="126" t="str">
        <f t="shared" si="3"/>
        <v/>
      </c>
      <c r="S108" s="92" t="str">
        <f t="shared" si="5"/>
        <v/>
      </c>
      <c r="T108" s="4"/>
      <c r="U108" s="4"/>
      <c r="V108" s="4"/>
      <c r="W108" s="4"/>
      <c r="X108" s="4"/>
      <c r="Y108" s="4"/>
      <c r="Z108" s="4"/>
      <c r="AA108" s="4"/>
      <c r="AB108" s="4"/>
      <c r="AC108" s="4"/>
      <c r="AD108" s="4"/>
    </row>
    <row r="109" spans="1:30" ht="15">
      <c r="A109" s="4"/>
      <c r="B109" s="85">
        <v>44</v>
      </c>
      <c r="C109" s="304" t="str">
        <f>IF('INPUT DATA'!Q54="","",'INPUT DATA'!Q54)</f>
        <v/>
      </c>
      <c r="D109" s="305"/>
      <c r="E109" s="306"/>
      <c r="F109" s="307" t="str">
        <f>IF('INPUT DATA'!T54="","",'INPUT DATA'!T54)</f>
        <v/>
      </c>
      <c r="G109" s="308"/>
      <c r="H109" s="97" t="str">
        <f>IF('INPUT DATA'!S54="","",'INPUT DATA'!S54)</f>
        <v/>
      </c>
      <c r="I109" s="241" t="str">
        <f t="shared" ca="1" si="4"/>
        <v/>
      </c>
      <c r="J109" s="212"/>
      <c r="K109" s="208"/>
      <c r="L109" s="80"/>
      <c r="M109" s="80"/>
      <c r="N109" s="80"/>
      <c r="O109" s="80"/>
      <c r="P109" s="121"/>
      <c r="Q109" s="121"/>
      <c r="R109" s="126" t="str">
        <f t="shared" si="3"/>
        <v/>
      </c>
      <c r="S109" s="92" t="str">
        <f t="shared" si="5"/>
        <v/>
      </c>
      <c r="T109" s="4"/>
      <c r="U109" s="4"/>
      <c r="V109" s="4"/>
      <c r="W109" s="4"/>
      <c r="X109" s="4"/>
      <c r="Y109" s="4"/>
      <c r="Z109" s="4"/>
      <c r="AA109" s="4"/>
      <c r="AB109" s="4"/>
      <c r="AC109" s="4"/>
      <c r="AD109" s="4"/>
    </row>
    <row r="110" spans="1:30" ht="15">
      <c r="A110" s="4"/>
      <c r="B110" s="85">
        <v>45</v>
      </c>
      <c r="C110" s="304" t="str">
        <f>IF('INPUT DATA'!Q55="","",'INPUT DATA'!Q55)</f>
        <v/>
      </c>
      <c r="D110" s="305"/>
      <c r="E110" s="306"/>
      <c r="F110" s="307" t="str">
        <f>IF('INPUT DATA'!T55="","",'INPUT DATA'!T55)</f>
        <v/>
      </c>
      <c r="G110" s="308"/>
      <c r="H110" s="97" t="str">
        <f>IF('INPUT DATA'!S55="","",'INPUT DATA'!S55)</f>
        <v/>
      </c>
      <c r="I110" s="241" t="str">
        <f t="shared" ca="1" si="4"/>
        <v/>
      </c>
      <c r="J110" s="212"/>
      <c r="K110" s="209"/>
      <c r="L110" s="81"/>
      <c r="M110" s="81"/>
      <c r="N110" s="81"/>
      <c r="O110" s="81"/>
      <c r="P110" s="122"/>
      <c r="Q110" s="122"/>
      <c r="R110" s="126" t="str">
        <f t="shared" si="3"/>
        <v/>
      </c>
      <c r="S110" s="92" t="str">
        <f t="shared" si="5"/>
        <v/>
      </c>
      <c r="T110" s="4"/>
      <c r="U110" s="4"/>
      <c r="V110" s="4"/>
      <c r="W110" s="4"/>
      <c r="X110" s="4"/>
      <c r="Y110" s="4"/>
      <c r="Z110" s="4"/>
      <c r="AA110" s="4"/>
      <c r="AB110" s="4"/>
      <c r="AC110" s="4"/>
      <c r="AD110" s="4"/>
    </row>
    <row r="111" spans="1:30" ht="15">
      <c r="A111" s="4"/>
      <c r="B111" s="85">
        <v>46</v>
      </c>
      <c r="C111" s="304" t="str">
        <f>IF('INPUT DATA'!Q56="","",'INPUT DATA'!Q56)</f>
        <v/>
      </c>
      <c r="D111" s="305"/>
      <c r="E111" s="306"/>
      <c r="F111" s="307" t="str">
        <f>IF('INPUT DATA'!T56="","",'INPUT DATA'!T56)</f>
        <v/>
      </c>
      <c r="G111" s="308"/>
      <c r="H111" s="97" t="str">
        <f>IF('INPUT DATA'!S56="","",'INPUT DATA'!S56)</f>
        <v/>
      </c>
      <c r="I111" s="241" t="str">
        <f t="shared" ca="1" si="4"/>
        <v/>
      </c>
      <c r="J111" s="212"/>
      <c r="K111" s="208"/>
      <c r="L111" s="80"/>
      <c r="M111" s="80"/>
      <c r="N111" s="80"/>
      <c r="O111" s="80"/>
      <c r="P111" s="121"/>
      <c r="Q111" s="121"/>
      <c r="R111" s="126" t="str">
        <f t="shared" si="3"/>
        <v/>
      </c>
      <c r="S111" s="92" t="str">
        <f t="shared" si="5"/>
        <v/>
      </c>
      <c r="T111" s="4"/>
      <c r="U111" s="4"/>
      <c r="V111" s="4"/>
      <c r="W111" s="4"/>
      <c r="X111" s="4"/>
      <c r="Y111" s="4"/>
      <c r="Z111" s="4"/>
      <c r="AA111" s="4"/>
      <c r="AB111" s="4"/>
      <c r="AC111" s="4"/>
      <c r="AD111" s="4"/>
    </row>
    <row r="112" spans="1:30" ht="15">
      <c r="A112" s="4"/>
      <c r="B112" s="85">
        <v>47</v>
      </c>
      <c r="C112" s="304" t="str">
        <f>IF('INPUT DATA'!Q57="","",'INPUT DATA'!Q57)</f>
        <v/>
      </c>
      <c r="D112" s="305"/>
      <c r="E112" s="306"/>
      <c r="F112" s="307" t="str">
        <f>IF('INPUT DATA'!T57="","",'INPUT DATA'!T57)</f>
        <v/>
      </c>
      <c r="G112" s="308"/>
      <c r="H112" s="97" t="str">
        <f>IF('INPUT DATA'!S57="","",'INPUT DATA'!S57)</f>
        <v/>
      </c>
      <c r="I112" s="241" t="str">
        <f t="shared" ca="1" si="4"/>
        <v/>
      </c>
      <c r="J112" s="212"/>
      <c r="K112" s="208"/>
      <c r="L112" s="80"/>
      <c r="M112" s="80"/>
      <c r="N112" s="80"/>
      <c r="O112" s="80"/>
      <c r="P112" s="121"/>
      <c r="Q112" s="121"/>
      <c r="R112" s="126" t="str">
        <f t="shared" si="3"/>
        <v/>
      </c>
      <c r="S112" s="92" t="str">
        <f t="shared" si="5"/>
        <v/>
      </c>
      <c r="T112" s="4"/>
      <c r="U112" s="4"/>
      <c r="V112" s="4"/>
      <c r="W112" s="4"/>
      <c r="X112" s="4"/>
      <c r="Y112" s="4"/>
      <c r="Z112" s="4"/>
      <c r="AA112" s="4"/>
      <c r="AB112" s="4"/>
      <c r="AC112" s="4"/>
      <c r="AD112" s="4"/>
    </row>
    <row r="113" spans="1:30" ht="15">
      <c r="A113" s="4"/>
      <c r="B113" s="85">
        <v>48</v>
      </c>
      <c r="C113" s="304" t="str">
        <f>IF('INPUT DATA'!Q58="","",'INPUT DATA'!Q58)</f>
        <v/>
      </c>
      <c r="D113" s="305"/>
      <c r="E113" s="306"/>
      <c r="F113" s="307" t="str">
        <f>IF('INPUT DATA'!T58="","",'INPUT DATA'!T58)</f>
        <v/>
      </c>
      <c r="G113" s="308"/>
      <c r="H113" s="97" t="str">
        <f>IF('INPUT DATA'!S58="","",'INPUT DATA'!S58)</f>
        <v/>
      </c>
      <c r="I113" s="241" t="str">
        <f t="shared" ca="1" si="4"/>
        <v/>
      </c>
      <c r="J113" s="212"/>
      <c r="K113" s="208"/>
      <c r="L113" s="80"/>
      <c r="M113" s="80"/>
      <c r="N113" s="80"/>
      <c r="O113" s="80"/>
      <c r="P113" s="121"/>
      <c r="Q113" s="121"/>
      <c r="R113" s="126" t="str">
        <f t="shared" si="3"/>
        <v/>
      </c>
      <c r="S113" s="92" t="str">
        <f t="shared" si="5"/>
        <v/>
      </c>
      <c r="T113" s="4"/>
      <c r="U113" s="4"/>
      <c r="V113" s="4"/>
      <c r="W113" s="4"/>
      <c r="X113" s="4"/>
      <c r="Y113" s="4"/>
      <c r="Z113" s="4"/>
      <c r="AA113" s="4"/>
      <c r="AB113" s="4"/>
      <c r="AC113" s="4"/>
      <c r="AD113" s="4"/>
    </row>
    <row r="114" spans="1:30" ht="15">
      <c r="A114" s="4"/>
      <c r="B114" s="85">
        <v>49</v>
      </c>
      <c r="C114" s="304" t="str">
        <f>IF('INPUT DATA'!Q59="","",'INPUT DATA'!Q59)</f>
        <v/>
      </c>
      <c r="D114" s="305"/>
      <c r="E114" s="306"/>
      <c r="F114" s="307" t="str">
        <f>IF('INPUT DATA'!T59="","",'INPUT DATA'!T59)</f>
        <v/>
      </c>
      <c r="G114" s="308"/>
      <c r="H114" s="97" t="str">
        <f>IF('INPUT DATA'!S59="","",'INPUT DATA'!S59)</f>
        <v/>
      </c>
      <c r="I114" s="241" t="str">
        <f t="shared" ca="1" si="4"/>
        <v/>
      </c>
      <c r="J114" s="212"/>
      <c r="K114" s="208"/>
      <c r="L114" s="80"/>
      <c r="M114" s="80"/>
      <c r="N114" s="80"/>
      <c r="O114" s="80"/>
      <c r="P114" s="121"/>
      <c r="Q114" s="121"/>
      <c r="R114" s="126" t="str">
        <f t="shared" si="3"/>
        <v/>
      </c>
      <c r="S114" s="92" t="str">
        <f t="shared" si="5"/>
        <v/>
      </c>
      <c r="T114" s="4"/>
      <c r="U114" s="4"/>
      <c r="V114" s="4"/>
      <c r="W114" s="4"/>
      <c r="X114" s="4"/>
      <c r="Y114" s="4"/>
      <c r="Z114" s="4"/>
      <c r="AA114" s="4"/>
      <c r="AB114" s="4"/>
      <c r="AC114" s="4"/>
      <c r="AD114" s="4"/>
    </row>
    <row r="115" spans="1:30" ht="15.6" thickBot="1">
      <c r="A115" s="4"/>
      <c r="B115" s="86">
        <v>50</v>
      </c>
      <c r="C115" s="309" t="str">
        <f>IF('INPUT DATA'!Q60="","",'INPUT DATA'!Q60)</f>
        <v/>
      </c>
      <c r="D115" s="310"/>
      <c r="E115" s="311"/>
      <c r="F115" s="312" t="str">
        <f>IF('INPUT DATA'!T60="","",'INPUT DATA'!T60)</f>
        <v/>
      </c>
      <c r="G115" s="313"/>
      <c r="H115" s="98" t="str">
        <f>IF('INPUT DATA'!S60="","",'INPUT DATA'!S60)</f>
        <v/>
      </c>
      <c r="I115" s="242" t="str">
        <f t="shared" ca="1" si="4"/>
        <v/>
      </c>
      <c r="J115" s="213"/>
      <c r="K115" s="210"/>
      <c r="L115" s="82"/>
      <c r="M115" s="82"/>
      <c r="N115" s="82"/>
      <c r="O115" s="82"/>
      <c r="P115" s="123"/>
      <c r="Q115" s="123"/>
      <c r="R115" s="127" t="str">
        <f t="shared" si="3"/>
        <v/>
      </c>
      <c r="S115" s="101" t="str">
        <f t="shared" si="5"/>
        <v/>
      </c>
      <c r="T115" s="4"/>
      <c r="U115" s="4"/>
      <c r="V115" s="4"/>
      <c r="W115" s="4"/>
      <c r="X115" s="4"/>
      <c r="Y115" s="4"/>
      <c r="Z115" s="4"/>
      <c r="AA115" s="4"/>
      <c r="AB115" s="4"/>
      <c r="AC115" s="4"/>
      <c r="AD115" s="4"/>
    </row>
    <row r="116" spans="1:30" ht="13.2">
      <c r="A116" s="243"/>
      <c r="B116" s="243"/>
      <c r="C116" s="90"/>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c r="Z116" s="243"/>
      <c r="AA116" s="243"/>
      <c r="AB116" s="243"/>
      <c r="AC116" s="243"/>
      <c r="AD116" s="243"/>
    </row>
    <row r="117" spans="1:30" ht="13.2">
      <c r="A117" s="243"/>
      <c r="B117" s="243"/>
      <c r="C117" s="90"/>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c r="Z117" s="243"/>
      <c r="AA117" s="243"/>
      <c r="AB117" s="243"/>
      <c r="AC117" s="243"/>
      <c r="AD117" s="243"/>
    </row>
    <row r="118" spans="1:30" ht="13.2">
      <c r="A118" s="243"/>
      <c r="B118" s="243"/>
      <c r="C118" s="90"/>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c r="Z118" s="243"/>
      <c r="AA118" s="243"/>
      <c r="AB118" s="243"/>
      <c r="AC118" s="243"/>
      <c r="AD118" s="243"/>
    </row>
    <row r="119" spans="1:30" ht="13.2">
      <c r="A119" s="243"/>
      <c r="B119" s="243"/>
      <c r="C119" s="90"/>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c r="Z119" s="243"/>
      <c r="AA119" s="243"/>
      <c r="AB119" s="243"/>
      <c r="AC119" s="243"/>
      <c r="AD119" s="243"/>
    </row>
    <row r="120" spans="1:30" ht="13.2">
      <c r="A120" s="243"/>
      <c r="B120" s="243"/>
      <c r="C120" s="90"/>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c r="Z120" s="243"/>
      <c r="AA120" s="243"/>
      <c r="AB120" s="243"/>
      <c r="AC120" s="243"/>
      <c r="AD120" s="243"/>
    </row>
    <row r="121" spans="1:30" ht="13.2">
      <c r="A121" s="243"/>
      <c r="B121" s="243"/>
      <c r="C121" s="90"/>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c r="Z121" s="243"/>
      <c r="AA121" s="243"/>
      <c r="AB121" s="243"/>
      <c r="AC121" s="243"/>
      <c r="AD121" s="243"/>
    </row>
    <row r="122" spans="1:30" ht="13.2">
      <c r="A122" s="243"/>
      <c r="B122" s="243"/>
      <c r="C122" s="90"/>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c r="Z122" s="243"/>
      <c r="AA122" s="243"/>
      <c r="AB122" s="243"/>
      <c r="AC122" s="243"/>
      <c r="AD122" s="243"/>
    </row>
    <row r="123" spans="1:30" ht="13.2">
      <c r="A123" s="243"/>
      <c r="B123" s="243"/>
      <c r="C123" s="90"/>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c r="Z123" s="243"/>
      <c r="AA123" s="243"/>
      <c r="AB123" s="243"/>
      <c r="AC123" s="243"/>
      <c r="AD123" s="243"/>
    </row>
    <row r="124" spans="1:30" ht="13.2">
      <c r="A124" s="243"/>
      <c r="B124" s="243"/>
      <c r="C124" s="90"/>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c r="Z124" s="243"/>
      <c r="AA124" s="243"/>
      <c r="AB124" s="243"/>
      <c r="AC124" s="243"/>
      <c r="AD124" s="243"/>
    </row>
    <row r="125" spans="1:30" ht="13.2">
      <c r="A125" s="243"/>
      <c r="B125" s="243"/>
      <c r="C125" s="90"/>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c r="Z125" s="243"/>
      <c r="AA125" s="243"/>
      <c r="AB125" s="243"/>
      <c r="AC125" s="243"/>
      <c r="AD125" s="243"/>
    </row>
    <row r="126" spans="1:30" ht="13.2">
      <c r="A126" s="243"/>
      <c r="B126" s="243"/>
      <c r="C126" s="90"/>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c r="Z126" s="243"/>
      <c r="AA126" s="243"/>
      <c r="AB126" s="243"/>
      <c r="AC126" s="243"/>
      <c r="AD126" s="243"/>
    </row>
  </sheetData>
  <mergeCells count="225">
    <mergeCell ref="C113:E113"/>
    <mergeCell ref="F113:G113"/>
    <mergeCell ref="C114:E114"/>
    <mergeCell ref="F114:G114"/>
    <mergeCell ref="C115:E115"/>
    <mergeCell ref="F115:G115"/>
    <mergeCell ref="C110:E110"/>
    <mergeCell ref="F110:G110"/>
    <mergeCell ref="C111:E111"/>
    <mergeCell ref="F111:G111"/>
    <mergeCell ref="C112:E112"/>
    <mergeCell ref="F112:G112"/>
    <mergeCell ref="C107:E107"/>
    <mergeCell ref="F107:G107"/>
    <mergeCell ref="C108:E108"/>
    <mergeCell ref="F108:G108"/>
    <mergeCell ref="C109:E109"/>
    <mergeCell ref="F109:G109"/>
    <mergeCell ref="C104:E104"/>
    <mergeCell ref="F104:G104"/>
    <mergeCell ref="C105:E105"/>
    <mergeCell ref="F105:G105"/>
    <mergeCell ref="C106:E106"/>
    <mergeCell ref="F106:G106"/>
    <mergeCell ref="C101:E101"/>
    <mergeCell ref="F101:G101"/>
    <mergeCell ref="C102:E102"/>
    <mergeCell ref="F102:G102"/>
    <mergeCell ref="C103:E103"/>
    <mergeCell ref="F103:G103"/>
    <mergeCell ref="C98:E98"/>
    <mergeCell ref="F98:G98"/>
    <mergeCell ref="C99:E99"/>
    <mergeCell ref="F99:G99"/>
    <mergeCell ref="C100:E100"/>
    <mergeCell ref="F100:G100"/>
    <mergeCell ref="C95:E95"/>
    <mergeCell ref="F95:G95"/>
    <mergeCell ref="C96:E96"/>
    <mergeCell ref="F96:G96"/>
    <mergeCell ref="C97:E97"/>
    <mergeCell ref="F97:G97"/>
    <mergeCell ref="C92:E92"/>
    <mergeCell ref="F92:G92"/>
    <mergeCell ref="C93:E93"/>
    <mergeCell ref="F93:G93"/>
    <mergeCell ref="C94:E94"/>
    <mergeCell ref="F94:G94"/>
    <mergeCell ref="C89:E89"/>
    <mergeCell ref="F89:G89"/>
    <mergeCell ref="C90:E90"/>
    <mergeCell ref="F90:G90"/>
    <mergeCell ref="C91:E91"/>
    <mergeCell ref="F91:G91"/>
    <mergeCell ref="C86:E86"/>
    <mergeCell ref="F86:G86"/>
    <mergeCell ref="C87:E87"/>
    <mergeCell ref="F87:G87"/>
    <mergeCell ref="C88:E88"/>
    <mergeCell ref="F88:G88"/>
    <mergeCell ref="C83:E83"/>
    <mergeCell ref="F83:G83"/>
    <mergeCell ref="C84:E84"/>
    <mergeCell ref="F84:G84"/>
    <mergeCell ref="C85:E85"/>
    <mergeCell ref="F85:G85"/>
    <mergeCell ref="C80:E80"/>
    <mergeCell ref="F80:G80"/>
    <mergeCell ref="C81:E81"/>
    <mergeCell ref="F81:G81"/>
    <mergeCell ref="C82:E82"/>
    <mergeCell ref="F82:G82"/>
    <mergeCell ref="C77:E77"/>
    <mergeCell ref="F77:G77"/>
    <mergeCell ref="C78:E78"/>
    <mergeCell ref="F78:G78"/>
    <mergeCell ref="C79:E79"/>
    <mergeCell ref="F79:G79"/>
    <mergeCell ref="C74:E74"/>
    <mergeCell ref="F74:G74"/>
    <mergeCell ref="C75:E75"/>
    <mergeCell ref="F75:G75"/>
    <mergeCell ref="C76:E76"/>
    <mergeCell ref="F76:G76"/>
    <mergeCell ref="C71:E71"/>
    <mergeCell ref="F71:G71"/>
    <mergeCell ref="C72:E72"/>
    <mergeCell ref="F72:G72"/>
    <mergeCell ref="C73:E73"/>
    <mergeCell ref="F73:G73"/>
    <mergeCell ref="C68:E68"/>
    <mergeCell ref="F68:G68"/>
    <mergeCell ref="C69:E69"/>
    <mergeCell ref="F69:G69"/>
    <mergeCell ref="C70:E70"/>
    <mergeCell ref="F70:G70"/>
    <mergeCell ref="C64:E64"/>
    <mergeCell ref="F64:G64"/>
    <mergeCell ref="C66:E66"/>
    <mergeCell ref="F66:G66"/>
    <mergeCell ref="C67:E67"/>
    <mergeCell ref="F67:G67"/>
    <mergeCell ref="C61:E61"/>
    <mergeCell ref="F61:G61"/>
    <mergeCell ref="C62:E62"/>
    <mergeCell ref="F62:G62"/>
    <mergeCell ref="C63:E63"/>
    <mergeCell ref="F63:G63"/>
    <mergeCell ref="C58:E58"/>
    <mergeCell ref="F58:G58"/>
    <mergeCell ref="C59:E59"/>
    <mergeCell ref="F59:G59"/>
    <mergeCell ref="C60:E60"/>
    <mergeCell ref="F60:G60"/>
    <mergeCell ref="C55:E55"/>
    <mergeCell ref="F55:G55"/>
    <mergeCell ref="C56:E56"/>
    <mergeCell ref="F56:G56"/>
    <mergeCell ref="C57:E57"/>
    <mergeCell ref="F57:G57"/>
    <mergeCell ref="C52:E52"/>
    <mergeCell ref="F52:G52"/>
    <mergeCell ref="C53:E53"/>
    <mergeCell ref="F53:G53"/>
    <mergeCell ref="C54:E54"/>
    <mergeCell ref="F54:G54"/>
    <mergeCell ref="C49:E49"/>
    <mergeCell ref="F49:G49"/>
    <mergeCell ref="C50:E50"/>
    <mergeCell ref="F50:G50"/>
    <mergeCell ref="C51:E51"/>
    <mergeCell ref="F51:G51"/>
    <mergeCell ref="C46:E46"/>
    <mergeCell ref="F46:G46"/>
    <mergeCell ref="C47:E47"/>
    <mergeCell ref="F47:G47"/>
    <mergeCell ref="C48:E48"/>
    <mergeCell ref="F48:G48"/>
    <mergeCell ref="C43:E43"/>
    <mergeCell ref="F43:G43"/>
    <mergeCell ref="C44:E44"/>
    <mergeCell ref="F44:G44"/>
    <mergeCell ref="C45:E45"/>
    <mergeCell ref="F45:G45"/>
    <mergeCell ref="C40:E40"/>
    <mergeCell ref="F40:G40"/>
    <mergeCell ref="C41:E41"/>
    <mergeCell ref="F41:G41"/>
    <mergeCell ref="C42:E42"/>
    <mergeCell ref="F42:G42"/>
    <mergeCell ref="C37:E37"/>
    <mergeCell ref="F37:G37"/>
    <mergeCell ref="C38:E38"/>
    <mergeCell ref="F38:G38"/>
    <mergeCell ref="C39:E39"/>
    <mergeCell ref="F39:G39"/>
    <mergeCell ref="C34:E34"/>
    <mergeCell ref="F34:G34"/>
    <mergeCell ref="C35:E35"/>
    <mergeCell ref="F35:G35"/>
    <mergeCell ref="C36:E36"/>
    <mergeCell ref="F36:G36"/>
    <mergeCell ref="C31:E31"/>
    <mergeCell ref="F31:G31"/>
    <mergeCell ref="C32:E32"/>
    <mergeCell ref="F32:G32"/>
    <mergeCell ref="C33:E33"/>
    <mergeCell ref="F33:G33"/>
    <mergeCell ref="C28:E28"/>
    <mergeCell ref="F28:G28"/>
    <mergeCell ref="C29:E29"/>
    <mergeCell ref="F29:G29"/>
    <mergeCell ref="C30:E30"/>
    <mergeCell ref="F30:G30"/>
    <mergeCell ref="C25:E25"/>
    <mergeCell ref="F25:G25"/>
    <mergeCell ref="C26:E26"/>
    <mergeCell ref="F26:G26"/>
    <mergeCell ref="C27:E27"/>
    <mergeCell ref="F27:G27"/>
    <mergeCell ref="C22:E22"/>
    <mergeCell ref="F22:G22"/>
    <mergeCell ref="C23:E23"/>
    <mergeCell ref="F23:G23"/>
    <mergeCell ref="C24:E24"/>
    <mergeCell ref="F24:G24"/>
    <mergeCell ref="C19:E19"/>
    <mergeCell ref="F19:G19"/>
    <mergeCell ref="C20:E20"/>
    <mergeCell ref="F20:G20"/>
    <mergeCell ref="C21:E21"/>
    <mergeCell ref="F21:G21"/>
    <mergeCell ref="C16:E16"/>
    <mergeCell ref="F16:G16"/>
    <mergeCell ref="C17:E17"/>
    <mergeCell ref="F17:G17"/>
    <mergeCell ref="C18:E18"/>
    <mergeCell ref="F18:G18"/>
    <mergeCell ref="R11:R13"/>
    <mergeCell ref="S11:S13"/>
    <mergeCell ref="K12:P12"/>
    <mergeCell ref="B14:S14"/>
    <mergeCell ref="C15:E15"/>
    <mergeCell ref="F15:G15"/>
    <mergeCell ref="B11:E13"/>
    <mergeCell ref="F11:G13"/>
    <mergeCell ref="H11:H13"/>
    <mergeCell ref="I11:I13"/>
    <mergeCell ref="J11:J13"/>
    <mergeCell ref="K11:Q11"/>
    <mergeCell ref="B8:S8"/>
    <mergeCell ref="B9:E10"/>
    <mergeCell ref="G9:K9"/>
    <mergeCell ref="G10:K10"/>
    <mergeCell ref="A1:T4"/>
    <mergeCell ref="E5:G5"/>
    <mergeCell ref="J5:M5"/>
    <mergeCell ref="E6:G6"/>
    <mergeCell ref="J6:M6"/>
    <mergeCell ref="O6:P6"/>
    <mergeCell ref="Q6:R6"/>
    <mergeCell ref="L10:M10"/>
    <mergeCell ref="N10:S10"/>
    <mergeCell ref="L9:M9"/>
    <mergeCell ref="N9:S9"/>
  </mergeCells>
  <dataValidations count="1">
    <dataValidation type="list" allowBlank="1" showInputMessage="1" showErrorMessage="1" sqref="J15:J64 J66:J115" xr:uid="{3E4D1B6F-AF08-48B7-B3AA-EED5AB4158B3}">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5792-E37D-41EF-9CBF-043A58338D34}">
  <sheetPr>
    <outlinePr summaryBelow="0" summaryRight="0"/>
  </sheetPr>
  <dimension ref="A1:AC1010"/>
  <sheetViews>
    <sheetView showGridLines="0" topLeftCell="A6" workbookViewId="0">
      <selection activeCell="S17" sqref="S17:T17"/>
    </sheetView>
  </sheetViews>
  <sheetFormatPr defaultColWidth="12.6640625" defaultRowHeight="15.75" customHeight="1"/>
  <cols>
    <col min="1" max="2" width="3.88671875" style="104" customWidth="1"/>
    <col min="3" max="3" width="13.109375" style="104" customWidth="1"/>
    <col min="4" max="4" width="1.88671875" style="104" customWidth="1"/>
    <col min="5" max="5" width="26.33203125" style="104" customWidth="1"/>
    <col min="6" max="6" width="15.21875" style="104" customWidth="1"/>
    <col min="7" max="7" width="3.44140625" style="104" customWidth="1"/>
    <col min="8" max="8" width="5.6640625" style="104" customWidth="1"/>
    <col min="9" max="9" width="2.6640625" style="104" customWidth="1"/>
    <col min="10" max="10" width="12.6640625" style="104" customWidth="1"/>
    <col min="11" max="11" width="2.109375" style="104" customWidth="1"/>
    <col min="12" max="13" width="12.6640625" style="104" customWidth="1"/>
    <col min="14" max="14" width="3.33203125" style="104" customWidth="1"/>
    <col min="15" max="15" width="12.6640625" style="104" customWidth="1"/>
    <col min="16" max="16" width="11.88671875" style="104" customWidth="1"/>
    <col min="17" max="17" width="1.6640625" style="104" customWidth="1"/>
    <col min="18" max="18" width="9" style="104" customWidth="1"/>
    <col min="19" max="27" width="12.6640625" style="104"/>
    <col min="28" max="28" width="12.6640625" style="221"/>
    <col min="29" max="16384" width="12.6640625" style="104"/>
  </cols>
  <sheetData>
    <row r="1" spans="1:29" ht="15">
      <c r="A1" s="491" t="s">
        <v>121</v>
      </c>
      <c r="B1" s="467"/>
      <c r="C1" s="467"/>
      <c r="D1" s="467"/>
      <c r="E1" s="467"/>
      <c r="F1" s="467"/>
      <c r="G1" s="467"/>
      <c r="H1" s="467"/>
      <c r="I1" s="467"/>
      <c r="J1" s="467"/>
      <c r="K1" s="467"/>
      <c r="L1" s="467"/>
      <c r="M1" s="467"/>
      <c r="N1" s="467"/>
      <c r="O1" s="467"/>
      <c r="P1" s="467"/>
      <c r="Q1" s="467"/>
      <c r="R1" s="467"/>
      <c r="S1" s="467"/>
      <c r="T1" s="467"/>
      <c r="U1" s="106"/>
      <c r="V1" s="106"/>
      <c r="W1" s="106"/>
      <c r="X1" s="106"/>
      <c r="Y1" s="106"/>
      <c r="Z1" s="106"/>
      <c r="AA1" s="106"/>
      <c r="AB1" s="218"/>
      <c r="AC1" s="106"/>
    </row>
    <row r="2" spans="1:29" ht="15">
      <c r="A2" s="467"/>
      <c r="B2" s="467"/>
      <c r="C2" s="467"/>
      <c r="D2" s="467"/>
      <c r="E2" s="467"/>
      <c r="F2" s="467"/>
      <c r="G2" s="467"/>
      <c r="H2" s="467"/>
      <c r="I2" s="467"/>
      <c r="J2" s="467"/>
      <c r="K2" s="467"/>
      <c r="L2" s="467"/>
      <c r="M2" s="467"/>
      <c r="N2" s="467"/>
      <c r="O2" s="467"/>
      <c r="P2" s="467"/>
      <c r="Q2" s="467"/>
      <c r="R2" s="467"/>
      <c r="S2" s="467"/>
      <c r="T2" s="467"/>
      <c r="U2" s="106"/>
      <c r="V2" s="106"/>
      <c r="W2" s="106"/>
      <c r="X2" s="106"/>
      <c r="Y2" s="106"/>
      <c r="Z2" s="106"/>
      <c r="AA2" s="106"/>
      <c r="AB2" s="218"/>
      <c r="AC2" s="106"/>
    </row>
    <row r="3" spans="1:29" ht="15">
      <c r="A3" s="467"/>
      <c r="B3" s="467"/>
      <c r="C3" s="467"/>
      <c r="D3" s="467"/>
      <c r="E3" s="467"/>
      <c r="F3" s="467"/>
      <c r="G3" s="467"/>
      <c r="H3" s="467"/>
      <c r="I3" s="467"/>
      <c r="J3" s="467"/>
      <c r="K3" s="467"/>
      <c r="L3" s="467"/>
      <c r="M3" s="467"/>
      <c r="N3" s="467"/>
      <c r="O3" s="467"/>
      <c r="P3" s="467"/>
      <c r="Q3" s="467"/>
      <c r="R3" s="467"/>
      <c r="S3" s="467"/>
      <c r="T3" s="467"/>
      <c r="U3" s="106"/>
      <c r="V3" s="106"/>
      <c r="W3" s="106"/>
      <c r="X3" s="106"/>
      <c r="Y3" s="106"/>
      <c r="Z3" s="106"/>
      <c r="AA3" s="106"/>
      <c r="AB3" s="218"/>
      <c r="AC3" s="106"/>
    </row>
    <row r="4" spans="1:29" ht="15.6">
      <c r="A4" s="467"/>
      <c r="B4" s="467"/>
      <c r="C4" s="467"/>
      <c r="D4" s="467"/>
      <c r="E4" s="467"/>
      <c r="F4" s="467"/>
      <c r="G4" s="467"/>
      <c r="H4" s="467"/>
      <c r="I4" s="467"/>
      <c r="J4" s="467"/>
      <c r="K4" s="467"/>
      <c r="L4" s="467"/>
      <c r="M4" s="467"/>
      <c r="N4" s="467"/>
      <c r="O4" s="467"/>
      <c r="P4" s="467"/>
      <c r="Q4" s="467"/>
      <c r="R4" s="467"/>
      <c r="S4" s="467"/>
      <c r="T4" s="467"/>
      <c r="U4" s="105"/>
      <c r="V4" s="105"/>
      <c r="W4" s="105"/>
      <c r="X4" s="105"/>
      <c r="Y4" s="105"/>
      <c r="Z4" s="105"/>
      <c r="AA4" s="105"/>
      <c r="AB4" s="219"/>
      <c r="AC4" s="105"/>
    </row>
    <row r="5" spans="1:29" ht="15.6" thickBot="1">
      <c r="U5" s="105"/>
      <c r="V5" s="105"/>
      <c r="W5" s="105"/>
      <c r="X5" s="105"/>
      <c r="Y5" s="105"/>
      <c r="Z5" s="105"/>
      <c r="AA5" s="105"/>
      <c r="AB5" s="218"/>
      <c r="AC5" s="105"/>
    </row>
    <row r="6" spans="1:29" ht="16.2" thickBot="1">
      <c r="A6" s="105"/>
      <c r="B6" s="113"/>
      <c r="C6" s="114" t="s">
        <v>3</v>
      </c>
      <c r="D6" s="114"/>
      <c r="E6" s="492">
        <f>'INPUT DATA'!F10</f>
        <v>0</v>
      </c>
      <c r="F6" s="493"/>
      <c r="G6" s="117"/>
      <c r="H6" s="118"/>
      <c r="I6" s="115"/>
      <c r="J6" s="114" t="s">
        <v>6</v>
      </c>
      <c r="K6" s="114"/>
      <c r="L6" s="494">
        <f>'INPUT DATA'!F11</f>
        <v>0</v>
      </c>
      <c r="M6" s="495"/>
      <c r="N6" s="111"/>
      <c r="O6" s="205"/>
      <c r="P6" s="112"/>
      <c r="Q6" s="112"/>
      <c r="R6" s="112"/>
      <c r="S6" s="112"/>
      <c r="T6" s="112"/>
      <c r="U6" s="105"/>
      <c r="V6" s="105"/>
      <c r="W6" s="105"/>
      <c r="X6" s="105"/>
      <c r="Y6" s="105"/>
      <c r="Z6" s="105"/>
      <c r="AA6" s="105"/>
      <c r="AB6" s="218"/>
      <c r="AC6" s="105"/>
    </row>
    <row r="7" spans="1:29" ht="16.2" thickBot="1">
      <c r="A7" s="105"/>
      <c r="B7" s="113"/>
      <c r="C7" s="114" t="s">
        <v>7</v>
      </c>
      <c r="D7" s="114"/>
      <c r="E7" s="441">
        <f>'INPUT DATA'!F16</f>
        <v>0</v>
      </c>
      <c r="F7" s="442"/>
      <c r="G7" s="442"/>
      <c r="H7" s="443"/>
      <c r="I7" s="116"/>
      <c r="J7" s="114" t="s">
        <v>8</v>
      </c>
      <c r="K7" s="114"/>
      <c r="L7" s="494">
        <f>'INPUT DATA'!F15</f>
        <v>0</v>
      </c>
      <c r="M7" s="496"/>
      <c r="N7" s="111"/>
      <c r="O7" s="111"/>
      <c r="P7" s="114" t="s">
        <v>10</v>
      </c>
      <c r="Q7" s="114"/>
      <c r="R7" s="494">
        <f>'INPUT DATA'!F18</f>
        <v>0</v>
      </c>
      <c r="S7" s="497"/>
      <c r="T7" s="496"/>
      <c r="U7" s="105"/>
      <c r="V7" s="105"/>
      <c r="W7" s="105"/>
      <c r="X7" s="105"/>
      <c r="Y7" s="105"/>
      <c r="Z7" s="105"/>
      <c r="AA7" s="105"/>
      <c r="AB7" s="218"/>
      <c r="AC7" s="105"/>
    </row>
    <row r="8" spans="1:29" ht="15.6">
      <c r="A8" s="105"/>
      <c r="B8" s="113"/>
      <c r="C8" s="111"/>
      <c r="D8" s="111"/>
      <c r="E8" s="105"/>
      <c r="F8" s="112"/>
      <c r="G8" s="112"/>
      <c r="H8" s="112"/>
      <c r="I8" s="112"/>
      <c r="J8" s="105"/>
      <c r="K8" s="105"/>
      <c r="L8" s="105"/>
      <c r="M8" s="111"/>
      <c r="N8" s="105"/>
      <c r="O8" s="111"/>
      <c r="P8" s="105"/>
      <c r="Q8" s="105"/>
      <c r="R8" s="111"/>
      <c r="S8" s="111"/>
      <c r="T8" s="105"/>
      <c r="U8" s="105"/>
      <c r="V8" s="105"/>
      <c r="W8" s="105"/>
      <c r="X8" s="105"/>
      <c r="Y8" s="105"/>
      <c r="Z8" s="105"/>
      <c r="AA8" s="105"/>
      <c r="AB8" s="218"/>
      <c r="AC8" s="105"/>
    </row>
    <row r="9" spans="1:29" ht="15.6" thickBot="1">
      <c r="A9" s="105"/>
      <c r="B9" s="439"/>
      <c r="C9" s="439"/>
      <c r="D9" s="439"/>
      <c r="E9" s="439"/>
      <c r="F9" s="440"/>
      <c r="G9" s="440"/>
      <c r="H9" s="440"/>
      <c r="I9" s="440"/>
      <c r="J9" s="440"/>
      <c r="K9" s="440"/>
      <c r="L9" s="440"/>
      <c r="M9" s="440"/>
      <c r="N9" s="439"/>
      <c r="O9" s="439"/>
      <c r="P9" s="439"/>
      <c r="Q9" s="439"/>
      <c r="R9" s="439"/>
      <c r="S9" s="439"/>
      <c r="T9" s="439"/>
      <c r="U9" s="105"/>
      <c r="V9" s="105"/>
      <c r="W9" s="105"/>
      <c r="X9" s="105"/>
      <c r="Y9" s="105"/>
      <c r="Z9" s="105"/>
      <c r="AA9" s="105"/>
      <c r="AB9" s="218"/>
      <c r="AC9" s="105"/>
    </row>
    <row r="10" spans="1:29" ht="16.2" thickBot="1">
      <c r="A10" s="106"/>
      <c r="B10" s="451" t="s">
        <v>21</v>
      </c>
      <c r="C10" s="452"/>
      <c r="D10" s="452"/>
      <c r="E10" s="452"/>
      <c r="F10" s="444" t="s">
        <v>16</v>
      </c>
      <c r="G10" s="445"/>
      <c r="H10" s="481">
        <f>'INPUT DATA'!F27</f>
        <v>0</v>
      </c>
      <c r="I10" s="482"/>
      <c r="J10" s="482"/>
      <c r="K10" s="482"/>
      <c r="L10" s="482"/>
      <c r="M10" s="483"/>
      <c r="N10" s="446" t="s">
        <v>18</v>
      </c>
      <c r="O10" s="487"/>
      <c r="P10" s="498" t="s">
        <v>28</v>
      </c>
      <c r="Q10" s="499"/>
      <c r="R10" s="500"/>
      <c r="S10" s="500"/>
      <c r="T10" s="501"/>
      <c r="U10" s="106"/>
      <c r="V10" s="106"/>
      <c r="W10" s="106"/>
      <c r="X10" s="106"/>
      <c r="Y10" s="106"/>
      <c r="Z10" s="106"/>
      <c r="AA10" s="106"/>
      <c r="AB10" s="218"/>
      <c r="AC10" s="106"/>
    </row>
    <row r="11" spans="1:29" ht="16.2" thickBot="1">
      <c r="A11" s="106"/>
      <c r="B11" s="453"/>
      <c r="C11" s="454"/>
      <c r="D11" s="454"/>
      <c r="E11" s="455"/>
      <c r="F11" s="446" t="s">
        <v>20</v>
      </c>
      <c r="G11" s="447"/>
      <c r="H11" s="484">
        <f>'INPUT DATA'!F28</f>
        <v>0</v>
      </c>
      <c r="I11" s="485"/>
      <c r="J11" s="485"/>
      <c r="K11" s="485"/>
      <c r="L11" s="485"/>
      <c r="M11" s="486"/>
      <c r="N11" s="488"/>
      <c r="O11" s="489"/>
      <c r="P11" s="502"/>
      <c r="Q11" s="503"/>
      <c r="R11" s="503"/>
      <c r="S11" s="503"/>
      <c r="T11" s="504"/>
      <c r="U11" s="106"/>
      <c r="V11" s="106"/>
      <c r="W11" s="106"/>
      <c r="X11" s="106"/>
      <c r="Y11" s="106"/>
      <c r="Z11" s="106"/>
      <c r="AA11" s="106"/>
      <c r="AB11" s="218"/>
      <c r="AC11" s="106"/>
    </row>
    <row r="12" spans="1:29" ht="15" customHeight="1">
      <c r="A12" s="105"/>
      <c r="B12" s="453"/>
      <c r="C12" s="454"/>
      <c r="D12" s="454"/>
      <c r="E12" s="455"/>
      <c r="F12" s="469" t="s">
        <v>15</v>
      </c>
      <c r="G12" s="470"/>
      <c r="H12" s="471"/>
      <c r="I12" s="472"/>
      <c r="J12" s="476" t="s">
        <v>120</v>
      </c>
      <c r="K12" s="471"/>
      <c r="L12" s="472"/>
      <c r="M12" s="476" t="s">
        <v>119</v>
      </c>
      <c r="N12" s="458"/>
      <c r="O12" s="477"/>
      <c r="P12" s="458" t="s">
        <v>118</v>
      </c>
      <c r="Q12" s="458"/>
      <c r="R12" s="459"/>
      <c r="S12" s="451" t="s">
        <v>117</v>
      </c>
      <c r="T12" s="459"/>
      <c r="U12" s="105"/>
      <c r="V12" s="105"/>
      <c r="W12" s="105"/>
      <c r="X12" s="105"/>
      <c r="Y12" s="105"/>
      <c r="Z12" s="105"/>
      <c r="AA12" s="105"/>
      <c r="AB12" s="220"/>
      <c r="AC12" s="105"/>
    </row>
    <row r="13" spans="1:29" ht="15.6" customHeight="1" thickBot="1">
      <c r="A13" s="105"/>
      <c r="B13" s="456"/>
      <c r="C13" s="457"/>
      <c r="D13" s="457"/>
      <c r="E13" s="457"/>
      <c r="F13" s="473"/>
      <c r="G13" s="474"/>
      <c r="H13" s="474"/>
      <c r="I13" s="475"/>
      <c r="J13" s="473"/>
      <c r="K13" s="474"/>
      <c r="L13" s="475"/>
      <c r="M13" s="478"/>
      <c r="N13" s="479"/>
      <c r="O13" s="480"/>
      <c r="P13" s="457"/>
      <c r="Q13" s="457"/>
      <c r="R13" s="460"/>
      <c r="S13" s="456"/>
      <c r="T13" s="460"/>
      <c r="U13" s="105"/>
      <c r="V13" s="105"/>
      <c r="W13" s="105"/>
      <c r="X13" s="105"/>
      <c r="Y13" s="105"/>
      <c r="Z13" s="105"/>
      <c r="AA13" s="105"/>
      <c r="AB13" s="220"/>
      <c r="AC13" s="105"/>
    </row>
    <row r="14" spans="1:29" ht="16.2" thickBot="1">
      <c r="A14" s="105"/>
      <c r="B14" s="510" t="s">
        <v>11</v>
      </c>
      <c r="C14" s="511"/>
      <c r="D14" s="511"/>
      <c r="E14" s="511"/>
      <c r="F14" s="512"/>
      <c r="G14" s="512"/>
      <c r="H14" s="512"/>
      <c r="I14" s="512"/>
      <c r="J14" s="512"/>
      <c r="K14" s="512"/>
      <c r="L14" s="512"/>
      <c r="M14" s="513"/>
      <c r="N14" s="513"/>
      <c r="O14" s="513"/>
      <c r="P14" s="513"/>
      <c r="Q14" s="513"/>
      <c r="R14" s="513"/>
      <c r="S14" s="513"/>
      <c r="T14" s="514"/>
      <c r="U14" s="105"/>
      <c r="V14" s="105"/>
      <c r="W14" s="105"/>
      <c r="X14" s="105"/>
      <c r="Y14" s="105"/>
      <c r="Z14" s="105"/>
      <c r="AA14" s="105"/>
      <c r="AB14" s="220"/>
      <c r="AC14" s="105"/>
    </row>
    <row r="15" spans="1:29" ht="15.75" customHeight="1">
      <c r="A15" s="105"/>
      <c r="B15" s="110">
        <v>1</v>
      </c>
      <c r="C15" s="426" t="str">
        <f>IF('INPUT DATA'!L11="","",'INPUT DATA'!L11)</f>
        <v/>
      </c>
      <c r="D15" s="427"/>
      <c r="E15" s="427"/>
      <c r="F15" s="448" t="str">
        <f>IF(TRIM(C15)="","",IFERROR(_xlfn.XLOOKUP(TRIM(C15),'TERM 1 SUMMARY'!$C$15:$C$115,'TERM 1 SUMMARY'!$R$15:$R$115),""))</f>
        <v/>
      </c>
      <c r="G15" s="449"/>
      <c r="H15" s="449"/>
      <c r="I15" s="450"/>
      <c r="J15" s="403" t="str">
        <f>IF(TRIM(C15)="","",IFERROR(_xlfn.XLOOKUP(TRIM(C15),'TERM 2 SUMMARY'!$C$15:$C$115,'TERM 2 SUMMARY'!$R$15:$R$115),""))</f>
        <v/>
      </c>
      <c r="K15" s="404"/>
      <c r="L15" s="408"/>
      <c r="M15" s="403" t="str">
        <f>IF(TRIM(C15)="","",IFERROR(_xlfn.XLOOKUP(TRIM(C15),'TERM 3 SUMMARY'!$C$15:$C$115,'TERM 3 SUMMARY'!$R$15:$R$115),""))</f>
        <v/>
      </c>
      <c r="N15" s="404"/>
      <c r="O15" s="405"/>
      <c r="P15" s="505" t="str">
        <f>IF(C15="","",IF(COUNT($F15:$M15)=0,"",SUM($F15:$M15)/3))</f>
        <v/>
      </c>
      <c r="Q15" s="506"/>
      <c r="R15" s="507"/>
      <c r="S15" s="508" t="str">
        <f>IF(P15="","",_xlfn.RANK.AVG(P15,$P$15:$P$115))</f>
        <v/>
      </c>
      <c r="T15" s="509"/>
      <c r="U15" s="105"/>
      <c r="V15" s="105"/>
      <c r="W15" s="105"/>
      <c r="X15" s="105"/>
      <c r="Y15" s="105"/>
      <c r="Z15" s="105"/>
      <c r="AA15" s="105"/>
      <c r="AB15" s="220"/>
      <c r="AC15" s="105"/>
    </row>
    <row r="16" spans="1:29" ht="15.75" customHeight="1">
      <c r="A16" s="105"/>
      <c r="B16" s="109">
        <v>2</v>
      </c>
      <c r="C16" s="426" t="str">
        <f>IF('INPUT DATA'!L12="","",'INPUT DATA'!L12)</f>
        <v/>
      </c>
      <c r="D16" s="427"/>
      <c r="E16" s="427"/>
      <c r="F16" s="413" t="str">
        <f>IF(TRIM(C16)="","",IFERROR(_xlfn.XLOOKUP(TRIM(C16),'TERM 1 SUMMARY'!$C$15:$C$115,'TERM 1 SUMMARY'!$R$15:$R$115),""))</f>
        <v/>
      </c>
      <c r="G16" s="414"/>
      <c r="H16" s="414"/>
      <c r="I16" s="415"/>
      <c r="J16" s="396" t="str">
        <f>IF(TRIM(C16)="","",IFERROR(_xlfn.XLOOKUP(TRIM(C16),'TERM 2 SUMMARY'!$C$15:$C$115,'TERM 2 SUMMARY'!$R$15:$R$115),""))</f>
        <v/>
      </c>
      <c r="K16" s="397"/>
      <c r="L16" s="399"/>
      <c r="M16" s="396" t="str">
        <f>IF(TRIM(C16)="","",IFERROR(_xlfn.XLOOKUP(TRIM(C16),'TERM 3 SUMMARY'!$C$15:$C$115,'TERM 3 SUMMARY'!$R$15:$R$115),""))</f>
        <v/>
      </c>
      <c r="N16" s="397"/>
      <c r="O16" s="398"/>
      <c r="P16" s="434" t="str">
        <f t="shared" ref="P16:P64" si="0">IF(C16="","",IF(COUNT($F16:$M16)=0,"",SUM($F16:$M16)/3))</f>
        <v/>
      </c>
      <c r="Q16" s="435"/>
      <c r="R16" s="436"/>
      <c r="S16" s="437" t="str">
        <f t="shared" ref="S16:S28" si="1">IF(P16="","",_xlfn.RANK.AVG(P16,$P$15:$P$115))</f>
        <v/>
      </c>
      <c r="T16" s="438"/>
      <c r="U16" s="105"/>
      <c r="V16" s="105"/>
      <c r="W16" s="105"/>
      <c r="X16" s="105"/>
      <c r="Y16" s="105"/>
      <c r="Z16" s="105"/>
      <c r="AA16" s="105"/>
      <c r="AB16" s="220"/>
      <c r="AC16" s="105"/>
    </row>
    <row r="17" spans="1:29" ht="15.75" customHeight="1">
      <c r="A17" s="105"/>
      <c r="B17" s="109">
        <v>3</v>
      </c>
      <c r="C17" s="426" t="str">
        <f>IF('INPUT DATA'!L13="","",'INPUT DATA'!L13)</f>
        <v/>
      </c>
      <c r="D17" s="427"/>
      <c r="E17" s="427"/>
      <c r="F17" s="413" t="str">
        <f>IF(TRIM(C17)="","",IFERROR(_xlfn.XLOOKUP(TRIM(C17),'TERM 1 SUMMARY'!$C$15:$C$115,'TERM 1 SUMMARY'!$R$15:$R$115),""))</f>
        <v/>
      </c>
      <c r="G17" s="414"/>
      <c r="H17" s="414"/>
      <c r="I17" s="415"/>
      <c r="J17" s="396" t="str">
        <f>IF(TRIM(C17)="","",IFERROR(_xlfn.XLOOKUP(TRIM(C17),'TERM 2 SUMMARY'!$C$15:$C$115,'TERM 2 SUMMARY'!$R$15:$R$115),""))</f>
        <v/>
      </c>
      <c r="K17" s="397"/>
      <c r="L17" s="399"/>
      <c r="M17" s="396" t="str">
        <f>IF(TRIM(C17)="","",IFERROR(_xlfn.XLOOKUP(TRIM(C17),'TERM 3 SUMMARY'!$C$15:$C$115,'TERM 3 SUMMARY'!$R$15:$R$115),""))</f>
        <v/>
      </c>
      <c r="N17" s="397"/>
      <c r="O17" s="398"/>
      <c r="P17" s="434" t="str">
        <f t="shared" si="0"/>
        <v/>
      </c>
      <c r="Q17" s="435"/>
      <c r="R17" s="436"/>
      <c r="S17" s="437" t="str">
        <f t="shared" si="1"/>
        <v/>
      </c>
      <c r="T17" s="438"/>
      <c r="U17" s="105"/>
      <c r="V17" s="105"/>
      <c r="W17" s="105"/>
      <c r="X17" s="105"/>
      <c r="Y17" s="105"/>
      <c r="Z17" s="105"/>
      <c r="AA17" s="105"/>
      <c r="AB17" s="220"/>
      <c r="AC17" s="105"/>
    </row>
    <row r="18" spans="1:29" ht="15.75" customHeight="1">
      <c r="A18" s="105"/>
      <c r="B18" s="109">
        <v>4</v>
      </c>
      <c r="C18" s="426" t="str">
        <f>IF('INPUT DATA'!L14="","",'INPUT DATA'!L14)</f>
        <v/>
      </c>
      <c r="D18" s="427"/>
      <c r="E18" s="427"/>
      <c r="F18" s="413" t="str">
        <f>IF(TRIM(C18)="","",IFERROR(_xlfn.XLOOKUP(TRIM(C18),'TERM 1 SUMMARY'!$C$15:$C$115,'TERM 1 SUMMARY'!$R$15:$R$115),""))</f>
        <v/>
      </c>
      <c r="G18" s="414"/>
      <c r="H18" s="414"/>
      <c r="I18" s="415"/>
      <c r="J18" s="396" t="str">
        <f>IF(TRIM(C18)="","",IFERROR(_xlfn.XLOOKUP(TRIM(C18),'TERM 2 SUMMARY'!$C$15:$C$115,'TERM 2 SUMMARY'!$R$15:$R$115),""))</f>
        <v/>
      </c>
      <c r="K18" s="397"/>
      <c r="L18" s="399"/>
      <c r="M18" s="396" t="str">
        <f>IF(TRIM(C18)="","",IFERROR(_xlfn.XLOOKUP(TRIM(C18),'TERM 3 SUMMARY'!$C$15:$C$115,'TERM 3 SUMMARY'!$R$15:$R$115),""))</f>
        <v/>
      </c>
      <c r="N18" s="397"/>
      <c r="O18" s="398"/>
      <c r="P18" s="434" t="str">
        <f t="shared" si="0"/>
        <v/>
      </c>
      <c r="Q18" s="435"/>
      <c r="R18" s="436"/>
      <c r="S18" s="437" t="str">
        <f t="shared" si="1"/>
        <v/>
      </c>
      <c r="T18" s="438"/>
      <c r="U18" s="105"/>
      <c r="V18" s="105"/>
      <c r="W18" s="105"/>
      <c r="X18" s="105"/>
      <c r="Y18" s="105"/>
      <c r="Z18" s="105"/>
      <c r="AA18" s="105"/>
      <c r="AB18" s="220"/>
      <c r="AC18" s="105"/>
    </row>
    <row r="19" spans="1:29" ht="15.75" customHeight="1">
      <c r="A19" s="105"/>
      <c r="B19" s="109">
        <v>5</v>
      </c>
      <c r="C19" s="426" t="str">
        <f>IF('INPUT DATA'!L15="","",'INPUT DATA'!L15)</f>
        <v/>
      </c>
      <c r="D19" s="427"/>
      <c r="E19" s="427"/>
      <c r="F19" s="413" t="str">
        <f>IF(TRIM(C19)="","",IFERROR(_xlfn.XLOOKUP(TRIM(C19),'TERM 1 SUMMARY'!$C$15:$C$115,'TERM 1 SUMMARY'!$R$15:$R$115),""))</f>
        <v/>
      </c>
      <c r="G19" s="414"/>
      <c r="H19" s="414"/>
      <c r="I19" s="415"/>
      <c r="J19" s="396" t="str">
        <f>IF(TRIM(C19)="","",IFERROR(_xlfn.XLOOKUP(TRIM(C19),'TERM 2 SUMMARY'!$C$15:$C$115,'TERM 2 SUMMARY'!$R$15:$R$115),""))</f>
        <v/>
      </c>
      <c r="K19" s="397"/>
      <c r="L19" s="399"/>
      <c r="M19" s="396" t="str">
        <f>IF(TRIM(C19)="","",IFERROR(_xlfn.XLOOKUP(TRIM(C19),'TERM 3 SUMMARY'!$C$15:$C$115,'TERM 3 SUMMARY'!$R$15:$R$115),""))</f>
        <v/>
      </c>
      <c r="N19" s="397"/>
      <c r="O19" s="398"/>
      <c r="P19" s="434" t="str">
        <f t="shared" si="0"/>
        <v/>
      </c>
      <c r="Q19" s="435"/>
      <c r="R19" s="436"/>
      <c r="S19" s="437" t="str">
        <f t="shared" si="1"/>
        <v/>
      </c>
      <c r="T19" s="438"/>
      <c r="U19" s="105"/>
      <c r="V19" s="105"/>
      <c r="W19" s="105"/>
      <c r="X19" s="105"/>
      <c r="Y19" s="105"/>
      <c r="Z19" s="105"/>
      <c r="AA19" s="105"/>
      <c r="AB19" s="220"/>
      <c r="AC19" s="105"/>
    </row>
    <row r="20" spans="1:29" ht="15.75" customHeight="1">
      <c r="A20" s="105"/>
      <c r="B20" s="109">
        <v>6</v>
      </c>
      <c r="C20" s="426" t="str">
        <f>IF('INPUT DATA'!L16="","",'INPUT DATA'!L16)</f>
        <v/>
      </c>
      <c r="D20" s="427"/>
      <c r="E20" s="427"/>
      <c r="F20" s="413" t="str">
        <f>IF(TRIM(C20)="","",IFERROR(_xlfn.XLOOKUP(TRIM(C20),'TERM 1 SUMMARY'!$C$15:$C$115,'TERM 1 SUMMARY'!$R$15:$R$115),""))</f>
        <v/>
      </c>
      <c r="G20" s="414"/>
      <c r="H20" s="414"/>
      <c r="I20" s="415"/>
      <c r="J20" s="396" t="str">
        <f>IF(TRIM(C20)="","",IFERROR(_xlfn.XLOOKUP(TRIM(C20),'TERM 2 SUMMARY'!$C$15:$C$115,'TERM 2 SUMMARY'!$R$15:$R$115),""))</f>
        <v/>
      </c>
      <c r="K20" s="397"/>
      <c r="L20" s="399"/>
      <c r="M20" s="396" t="str">
        <f>IF(TRIM(C20)="","",IFERROR(_xlfn.XLOOKUP(TRIM(C20),'TERM 3 SUMMARY'!$C$15:$C$115,'TERM 3 SUMMARY'!$R$15:$R$115),""))</f>
        <v/>
      </c>
      <c r="N20" s="397"/>
      <c r="O20" s="398"/>
      <c r="P20" s="434" t="str">
        <f t="shared" si="0"/>
        <v/>
      </c>
      <c r="Q20" s="435"/>
      <c r="R20" s="436"/>
      <c r="S20" s="437" t="str">
        <f t="shared" si="1"/>
        <v/>
      </c>
      <c r="T20" s="438"/>
      <c r="U20" s="105"/>
      <c r="V20" s="105"/>
      <c r="W20" s="105"/>
      <c r="X20" s="105"/>
      <c r="Y20" s="105"/>
      <c r="Z20" s="105"/>
      <c r="AA20" s="105"/>
      <c r="AB20" s="220"/>
      <c r="AC20" s="105"/>
    </row>
    <row r="21" spans="1:29" ht="15.75" customHeight="1">
      <c r="A21" s="105"/>
      <c r="B21" s="109">
        <v>7</v>
      </c>
      <c r="C21" s="426" t="str">
        <f>IF('INPUT DATA'!L17="","",'INPUT DATA'!L17)</f>
        <v/>
      </c>
      <c r="D21" s="427"/>
      <c r="E21" s="427"/>
      <c r="F21" s="413" t="str">
        <f>IF(TRIM(C21)="","",IFERROR(_xlfn.XLOOKUP(TRIM(C21),'TERM 1 SUMMARY'!$C$15:$C$115,'TERM 1 SUMMARY'!$R$15:$R$115),""))</f>
        <v/>
      </c>
      <c r="G21" s="414"/>
      <c r="H21" s="414"/>
      <c r="I21" s="415"/>
      <c r="J21" s="396" t="str">
        <f>IF(TRIM(C21)="","",IFERROR(_xlfn.XLOOKUP(TRIM(C21),'TERM 2 SUMMARY'!$C$15:$C$115,'TERM 2 SUMMARY'!$R$15:$R$115),""))</f>
        <v/>
      </c>
      <c r="K21" s="397"/>
      <c r="L21" s="399"/>
      <c r="M21" s="396" t="str">
        <f>IF(TRIM(C21)="","",IFERROR(_xlfn.XLOOKUP(TRIM(C21),'TERM 3 SUMMARY'!$C$15:$C$115,'TERM 3 SUMMARY'!$R$15:$R$115),""))</f>
        <v/>
      </c>
      <c r="N21" s="397"/>
      <c r="O21" s="398"/>
      <c r="P21" s="434" t="str">
        <f t="shared" si="0"/>
        <v/>
      </c>
      <c r="Q21" s="435"/>
      <c r="R21" s="436"/>
      <c r="S21" s="437" t="str">
        <f t="shared" si="1"/>
        <v/>
      </c>
      <c r="T21" s="438"/>
      <c r="U21" s="105"/>
      <c r="V21" s="105"/>
      <c r="W21" s="105"/>
      <c r="X21" s="105"/>
      <c r="Y21" s="105"/>
      <c r="Z21" s="105"/>
      <c r="AA21" s="105"/>
      <c r="AB21" s="220"/>
      <c r="AC21" s="105"/>
    </row>
    <row r="22" spans="1:29" ht="15.75" customHeight="1">
      <c r="A22" s="105"/>
      <c r="B22" s="109">
        <v>8</v>
      </c>
      <c r="C22" s="426" t="str">
        <f>IF('INPUT DATA'!L18="","",'INPUT DATA'!L18)</f>
        <v/>
      </c>
      <c r="D22" s="427"/>
      <c r="E22" s="427"/>
      <c r="F22" s="413" t="str">
        <f>IF(TRIM(C22)="","",IFERROR(_xlfn.XLOOKUP(TRIM(C22),'TERM 1 SUMMARY'!$C$15:$C$115,'TERM 1 SUMMARY'!$R$15:$R$115),""))</f>
        <v/>
      </c>
      <c r="G22" s="414"/>
      <c r="H22" s="414"/>
      <c r="I22" s="415"/>
      <c r="J22" s="396" t="str">
        <f>IF(TRIM(C22)="","",IFERROR(_xlfn.XLOOKUP(TRIM(C22),'TERM 2 SUMMARY'!$C$15:$C$115,'TERM 2 SUMMARY'!$R$15:$R$115),""))</f>
        <v/>
      </c>
      <c r="K22" s="397"/>
      <c r="L22" s="399"/>
      <c r="M22" s="396" t="str">
        <f>IF(TRIM(C22)="","",IFERROR(_xlfn.XLOOKUP(TRIM(C22),'TERM 3 SUMMARY'!$C$15:$C$115,'TERM 3 SUMMARY'!$R$15:$R$115),""))</f>
        <v/>
      </c>
      <c r="N22" s="397"/>
      <c r="O22" s="398"/>
      <c r="P22" s="434" t="str">
        <f t="shared" si="0"/>
        <v/>
      </c>
      <c r="Q22" s="435"/>
      <c r="R22" s="436"/>
      <c r="S22" s="437" t="str">
        <f t="shared" si="1"/>
        <v/>
      </c>
      <c r="T22" s="438"/>
      <c r="U22" s="105"/>
      <c r="V22" s="105"/>
      <c r="W22" s="105"/>
      <c r="X22" s="105"/>
      <c r="Y22" s="105"/>
      <c r="Z22" s="105"/>
      <c r="AA22" s="105"/>
      <c r="AB22" s="220"/>
      <c r="AC22" s="105"/>
    </row>
    <row r="23" spans="1:29" ht="15.75" customHeight="1">
      <c r="A23" s="105"/>
      <c r="B23" s="109">
        <v>9</v>
      </c>
      <c r="C23" s="426" t="str">
        <f>IF('INPUT DATA'!L19="","",'INPUT DATA'!L19)</f>
        <v/>
      </c>
      <c r="D23" s="427"/>
      <c r="E23" s="427"/>
      <c r="F23" s="413" t="str">
        <f>IF(TRIM(C23)="","",IFERROR(_xlfn.XLOOKUP(TRIM(C23),'TERM 1 SUMMARY'!$C$15:$C$115,'TERM 1 SUMMARY'!$R$15:$R$115),""))</f>
        <v/>
      </c>
      <c r="G23" s="414"/>
      <c r="H23" s="414"/>
      <c r="I23" s="415"/>
      <c r="J23" s="396" t="str">
        <f>IF(TRIM(C23)="","",IFERROR(_xlfn.XLOOKUP(TRIM(C23),'TERM 2 SUMMARY'!$C$15:$C$115,'TERM 2 SUMMARY'!$R$15:$R$115),""))</f>
        <v/>
      </c>
      <c r="K23" s="397"/>
      <c r="L23" s="399"/>
      <c r="M23" s="396" t="str">
        <f>IF(TRIM(C23)="","",IFERROR(_xlfn.XLOOKUP(TRIM(C23),'TERM 3 SUMMARY'!$C$15:$C$115,'TERM 3 SUMMARY'!$R$15:$R$115),""))</f>
        <v/>
      </c>
      <c r="N23" s="397"/>
      <c r="O23" s="398"/>
      <c r="P23" s="434" t="str">
        <f t="shared" si="0"/>
        <v/>
      </c>
      <c r="Q23" s="435"/>
      <c r="R23" s="436"/>
      <c r="S23" s="437" t="str">
        <f t="shared" si="1"/>
        <v/>
      </c>
      <c r="T23" s="438"/>
      <c r="U23" s="105"/>
      <c r="V23" s="105"/>
      <c r="W23" s="105"/>
      <c r="X23" s="105"/>
      <c r="Y23" s="105"/>
      <c r="Z23" s="105"/>
      <c r="AA23" s="105"/>
      <c r="AB23" s="220"/>
      <c r="AC23" s="105"/>
    </row>
    <row r="24" spans="1:29" ht="15.75" customHeight="1">
      <c r="A24" s="105"/>
      <c r="B24" s="109">
        <v>10</v>
      </c>
      <c r="C24" s="426" t="str">
        <f>IF('INPUT DATA'!L20="","",'INPUT DATA'!L20)</f>
        <v/>
      </c>
      <c r="D24" s="427"/>
      <c r="E24" s="427"/>
      <c r="F24" s="413" t="str">
        <f>IF(TRIM(C24)="","",IFERROR(_xlfn.XLOOKUP(TRIM(C24),'TERM 1 SUMMARY'!$C$15:$C$115,'TERM 1 SUMMARY'!$R$15:$R$115),""))</f>
        <v/>
      </c>
      <c r="G24" s="414"/>
      <c r="H24" s="414"/>
      <c r="I24" s="415"/>
      <c r="J24" s="396" t="str">
        <f>IF(TRIM(C24)="","",IFERROR(_xlfn.XLOOKUP(TRIM(C24),'TERM 2 SUMMARY'!$C$15:$C$115,'TERM 2 SUMMARY'!$R$15:$R$115),""))</f>
        <v/>
      </c>
      <c r="K24" s="397"/>
      <c r="L24" s="399"/>
      <c r="M24" s="396" t="str">
        <f>IF(TRIM(C24)="","",IFERROR(_xlfn.XLOOKUP(TRIM(C24),'TERM 3 SUMMARY'!$C$15:$C$115,'TERM 3 SUMMARY'!$R$15:$R$115),""))</f>
        <v/>
      </c>
      <c r="N24" s="397"/>
      <c r="O24" s="398"/>
      <c r="P24" s="434" t="str">
        <f t="shared" si="0"/>
        <v/>
      </c>
      <c r="Q24" s="435"/>
      <c r="R24" s="436"/>
      <c r="S24" s="437" t="str">
        <f t="shared" si="1"/>
        <v/>
      </c>
      <c r="T24" s="438"/>
      <c r="U24" s="105"/>
      <c r="V24" s="105"/>
      <c r="W24" s="105"/>
      <c r="X24" s="105"/>
      <c r="Y24" s="105"/>
      <c r="Z24" s="105"/>
      <c r="AA24" s="105"/>
      <c r="AB24" s="220"/>
      <c r="AC24" s="105"/>
    </row>
    <row r="25" spans="1:29" ht="15.75" customHeight="1">
      <c r="A25" s="105"/>
      <c r="B25" s="109">
        <v>11</v>
      </c>
      <c r="C25" s="426" t="str">
        <f>IF('INPUT DATA'!L21="","",'INPUT DATA'!L21)</f>
        <v/>
      </c>
      <c r="D25" s="427"/>
      <c r="E25" s="427"/>
      <c r="F25" s="413" t="str">
        <f>IF(TRIM(C25)="","",IFERROR(_xlfn.XLOOKUP(TRIM(C25),'TERM 1 SUMMARY'!$C$15:$C$115,'TERM 1 SUMMARY'!$R$15:$R$115),""))</f>
        <v/>
      </c>
      <c r="G25" s="414"/>
      <c r="H25" s="414"/>
      <c r="I25" s="415"/>
      <c r="J25" s="396" t="str">
        <f>IF(TRIM(C25)="","",IFERROR(_xlfn.XLOOKUP(TRIM(C25),'TERM 2 SUMMARY'!$C$15:$C$115,'TERM 2 SUMMARY'!$R$15:$R$115),""))</f>
        <v/>
      </c>
      <c r="K25" s="397"/>
      <c r="L25" s="399"/>
      <c r="M25" s="396" t="str">
        <f>IF(TRIM(C25)="","",IFERROR(_xlfn.XLOOKUP(TRIM(C25),'TERM 3 SUMMARY'!$C$15:$C$115,'TERM 3 SUMMARY'!$R$15:$R$115),""))</f>
        <v/>
      </c>
      <c r="N25" s="397"/>
      <c r="O25" s="398"/>
      <c r="P25" s="434" t="str">
        <f t="shared" si="0"/>
        <v/>
      </c>
      <c r="Q25" s="435"/>
      <c r="R25" s="436"/>
      <c r="S25" s="437" t="str">
        <f t="shared" si="1"/>
        <v/>
      </c>
      <c r="T25" s="438"/>
      <c r="U25" s="105"/>
      <c r="V25" s="105"/>
      <c r="W25" s="105"/>
      <c r="X25" s="105"/>
      <c r="Y25" s="105"/>
      <c r="Z25" s="105"/>
      <c r="AA25" s="105"/>
      <c r="AB25" s="220"/>
      <c r="AC25" s="105"/>
    </row>
    <row r="26" spans="1:29" ht="15.75" customHeight="1">
      <c r="A26" s="105"/>
      <c r="B26" s="109">
        <v>12</v>
      </c>
      <c r="C26" s="426" t="str">
        <f>IF('INPUT DATA'!L22="","",'INPUT DATA'!L22)</f>
        <v/>
      </c>
      <c r="D26" s="427"/>
      <c r="E26" s="427"/>
      <c r="F26" s="413" t="str">
        <f>IF(TRIM(C26)="","",IFERROR(_xlfn.XLOOKUP(TRIM(C26),'TERM 1 SUMMARY'!$C$15:$C$115,'TERM 1 SUMMARY'!$R$15:$R$115),""))</f>
        <v/>
      </c>
      <c r="G26" s="414"/>
      <c r="H26" s="414"/>
      <c r="I26" s="415"/>
      <c r="J26" s="396" t="str">
        <f>IF(TRIM(C26)="","",IFERROR(_xlfn.XLOOKUP(TRIM(C26),'TERM 2 SUMMARY'!$C$15:$C$115,'TERM 2 SUMMARY'!$R$15:$R$115),""))</f>
        <v/>
      </c>
      <c r="K26" s="397"/>
      <c r="L26" s="399"/>
      <c r="M26" s="396" t="str">
        <f>IF(TRIM(C26)="","",IFERROR(_xlfn.XLOOKUP(TRIM(C26),'TERM 3 SUMMARY'!$C$15:$C$115,'TERM 3 SUMMARY'!$R$15:$R$115),""))</f>
        <v/>
      </c>
      <c r="N26" s="397"/>
      <c r="O26" s="398"/>
      <c r="P26" s="434" t="str">
        <f t="shared" si="0"/>
        <v/>
      </c>
      <c r="Q26" s="435"/>
      <c r="R26" s="436"/>
      <c r="S26" s="437" t="str">
        <f t="shared" si="1"/>
        <v/>
      </c>
      <c r="T26" s="438"/>
      <c r="U26" s="105"/>
      <c r="V26" s="105"/>
      <c r="W26" s="105"/>
      <c r="X26" s="105"/>
      <c r="Y26" s="105"/>
      <c r="Z26" s="105"/>
      <c r="AA26" s="105"/>
      <c r="AB26" s="220"/>
      <c r="AC26" s="105"/>
    </row>
    <row r="27" spans="1:29" ht="15.6">
      <c r="A27" s="105"/>
      <c r="B27" s="109">
        <v>13</v>
      </c>
      <c r="C27" s="426" t="str">
        <f>IF('INPUT DATA'!L23="","",'INPUT DATA'!L23)</f>
        <v/>
      </c>
      <c r="D27" s="427"/>
      <c r="E27" s="427"/>
      <c r="F27" s="413" t="str">
        <f>IF(TRIM(C27)="","",IFERROR(_xlfn.XLOOKUP(TRIM(C27),'TERM 1 SUMMARY'!$C$15:$C$115,'TERM 1 SUMMARY'!$R$15:$R$115),""))</f>
        <v/>
      </c>
      <c r="G27" s="414"/>
      <c r="H27" s="414"/>
      <c r="I27" s="415"/>
      <c r="J27" s="396" t="str">
        <f>IF(TRIM(C27)="","",IFERROR(_xlfn.XLOOKUP(TRIM(C27),'TERM 2 SUMMARY'!$C$15:$C$115,'TERM 2 SUMMARY'!$R$15:$R$115),""))</f>
        <v/>
      </c>
      <c r="K27" s="397"/>
      <c r="L27" s="399"/>
      <c r="M27" s="396" t="str">
        <f>IF(TRIM(C27)="","",IFERROR(_xlfn.XLOOKUP(TRIM(C27),'TERM 3 SUMMARY'!$C$15:$C$115,'TERM 3 SUMMARY'!$R$15:$R$115),""))</f>
        <v/>
      </c>
      <c r="N27" s="397"/>
      <c r="O27" s="398"/>
      <c r="P27" s="434" t="str">
        <f t="shared" si="0"/>
        <v/>
      </c>
      <c r="Q27" s="435"/>
      <c r="R27" s="436"/>
      <c r="S27" s="437" t="str">
        <f t="shared" si="1"/>
        <v/>
      </c>
      <c r="T27" s="438"/>
      <c r="U27" s="105"/>
      <c r="V27" s="105"/>
      <c r="W27" s="105"/>
      <c r="X27" s="105"/>
      <c r="Y27" s="105"/>
      <c r="Z27" s="105"/>
      <c r="AA27" s="105"/>
      <c r="AB27" s="220"/>
      <c r="AC27" s="105"/>
    </row>
    <row r="28" spans="1:29" ht="15.6">
      <c r="A28" s="105"/>
      <c r="B28" s="109">
        <v>14</v>
      </c>
      <c r="C28" s="426" t="str">
        <f>IF('INPUT DATA'!L24="","",'INPUT DATA'!L24)</f>
        <v/>
      </c>
      <c r="D28" s="427"/>
      <c r="E28" s="427"/>
      <c r="F28" s="413" t="str">
        <f>IF(TRIM(C28)="","",IFERROR(_xlfn.XLOOKUP(TRIM(C28),'TERM 1 SUMMARY'!$C$15:$C$115,'TERM 1 SUMMARY'!$R$15:$R$115),""))</f>
        <v/>
      </c>
      <c r="G28" s="414"/>
      <c r="H28" s="414"/>
      <c r="I28" s="415"/>
      <c r="J28" s="396" t="str">
        <f>IF(TRIM(C28)="","",IFERROR(_xlfn.XLOOKUP(TRIM(C28),'TERM 2 SUMMARY'!$C$15:$C$115,'TERM 2 SUMMARY'!$R$15:$R$115),""))</f>
        <v/>
      </c>
      <c r="K28" s="397"/>
      <c r="L28" s="399"/>
      <c r="M28" s="396" t="str">
        <f>IF(TRIM(C28)="","",IFERROR(_xlfn.XLOOKUP(TRIM(C28),'TERM 3 SUMMARY'!$C$15:$C$115,'TERM 3 SUMMARY'!$R$15:$R$115),""))</f>
        <v/>
      </c>
      <c r="N28" s="397"/>
      <c r="O28" s="398"/>
      <c r="P28" s="434" t="str">
        <f t="shared" si="0"/>
        <v/>
      </c>
      <c r="Q28" s="435"/>
      <c r="R28" s="436"/>
      <c r="S28" s="437" t="str">
        <f t="shared" si="1"/>
        <v/>
      </c>
      <c r="T28" s="438"/>
      <c r="U28" s="105"/>
      <c r="V28" s="105"/>
      <c r="W28" s="105"/>
      <c r="X28" s="105"/>
      <c r="Y28" s="105"/>
      <c r="Z28" s="105"/>
      <c r="AA28" s="105"/>
      <c r="AB28" s="220"/>
      <c r="AC28" s="105"/>
    </row>
    <row r="29" spans="1:29" ht="15.6">
      <c r="A29" s="105"/>
      <c r="B29" s="109">
        <v>15</v>
      </c>
      <c r="C29" s="426" t="str">
        <f>IF('INPUT DATA'!L25="","",'INPUT DATA'!L25)</f>
        <v/>
      </c>
      <c r="D29" s="427"/>
      <c r="E29" s="427"/>
      <c r="F29" s="413" t="str">
        <f>IF(TRIM(C29)="","",IFERROR(_xlfn.XLOOKUP(TRIM(C29),'TERM 1 SUMMARY'!$C$15:$C$115,'TERM 1 SUMMARY'!$R$15:$R$115),""))</f>
        <v/>
      </c>
      <c r="G29" s="414"/>
      <c r="H29" s="414"/>
      <c r="I29" s="415"/>
      <c r="J29" s="396" t="str">
        <f>IF(TRIM(C29)="","",IFERROR(_xlfn.XLOOKUP(TRIM(C29),'TERM 2 SUMMARY'!$C$15:$C$115,'TERM 2 SUMMARY'!$R$15:$R$115),""))</f>
        <v/>
      </c>
      <c r="K29" s="397"/>
      <c r="L29" s="399"/>
      <c r="M29" s="396" t="str">
        <f>IF(TRIM(C29)="","",IFERROR(_xlfn.XLOOKUP(TRIM(C29),'TERM 3 SUMMARY'!$C$15:$C$115,'TERM 3 SUMMARY'!$R$15:$R$115),""))</f>
        <v/>
      </c>
      <c r="N29" s="397"/>
      <c r="O29" s="398"/>
      <c r="P29" s="434" t="str">
        <f t="shared" si="0"/>
        <v/>
      </c>
      <c r="Q29" s="435"/>
      <c r="R29" s="436"/>
      <c r="S29" s="437" t="str">
        <f t="shared" ref="S29:S64" si="2">IF(P29="","",_xlfn.RANK.AVG(P29,$P$15:$P$115))</f>
        <v/>
      </c>
      <c r="T29" s="438"/>
      <c r="U29" s="105"/>
      <c r="V29" s="105"/>
      <c r="W29" s="105"/>
      <c r="X29" s="105"/>
      <c r="Y29" s="105"/>
      <c r="Z29" s="105"/>
      <c r="AA29" s="105"/>
      <c r="AB29" s="220"/>
      <c r="AC29" s="105"/>
    </row>
    <row r="30" spans="1:29" ht="15.6">
      <c r="A30" s="105"/>
      <c r="B30" s="109">
        <v>16</v>
      </c>
      <c r="C30" s="426" t="str">
        <f>IF('INPUT DATA'!L26="","",'INPUT DATA'!L26)</f>
        <v/>
      </c>
      <c r="D30" s="427"/>
      <c r="E30" s="427"/>
      <c r="F30" s="413" t="str">
        <f>IF(TRIM(C30)="","",IFERROR(_xlfn.XLOOKUP(TRIM(C30),'TERM 1 SUMMARY'!$C$15:$C$115,'TERM 1 SUMMARY'!$R$15:$R$115),""))</f>
        <v/>
      </c>
      <c r="G30" s="414"/>
      <c r="H30" s="414"/>
      <c r="I30" s="415"/>
      <c r="J30" s="396" t="str">
        <f>IF(TRIM(C30)="","",IFERROR(_xlfn.XLOOKUP(TRIM(C30),'TERM 2 SUMMARY'!$C$15:$C$115,'TERM 2 SUMMARY'!$R$15:$R$115),""))</f>
        <v/>
      </c>
      <c r="K30" s="397"/>
      <c r="L30" s="399"/>
      <c r="M30" s="396" t="str">
        <f>IF(TRIM(C30)="","",IFERROR(_xlfn.XLOOKUP(TRIM(C30),'TERM 3 SUMMARY'!$C$15:$C$115,'TERM 3 SUMMARY'!$R$15:$R$115),""))</f>
        <v/>
      </c>
      <c r="N30" s="397"/>
      <c r="O30" s="398"/>
      <c r="P30" s="434" t="str">
        <f t="shared" si="0"/>
        <v/>
      </c>
      <c r="Q30" s="435"/>
      <c r="R30" s="436"/>
      <c r="S30" s="437" t="str">
        <f t="shared" si="2"/>
        <v/>
      </c>
      <c r="T30" s="438"/>
      <c r="U30" s="105"/>
      <c r="V30" s="105"/>
      <c r="W30" s="105"/>
      <c r="X30" s="105"/>
      <c r="Y30" s="105"/>
      <c r="Z30" s="105"/>
      <c r="AA30" s="105"/>
      <c r="AB30" s="220"/>
      <c r="AC30" s="105"/>
    </row>
    <row r="31" spans="1:29" ht="15.6">
      <c r="A31" s="105"/>
      <c r="B31" s="109">
        <v>17</v>
      </c>
      <c r="C31" s="426" t="str">
        <f>IF('INPUT DATA'!L27="","",'INPUT DATA'!L27)</f>
        <v/>
      </c>
      <c r="D31" s="427"/>
      <c r="E31" s="427"/>
      <c r="F31" s="413" t="str">
        <f>IF(TRIM(C31)="","",IFERROR(_xlfn.XLOOKUP(TRIM(C31),'TERM 1 SUMMARY'!$C$15:$C$115,'TERM 1 SUMMARY'!$R$15:$R$115),""))</f>
        <v/>
      </c>
      <c r="G31" s="414"/>
      <c r="H31" s="414"/>
      <c r="I31" s="415"/>
      <c r="J31" s="396" t="str">
        <f>IF(TRIM(C31)="","",IFERROR(_xlfn.XLOOKUP(TRIM(C31),'TERM 2 SUMMARY'!$C$15:$C$115,'TERM 2 SUMMARY'!$R$15:$R$115),""))</f>
        <v/>
      </c>
      <c r="K31" s="397"/>
      <c r="L31" s="399"/>
      <c r="M31" s="396" t="str">
        <f>IF(TRIM(C31)="","",IFERROR(_xlfn.XLOOKUP(TRIM(C31),'TERM 3 SUMMARY'!$C$15:$C$115,'TERM 3 SUMMARY'!$R$15:$R$115),""))</f>
        <v/>
      </c>
      <c r="N31" s="397"/>
      <c r="O31" s="398"/>
      <c r="P31" s="434" t="str">
        <f t="shared" si="0"/>
        <v/>
      </c>
      <c r="Q31" s="435"/>
      <c r="R31" s="436"/>
      <c r="S31" s="437" t="str">
        <f t="shared" si="2"/>
        <v/>
      </c>
      <c r="T31" s="438"/>
      <c r="U31" s="105"/>
      <c r="V31" s="105"/>
      <c r="W31" s="105"/>
      <c r="X31" s="105"/>
      <c r="Y31" s="105"/>
      <c r="Z31" s="105"/>
      <c r="AA31" s="105"/>
      <c r="AB31" s="220"/>
      <c r="AC31" s="105"/>
    </row>
    <row r="32" spans="1:29" ht="15.6">
      <c r="A32" s="105"/>
      <c r="B32" s="109">
        <v>18</v>
      </c>
      <c r="C32" s="426" t="str">
        <f>IF('INPUT DATA'!L28="","",'INPUT DATA'!L28)</f>
        <v/>
      </c>
      <c r="D32" s="427"/>
      <c r="E32" s="427"/>
      <c r="F32" s="413" t="str">
        <f>IF(TRIM(C32)="","",IFERROR(_xlfn.XLOOKUP(TRIM(C32),'TERM 1 SUMMARY'!$C$15:$C$115,'TERM 1 SUMMARY'!$R$15:$R$115),""))</f>
        <v/>
      </c>
      <c r="G32" s="414"/>
      <c r="H32" s="414"/>
      <c r="I32" s="415"/>
      <c r="J32" s="396" t="str">
        <f>IF(TRIM(C32)="","",IFERROR(_xlfn.XLOOKUP(TRIM(C32),'TERM 2 SUMMARY'!$C$15:$C$115,'TERM 2 SUMMARY'!$R$15:$R$115),""))</f>
        <v/>
      </c>
      <c r="K32" s="397"/>
      <c r="L32" s="399"/>
      <c r="M32" s="396" t="str">
        <f>IF(TRIM(C32)="","",IFERROR(_xlfn.XLOOKUP(TRIM(C32),'TERM 3 SUMMARY'!$C$15:$C$115,'TERM 3 SUMMARY'!$R$15:$R$115),""))</f>
        <v/>
      </c>
      <c r="N32" s="397"/>
      <c r="O32" s="398"/>
      <c r="P32" s="434" t="str">
        <f t="shared" si="0"/>
        <v/>
      </c>
      <c r="Q32" s="435"/>
      <c r="R32" s="436"/>
      <c r="S32" s="437" t="str">
        <f t="shared" si="2"/>
        <v/>
      </c>
      <c r="T32" s="438"/>
      <c r="U32" s="105"/>
      <c r="V32" s="105"/>
      <c r="W32" s="105"/>
      <c r="X32" s="105"/>
      <c r="Y32" s="105"/>
      <c r="Z32" s="105"/>
      <c r="AA32" s="105"/>
      <c r="AB32" s="220"/>
      <c r="AC32" s="105"/>
    </row>
    <row r="33" spans="1:29" ht="15.6">
      <c r="A33" s="105"/>
      <c r="B33" s="109">
        <v>19</v>
      </c>
      <c r="C33" s="426" t="str">
        <f>IF('INPUT DATA'!L29="","",'INPUT DATA'!L29)</f>
        <v/>
      </c>
      <c r="D33" s="427"/>
      <c r="E33" s="427"/>
      <c r="F33" s="413" t="str">
        <f>IF(TRIM(C33)="","",IFERROR(_xlfn.XLOOKUP(TRIM(C33),'TERM 1 SUMMARY'!$C$15:$C$115,'TERM 1 SUMMARY'!$R$15:$R$115),""))</f>
        <v/>
      </c>
      <c r="G33" s="414"/>
      <c r="H33" s="414"/>
      <c r="I33" s="415"/>
      <c r="J33" s="396" t="str">
        <f>IF(TRIM(C33)="","",IFERROR(_xlfn.XLOOKUP(TRIM(C33),'TERM 2 SUMMARY'!$C$15:$C$115,'TERM 2 SUMMARY'!$R$15:$R$115),""))</f>
        <v/>
      </c>
      <c r="K33" s="397"/>
      <c r="L33" s="399"/>
      <c r="M33" s="396" t="str">
        <f>IF(TRIM(C33)="","",IFERROR(_xlfn.XLOOKUP(TRIM(C33),'TERM 3 SUMMARY'!$C$15:$C$115,'TERM 3 SUMMARY'!$R$15:$R$115),""))</f>
        <v/>
      </c>
      <c r="N33" s="397"/>
      <c r="O33" s="398"/>
      <c r="P33" s="434" t="str">
        <f t="shared" si="0"/>
        <v/>
      </c>
      <c r="Q33" s="435"/>
      <c r="R33" s="436"/>
      <c r="S33" s="437" t="str">
        <f t="shared" si="2"/>
        <v/>
      </c>
      <c r="T33" s="438"/>
      <c r="U33" s="105"/>
      <c r="V33" s="105"/>
      <c r="W33" s="105"/>
      <c r="X33" s="105"/>
      <c r="Y33" s="105"/>
      <c r="Z33" s="105"/>
      <c r="AA33" s="105"/>
      <c r="AB33" s="220"/>
      <c r="AC33" s="105"/>
    </row>
    <row r="34" spans="1:29" ht="15.6">
      <c r="A34" s="105"/>
      <c r="B34" s="108">
        <v>20</v>
      </c>
      <c r="C34" s="426" t="str">
        <f>IF('INPUT DATA'!L30="","",'INPUT DATA'!L30)</f>
        <v/>
      </c>
      <c r="D34" s="427"/>
      <c r="E34" s="427"/>
      <c r="F34" s="413" t="str">
        <f>IF(TRIM(C34)="","",IFERROR(_xlfn.XLOOKUP(TRIM(C34),'TERM 1 SUMMARY'!$C$15:$C$115,'TERM 1 SUMMARY'!$R$15:$R$115),""))</f>
        <v/>
      </c>
      <c r="G34" s="414"/>
      <c r="H34" s="414"/>
      <c r="I34" s="415"/>
      <c r="J34" s="396" t="str">
        <f>IF(TRIM(C34)="","",IFERROR(_xlfn.XLOOKUP(TRIM(C34),'TERM 2 SUMMARY'!$C$15:$C$115,'TERM 2 SUMMARY'!$R$15:$R$115),""))</f>
        <v/>
      </c>
      <c r="K34" s="397"/>
      <c r="L34" s="399"/>
      <c r="M34" s="396" t="str">
        <f>IF(TRIM(C34)="","",IFERROR(_xlfn.XLOOKUP(TRIM(C34),'TERM 3 SUMMARY'!$C$15:$C$115,'TERM 3 SUMMARY'!$R$15:$R$115),""))</f>
        <v/>
      </c>
      <c r="N34" s="397"/>
      <c r="O34" s="398"/>
      <c r="P34" s="434" t="str">
        <f t="shared" si="0"/>
        <v/>
      </c>
      <c r="Q34" s="435"/>
      <c r="R34" s="436"/>
      <c r="S34" s="437" t="str">
        <f t="shared" si="2"/>
        <v/>
      </c>
      <c r="T34" s="438"/>
      <c r="U34" s="105"/>
      <c r="V34" s="105"/>
      <c r="W34" s="105"/>
      <c r="X34" s="105"/>
      <c r="Y34" s="105"/>
      <c r="Z34" s="105"/>
      <c r="AA34" s="105"/>
      <c r="AB34" s="220"/>
      <c r="AC34" s="105"/>
    </row>
    <row r="35" spans="1:29" ht="15.6">
      <c r="A35" s="105"/>
      <c r="B35" s="108">
        <v>21</v>
      </c>
      <c r="C35" s="426" t="str">
        <f>IF('INPUT DATA'!L31="","",'INPUT DATA'!L31)</f>
        <v/>
      </c>
      <c r="D35" s="427"/>
      <c r="E35" s="427"/>
      <c r="F35" s="413" t="str">
        <f>IF(TRIM(C35)="","",IFERROR(_xlfn.XLOOKUP(TRIM(C35),'TERM 1 SUMMARY'!$C$15:$C$115,'TERM 1 SUMMARY'!$R$15:$R$115),""))</f>
        <v/>
      </c>
      <c r="G35" s="414"/>
      <c r="H35" s="414"/>
      <c r="I35" s="415"/>
      <c r="J35" s="396" t="str">
        <f>IF(TRIM(C35)="","",IFERROR(_xlfn.XLOOKUP(TRIM(C35),'TERM 2 SUMMARY'!$C$15:$C$115,'TERM 2 SUMMARY'!$R$15:$R$115),""))</f>
        <v/>
      </c>
      <c r="K35" s="397"/>
      <c r="L35" s="399"/>
      <c r="M35" s="396" t="str">
        <f>IF(TRIM(C35)="","",IFERROR(_xlfn.XLOOKUP(TRIM(C35),'TERM 3 SUMMARY'!$C$15:$C$115,'TERM 3 SUMMARY'!$R$15:$R$115),""))</f>
        <v/>
      </c>
      <c r="N35" s="397"/>
      <c r="O35" s="398"/>
      <c r="P35" s="434" t="str">
        <f t="shared" si="0"/>
        <v/>
      </c>
      <c r="Q35" s="435"/>
      <c r="R35" s="436"/>
      <c r="S35" s="437" t="str">
        <f t="shared" si="2"/>
        <v/>
      </c>
      <c r="T35" s="438"/>
      <c r="U35" s="105"/>
      <c r="V35" s="105"/>
      <c r="W35" s="105"/>
      <c r="X35" s="105"/>
      <c r="Y35" s="105"/>
      <c r="Z35" s="105"/>
      <c r="AA35" s="105"/>
      <c r="AB35" s="220"/>
      <c r="AC35" s="105"/>
    </row>
    <row r="36" spans="1:29" ht="15.6">
      <c r="A36" s="105"/>
      <c r="B36" s="108">
        <v>22</v>
      </c>
      <c r="C36" s="426" t="str">
        <f>IF('INPUT DATA'!L32="","",'INPUT DATA'!L32)</f>
        <v/>
      </c>
      <c r="D36" s="427"/>
      <c r="E36" s="427"/>
      <c r="F36" s="413" t="str">
        <f>IF(TRIM(C36)="","",IFERROR(_xlfn.XLOOKUP(TRIM(C36),'TERM 1 SUMMARY'!$C$15:$C$115,'TERM 1 SUMMARY'!$R$15:$R$115),""))</f>
        <v/>
      </c>
      <c r="G36" s="414"/>
      <c r="H36" s="414"/>
      <c r="I36" s="415"/>
      <c r="J36" s="396" t="str">
        <f>IF(TRIM(C36)="","",IFERROR(_xlfn.XLOOKUP(TRIM(C36),'TERM 2 SUMMARY'!$C$15:$C$115,'TERM 2 SUMMARY'!$R$15:$R$115),""))</f>
        <v/>
      </c>
      <c r="K36" s="397"/>
      <c r="L36" s="399"/>
      <c r="M36" s="396" t="str">
        <f>IF(TRIM(C36)="","",IFERROR(_xlfn.XLOOKUP(TRIM(C36),'TERM 3 SUMMARY'!$C$15:$C$115,'TERM 3 SUMMARY'!$R$15:$R$115),""))</f>
        <v/>
      </c>
      <c r="N36" s="397"/>
      <c r="O36" s="398"/>
      <c r="P36" s="434" t="str">
        <f t="shared" si="0"/>
        <v/>
      </c>
      <c r="Q36" s="435"/>
      <c r="R36" s="436"/>
      <c r="S36" s="437" t="str">
        <f t="shared" si="2"/>
        <v/>
      </c>
      <c r="T36" s="438"/>
      <c r="U36" s="105"/>
      <c r="V36" s="105"/>
      <c r="W36" s="105"/>
      <c r="X36" s="105"/>
      <c r="Y36" s="105"/>
      <c r="Z36" s="105"/>
      <c r="AA36" s="105"/>
      <c r="AB36" s="220"/>
      <c r="AC36" s="105"/>
    </row>
    <row r="37" spans="1:29" ht="15.6">
      <c r="A37" s="105"/>
      <c r="B37" s="108">
        <v>23</v>
      </c>
      <c r="C37" s="426" t="str">
        <f>IF('INPUT DATA'!L33="","",'INPUT DATA'!L33)</f>
        <v/>
      </c>
      <c r="D37" s="427"/>
      <c r="E37" s="427"/>
      <c r="F37" s="413" t="str">
        <f>IF(TRIM(C37)="","",IFERROR(_xlfn.XLOOKUP(TRIM(C37),'TERM 1 SUMMARY'!$C$15:$C$115,'TERM 1 SUMMARY'!$R$15:$R$115),""))</f>
        <v/>
      </c>
      <c r="G37" s="414"/>
      <c r="H37" s="414"/>
      <c r="I37" s="415"/>
      <c r="J37" s="396" t="str">
        <f>IF(TRIM(C37)="","",IFERROR(_xlfn.XLOOKUP(TRIM(C37),'TERM 2 SUMMARY'!$C$15:$C$115,'TERM 2 SUMMARY'!$R$15:$R$115),""))</f>
        <v/>
      </c>
      <c r="K37" s="397"/>
      <c r="L37" s="399"/>
      <c r="M37" s="396" t="str">
        <f>IF(TRIM(C37)="","",IFERROR(_xlfn.XLOOKUP(TRIM(C37),'TERM 3 SUMMARY'!$C$15:$C$115,'TERM 3 SUMMARY'!$R$15:$R$115),""))</f>
        <v/>
      </c>
      <c r="N37" s="397"/>
      <c r="O37" s="398"/>
      <c r="P37" s="434" t="str">
        <f t="shared" si="0"/>
        <v/>
      </c>
      <c r="Q37" s="435"/>
      <c r="R37" s="436"/>
      <c r="S37" s="437" t="str">
        <f t="shared" si="2"/>
        <v/>
      </c>
      <c r="T37" s="438"/>
      <c r="U37" s="105"/>
      <c r="V37" s="105"/>
      <c r="W37" s="105"/>
      <c r="X37" s="105"/>
      <c r="Y37" s="105"/>
      <c r="Z37" s="105"/>
      <c r="AA37" s="105"/>
      <c r="AB37" s="220"/>
      <c r="AC37" s="105"/>
    </row>
    <row r="38" spans="1:29" ht="15.6">
      <c r="A38" s="105"/>
      <c r="B38" s="108">
        <v>24</v>
      </c>
      <c r="C38" s="426" t="str">
        <f>IF('INPUT DATA'!L34="","",'INPUT DATA'!L34)</f>
        <v/>
      </c>
      <c r="D38" s="427"/>
      <c r="E38" s="427"/>
      <c r="F38" s="413" t="str">
        <f>IF(TRIM(C38)="","",IFERROR(_xlfn.XLOOKUP(TRIM(C38),'TERM 1 SUMMARY'!$C$15:$C$115,'TERM 1 SUMMARY'!$R$15:$R$115),""))</f>
        <v/>
      </c>
      <c r="G38" s="414"/>
      <c r="H38" s="414"/>
      <c r="I38" s="415"/>
      <c r="J38" s="396" t="str">
        <f>IF(TRIM(C38)="","",IFERROR(_xlfn.XLOOKUP(TRIM(C38),'TERM 2 SUMMARY'!$C$15:$C$115,'TERM 2 SUMMARY'!$R$15:$R$115),""))</f>
        <v/>
      </c>
      <c r="K38" s="397"/>
      <c r="L38" s="399"/>
      <c r="M38" s="396" t="str">
        <f>IF(TRIM(C38)="","",IFERROR(_xlfn.XLOOKUP(TRIM(C38),'TERM 3 SUMMARY'!$C$15:$C$115,'TERM 3 SUMMARY'!$R$15:$R$115),""))</f>
        <v/>
      </c>
      <c r="N38" s="397"/>
      <c r="O38" s="398"/>
      <c r="P38" s="434" t="str">
        <f t="shared" si="0"/>
        <v/>
      </c>
      <c r="Q38" s="435"/>
      <c r="R38" s="436"/>
      <c r="S38" s="437" t="str">
        <f t="shared" si="2"/>
        <v/>
      </c>
      <c r="T38" s="438"/>
      <c r="U38" s="105"/>
      <c r="V38" s="105"/>
      <c r="W38" s="105"/>
      <c r="X38" s="105"/>
      <c r="Y38" s="105"/>
      <c r="Z38" s="105"/>
      <c r="AA38" s="105"/>
      <c r="AB38" s="220"/>
      <c r="AC38" s="105"/>
    </row>
    <row r="39" spans="1:29" ht="15.6">
      <c r="A39" s="105"/>
      <c r="B39" s="108">
        <v>25</v>
      </c>
      <c r="C39" s="426" t="str">
        <f>IF('INPUT DATA'!L35="","",'INPUT DATA'!L35)</f>
        <v/>
      </c>
      <c r="D39" s="427"/>
      <c r="E39" s="427"/>
      <c r="F39" s="413" t="str">
        <f>IF(TRIM(C39)="","",IFERROR(_xlfn.XLOOKUP(TRIM(C39),'TERM 1 SUMMARY'!$C$15:$C$115,'TERM 1 SUMMARY'!$R$15:$R$115),""))</f>
        <v/>
      </c>
      <c r="G39" s="414"/>
      <c r="H39" s="414"/>
      <c r="I39" s="415"/>
      <c r="J39" s="396" t="str">
        <f>IF(TRIM(C39)="","",IFERROR(_xlfn.XLOOKUP(TRIM(C39),'TERM 2 SUMMARY'!$C$15:$C$115,'TERM 2 SUMMARY'!$R$15:$R$115),""))</f>
        <v/>
      </c>
      <c r="K39" s="397"/>
      <c r="L39" s="399"/>
      <c r="M39" s="396" t="str">
        <f>IF(TRIM(C39)="","",IFERROR(_xlfn.XLOOKUP(TRIM(C39),'TERM 3 SUMMARY'!$C$15:$C$115,'TERM 3 SUMMARY'!$R$15:$R$115),""))</f>
        <v/>
      </c>
      <c r="N39" s="397"/>
      <c r="O39" s="398"/>
      <c r="P39" s="434" t="str">
        <f t="shared" si="0"/>
        <v/>
      </c>
      <c r="Q39" s="435"/>
      <c r="R39" s="436"/>
      <c r="S39" s="437" t="str">
        <f t="shared" si="2"/>
        <v/>
      </c>
      <c r="T39" s="438"/>
      <c r="U39" s="105"/>
      <c r="V39" s="105"/>
      <c r="W39" s="105"/>
      <c r="X39" s="105"/>
      <c r="Y39" s="105"/>
      <c r="Z39" s="105"/>
      <c r="AA39" s="105"/>
      <c r="AB39" s="220"/>
      <c r="AC39" s="105"/>
    </row>
    <row r="40" spans="1:29" ht="15.6">
      <c r="A40" s="105"/>
      <c r="B40" s="108">
        <v>26</v>
      </c>
      <c r="C40" s="426" t="str">
        <f>IF('INPUT DATA'!L36="","",'INPUT DATA'!L36)</f>
        <v/>
      </c>
      <c r="D40" s="427"/>
      <c r="E40" s="427"/>
      <c r="F40" s="413" t="str">
        <f>IF(TRIM(C40)="","",IFERROR(_xlfn.XLOOKUP(TRIM(C40),'TERM 1 SUMMARY'!$C$15:$C$115,'TERM 1 SUMMARY'!$R$15:$R$115),""))</f>
        <v/>
      </c>
      <c r="G40" s="414"/>
      <c r="H40" s="414"/>
      <c r="I40" s="415"/>
      <c r="J40" s="396" t="str">
        <f>IF(TRIM(C40)="","",IFERROR(_xlfn.XLOOKUP(TRIM(C40),'TERM 2 SUMMARY'!$C$15:$C$115,'TERM 2 SUMMARY'!$R$15:$R$115),""))</f>
        <v/>
      </c>
      <c r="K40" s="397"/>
      <c r="L40" s="399"/>
      <c r="M40" s="396" t="str">
        <f>IF(TRIM(C40)="","",IFERROR(_xlfn.XLOOKUP(TRIM(C40),'TERM 3 SUMMARY'!$C$15:$C$115,'TERM 3 SUMMARY'!$R$15:$R$115),""))</f>
        <v/>
      </c>
      <c r="N40" s="397"/>
      <c r="O40" s="398"/>
      <c r="P40" s="434" t="str">
        <f t="shared" si="0"/>
        <v/>
      </c>
      <c r="Q40" s="435"/>
      <c r="R40" s="436"/>
      <c r="S40" s="437" t="str">
        <f t="shared" si="2"/>
        <v/>
      </c>
      <c r="T40" s="438"/>
      <c r="U40" s="105"/>
      <c r="V40" s="105"/>
      <c r="W40" s="105"/>
      <c r="X40" s="105"/>
      <c r="Y40" s="105"/>
      <c r="Z40" s="105"/>
      <c r="AA40" s="105"/>
      <c r="AB40" s="220"/>
      <c r="AC40" s="105"/>
    </row>
    <row r="41" spans="1:29" ht="15.6">
      <c r="A41" s="105"/>
      <c r="B41" s="108">
        <v>27</v>
      </c>
      <c r="C41" s="426" t="str">
        <f>IF('INPUT DATA'!L37="","",'INPUT DATA'!L37)</f>
        <v/>
      </c>
      <c r="D41" s="427"/>
      <c r="E41" s="427"/>
      <c r="F41" s="413" t="str">
        <f>IF(TRIM(C41)="","",IFERROR(_xlfn.XLOOKUP(TRIM(C41),'TERM 1 SUMMARY'!$C$15:$C$115,'TERM 1 SUMMARY'!$R$15:$R$115),""))</f>
        <v/>
      </c>
      <c r="G41" s="414"/>
      <c r="H41" s="414"/>
      <c r="I41" s="415"/>
      <c r="J41" s="396" t="str">
        <f>IF(TRIM(C41)="","",IFERROR(_xlfn.XLOOKUP(TRIM(C41),'TERM 2 SUMMARY'!$C$15:$C$115,'TERM 2 SUMMARY'!$R$15:$R$115),""))</f>
        <v/>
      </c>
      <c r="K41" s="397"/>
      <c r="L41" s="399"/>
      <c r="M41" s="396" t="str">
        <f>IF(TRIM(C41)="","",IFERROR(_xlfn.XLOOKUP(TRIM(C41),'TERM 3 SUMMARY'!$C$15:$C$115,'TERM 3 SUMMARY'!$R$15:$R$115),""))</f>
        <v/>
      </c>
      <c r="N41" s="397"/>
      <c r="O41" s="398"/>
      <c r="P41" s="434" t="str">
        <f t="shared" si="0"/>
        <v/>
      </c>
      <c r="Q41" s="435"/>
      <c r="R41" s="436"/>
      <c r="S41" s="437" t="str">
        <f t="shared" si="2"/>
        <v/>
      </c>
      <c r="T41" s="438"/>
      <c r="U41" s="105"/>
      <c r="V41" s="105"/>
      <c r="W41" s="105"/>
      <c r="X41" s="105"/>
      <c r="Y41" s="105"/>
      <c r="Z41" s="105"/>
      <c r="AA41" s="105"/>
      <c r="AB41" s="220"/>
      <c r="AC41" s="105"/>
    </row>
    <row r="42" spans="1:29" ht="15.6">
      <c r="A42" s="105"/>
      <c r="B42" s="108">
        <v>28</v>
      </c>
      <c r="C42" s="426" t="str">
        <f>IF('INPUT DATA'!L38="","",'INPUT DATA'!L38)</f>
        <v/>
      </c>
      <c r="D42" s="427"/>
      <c r="E42" s="427"/>
      <c r="F42" s="413" t="str">
        <f>IF(TRIM(C42)="","",IFERROR(_xlfn.XLOOKUP(TRIM(C42),'TERM 1 SUMMARY'!$C$15:$C$115,'TERM 1 SUMMARY'!$R$15:$R$115),""))</f>
        <v/>
      </c>
      <c r="G42" s="414"/>
      <c r="H42" s="414"/>
      <c r="I42" s="415"/>
      <c r="J42" s="396" t="str">
        <f>IF(TRIM(C42)="","",IFERROR(_xlfn.XLOOKUP(TRIM(C42),'TERM 2 SUMMARY'!$C$15:$C$115,'TERM 2 SUMMARY'!$R$15:$R$115),""))</f>
        <v/>
      </c>
      <c r="K42" s="397"/>
      <c r="L42" s="399"/>
      <c r="M42" s="396" t="str">
        <f>IF(TRIM(C42)="","",IFERROR(_xlfn.XLOOKUP(TRIM(C42),'TERM 3 SUMMARY'!$C$15:$C$115,'TERM 3 SUMMARY'!$R$15:$R$115),""))</f>
        <v/>
      </c>
      <c r="N42" s="397"/>
      <c r="O42" s="398"/>
      <c r="P42" s="434" t="str">
        <f t="shared" si="0"/>
        <v/>
      </c>
      <c r="Q42" s="435"/>
      <c r="R42" s="436"/>
      <c r="S42" s="437" t="str">
        <f t="shared" si="2"/>
        <v/>
      </c>
      <c r="T42" s="438"/>
      <c r="U42" s="105"/>
      <c r="V42" s="105"/>
      <c r="W42" s="105"/>
      <c r="X42" s="105"/>
      <c r="Y42" s="105"/>
      <c r="Z42" s="105"/>
      <c r="AA42" s="105"/>
      <c r="AB42" s="220"/>
      <c r="AC42" s="105"/>
    </row>
    <row r="43" spans="1:29" ht="15.6">
      <c r="A43" s="105"/>
      <c r="B43" s="108">
        <v>29</v>
      </c>
      <c r="C43" s="426" t="str">
        <f>IF('INPUT DATA'!L39="","",'INPUT DATA'!L39)</f>
        <v/>
      </c>
      <c r="D43" s="427"/>
      <c r="E43" s="427"/>
      <c r="F43" s="413" t="str">
        <f>IF(TRIM(C43)="","",IFERROR(_xlfn.XLOOKUP(TRIM(C43),'TERM 1 SUMMARY'!$C$15:$C$115,'TERM 1 SUMMARY'!$R$15:$R$115),""))</f>
        <v/>
      </c>
      <c r="G43" s="414"/>
      <c r="H43" s="414"/>
      <c r="I43" s="415"/>
      <c r="J43" s="396" t="str">
        <f>IF(TRIM(C43)="","",IFERROR(_xlfn.XLOOKUP(TRIM(C43),'TERM 2 SUMMARY'!$C$15:$C$115,'TERM 2 SUMMARY'!$R$15:$R$115),""))</f>
        <v/>
      </c>
      <c r="K43" s="397"/>
      <c r="L43" s="399"/>
      <c r="M43" s="396" t="str">
        <f>IF(TRIM(C43)="","",IFERROR(_xlfn.XLOOKUP(TRIM(C43),'TERM 3 SUMMARY'!$C$15:$C$115,'TERM 3 SUMMARY'!$R$15:$R$115),""))</f>
        <v/>
      </c>
      <c r="N43" s="397"/>
      <c r="O43" s="398"/>
      <c r="P43" s="434" t="str">
        <f t="shared" si="0"/>
        <v/>
      </c>
      <c r="Q43" s="435"/>
      <c r="R43" s="436"/>
      <c r="S43" s="437" t="str">
        <f t="shared" si="2"/>
        <v/>
      </c>
      <c r="T43" s="438"/>
      <c r="U43" s="105"/>
      <c r="V43" s="105"/>
      <c r="W43" s="105"/>
      <c r="X43" s="105"/>
      <c r="Y43" s="105"/>
      <c r="Z43" s="105"/>
      <c r="AA43" s="105"/>
      <c r="AB43" s="220"/>
      <c r="AC43" s="105"/>
    </row>
    <row r="44" spans="1:29" ht="15.6">
      <c r="A44" s="105"/>
      <c r="B44" s="108">
        <v>30</v>
      </c>
      <c r="C44" s="426" t="str">
        <f>IF('INPUT DATA'!L40="","",'INPUT DATA'!L40)</f>
        <v/>
      </c>
      <c r="D44" s="427"/>
      <c r="E44" s="427"/>
      <c r="F44" s="413" t="str">
        <f>IF(TRIM(C44)="","",IFERROR(_xlfn.XLOOKUP(TRIM(C44),'TERM 1 SUMMARY'!$C$15:$C$115,'TERM 1 SUMMARY'!$R$15:$R$115),""))</f>
        <v/>
      </c>
      <c r="G44" s="414"/>
      <c r="H44" s="414"/>
      <c r="I44" s="415"/>
      <c r="J44" s="396" t="str">
        <f>IF(TRIM(C44)="","",IFERROR(_xlfn.XLOOKUP(TRIM(C44),'TERM 2 SUMMARY'!$C$15:$C$115,'TERM 2 SUMMARY'!$R$15:$R$115),""))</f>
        <v/>
      </c>
      <c r="K44" s="397"/>
      <c r="L44" s="399"/>
      <c r="M44" s="396" t="str">
        <f>IF(TRIM(C44)="","",IFERROR(_xlfn.XLOOKUP(TRIM(C44),'TERM 3 SUMMARY'!$C$15:$C$115,'TERM 3 SUMMARY'!$R$15:$R$115),""))</f>
        <v/>
      </c>
      <c r="N44" s="397"/>
      <c r="O44" s="398"/>
      <c r="P44" s="434" t="str">
        <f t="shared" si="0"/>
        <v/>
      </c>
      <c r="Q44" s="435"/>
      <c r="R44" s="436"/>
      <c r="S44" s="437" t="str">
        <f t="shared" si="2"/>
        <v/>
      </c>
      <c r="T44" s="438"/>
      <c r="U44" s="105"/>
      <c r="V44" s="105"/>
      <c r="W44" s="105"/>
      <c r="X44" s="105"/>
      <c r="Y44" s="105"/>
      <c r="Z44" s="105"/>
      <c r="AA44" s="105"/>
      <c r="AB44" s="220"/>
      <c r="AC44" s="105"/>
    </row>
    <row r="45" spans="1:29" ht="15.6">
      <c r="A45" s="105"/>
      <c r="B45" s="108">
        <v>31</v>
      </c>
      <c r="C45" s="426" t="str">
        <f>IF('INPUT DATA'!L41="","",'INPUT DATA'!L41)</f>
        <v/>
      </c>
      <c r="D45" s="427"/>
      <c r="E45" s="427"/>
      <c r="F45" s="413" t="str">
        <f>IF(TRIM(C45)="","",IFERROR(_xlfn.XLOOKUP(TRIM(C45),'TERM 1 SUMMARY'!$C$15:$C$115,'TERM 1 SUMMARY'!$R$15:$R$115),""))</f>
        <v/>
      </c>
      <c r="G45" s="414"/>
      <c r="H45" s="414"/>
      <c r="I45" s="415"/>
      <c r="J45" s="396" t="str">
        <f>IF(TRIM(C45)="","",IFERROR(_xlfn.XLOOKUP(TRIM(C45),'TERM 2 SUMMARY'!$C$15:$C$115,'TERM 2 SUMMARY'!$R$15:$R$115),""))</f>
        <v/>
      </c>
      <c r="K45" s="397"/>
      <c r="L45" s="399"/>
      <c r="M45" s="396" t="str">
        <f>IF(TRIM(C45)="","",IFERROR(_xlfn.XLOOKUP(TRIM(C45),'TERM 3 SUMMARY'!$C$15:$C$115,'TERM 3 SUMMARY'!$R$15:$R$115),""))</f>
        <v/>
      </c>
      <c r="N45" s="397"/>
      <c r="O45" s="398"/>
      <c r="P45" s="434" t="str">
        <f t="shared" si="0"/>
        <v/>
      </c>
      <c r="Q45" s="435"/>
      <c r="R45" s="436"/>
      <c r="S45" s="437" t="str">
        <f t="shared" si="2"/>
        <v/>
      </c>
      <c r="T45" s="438"/>
      <c r="U45" s="105"/>
      <c r="V45" s="105"/>
      <c r="W45" s="105"/>
      <c r="X45" s="105"/>
      <c r="Y45" s="105"/>
      <c r="Z45" s="105"/>
      <c r="AA45" s="105"/>
      <c r="AB45" s="220"/>
      <c r="AC45" s="105"/>
    </row>
    <row r="46" spans="1:29" ht="15.6">
      <c r="A46" s="105"/>
      <c r="B46" s="108">
        <v>32</v>
      </c>
      <c r="C46" s="426" t="str">
        <f>IF('INPUT DATA'!L42="","",'INPUT DATA'!L42)</f>
        <v/>
      </c>
      <c r="D46" s="427"/>
      <c r="E46" s="427"/>
      <c r="F46" s="413" t="str">
        <f>IF(TRIM(C46)="","",IFERROR(_xlfn.XLOOKUP(TRIM(C46),'TERM 1 SUMMARY'!$C$15:$C$115,'TERM 1 SUMMARY'!$R$15:$R$115),""))</f>
        <v/>
      </c>
      <c r="G46" s="414"/>
      <c r="H46" s="414"/>
      <c r="I46" s="415"/>
      <c r="J46" s="396" t="str">
        <f>IF(TRIM(C46)="","",IFERROR(_xlfn.XLOOKUP(TRIM(C46),'TERM 2 SUMMARY'!$C$15:$C$115,'TERM 2 SUMMARY'!$R$15:$R$115),""))</f>
        <v/>
      </c>
      <c r="K46" s="397"/>
      <c r="L46" s="399"/>
      <c r="M46" s="396" t="str">
        <f>IF(TRIM(C46)="","",IFERROR(_xlfn.XLOOKUP(TRIM(C46),'TERM 3 SUMMARY'!$C$15:$C$115,'TERM 3 SUMMARY'!$R$15:$R$115),""))</f>
        <v/>
      </c>
      <c r="N46" s="397"/>
      <c r="O46" s="398"/>
      <c r="P46" s="434" t="str">
        <f t="shared" si="0"/>
        <v/>
      </c>
      <c r="Q46" s="435"/>
      <c r="R46" s="436"/>
      <c r="S46" s="437" t="str">
        <f t="shared" si="2"/>
        <v/>
      </c>
      <c r="T46" s="438"/>
      <c r="U46" s="105"/>
      <c r="V46" s="105"/>
      <c r="W46" s="105"/>
      <c r="X46" s="105"/>
      <c r="Y46" s="105"/>
      <c r="Z46" s="105"/>
      <c r="AA46" s="105"/>
      <c r="AB46" s="220"/>
      <c r="AC46" s="105"/>
    </row>
    <row r="47" spans="1:29" ht="15.6">
      <c r="A47" s="105"/>
      <c r="B47" s="108">
        <v>33</v>
      </c>
      <c r="C47" s="426" t="str">
        <f>IF('INPUT DATA'!L43="","",'INPUT DATA'!L43)</f>
        <v/>
      </c>
      <c r="D47" s="427"/>
      <c r="E47" s="427"/>
      <c r="F47" s="413" t="str">
        <f>IF(TRIM(C47)="","",IFERROR(_xlfn.XLOOKUP(TRIM(C47),'TERM 1 SUMMARY'!$C$15:$C$115,'TERM 1 SUMMARY'!$R$15:$R$115),""))</f>
        <v/>
      </c>
      <c r="G47" s="414"/>
      <c r="H47" s="414"/>
      <c r="I47" s="415"/>
      <c r="J47" s="396" t="str">
        <f>IF(TRIM(C47)="","",IFERROR(_xlfn.XLOOKUP(TRIM(C47),'TERM 2 SUMMARY'!$C$15:$C$115,'TERM 2 SUMMARY'!$R$15:$R$115),""))</f>
        <v/>
      </c>
      <c r="K47" s="397"/>
      <c r="L47" s="399"/>
      <c r="M47" s="396" t="str">
        <f>IF(TRIM(C47)="","",IFERROR(_xlfn.XLOOKUP(TRIM(C47),'TERM 3 SUMMARY'!$C$15:$C$115,'TERM 3 SUMMARY'!$R$15:$R$115),""))</f>
        <v/>
      </c>
      <c r="N47" s="397"/>
      <c r="O47" s="398"/>
      <c r="P47" s="434" t="str">
        <f t="shared" si="0"/>
        <v/>
      </c>
      <c r="Q47" s="435"/>
      <c r="R47" s="436"/>
      <c r="S47" s="437" t="str">
        <f t="shared" si="2"/>
        <v/>
      </c>
      <c r="T47" s="438"/>
      <c r="U47" s="105"/>
      <c r="V47" s="105"/>
      <c r="W47" s="105"/>
      <c r="X47" s="105"/>
      <c r="Y47" s="105"/>
      <c r="Z47" s="105"/>
      <c r="AA47" s="105"/>
      <c r="AB47" s="220"/>
      <c r="AC47" s="105"/>
    </row>
    <row r="48" spans="1:29" ht="15.6">
      <c r="A48" s="105"/>
      <c r="B48" s="108">
        <v>34</v>
      </c>
      <c r="C48" s="426" t="str">
        <f>IF('INPUT DATA'!L44="","",'INPUT DATA'!L44)</f>
        <v/>
      </c>
      <c r="D48" s="427"/>
      <c r="E48" s="427"/>
      <c r="F48" s="413" t="str">
        <f>IF(TRIM(C48)="","",IFERROR(_xlfn.XLOOKUP(TRIM(C48),'TERM 1 SUMMARY'!$C$15:$C$115,'TERM 1 SUMMARY'!$R$15:$R$115),""))</f>
        <v/>
      </c>
      <c r="G48" s="414"/>
      <c r="H48" s="414"/>
      <c r="I48" s="415"/>
      <c r="J48" s="396" t="str">
        <f>IF(TRIM(C48)="","",IFERROR(_xlfn.XLOOKUP(TRIM(C48),'TERM 2 SUMMARY'!$C$15:$C$115,'TERM 2 SUMMARY'!$R$15:$R$115),""))</f>
        <v/>
      </c>
      <c r="K48" s="397"/>
      <c r="L48" s="399"/>
      <c r="M48" s="396" t="str">
        <f>IF(TRIM(C48)="","",IFERROR(_xlfn.XLOOKUP(TRIM(C48),'TERM 3 SUMMARY'!$C$15:$C$115,'TERM 3 SUMMARY'!$R$15:$R$115),""))</f>
        <v/>
      </c>
      <c r="N48" s="397"/>
      <c r="O48" s="398"/>
      <c r="P48" s="434" t="str">
        <f t="shared" si="0"/>
        <v/>
      </c>
      <c r="Q48" s="435"/>
      <c r="R48" s="436"/>
      <c r="S48" s="437" t="str">
        <f t="shared" si="2"/>
        <v/>
      </c>
      <c r="T48" s="438"/>
      <c r="U48" s="105"/>
      <c r="V48" s="105"/>
      <c r="W48" s="105"/>
      <c r="X48" s="105"/>
      <c r="Y48" s="105"/>
      <c r="Z48" s="105"/>
      <c r="AA48" s="105"/>
      <c r="AB48" s="220"/>
      <c r="AC48" s="105"/>
    </row>
    <row r="49" spans="1:29" ht="15.6">
      <c r="A49" s="105"/>
      <c r="B49" s="108">
        <v>35</v>
      </c>
      <c r="C49" s="426" t="str">
        <f>IF('INPUT DATA'!L45="","",'INPUT DATA'!L45)</f>
        <v/>
      </c>
      <c r="D49" s="427"/>
      <c r="E49" s="427"/>
      <c r="F49" s="413" t="str">
        <f>IF(TRIM(C49)="","",IFERROR(_xlfn.XLOOKUP(TRIM(C49),'TERM 1 SUMMARY'!$C$15:$C$115,'TERM 1 SUMMARY'!$R$15:$R$115),""))</f>
        <v/>
      </c>
      <c r="G49" s="414"/>
      <c r="H49" s="414"/>
      <c r="I49" s="415"/>
      <c r="J49" s="396" t="str">
        <f>IF(TRIM(C49)="","",IFERROR(_xlfn.XLOOKUP(TRIM(C49),'TERM 2 SUMMARY'!$C$15:$C$115,'TERM 2 SUMMARY'!$R$15:$R$115),""))</f>
        <v/>
      </c>
      <c r="K49" s="397"/>
      <c r="L49" s="399"/>
      <c r="M49" s="396" t="str">
        <f>IF(TRIM(C49)="","",IFERROR(_xlfn.XLOOKUP(TRIM(C49),'TERM 3 SUMMARY'!$C$15:$C$115,'TERM 3 SUMMARY'!$R$15:$R$115),""))</f>
        <v/>
      </c>
      <c r="N49" s="397"/>
      <c r="O49" s="398"/>
      <c r="P49" s="434" t="str">
        <f t="shared" si="0"/>
        <v/>
      </c>
      <c r="Q49" s="435"/>
      <c r="R49" s="436"/>
      <c r="S49" s="437" t="str">
        <f t="shared" si="2"/>
        <v/>
      </c>
      <c r="T49" s="438"/>
      <c r="U49" s="105"/>
      <c r="V49" s="105"/>
      <c r="W49" s="105"/>
      <c r="X49" s="105"/>
      <c r="Y49" s="105"/>
      <c r="Z49" s="105"/>
      <c r="AA49" s="105"/>
      <c r="AB49" s="220"/>
      <c r="AC49" s="105"/>
    </row>
    <row r="50" spans="1:29" ht="15.6">
      <c r="A50" s="105"/>
      <c r="B50" s="108">
        <v>36</v>
      </c>
      <c r="C50" s="426" t="str">
        <f>IF('INPUT DATA'!L46="","",'INPUT DATA'!L46)</f>
        <v/>
      </c>
      <c r="D50" s="427"/>
      <c r="E50" s="427"/>
      <c r="F50" s="413" t="str">
        <f>IF(TRIM(C50)="","",IFERROR(_xlfn.XLOOKUP(TRIM(C50),'TERM 1 SUMMARY'!$C$15:$C$115,'TERM 1 SUMMARY'!$R$15:$R$115),""))</f>
        <v/>
      </c>
      <c r="G50" s="414"/>
      <c r="H50" s="414"/>
      <c r="I50" s="415"/>
      <c r="J50" s="396" t="str">
        <f>IF(TRIM(C50)="","",IFERROR(_xlfn.XLOOKUP(TRIM(C50),'TERM 2 SUMMARY'!$C$15:$C$115,'TERM 2 SUMMARY'!$R$15:$R$115),""))</f>
        <v/>
      </c>
      <c r="K50" s="397"/>
      <c r="L50" s="399"/>
      <c r="M50" s="396" t="str">
        <f>IF(TRIM(C50)="","",IFERROR(_xlfn.XLOOKUP(TRIM(C50),'TERM 3 SUMMARY'!$C$15:$C$115,'TERM 3 SUMMARY'!$R$15:$R$115),""))</f>
        <v/>
      </c>
      <c r="N50" s="397"/>
      <c r="O50" s="398"/>
      <c r="P50" s="434" t="str">
        <f t="shared" si="0"/>
        <v/>
      </c>
      <c r="Q50" s="435"/>
      <c r="R50" s="436"/>
      <c r="S50" s="437" t="str">
        <f t="shared" si="2"/>
        <v/>
      </c>
      <c r="T50" s="438"/>
      <c r="U50" s="105"/>
      <c r="V50" s="105"/>
      <c r="W50" s="105"/>
      <c r="X50" s="105"/>
      <c r="Y50" s="105"/>
      <c r="Z50" s="105"/>
      <c r="AA50" s="105"/>
      <c r="AB50" s="220"/>
      <c r="AC50" s="105"/>
    </row>
    <row r="51" spans="1:29" ht="15.6">
      <c r="A51" s="105"/>
      <c r="B51" s="108">
        <v>37</v>
      </c>
      <c r="C51" s="426" t="str">
        <f>IF('INPUT DATA'!L47="","",'INPUT DATA'!L47)</f>
        <v/>
      </c>
      <c r="D51" s="427"/>
      <c r="E51" s="427"/>
      <c r="F51" s="413" t="str">
        <f>IF(TRIM(C51)="","",IFERROR(_xlfn.XLOOKUP(TRIM(C51),'TERM 1 SUMMARY'!$C$15:$C$115,'TERM 1 SUMMARY'!$R$15:$R$115),""))</f>
        <v/>
      </c>
      <c r="G51" s="414"/>
      <c r="H51" s="414"/>
      <c r="I51" s="415"/>
      <c r="J51" s="396" t="str">
        <f>IF(TRIM(C51)="","",IFERROR(_xlfn.XLOOKUP(TRIM(C51),'TERM 2 SUMMARY'!$C$15:$C$115,'TERM 2 SUMMARY'!$R$15:$R$115),""))</f>
        <v/>
      </c>
      <c r="K51" s="397"/>
      <c r="L51" s="399"/>
      <c r="M51" s="396" t="str">
        <f>IF(TRIM(C51)="","",IFERROR(_xlfn.XLOOKUP(TRIM(C51),'TERM 3 SUMMARY'!$C$15:$C$115,'TERM 3 SUMMARY'!$R$15:$R$115),""))</f>
        <v/>
      </c>
      <c r="N51" s="397"/>
      <c r="O51" s="398"/>
      <c r="P51" s="434" t="str">
        <f t="shared" si="0"/>
        <v/>
      </c>
      <c r="Q51" s="435"/>
      <c r="R51" s="436"/>
      <c r="S51" s="437" t="str">
        <f t="shared" si="2"/>
        <v/>
      </c>
      <c r="T51" s="438"/>
      <c r="U51" s="105"/>
      <c r="V51" s="105"/>
      <c r="W51" s="105"/>
      <c r="X51" s="105"/>
      <c r="Y51" s="105"/>
      <c r="Z51" s="105"/>
      <c r="AA51" s="105"/>
      <c r="AB51" s="220"/>
      <c r="AC51" s="105"/>
    </row>
    <row r="52" spans="1:29" ht="15.6">
      <c r="A52" s="105"/>
      <c r="B52" s="108">
        <v>38</v>
      </c>
      <c r="C52" s="426" t="str">
        <f>IF('INPUT DATA'!L48="","",'INPUT DATA'!L48)</f>
        <v/>
      </c>
      <c r="D52" s="427"/>
      <c r="E52" s="427"/>
      <c r="F52" s="413" t="str">
        <f>IF(TRIM(C52)="","",IFERROR(_xlfn.XLOOKUP(TRIM(C52),'TERM 1 SUMMARY'!$C$15:$C$115,'TERM 1 SUMMARY'!$R$15:$R$115),""))</f>
        <v/>
      </c>
      <c r="G52" s="414"/>
      <c r="H52" s="414"/>
      <c r="I52" s="415"/>
      <c r="J52" s="396" t="str">
        <f>IF(TRIM(C52)="","",IFERROR(_xlfn.XLOOKUP(TRIM(C52),'TERM 2 SUMMARY'!$C$15:$C$115,'TERM 2 SUMMARY'!$R$15:$R$115),""))</f>
        <v/>
      </c>
      <c r="K52" s="397"/>
      <c r="L52" s="399"/>
      <c r="M52" s="396" t="str">
        <f>IF(TRIM(C52)="","",IFERROR(_xlfn.XLOOKUP(TRIM(C52),'TERM 3 SUMMARY'!$C$15:$C$115,'TERM 3 SUMMARY'!$R$15:$R$115),""))</f>
        <v/>
      </c>
      <c r="N52" s="397"/>
      <c r="O52" s="398"/>
      <c r="P52" s="434" t="str">
        <f t="shared" si="0"/>
        <v/>
      </c>
      <c r="Q52" s="435"/>
      <c r="R52" s="436"/>
      <c r="S52" s="437" t="str">
        <f t="shared" si="2"/>
        <v/>
      </c>
      <c r="T52" s="438"/>
      <c r="U52" s="105"/>
      <c r="V52" s="105"/>
      <c r="W52" s="105"/>
      <c r="X52" s="105"/>
      <c r="Y52" s="105"/>
      <c r="Z52" s="105"/>
      <c r="AA52" s="105"/>
      <c r="AB52" s="220"/>
      <c r="AC52" s="105"/>
    </row>
    <row r="53" spans="1:29" ht="15.6">
      <c r="A53" s="105"/>
      <c r="B53" s="108">
        <v>39</v>
      </c>
      <c r="C53" s="426" t="str">
        <f>IF('INPUT DATA'!L49="","",'INPUT DATA'!L49)</f>
        <v/>
      </c>
      <c r="D53" s="427"/>
      <c r="E53" s="427"/>
      <c r="F53" s="413" t="str">
        <f>IF(TRIM(C53)="","",IFERROR(_xlfn.XLOOKUP(TRIM(C53),'TERM 1 SUMMARY'!$C$15:$C$115,'TERM 1 SUMMARY'!$R$15:$R$115),""))</f>
        <v/>
      </c>
      <c r="G53" s="414"/>
      <c r="H53" s="414"/>
      <c r="I53" s="415"/>
      <c r="J53" s="396" t="str">
        <f>IF(TRIM(C53)="","",IFERROR(_xlfn.XLOOKUP(TRIM(C53),'TERM 2 SUMMARY'!$C$15:$C$115,'TERM 2 SUMMARY'!$R$15:$R$115),""))</f>
        <v/>
      </c>
      <c r="K53" s="397"/>
      <c r="L53" s="399"/>
      <c r="M53" s="396" t="str">
        <f>IF(TRIM(C53)="","",IFERROR(_xlfn.XLOOKUP(TRIM(C53),'TERM 3 SUMMARY'!$C$15:$C$115,'TERM 3 SUMMARY'!$R$15:$R$115),""))</f>
        <v/>
      </c>
      <c r="N53" s="397"/>
      <c r="O53" s="398"/>
      <c r="P53" s="434" t="str">
        <f t="shared" si="0"/>
        <v/>
      </c>
      <c r="Q53" s="435"/>
      <c r="R53" s="436"/>
      <c r="S53" s="437" t="str">
        <f t="shared" si="2"/>
        <v/>
      </c>
      <c r="T53" s="438"/>
      <c r="U53" s="105"/>
      <c r="V53" s="105"/>
      <c r="W53" s="105"/>
      <c r="X53" s="105"/>
      <c r="Y53" s="105"/>
      <c r="Z53" s="105"/>
      <c r="AA53" s="105"/>
      <c r="AB53" s="220"/>
      <c r="AC53" s="105"/>
    </row>
    <row r="54" spans="1:29" ht="15.6">
      <c r="A54" s="105"/>
      <c r="B54" s="108">
        <v>40</v>
      </c>
      <c r="C54" s="426" t="str">
        <f>IF('INPUT DATA'!L50="","",'INPUT DATA'!L50)</f>
        <v/>
      </c>
      <c r="D54" s="427"/>
      <c r="E54" s="427"/>
      <c r="F54" s="413" t="str">
        <f>IF(TRIM(C54)="","",IFERROR(_xlfn.XLOOKUP(TRIM(C54),'TERM 1 SUMMARY'!$C$15:$C$115,'TERM 1 SUMMARY'!$R$15:$R$115),""))</f>
        <v/>
      </c>
      <c r="G54" s="414"/>
      <c r="H54" s="414"/>
      <c r="I54" s="415"/>
      <c r="J54" s="396" t="str">
        <f>IF(TRIM(C54)="","",IFERROR(_xlfn.XLOOKUP(TRIM(C54),'TERM 2 SUMMARY'!$C$15:$C$115,'TERM 2 SUMMARY'!$R$15:$R$115),""))</f>
        <v/>
      </c>
      <c r="K54" s="397"/>
      <c r="L54" s="399"/>
      <c r="M54" s="396" t="str">
        <f>IF(TRIM(C54)="","",IFERROR(_xlfn.XLOOKUP(TRIM(C54),'TERM 3 SUMMARY'!$C$15:$C$115,'TERM 3 SUMMARY'!$R$15:$R$115),""))</f>
        <v/>
      </c>
      <c r="N54" s="397"/>
      <c r="O54" s="398"/>
      <c r="P54" s="434" t="str">
        <f t="shared" si="0"/>
        <v/>
      </c>
      <c r="Q54" s="435"/>
      <c r="R54" s="436"/>
      <c r="S54" s="437" t="str">
        <f t="shared" si="2"/>
        <v/>
      </c>
      <c r="T54" s="438"/>
      <c r="U54" s="105"/>
      <c r="V54" s="105"/>
      <c r="W54" s="105"/>
      <c r="X54" s="105"/>
      <c r="Y54" s="105"/>
      <c r="Z54" s="105"/>
      <c r="AA54" s="105"/>
      <c r="AB54" s="220"/>
      <c r="AC54" s="105"/>
    </row>
    <row r="55" spans="1:29" ht="15.6">
      <c r="A55" s="105"/>
      <c r="B55" s="108">
        <v>41</v>
      </c>
      <c r="C55" s="426" t="str">
        <f>IF('INPUT DATA'!L51="","",'INPUT DATA'!L51)</f>
        <v/>
      </c>
      <c r="D55" s="427"/>
      <c r="E55" s="427"/>
      <c r="F55" s="413" t="str">
        <f>IF(TRIM(C55)="","",IFERROR(_xlfn.XLOOKUP(TRIM(C55),'TERM 1 SUMMARY'!$C$15:$C$115,'TERM 1 SUMMARY'!$R$15:$R$115),""))</f>
        <v/>
      </c>
      <c r="G55" s="414"/>
      <c r="H55" s="414"/>
      <c r="I55" s="415"/>
      <c r="J55" s="396" t="str">
        <f>IF(TRIM(C55)="","",IFERROR(_xlfn.XLOOKUP(TRIM(C55),'TERM 2 SUMMARY'!$C$15:$C$115,'TERM 2 SUMMARY'!$R$15:$R$115),""))</f>
        <v/>
      </c>
      <c r="K55" s="397"/>
      <c r="L55" s="399"/>
      <c r="M55" s="396" t="str">
        <f>IF(TRIM(C55)="","",IFERROR(_xlfn.XLOOKUP(TRIM(C55),'TERM 3 SUMMARY'!$C$15:$C$115,'TERM 3 SUMMARY'!$R$15:$R$115),""))</f>
        <v/>
      </c>
      <c r="N55" s="397"/>
      <c r="O55" s="398"/>
      <c r="P55" s="434" t="str">
        <f t="shared" si="0"/>
        <v/>
      </c>
      <c r="Q55" s="435"/>
      <c r="R55" s="436"/>
      <c r="S55" s="437" t="str">
        <f t="shared" si="2"/>
        <v/>
      </c>
      <c r="T55" s="438"/>
      <c r="U55" s="105"/>
      <c r="V55" s="105"/>
      <c r="W55" s="105"/>
      <c r="X55" s="105"/>
      <c r="Y55" s="105"/>
      <c r="Z55" s="105"/>
      <c r="AA55" s="105"/>
      <c r="AB55" s="220"/>
      <c r="AC55" s="105"/>
    </row>
    <row r="56" spans="1:29" ht="15.6">
      <c r="A56" s="105"/>
      <c r="B56" s="108">
        <v>42</v>
      </c>
      <c r="C56" s="426" t="str">
        <f>IF('INPUT DATA'!L52="","",'INPUT DATA'!L52)</f>
        <v/>
      </c>
      <c r="D56" s="427"/>
      <c r="E56" s="427"/>
      <c r="F56" s="413" t="str">
        <f>IF(TRIM(C56)="","",IFERROR(_xlfn.XLOOKUP(TRIM(C56),'TERM 1 SUMMARY'!$C$15:$C$115,'TERM 1 SUMMARY'!$R$15:$R$115),""))</f>
        <v/>
      </c>
      <c r="G56" s="414"/>
      <c r="H56" s="414"/>
      <c r="I56" s="415"/>
      <c r="J56" s="396" t="str">
        <f>IF(TRIM(C56)="","",IFERROR(_xlfn.XLOOKUP(TRIM(C56),'TERM 2 SUMMARY'!$C$15:$C$115,'TERM 2 SUMMARY'!$R$15:$R$115),""))</f>
        <v/>
      </c>
      <c r="K56" s="397"/>
      <c r="L56" s="399"/>
      <c r="M56" s="396" t="str">
        <f>IF(TRIM(C56)="","",IFERROR(_xlfn.XLOOKUP(TRIM(C56),'TERM 3 SUMMARY'!$C$15:$C$115,'TERM 3 SUMMARY'!$R$15:$R$115),""))</f>
        <v/>
      </c>
      <c r="N56" s="397"/>
      <c r="O56" s="398"/>
      <c r="P56" s="434" t="str">
        <f t="shared" si="0"/>
        <v/>
      </c>
      <c r="Q56" s="435"/>
      <c r="R56" s="436"/>
      <c r="S56" s="437" t="str">
        <f t="shared" si="2"/>
        <v/>
      </c>
      <c r="T56" s="438"/>
      <c r="U56" s="105"/>
      <c r="V56" s="105"/>
      <c r="W56" s="105"/>
      <c r="X56" s="105"/>
      <c r="Y56" s="105"/>
      <c r="Z56" s="105"/>
      <c r="AA56" s="105"/>
      <c r="AB56" s="220"/>
      <c r="AC56" s="105"/>
    </row>
    <row r="57" spans="1:29" ht="15.6">
      <c r="A57" s="105"/>
      <c r="B57" s="108">
        <v>43</v>
      </c>
      <c r="C57" s="426" t="str">
        <f>IF('INPUT DATA'!L53="","",'INPUT DATA'!L53)</f>
        <v/>
      </c>
      <c r="D57" s="427"/>
      <c r="E57" s="427"/>
      <c r="F57" s="413" t="str">
        <f>IF(TRIM(C57)="","",IFERROR(_xlfn.XLOOKUP(TRIM(C57),'TERM 1 SUMMARY'!$C$15:$C$115,'TERM 1 SUMMARY'!$R$15:$R$115),""))</f>
        <v/>
      </c>
      <c r="G57" s="414"/>
      <c r="H57" s="414"/>
      <c r="I57" s="415"/>
      <c r="J57" s="396" t="str">
        <f>IF(TRIM(C57)="","",IFERROR(_xlfn.XLOOKUP(TRIM(C57),'TERM 2 SUMMARY'!$C$15:$C$115,'TERM 2 SUMMARY'!$R$15:$R$115),""))</f>
        <v/>
      </c>
      <c r="K57" s="397"/>
      <c r="L57" s="399"/>
      <c r="M57" s="396" t="str">
        <f>IF(TRIM(C57)="","",IFERROR(_xlfn.XLOOKUP(TRIM(C57),'TERM 3 SUMMARY'!$C$15:$C$115,'TERM 3 SUMMARY'!$R$15:$R$115),""))</f>
        <v/>
      </c>
      <c r="N57" s="397"/>
      <c r="O57" s="398"/>
      <c r="P57" s="434" t="str">
        <f t="shared" si="0"/>
        <v/>
      </c>
      <c r="Q57" s="435"/>
      <c r="R57" s="436"/>
      <c r="S57" s="437" t="str">
        <f t="shared" si="2"/>
        <v/>
      </c>
      <c r="T57" s="438"/>
      <c r="U57" s="105"/>
      <c r="V57" s="105"/>
      <c r="W57" s="105"/>
      <c r="X57" s="105"/>
      <c r="Y57" s="105"/>
      <c r="Z57" s="105"/>
      <c r="AA57" s="105"/>
      <c r="AB57" s="220"/>
      <c r="AC57" s="105"/>
    </row>
    <row r="58" spans="1:29" ht="15.6">
      <c r="A58" s="105"/>
      <c r="B58" s="108">
        <v>44</v>
      </c>
      <c r="C58" s="426" t="str">
        <f>IF('INPUT DATA'!L54="","",'INPUT DATA'!L54)</f>
        <v/>
      </c>
      <c r="D58" s="427"/>
      <c r="E58" s="427"/>
      <c r="F58" s="413" t="str">
        <f>IF(TRIM(C58)="","",IFERROR(_xlfn.XLOOKUP(TRIM(C58),'TERM 1 SUMMARY'!$C$15:$C$115,'TERM 1 SUMMARY'!$R$15:$R$115),""))</f>
        <v/>
      </c>
      <c r="G58" s="414"/>
      <c r="H58" s="414"/>
      <c r="I58" s="415"/>
      <c r="J58" s="396" t="str">
        <f>IF(TRIM(C58)="","",IFERROR(_xlfn.XLOOKUP(TRIM(C58),'TERM 2 SUMMARY'!$C$15:$C$115,'TERM 2 SUMMARY'!$R$15:$R$115),""))</f>
        <v/>
      </c>
      <c r="K58" s="397"/>
      <c r="L58" s="399"/>
      <c r="M58" s="396" t="str">
        <f>IF(TRIM(C58)="","",IFERROR(_xlfn.XLOOKUP(TRIM(C58),'TERM 3 SUMMARY'!$C$15:$C$115,'TERM 3 SUMMARY'!$R$15:$R$115),""))</f>
        <v/>
      </c>
      <c r="N58" s="397"/>
      <c r="O58" s="398"/>
      <c r="P58" s="434" t="str">
        <f t="shared" si="0"/>
        <v/>
      </c>
      <c r="Q58" s="435"/>
      <c r="R58" s="436"/>
      <c r="S58" s="437" t="str">
        <f t="shared" si="2"/>
        <v/>
      </c>
      <c r="T58" s="438"/>
      <c r="U58" s="105"/>
      <c r="V58" s="105"/>
      <c r="W58" s="105"/>
      <c r="X58" s="105"/>
      <c r="Y58" s="105"/>
      <c r="Z58" s="105"/>
      <c r="AA58" s="105"/>
      <c r="AB58" s="220"/>
      <c r="AC58" s="105"/>
    </row>
    <row r="59" spans="1:29" ht="15.6">
      <c r="A59" s="105"/>
      <c r="B59" s="108">
        <v>45</v>
      </c>
      <c r="C59" s="426" t="str">
        <f>IF('INPUT DATA'!L55="","",'INPUT DATA'!L55)</f>
        <v/>
      </c>
      <c r="D59" s="427"/>
      <c r="E59" s="427"/>
      <c r="F59" s="413" t="str">
        <f>IF(TRIM(C59)="","",IFERROR(_xlfn.XLOOKUP(TRIM(C59),'TERM 1 SUMMARY'!$C$15:$C$115,'TERM 1 SUMMARY'!$R$15:$R$115),""))</f>
        <v/>
      </c>
      <c r="G59" s="414"/>
      <c r="H59" s="414"/>
      <c r="I59" s="415"/>
      <c r="J59" s="396" t="str">
        <f>IF(TRIM(C59)="","",IFERROR(_xlfn.XLOOKUP(TRIM(C59),'TERM 2 SUMMARY'!$C$15:$C$115,'TERM 2 SUMMARY'!$R$15:$R$115),""))</f>
        <v/>
      </c>
      <c r="K59" s="397"/>
      <c r="L59" s="399"/>
      <c r="M59" s="396" t="str">
        <f>IF(TRIM(C59)="","",IFERROR(_xlfn.XLOOKUP(TRIM(C59),'TERM 3 SUMMARY'!$C$15:$C$115,'TERM 3 SUMMARY'!$R$15:$R$115),""))</f>
        <v/>
      </c>
      <c r="N59" s="397"/>
      <c r="O59" s="398"/>
      <c r="P59" s="434" t="str">
        <f t="shared" si="0"/>
        <v/>
      </c>
      <c r="Q59" s="435"/>
      <c r="R59" s="436"/>
      <c r="S59" s="437" t="str">
        <f t="shared" si="2"/>
        <v/>
      </c>
      <c r="T59" s="438"/>
      <c r="U59" s="105"/>
      <c r="V59" s="105"/>
      <c r="W59" s="105"/>
      <c r="X59" s="105"/>
      <c r="Y59" s="105"/>
      <c r="Z59" s="105"/>
      <c r="AA59" s="105"/>
      <c r="AB59" s="220"/>
      <c r="AC59" s="105"/>
    </row>
    <row r="60" spans="1:29" ht="15.6">
      <c r="A60" s="105"/>
      <c r="B60" s="108">
        <v>46</v>
      </c>
      <c r="C60" s="426" t="str">
        <f>IF('INPUT DATA'!L56="","",'INPUT DATA'!L56)</f>
        <v/>
      </c>
      <c r="D60" s="427"/>
      <c r="E60" s="427"/>
      <c r="F60" s="413" t="str">
        <f>IF(TRIM(C60)="","",IFERROR(_xlfn.XLOOKUP(TRIM(C60),'TERM 1 SUMMARY'!$C$15:$C$115,'TERM 1 SUMMARY'!$R$15:$R$115),""))</f>
        <v/>
      </c>
      <c r="G60" s="414"/>
      <c r="H60" s="414"/>
      <c r="I60" s="415"/>
      <c r="J60" s="396" t="str">
        <f>IF(TRIM(C60)="","",IFERROR(_xlfn.XLOOKUP(TRIM(C60),'TERM 2 SUMMARY'!$C$15:$C$115,'TERM 2 SUMMARY'!$R$15:$R$115),""))</f>
        <v/>
      </c>
      <c r="K60" s="397"/>
      <c r="L60" s="399"/>
      <c r="M60" s="396" t="str">
        <f>IF(TRIM(C60)="","",IFERROR(_xlfn.XLOOKUP(TRIM(C60),'TERM 3 SUMMARY'!$C$15:$C$115,'TERM 3 SUMMARY'!$R$15:$R$115),""))</f>
        <v/>
      </c>
      <c r="N60" s="397"/>
      <c r="O60" s="398"/>
      <c r="P60" s="434" t="str">
        <f t="shared" si="0"/>
        <v/>
      </c>
      <c r="Q60" s="435"/>
      <c r="R60" s="436"/>
      <c r="S60" s="437" t="str">
        <f t="shared" si="2"/>
        <v/>
      </c>
      <c r="T60" s="438"/>
      <c r="U60" s="105"/>
      <c r="V60" s="105"/>
      <c r="W60" s="105"/>
      <c r="X60" s="105"/>
      <c r="Y60" s="105"/>
      <c r="Z60" s="105"/>
      <c r="AA60" s="105"/>
      <c r="AB60" s="220"/>
      <c r="AC60" s="105"/>
    </row>
    <row r="61" spans="1:29" ht="15.6">
      <c r="A61" s="105"/>
      <c r="B61" s="108">
        <v>47</v>
      </c>
      <c r="C61" s="426" t="str">
        <f>IF('INPUT DATA'!L57="","",'INPUT DATA'!L57)</f>
        <v/>
      </c>
      <c r="D61" s="427"/>
      <c r="E61" s="427"/>
      <c r="F61" s="413" t="str">
        <f>IF(TRIM(C61)="","",IFERROR(_xlfn.XLOOKUP(TRIM(C61),'TERM 1 SUMMARY'!$C$15:$C$115,'TERM 1 SUMMARY'!$R$15:$R$115),""))</f>
        <v/>
      </c>
      <c r="G61" s="414"/>
      <c r="H61" s="414"/>
      <c r="I61" s="415"/>
      <c r="J61" s="396" t="str">
        <f>IF(TRIM(C61)="","",IFERROR(_xlfn.XLOOKUP(TRIM(C61),'TERM 2 SUMMARY'!$C$15:$C$115,'TERM 2 SUMMARY'!$R$15:$R$115),""))</f>
        <v/>
      </c>
      <c r="K61" s="397"/>
      <c r="L61" s="399"/>
      <c r="M61" s="396" t="str">
        <f>IF(TRIM(C61)="","",IFERROR(_xlfn.XLOOKUP(TRIM(C61),'TERM 3 SUMMARY'!$C$15:$C$115,'TERM 3 SUMMARY'!$R$15:$R$115),""))</f>
        <v/>
      </c>
      <c r="N61" s="397"/>
      <c r="O61" s="398"/>
      <c r="P61" s="434" t="str">
        <f t="shared" si="0"/>
        <v/>
      </c>
      <c r="Q61" s="435"/>
      <c r="R61" s="436"/>
      <c r="S61" s="437" t="str">
        <f t="shared" si="2"/>
        <v/>
      </c>
      <c r="T61" s="438"/>
      <c r="U61" s="105"/>
      <c r="V61" s="105"/>
      <c r="W61" s="105"/>
      <c r="X61" s="105"/>
      <c r="Y61" s="105"/>
      <c r="Z61" s="105"/>
      <c r="AA61" s="105"/>
      <c r="AB61" s="220"/>
      <c r="AC61" s="105"/>
    </row>
    <row r="62" spans="1:29" ht="15.6">
      <c r="A62" s="105"/>
      <c r="B62" s="108">
        <v>48</v>
      </c>
      <c r="C62" s="426" t="str">
        <f>IF('INPUT DATA'!L58="","",'INPUT DATA'!L58)</f>
        <v/>
      </c>
      <c r="D62" s="427"/>
      <c r="E62" s="427"/>
      <c r="F62" s="413" t="str">
        <f>IF(TRIM(C62)="","",IFERROR(_xlfn.XLOOKUP(TRIM(C62),'TERM 1 SUMMARY'!$C$15:$C$115,'TERM 1 SUMMARY'!$R$15:$R$115),""))</f>
        <v/>
      </c>
      <c r="G62" s="414"/>
      <c r="H62" s="414"/>
      <c r="I62" s="415"/>
      <c r="J62" s="396" t="str">
        <f>IF(TRIM(C62)="","",IFERROR(_xlfn.XLOOKUP(TRIM(C62),'TERM 2 SUMMARY'!$C$15:$C$115,'TERM 2 SUMMARY'!$R$15:$R$115),""))</f>
        <v/>
      </c>
      <c r="K62" s="397"/>
      <c r="L62" s="399"/>
      <c r="M62" s="396" t="str">
        <f>IF(TRIM(C62)="","",IFERROR(_xlfn.XLOOKUP(TRIM(C62),'TERM 3 SUMMARY'!$C$15:$C$115,'TERM 3 SUMMARY'!$R$15:$R$115),""))</f>
        <v/>
      </c>
      <c r="N62" s="397"/>
      <c r="O62" s="398"/>
      <c r="P62" s="434" t="str">
        <f t="shared" si="0"/>
        <v/>
      </c>
      <c r="Q62" s="435"/>
      <c r="R62" s="436"/>
      <c r="S62" s="437" t="str">
        <f t="shared" si="2"/>
        <v/>
      </c>
      <c r="T62" s="438"/>
      <c r="U62" s="105"/>
      <c r="V62" s="105"/>
      <c r="W62" s="105"/>
      <c r="X62" s="105"/>
      <c r="Y62" s="105"/>
      <c r="Z62" s="105"/>
      <c r="AA62" s="105"/>
      <c r="AB62" s="220"/>
      <c r="AC62" s="105"/>
    </row>
    <row r="63" spans="1:29" ht="15.6">
      <c r="A63" s="105"/>
      <c r="B63" s="108">
        <v>49</v>
      </c>
      <c r="C63" s="426" t="str">
        <f>IF('INPUT DATA'!L59="","",'INPUT DATA'!L59)</f>
        <v/>
      </c>
      <c r="D63" s="427"/>
      <c r="E63" s="427"/>
      <c r="F63" s="413" t="str">
        <f>IF(TRIM(C63)="","",IFERROR(_xlfn.XLOOKUP(TRIM(C63),'TERM 1 SUMMARY'!$C$15:$C$115,'TERM 1 SUMMARY'!$R$15:$R$115),""))</f>
        <v/>
      </c>
      <c r="G63" s="414"/>
      <c r="H63" s="414"/>
      <c r="I63" s="415"/>
      <c r="J63" s="396" t="str">
        <f>IF(TRIM(C63)="","",IFERROR(_xlfn.XLOOKUP(TRIM(C63),'TERM 2 SUMMARY'!$C$15:$C$115,'TERM 2 SUMMARY'!$R$15:$R$115),""))</f>
        <v/>
      </c>
      <c r="K63" s="397"/>
      <c r="L63" s="399"/>
      <c r="M63" s="396" t="str">
        <f>IF(TRIM(C63)="","",IFERROR(_xlfn.XLOOKUP(TRIM(C63),'TERM 3 SUMMARY'!$C$15:$C$115,'TERM 3 SUMMARY'!$R$15:$R$115),""))</f>
        <v/>
      </c>
      <c r="N63" s="397"/>
      <c r="O63" s="398"/>
      <c r="P63" s="434" t="str">
        <f t="shared" si="0"/>
        <v/>
      </c>
      <c r="Q63" s="435"/>
      <c r="R63" s="436"/>
      <c r="S63" s="437" t="str">
        <f t="shared" si="2"/>
        <v/>
      </c>
      <c r="T63" s="438"/>
      <c r="U63" s="105"/>
      <c r="V63" s="105"/>
      <c r="W63" s="105"/>
      <c r="X63" s="105"/>
      <c r="Y63" s="105"/>
      <c r="Z63" s="105"/>
      <c r="AA63" s="105"/>
      <c r="AB63" s="220"/>
      <c r="AC63" s="105"/>
    </row>
    <row r="64" spans="1:29" ht="16.2" thickBot="1">
      <c r="A64" s="105"/>
      <c r="B64" s="108">
        <v>50</v>
      </c>
      <c r="C64" s="426" t="str">
        <f>IF('INPUT DATA'!L60="","",'INPUT DATA'!L60)</f>
        <v/>
      </c>
      <c r="D64" s="427"/>
      <c r="E64" s="427"/>
      <c r="F64" s="416" t="str">
        <f>IF(TRIM(C64)="","",IFERROR(_xlfn.XLOOKUP(TRIM(C64),'TERM 1 SUMMARY'!$C$15:$C$115,'TERM 1 SUMMARY'!$R$15:$R$115),""))</f>
        <v/>
      </c>
      <c r="G64" s="417"/>
      <c r="H64" s="417"/>
      <c r="I64" s="418"/>
      <c r="J64" s="400" t="str">
        <f>IF(TRIM(C64)="","",IFERROR(_xlfn.XLOOKUP(TRIM(C64),'TERM 2 SUMMARY'!$C$15:$C$115,'TERM 2 SUMMARY'!$R$15:$R$115),""))</f>
        <v/>
      </c>
      <c r="K64" s="401"/>
      <c r="L64" s="402"/>
      <c r="M64" s="400" t="str">
        <f>IF(TRIM(C64)="","",IFERROR(_xlfn.XLOOKUP(TRIM(C64),'TERM 3 SUMMARY'!$C$15:$C$115,'TERM 3 SUMMARY'!$R$15:$R$115),""))</f>
        <v/>
      </c>
      <c r="N64" s="401"/>
      <c r="O64" s="433"/>
      <c r="P64" s="428" t="str">
        <f t="shared" si="0"/>
        <v/>
      </c>
      <c r="Q64" s="429"/>
      <c r="R64" s="430"/>
      <c r="S64" s="431" t="str">
        <f t="shared" si="2"/>
        <v/>
      </c>
      <c r="T64" s="432"/>
      <c r="U64" s="105"/>
      <c r="V64" s="105"/>
      <c r="W64" s="105"/>
      <c r="X64" s="105"/>
      <c r="Y64" s="105"/>
      <c r="Z64" s="105"/>
      <c r="AA64" s="105"/>
      <c r="AB64" s="220"/>
      <c r="AC64" s="105"/>
    </row>
    <row r="65" spans="1:29" ht="16.2" thickBot="1">
      <c r="A65" s="105"/>
      <c r="B65" s="421" t="s">
        <v>14</v>
      </c>
      <c r="C65" s="422"/>
      <c r="D65" s="422"/>
      <c r="E65" s="422"/>
      <c r="F65" s="423"/>
      <c r="G65" s="423"/>
      <c r="H65" s="423"/>
      <c r="I65" s="423"/>
      <c r="J65" s="424"/>
      <c r="K65" s="424"/>
      <c r="L65" s="424"/>
      <c r="M65" s="424"/>
      <c r="N65" s="424"/>
      <c r="O65" s="424"/>
      <c r="P65" s="423"/>
      <c r="Q65" s="423"/>
      <c r="R65" s="423"/>
      <c r="S65" s="423"/>
      <c r="T65" s="425"/>
      <c r="U65" s="105"/>
      <c r="V65" s="105"/>
      <c r="W65" s="105"/>
      <c r="X65" s="105"/>
      <c r="Y65" s="105"/>
      <c r="Z65" s="105"/>
      <c r="AA65" s="105"/>
      <c r="AB65" s="220"/>
      <c r="AC65" s="105"/>
    </row>
    <row r="66" spans="1:29" ht="15.6">
      <c r="A66" s="105"/>
      <c r="B66" s="110">
        <v>1</v>
      </c>
      <c r="C66" s="426" t="str">
        <f>IF('INPUT DATA'!Q11="","",'INPUT DATA'!Q11)</f>
        <v/>
      </c>
      <c r="D66" s="427"/>
      <c r="E66" s="427"/>
      <c r="F66" s="419" t="str">
        <f>IF(TRIM(C66)="","",IFERROR(_xlfn.XLOOKUP(TRIM(C66),'TERM 1 SUMMARY'!$C$66:$C$115,'TERM 1 SUMMARY'!$R$66:$R$115),""))</f>
        <v/>
      </c>
      <c r="G66" s="420"/>
      <c r="H66" s="420"/>
      <c r="I66" s="420"/>
      <c r="J66" s="403" t="str">
        <f>IF(TRIM(C66)="","",IFERROR(_xlfn.XLOOKUP(TRIM(C66),'TERM 2 SUMMARY'!$C$66:$C$115,'TERM 2 SUMMARY'!$R$66:$R$115),""))</f>
        <v/>
      </c>
      <c r="K66" s="404"/>
      <c r="L66" s="408"/>
      <c r="M66" s="403" t="str">
        <f>IF(TRIM(C66)="","",IFERROR(_xlfn.XLOOKUP(TRIM(C66),'TERM 3 SUMMARY'!$C$66:$C$115,'TERM 3 SUMMARY'!$R$66:$R$115),""))</f>
        <v/>
      </c>
      <c r="N66" s="404"/>
      <c r="O66" s="405"/>
      <c r="P66" s="461" t="str">
        <f>IF(C66="","",IF(COUNT($F66:$M66)=0,"",SUM($F66:$M66)/3))</f>
        <v/>
      </c>
      <c r="Q66" s="461"/>
      <c r="R66" s="427"/>
      <c r="S66" s="515" t="str">
        <f>IF(P66="","",_xlfn.RANK.AVG(P66,$P$15:$P$115))</f>
        <v/>
      </c>
      <c r="T66" s="516"/>
      <c r="U66" s="105"/>
      <c r="V66" s="105"/>
      <c r="W66" s="105"/>
      <c r="X66" s="105"/>
      <c r="Y66" s="105"/>
      <c r="Z66" s="105"/>
      <c r="AA66" s="105"/>
      <c r="AB66" s="220"/>
      <c r="AC66" s="105"/>
    </row>
    <row r="67" spans="1:29" ht="15.6">
      <c r="A67" s="105"/>
      <c r="B67" s="109">
        <v>2</v>
      </c>
      <c r="C67" s="426" t="str">
        <f>IF('INPUT DATA'!Q12="","",'INPUT DATA'!Q12)</f>
        <v/>
      </c>
      <c r="D67" s="427"/>
      <c r="E67" s="427"/>
      <c r="F67" s="406" t="str">
        <f>IF(TRIM(C67)="","",IFERROR(_xlfn.XLOOKUP(TRIM(C67),'TERM 1 SUMMARY'!$C$66:$C$115,'TERM 1 SUMMARY'!$R$66:$R$115),""))</f>
        <v/>
      </c>
      <c r="G67" s="407"/>
      <c r="H67" s="407"/>
      <c r="I67" s="407"/>
      <c r="J67" s="396" t="str">
        <f>IF(TRIM(C67)="","",IFERROR(_xlfn.XLOOKUP(TRIM(C67),'TERM 2 SUMMARY'!$C$66:$C$115,'TERM 2 SUMMARY'!$R$66:$R$115),""))</f>
        <v/>
      </c>
      <c r="K67" s="397"/>
      <c r="L67" s="399"/>
      <c r="M67" s="396" t="str">
        <f>IF(TRIM(C67)="","",IFERROR(_xlfn.XLOOKUP(TRIM(C67),'TERM 3 SUMMARY'!$C$66:$C$115,'TERM 3 SUMMARY'!$R$66:$R$115),""))</f>
        <v/>
      </c>
      <c r="N67" s="397"/>
      <c r="O67" s="398"/>
      <c r="P67" s="461" t="str">
        <f t="shared" ref="P67:P115" si="3">IF(C67="","",IF(COUNT($F67:$M67)=0,"",SUM($F67:$M67)/3))</f>
        <v/>
      </c>
      <c r="Q67" s="461"/>
      <c r="R67" s="427"/>
      <c r="S67" s="462" t="str">
        <f t="shared" ref="S67:S115" si="4">IF(P67="","",_xlfn.RANK.AVG(P67,$P$15:$P$115))</f>
        <v/>
      </c>
      <c r="T67" s="463"/>
      <c r="U67" s="105"/>
      <c r="V67" s="105"/>
      <c r="W67" s="105"/>
      <c r="X67" s="105"/>
      <c r="Y67" s="105"/>
      <c r="Z67" s="105"/>
      <c r="AA67" s="105"/>
      <c r="AB67" s="220"/>
      <c r="AC67" s="105"/>
    </row>
    <row r="68" spans="1:29" ht="15.6">
      <c r="A68" s="105"/>
      <c r="B68" s="109">
        <v>3</v>
      </c>
      <c r="C68" s="426" t="str">
        <f>IF('INPUT DATA'!Q13="","",'INPUT DATA'!Q13)</f>
        <v/>
      </c>
      <c r="D68" s="427"/>
      <c r="E68" s="427"/>
      <c r="F68" s="406" t="str">
        <f>IF(TRIM(C68)="","",IFERROR(_xlfn.XLOOKUP(TRIM(C68),'TERM 1 SUMMARY'!$C$66:$C$115,'TERM 1 SUMMARY'!$R$66:$R$115),""))</f>
        <v/>
      </c>
      <c r="G68" s="407"/>
      <c r="H68" s="407"/>
      <c r="I68" s="407"/>
      <c r="J68" s="396" t="str">
        <f>IF(TRIM(C68)="","",IFERROR(_xlfn.XLOOKUP(TRIM(C68),'TERM 2 SUMMARY'!$C$66:$C$115,'TERM 2 SUMMARY'!$R$66:$R$115),""))</f>
        <v/>
      </c>
      <c r="K68" s="397"/>
      <c r="L68" s="399"/>
      <c r="M68" s="396" t="str">
        <f>IF(TRIM(C68)="","",IFERROR(_xlfn.XLOOKUP(TRIM(C68),'TERM 3 SUMMARY'!$C$66:$C$115,'TERM 3 SUMMARY'!$R$66:$R$115),""))</f>
        <v/>
      </c>
      <c r="N68" s="397"/>
      <c r="O68" s="398"/>
      <c r="P68" s="461" t="str">
        <f t="shared" si="3"/>
        <v/>
      </c>
      <c r="Q68" s="461"/>
      <c r="R68" s="427"/>
      <c r="S68" s="462" t="str">
        <f t="shared" si="4"/>
        <v/>
      </c>
      <c r="T68" s="463"/>
      <c r="U68" s="105"/>
      <c r="V68" s="105"/>
      <c r="W68" s="105"/>
      <c r="X68" s="105"/>
      <c r="Y68" s="105"/>
      <c r="Z68" s="105"/>
      <c r="AA68" s="105"/>
      <c r="AB68" s="220"/>
      <c r="AC68" s="105"/>
    </row>
    <row r="69" spans="1:29" ht="15.6">
      <c r="A69" s="105"/>
      <c r="B69" s="109">
        <v>4</v>
      </c>
      <c r="C69" s="426" t="str">
        <f>IF('INPUT DATA'!Q14="","",'INPUT DATA'!Q14)</f>
        <v/>
      </c>
      <c r="D69" s="427"/>
      <c r="E69" s="427"/>
      <c r="F69" s="406" t="str">
        <f>IF(TRIM(C69)="","",IFERROR(_xlfn.XLOOKUP(TRIM(C69),'TERM 1 SUMMARY'!$C$66:$C$115,'TERM 1 SUMMARY'!$R$66:$R$115),""))</f>
        <v/>
      </c>
      <c r="G69" s="407"/>
      <c r="H69" s="407"/>
      <c r="I69" s="407"/>
      <c r="J69" s="396" t="str">
        <f>IF(TRIM(C69)="","",IFERROR(_xlfn.XLOOKUP(TRIM(C69),'TERM 2 SUMMARY'!$C$66:$C$115,'TERM 2 SUMMARY'!$R$66:$R$115),""))</f>
        <v/>
      </c>
      <c r="K69" s="397"/>
      <c r="L69" s="399"/>
      <c r="M69" s="396" t="str">
        <f>IF(TRIM(C69)="","",IFERROR(_xlfn.XLOOKUP(TRIM(C69),'TERM 3 SUMMARY'!$C$66:$C$115,'TERM 3 SUMMARY'!$R$66:$R$115),""))</f>
        <v/>
      </c>
      <c r="N69" s="397"/>
      <c r="O69" s="398"/>
      <c r="P69" s="461" t="str">
        <f t="shared" si="3"/>
        <v/>
      </c>
      <c r="Q69" s="461"/>
      <c r="R69" s="427"/>
      <c r="S69" s="462" t="str">
        <f t="shared" si="4"/>
        <v/>
      </c>
      <c r="T69" s="463"/>
      <c r="U69" s="105"/>
      <c r="V69" s="105"/>
      <c r="W69" s="105"/>
      <c r="X69" s="105"/>
      <c r="Y69" s="105"/>
      <c r="Z69" s="105"/>
      <c r="AA69" s="105"/>
      <c r="AB69" s="220"/>
      <c r="AC69" s="105"/>
    </row>
    <row r="70" spans="1:29" ht="15.6">
      <c r="A70" s="105"/>
      <c r="B70" s="109">
        <v>5</v>
      </c>
      <c r="C70" s="426" t="str">
        <f>IF('INPUT DATA'!Q15="","",'INPUT DATA'!Q15)</f>
        <v/>
      </c>
      <c r="D70" s="427"/>
      <c r="E70" s="427"/>
      <c r="F70" s="406" t="str">
        <f>IF(TRIM(C70)="","",IFERROR(_xlfn.XLOOKUP(TRIM(C70),'TERM 1 SUMMARY'!$C$66:$C$115,'TERM 1 SUMMARY'!$R$66:$R$115),""))</f>
        <v/>
      </c>
      <c r="G70" s="407"/>
      <c r="H70" s="407"/>
      <c r="I70" s="407"/>
      <c r="J70" s="396" t="str">
        <f>IF(TRIM(C70)="","",IFERROR(_xlfn.XLOOKUP(TRIM(C70),'TERM 2 SUMMARY'!$C$66:$C$115,'TERM 2 SUMMARY'!$R$66:$R$115),""))</f>
        <v/>
      </c>
      <c r="K70" s="397"/>
      <c r="L70" s="399"/>
      <c r="M70" s="396" t="str">
        <f>IF(TRIM(C70)="","",IFERROR(_xlfn.XLOOKUP(TRIM(C70),'TERM 3 SUMMARY'!$C$66:$C$115,'TERM 3 SUMMARY'!$R$66:$R$115),""))</f>
        <v/>
      </c>
      <c r="N70" s="397"/>
      <c r="O70" s="398"/>
      <c r="P70" s="461" t="str">
        <f t="shared" si="3"/>
        <v/>
      </c>
      <c r="Q70" s="461"/>
      <c r="R70" s="427"/>
      <c r="S70" s="462" t="str">
        <f t="shared" si="4"/>
        <v/>
      </c>
      <c r="T70" s="463"/>
      <c r="U70" s="105"/>
      <c r="V70" s="105"/>
      <c r="W70" s="105"/>
      <c r="X70" s="105"/>
      <c r="Y70" s="105"/>
      <c r="Z70" s="105"/>
      <c r="AA70" s="105"/>
      <c r="AB70" s="220"/>
      <c r="AC70" s="105"/>
    </row>
    <row r="71" spans="1:29" ht="15.6">
      <c r="A71" s="105"/>
      <c r="B71" s="109">
        <v>6</v>
      </c>
      <c r="C71" s="426" t="str">
        <f>IF('INPUT DATA'!Q16="","",'INPUT DATA'!Q16)</f>
        <v/>
      </c>
      <c r="D71" s="427"/>
      <c r="E71" s="427"/>
      <c r="F71" s="406" t="str">
        <f>IF(TRIM(C71)="","",IFERROR(_xlfn.XLOOKUP(TRIM(C71),'TERM 1 SUMMARY'!$C$66:$C$115,'TERM 1 SUMMARY'!$R$66:$R$115),""))</f>
        <v/>
      </c>
      <c r="G71" s="407"/>
      <c r="H71" s="407"/>
      <c r="I71" s="407"/>
      <c r="J71" s="396" t="str">
        <f>IF(TRIM(C71)="","",IFERROR(_xlfn.XLOOKUP(TRIM(C71),'TERM 2 SUMMARY'!$C$66:$C$115,'TERM 2 SUMMARY'!$R$66:$R$115),""))</f>
        <v/>
      </c>
      <c r="K71" s="397"/>
      <c r="L71" s="399"/>
      <c r="M71" s="396" t="str">
        <f>IF(TRIM(C71)="","",IFERROR(_xlfn.XLOOKUP(TRIM(C71),'TERM 3 SUMMARY'!$C$66:$C$115,'TERM 3 SUMMARY'!$R$66:$R$115),""))</f>
        <v/>
      </c>
      <c r="N71" s="397"/>
      <c r="O71" s="398"/>
      <c r="P71" s="461" t="str">
        <f t="shared" si="3"/>
        <v/>
      </c>
      <c r="Q71" s="461"/>
      <c r="R71" s="427"/>
      <c r="S71" s="462" t="str">
        <f t="shared" si="4"/>
        <v/>
      </c>
      <c r="T71" s="463"/>
      <c r="U71" s="105"/>
      <c r="V71" s="105"/>
      <c r="W71" s="105"/>
      <c r="X71" s="105"/>
      <c r="Y71" s="105"/>
      <c r="Z71" s="105"/>
      <c r="AA71" s="105"/>
      <c r="AB71" s="220"/>
      <c r="AC71" s="105"/>
    </row>
    <row r="72" spans="1:29" ht="15.6">
      <c r="A72" s="105"/>
      <c r="B72" s="109">
        <v>7</v>
      </c>
      <c r="C72" s="426" t="str">
        <f>IF('INPUT DATA'!Q17="","",'INPUT DATA'!Q17)</f>
        <v/>
      </c>
      <c r="D72" s="427"/>
      <c r="E72" s="427"/>
      <c r="F72" s="406" t="str">
        <f>IF(TRIM(C72)="","",IFERROR(_xlfn.XLOOKUP(TRIM(C72),'TERM 1 SUMMARY'!$C$66:$C$115,'TERM 1 SUMMARY'!$R$66:$R$115),""))</f>
        <v/>
      </c>
      <c r="G72" s="407"/>
      <c r="H72" s="407"/>
      <c r="I72" s="407"/>
      <c r="J72" s="396" t="str">
        <f>IF(TRIM(C72)="","",IFERROR(_xlfn.XLOOKUP(TRIM(C72),'TERM 2 SUMMARY'!$C$66:$C$115,'TERM 2 SUMMARY'!$R$66:$R$115),""))</f>
        <v/>
      </c>
      <c r="K72" s="397"/>
      <c r="L72" s="399"/>
      <c r="M72" s="396" t="str">
        <f>IF(TRIM(C72)="","",IFERROR(_xlfn.XLOOKUP(TRIM(C72),'TERM 3 SUMMARY'!$C$66:$C$115,'TERM 3 SUMMARY'!$R$66:$R$115),""))</f>
        <v/>
      </c>
      <c r="N72" s="397"/>
      <c r="O72" s="398"/>
      <c r="P72" s="461" t="str">
        <f t="shared" si="3"/>
        <v/>
      </c>
      <c r="Q72" s="461"/>
      <c r="R72" s="427"/>
      <c r="S72" s="462" t="str">
        <f t="shared" si="4"/>
        <v/>
      </c>
      <c r="T72" s="463"/>
      <c r="U72" s="105"/>
      <c r="V72" s="105"/>
      <c r="W72" s="105"/>
      <c r="X72" s="105"/>
      <c r="Y72" s="105"/>
      <c r="Z72" s="105"/>
      <c r="AA72" s="105"/>
      <c r="AB72" s="220"/>
      <c r="AC72" s="105"/>
    </row>
    <row r="73" spans="1:29" ht="15.6">
      <c r="A73" s="105"/>
      <c r="B73" s="109">
        <v>8</v>
      </c>
      <c r="C73" s="426" t="str">
        <f>IF('INPUT DATA'!Q18="","",'INPUT DATA'!Q18)</f>
        <v/>
      </c>
      <c r="D73" s="427"/>
      <c r="E73" s="427"/>
      <c r="F73" s="406" t="str">
        <f>IF(TRIM(C73)="","",IFERROR(_xlfn.XLOOKUP(TRIM(C73),'TERM 1 SUMMARY'!$C$66:$C$115,'TERM 1 SUMMARY'!$R$66:$R$115),""))</f>
        <v/>
      </c>
      <c r="G73" s="407"/>
      <c r="H73" s="407"/>
      <c r="I73" s="407"/>
      <c r="J73" s="396" t="str">
        <f>IF(TRIM(C73)="","",IFERROR(_xlfn.XLOOKUP(TRIM(C73),'TERM 2 SUMMARY'!$C$66:$C$115,'TERM 2 SUMMARY'!$R$66:$R$115),""))</f>
        <v/>
      </c>
      <c r="K73" s="397"/>
      <c r="L73" s="399"/>
      <c r="M73" s="396" t="str">
        <f>IF(TRIM(C73)="","",IFERROR(_xlfn.XLOOKUP(TRIM(C73),'TERM 3 SUMMARY'!$C$66:$C$115,'TERM 3 SUMMARY'!$R$66:$R$115),""))</f>
        <v/>
      </c>
      <c r="N73" s="397"/>
      <c r="O73" s="398"/>
      <c r="P73" s="461" t="str">
        <f t="shared" si="3"/>
        <v/>
      </c>
      <c r="Q73" s="461"/>
      <c r="R73" s="427"/>
      <c r="S73" s="462" t="str">
        <f t="shared" si="4"/>
        <v/>
      </c>
      <c r="T73" s="463"/>
      <c r="U73" s="105"/>
      <c r="V73" s="105"/>
      <c r="W73" s="105"/>
      <c r="X73" s="105"/>
      <c r="Y73" s="105"/>
      <c r="Z73" s="105"/>
      <c r="AA73" s="105"/>
      <c r="AB73" s="220"/>
      <c r="AC73" s="105"/>
    </row>
    <row r="74" spans="1:29" ht="15.6">
      <c r="A74" s="105"/>
      <c r="B74" s="109">
        <v>9</v>
      </c>
      <c r="C74" s="426" t="str">
        <f>IF('INPUT DATA'!Q19="","",'INPUT DATA'!Q19)</f>
        <v/>
      </c>
      <c r="D74" s="427"/>
      <c r="E74" s="427"/>
      <c r="F74" s="406" t="str">
        <f>IF(TRIM(C74)="","",IFERROR(_xlfn.XLOOKUP(TRIM(C74),'TERM 1 SUMMARY'!$C$66:$C$115,'TERM 1 SUMMARY'!$R$66:$R$115),""))</f>
        <v/>
      </c>
      <c r="G74" s="407"/>
      <c r="H74" s="407"/>
      <c r="I74" s="407"/>
      <c r="J74" s="396" t="str">
        <f>IF(TRIM(C74)="","",IFERROR(_xlfn.XLOOKUP(TRIM(C74),'TERM 2 SUMMARY'!$C$66:$C$115,'TERM 2 SUMMARY'!$R$66:$R$115),""))</f>
        <v/>
      </c>
      <c r="K74" s="397"/>
      <c r="L74" s="399"/>
      <c r="M74" s="396" t="str">
        <f>IF(TRIM(C74)="","",IFERROR(_xlfn.XLOOKUP(TRIM(C74),'TERM 3 SUMMARY'!$C$66:$C$115,'TERM 3 SUMMARY'!$R$66:$R$115),""))</f>
        <v/>
      </c>
      <c r="N74" s="397"/>
      <c r="O74" s="398"/>
      <c r="P74" s="461" t="str">
        <f t="shared" si="3"/>
        <v/>
      </c>
      <c r="Q74" s="461"/>
      <c r="R74" s="427"/>
      <c r="S74" s="462" t="str">
        <f t="shared" si="4"/>
        <v/>
      </c>
      <c r="T74" s="463"/>
      <c r="U74" s="105"/>
      <c r="V74" s="105"/>
      <c r="W74" s="105"/>
      <c r="X74" s="105"/>
      <c r="Y74" s="105"/>
      <c r="Z74" s="105"/>
      <c r="AA74" s="105"/>
      <c r="AB74" s="220"/>
      <c r="AC74" s="105"/>
    </row>
    <row r="75" spans="1:29" ht="15.6">
      <c r="A75" s="105"/>
      <c r="B75" s="109">
        <v>10</v>
      </c>
      <c r="C75" s="426" t="str">
        <f>IF('INPUT DATA'!Q20="","",'INPUT DATA'!Q20)</f>
        <v/>
      </c>
      <c r="D75" s="427"/>
      <c r="E75" s="427"/>
      <c r="F75" s="406" t="str">
        <f>IF(TRIM(C75)="","",IFERROR(_xlfn.XLOOKUP(TRIM(C75),'TERM 1 SUMMARY'!$C$66:$C$115,'TERM 1 SUMMARY'!$R$66:$R$115),""))</f>
        <v/>
      </c>
      <c r="G75" s="407"/>
      <c r="H75" s="407"/>
      <c r="I75" s="407"/>
      <c r="J75" s="396" t="str">
        <f>IF(TRIM(C75)="","",IFERROR(_xlfn.XLOOKUP(TRIM(C75),'TERM 2 SUMMARY'!$C$66:$C$115,'TERM 2 SUMMARY'!$R$66:$R$115),""))</f>
        <v/>
      </c>
      <c r="K75" s="397"/>
      <c r="L75" s="399"/>
      <c r="M75" s="396" t="str">
        <f>IF(TRIM(C75)="","",IFERROR(_xlfn.XLOOKUP(TRIM(C75),'TERM 3 SUMMARY'!$C$66:$C$115,'TERM 3 SUMMARY'!$R$66:$R$115),""))</f>
        <v/>
      </c>
      <c r="N75" s="397"/>
      <c r="O75" s="398"/>
      <c r="P75" s="461" t="str">
        <f t="shared" si="3"/>
        <v/>
      </c>
      <c r="Q75" s="461"/>
      <c r="R75" s="427"/>
      <c r="S75" s="462" t="str">
        <f t="shared" si="4"/>
        <v/>
      </c>
      <c r="T75" s="463"/>
      <c r="U75" s="105"/>
      <c r="V75" s="105"/>
      <c r="W75" s="105"/>
      <c r="X75" s="105"/>
      <c r="Y75" s="105"/>
      <c r="Z75" s="105"/>
      <c r="AA75" s="105"/>
      <c r="AB75" s="220"/>
      <c r="AC75" s="105"/>
    </row>
    <row r="76" spans="1:29" ht="15.6">
      <c r="A76" s="105"/>
      <c r="B76" s="109">
        <v>11</v>
      </c>
      <c r="C76" s="426" t="str">
        <f>IF('INPUT DATA'!Q21="","",'INPUT DATA'!Q21)</f>
        <v/>
      </c>
      <c r="D76" s="427"/>
      <c r="E76" s="427"/>
      <c r="F76" s="406" t="str">
        <f>IF(TRIM(C76)="","",IFERROR(_xlfn.XLOOKUP(TRIM(C76),'TERM 1 SUMMARY'!$C$66:$C$115,'TERM 1 SUMMARY'!$R$66:$R$115),""))</f>
        <v/>
      </c>
      <c r="G76" s="407"/>
      <c r="H76" s="407"/>
      <c r="I76" s="407"/>
      <c r="J76" s="396" t="str">
        <f>IF(TRIM(C76)="","",IFERROR(_xlfn.XLOOKUP(TRIM(C76),'TERM 2 SUMMARY'!$C$66:$C$115,'TERM 2 SUMMARY'!$R$66:$R$115),""))</f>
        <v/>
      </c>
      <c r="K76" s="397"/>
      <c r="L76" s="399"/>
      <c r="M76" s="396" t="str">
        <f>IF(TRIM(C76)="","",IFERROR(_xlfn.XLOOKUP(TRIM(C76),'TERM 3 SUMMARY'!$C$66:$C$115,'TERM 3 SUMMARY'!$R$66:$R$115),""))</f>
        <v/>
      </c>
      <c r="N76" s="397"/>
      <c r="O76" s="398"/>
      <c r="P76" s="461" t="str">
        <f t="shared" si="3"/>
        <v/>
      </c>
      <c r="Q76" s="461"/>
      <c r="R76" s="427"/>
      <c r="S76" s="462" t="str">
        <f t="shared" si="4"/>
        <v/>
      </c>
      <c r="T76" s="463"/>
      <c r="U76" s="105"/>
      <c r="V76" s="105"/>
      <c r="W76" s="105"/>
      <c r="X76" s="105"/>
      <c r="Y76" s="105"/>
      <c r="Z76" s="105"/>
      <c r="AA76" s="105"/>
      <c r="AB76" s="220"/>
      <c r="AC76" s="105"/>
    </row>
    <row r="77" spans="1:29" ht="15.6">
      <c r="A77" s="105"/>
      <c r="B77" s="109">
        <v>12</v>
      </c>
      <c r="C77" s="426" t="str">
        <f>IF('INPUT DATA'!Q22="","",'INPUT DATA'!Q22)</f>
        <v/>
      </c>
      <c r="D77" s="427"/>
      <c r="E77" s="427"/>
      <c r="F77" s="406" t="str">
        <f>IF(TRIM(C77)="","",IFERROR(_xlfn.XLOOKUP(TRIM(C77),'TERM 1 SUMMARY'!$C$66:$C$115,'TERM 1 SUMMARY'!$R$66:$R$115),""))</f>
        <v/>
      </c>
      <c r="G77" s="407"/>
      <c r="H77" s="407"/>
      <c r="I77" s="407"/>
      <c r="J77" s="396" t="str">
        <f>IF(TRIM(C77)="","",IFERROR(_xlfn.XLOOKUP(TRIM(C77),'TERM 2 SUMMARY'!$C$66:$C$115,'TERM 2 SUMMARY'!$R$66:$R$115),""))</f>
        <v/>
      </c>
      <c r="K77" s="397"/>
      <c r="L77" s="399"/>
      <c r="M77" s="396" t="str">
        <f>IF(TRIM(C77)="","",IFERROR(_xlfn.XLOOKUP(TRIM(C77),'TERM 3 SUMMARY'!$C$66:$C$115,'TERM 3 SUMMARY'!$R$66:$R$115),""))</f>
        <v/>
      </c>
      <c r="N77" s="397"/>
      <c r="O77" s="398"/>
      <c r="P77" s="461" t="str">
        <f t="shared" si="3"/>
        <v/>
      </c>
      <c r="Q77" s="461"/>
      <c r="R77" s="427"/>
      <c r="S77" s="462" t="str">
        <f t="shared" si="4"/>
        <v/>
      </c>
      <c r="T77" s="463"/>
      <c r="U77" s="105"/>
      <c r="V77" s="105"/>
      <c r="W77" s="105"/>
      <c r="X77" s="105"/>
      <c r="Y77" s="105"/>
      <c r="Z77" s="105"/>
      <c r="AA77" s="105"/>
      <c r="AB77" s="220"/>
      <c r="AC77" s="105"/>
    </row>
    <row r="78" spans="1:29" ht="15.6">
      <c r="A78" s="105"/>
      <c r="B78" s="109">
        <v>13</v>
      </c>
      <c r="C78" s="426" t="str">
        <f>IF('INPUT DATA'!Q23="","",'INPUT DATA'!Q23)</f>
        <v/>
      </c>
      <c r="D78" s="427"/>
      <c r="E78" s="427"/>
      <c r="F78" s="406" t="str">
        <f>IF(TRIM(C78)="","",IFERROR(_xlfn.XLOOKUP(TRIM(C78),'TERM 1 SUMMARY'!$C$66:$C$115,'TERM 1 SUMMARY'!$R$66:$R$115),""))</f>
        <v/>
      </c>
      <c r="G78" s="407"/>
      <c r="H78" s="407"/>
      <c r="I78" s="407"/>
      <c r="J78" s="396" t="str">
        <f>IF(TRIM(C78)="","",IFERROR(_xlfn.XLOOKUP(TRIM(C78),'TERM 2 SUMMARY'!$C$66:$C$115,'TERM 2 SUMMARY'!$R$66:$R$115),""))</f>
        <v/>
      </c>
      <c r="K78" s="397"/>
      <c r="L78" s="399"/>
      <c r="M78" s="396" t="str">
        <f>IF(TRIM(C78)="","",IFERROR(_xlfn.XLOOKUP(TRIM(C78),'TERM 3 SUMMARY'!$C$66:$C$115,'TERM 3 SUMMARY'!$R$66:$R$115),""))</f>
        <v/>
      </c>
      <c r="N78" s="397"/>
      <c r="O78" s="398"/>
      <c r="P78" s="461" t="str">
        <f t="shared" si="3"/>
        <v/>
      </c>
      <c r="Q78" s="461"/>
      <c r="R78" s="427"/>
      <c r="S78" s="462" t="str">
        <f t="shared" si="4"/>
        <v/>
      </c>
      <c r="T78" s="463"/>
      <c r="U78" s="105"/>
      <c r="V78" s="105"/>
      <c r="W78" s="105"/>
      <c r="X78" s="105"/>
      <c r="Y78" s="105"/>
      <c r="Z78" s="105"/>
      <c r="AA78" s="105"/>
      <c r="AB78" s="220"/>
      <c r="AC78" s="105"/>
    </row>
    <row r="79" spans="1:29" ht="15.6">
      <c r="A79" s="105"/>
      <c r="B79" s="109">
        <v>14</v>
      </c>
      <c r="C79" s="426" t="str">
        <f>IF('INPUT DATA'!Q24="","",'INPUT DATA'!Q24)</f>
        <v/>
      </c>
      <c r="D79" s="427"/>
      <c r="E79" s="427"/>
      <c r="F79" s="406" t="str">
        <f>IF(TRIM(C79)="","",IFERROR(_xlfn.XLOOKUP(TRIM(C79),'TERM 1 SUMMARY'!$C$66:$C$115,'TERM 1 SUMMARY'!$R$66:$R$115),""))</f>
        <v/>
      </c>
      <c r="G79" s="407"/>
      <c r="H79" s="407"/>
      <c r="I79" s="407"/>
      <c r="J79" s="396" t="str">
        <f>IF(TRIM(C79)="","",IFERROR(_xlfn.XLOOKUP(TRIM(C79),'TERM 2 SUMMARY'!$C$66:$C$115,'TERM 2 SUMMARY'!$R$66:$R$115),""))</f>
        <v/>
      </c>
      <c r="K79" s="397"/>
      <c r="L79" s="399"/>
      <c r="M79" s="396" t="str">
        <f>IF(TRIM(C79)="","",IFERROR(_xlfn.XLOOKUP(TRIM(C79),'TERM 3 SUMMARY'!$C$66:$C$115,'TERM 3 SUMMARY'!$R$66:$R$115),""))</f>
        <v/>
      </c>
      <c r="N79" s="397"/>
      <c r="O79" s="398"/>
      <c r="P79" s="461" t="str">
        <f t="shared" si="3"/>
        <v/>
      </c>
      <c r="Q79" s="461"/>
      <c r="R79" s="427"/>
      <c r="S79" s="462" t="str">
        <f t="shared" si="4"/>
        <v/>
      </c>
      <c r="T79" s="463"/>
      <c r="U79" s="105"/>
      <c r="V79" s="105"/>
      <c r="W79" s="105"/>
      <c r="X79" s="105"/>
      <c r="Y79" s="105"/>
      <c r="Z79" s="105"/>
      <c r="AA79" s="105"/>
      <c r="AB79" s="220"/>
      <c r="AC79" s="105"/>
    </row>
    <row r="80" spans="1:29" ht="15.6">
      <c r="A80" s="105"/>
      <c r="B80" s="109">
        <v>15</v>
      </c>
      <c r="C80" s="426" t="str">
        <f>IF('INPUT DATA'!Q25="","",'INPUT DATA'!Q25)</f>
        <v/>
      </c>
      <c r="D80" s="427"/>
      <c r="E80" s="427"/>
      <c r="F80" s="406" t="str">
        <f>IF(TRIM(C80)="","",IFERROR(_xlfn.XLOOKUP(TRIM(C80),'TERM 1 SUMMARY'!$C$66:$C$115,'TERM 1 SUMMARY'!$R$66:$R$115),""))</f>
        <v/>
      </c>
      <c r="G80" s="407"/>
      <c r="H80" s="407"/>
      <c r="I80" s="407"/>
      <c r="J80" s="396" t="str">
        <f>IF(TRIM(C80)="","",IFERROR(_xlfn.XLOOKUP(TRIM(C80),'TERM 2 SUMMARY'!$C$66:$C$115,'TERM 2 SUMMARY'!$R$66:$R$115),""))</f>
        <v/>
      </c>
      <c r="K80" s="397"/>
      <c r="L80" s="399"/>
      <c r="M80" s="396" t="str">
        <f>IF(TRIM(C80)="","",IFERROR(_xlfn.XLOOKUP(TRIM(C80),'TERM 3 SUMMARY'!$C$66:$C$115,'TERM 3 SUMMARY'!$R$66:$R$115),""))</f>
        <v/>
      </c>
      <c r="N80" s="397"/>
      <c r="O80" s="398"/>
      <c r="P80" s="461" t="str">
        <f t="shared" si="3"/>
        <v/>
      </c>
      <c r="Q80" s="461"/>
      <c r="R80" s="427"/>
      <c r="S80" s="462" t="str">
        <f t="shared" si="4"/>
        <v/>
      </c>
      <c r="T80" s="463"/>
      <c r="U80" s="105"/>
      <c r="V80" s="105"/>
      <c r="W80" s="105"/>
      <c r="X80" s="105"/>
      <c r="Y80" s="105"/>
      <c r="Z80" s="105"/>
      <c r="AA80" s="105"/>
      <c r="AB80" s="220"/>
      <c r="AC80" s="105"/>
    </row>
    <row r="81" spans="1:29" ht="15.6">
      <c r="A81" s="105"/>
      <c r="B81" s="109">
        <v>16</v>
      </c>
      <c r="C81" s="426" t="str">
        <f>IF('INPUT DATA'!Q26="","",'INPUT DATA'!Q26)</f>
        <v/>
      </c>
      <c r="D81" s="427"/>
      <c r="E81" s="427"/>
      <c r="F81" s="406" t="str">
        <f>IF(TRIM(C81)="","",IFERROR(_xlfn.XLOOKUP(TRIM(C81),'TERM 1 SUMMARY'!$C$66:$C$115,'TERM 1 SUMMARY'!$R$66:$R$115),""))</f>
        <v/>
      </c>
      <c r="G81" s="407"/>
      <c r="H81" s="407"/>
      <c r="I81" s="407"/>
      <c r="J81" s="396" t="str">
        <f>IF(TRIM(C81)="","",IFERROR(_xlfn.XLOOKUP(TRIM(C81),'TERM 2 SUMMARY'!$C$66:$C$115,'TERM 2 SUMMARY'!$R$66:$R$115),""))</f>
        <v/>
      </c>
      <c r="K81" s="397"/>
      <c r="L81" s="399"/>
      <c r="M81" s="396" t="str">
        <f>IF(TRIM(C81)="","",IFERROR(_xlfn.XLOOKUP(TRIM(C81),'TERM 3 SUMMARY'!$C$66:$C$115,'TERM 3 SUMMARY'!$R$66:$R$115),""))</f>
        <v/>
      </c>
      <c r="N81" s="397"/>
      <c r="O81" s="398"/>
      <c r="P81" s="461" t="str">
        <f t="shared" si="3"/>
        <v/>
      </c>
      <c r="Q81" s="461"/>
      <c r="R81" s="427"/>
      <c r="S81" s="462" t="str">
        <f t="shared" si="4"/>
        <v/>
      </c>
      <c r="T81" s="463"/>
      <c r="U81" s="105"/>
      <c r="V81" s="105"/>
      <c r="W81" s="105"/>
      <c r="X81" s="105"/>
      <c r="Y81" s="105"/>
      <c r="Z81" s="105"/>
      <c r="AA81" s="105"/>
      <c r="AB81" s="220"/>
      <c r="AC81" s="105"/>
    </row>
    <row r="82" spans="1:29" ht="15.6">
      <c r="A82" s="105"/>
      <c r="B82" s="109">
        <v>17</v>
      </c>
      <c r="C82" s="426" t="str">
        <f>IF('INPUT DATA'!Q27="","",'INPUT DATA'!Q27)</f>
        <v/>
      </c>
      <c r="D82" s="427"/>
      <c r="E82" s="427"/>
      <c r="F82" s="406" t="str">
        <f>IF(TRIM(C82)="","",IFERROR(_xlfn.XLOOKUP(TRIM(C82),'TERM 1 SUMMARY'!$C$66:$C$115,'TERM 1 SUMMARY'!$R$66:$R$115),""))</f>
        <v/>
      </c>
      <c r="G82" s="407"/>
      <c r="H82" s="407"/>
      <c r="I82" s="407"/>
      <c r="J82" s="396" t="str">
        <f>IF(TRIM(C82)="","",IFERROR(_xlfn.XLOOKUP(TRIM(C82),'TERM 2 SUMMARY'!$C$66:$C$115,'TERM 2 SUMMARY'!$R$66:$R$115),""))</f>
        <v/>
      </c>
      <c r="K82" s="397"/>
      <c r="L82" s="399"/>
      <c r="M82" s="396" t="str">
        <f>IF(TRIM(C82)="","",IFERROR(_xlfn.XLOOKUP(TRIM(C82),'TERM 3 SUMMARY'!$C$66:$C$115,'TERM 3 SUMMARY'!$R$66:$R$115),""))</f>
        <v/>
      </c>
      <c r="N82" s="397"/>
      <c r="O82" s="398"/>
      <c r="P82" s="461" t="str">
        <f t="shared" si="3"/>
        <v/>
      </c>
      <c r="Q82" s="461"/>
      <c r="R82" s="427"/>
      <c r="S82" s="462" t="str">
        <f t="shared" si="4"/>
        <v/>
      </c>
      <c r="T82" s="463"/>
      <c r="U82" s="105"/>
      <c r="V82" s="105"/>
      <c r="W82" s="105"/>
      <c r="X82" s="105"/>
      <c r="Y82" s="105"/>
      <c r="Z82" s="105"/>
      <c r="AA82" s="105"/>
      <c r="AB82" s="220"/>
      <c r="AC82" s="105"/>
    </row>
    <row r="83" spans="1:29" ht="15.6">
      <c r="A83" s="105"/>
      <c r="B83" s="109">
        <v>18</v>
      </c>
      <c r="C83" s="426" t="str">
        <f>IF('INPUT DATA'!Q28="","",'INPUT DATA'!Q28)</f>
        <v/>
      </c>
      <c r="D83" s="427"/>
      <c r="E83" s="427"/>
      <c r="F83" s="406" t="str">
        <f>IF(TRIM(C83)="","",IFERROR(_xlfn.XLOOKUP(TRIM(C83),'TERM 1 SUMMARY'!$C$66:$C$115,'TERM 1 SUMMARY'!$R$66:$R$115),""))</f>
        <v/>
      </c>
      <c r="G83" s="407"/>
      <c r="H83" s="407"/>
      <c r="I83" s="407"/>
      <c r="J83" s="396" t="str">
        <f>IF(TRIM(C83)="","",IFERROR(_xlfn.XLOOKUP(TRIM(C83),'TERM 2 SUMMARY'!$C$66:$C$115,'TERM 2 SUMMARY'!$R$66:$R$115),""))</f>
        <v/>
      </c>
      <c r="K83" s="397"/>
      <c r="L83" s="399"/>
      <c r="M83" s="396" t="str">
        <f>IF(TRIM(C83)="","",IFERROR(_xlfn.XLOOKUP(TRIM(C83),'TERM 3 SUMMARY'!$C$66:$C$115,'TERM 3 SUMMARY'!$R$66:$R$115),""))</f>
        <v/>
      </c>
      <c r="N83" s="397"/>
      <c r="O83" s="398"/>
      <c r="P83" s="461" t="str">
        <f t="shared" si="3"/>
        <v/>
      </c>
      <c r="Q83" s="461"/>
      <c r="R83" s="427"/>
      <c r="S83" s="462" t="str">
        <f t="shared" si="4"/>
        <v/>
      </c>
      <c r="T83" s="463"/>
      <c r="U83" s="105"/>
      <c r="V83" s="105"/>
      <c r="W83" s="105"/>
      <c r="X83" s="105"/>
      <c r="Y83" s="105"/>
      <c r="Z83" s="105"/>
      <c r="AA83" s="105"/>
      <c r="AB83" s="220"/>
      <c r="AC83" s="105"/>
    </row>
    <row r="84" spans="1:29" ht="15.6">
      <c r="A84" s="105"/>
      <c r="B84" s="109">
        <v>19</v>
      </c>
      <c r="C84" s="426" t="str">
        <f>IF('INPUT DATA'!Q29="","",'INPUT DATA'!Q29)</f>
        <v/>
      </c>
      <c r="D84" s="427"/>
      <c r="E84" s="427"/>
      <c r="F84" s="406" t="str">
        <f>IF(TRIM(C84)="","",IFERROR(_xlfn.XLOOKUP(TRIM(C84),'TERM 1 SUMMARY'!$C$66:$C$115,'TERM 1 SUMMARY'!$R$66:$R$115),""))</f>
        <v/>
      </c>
      <c r="G84" s="407"/>
      <c r="H84" s="407"/>
      <c r="I84" s="407"/>
      <c r="J84" s="396" t="str">
        <f>IF(TRIM(C84)="","",IFERROR(_xlfn.XLOOKUP(TRIM(C84),'TERM 2 SUMMARY'!$C$66:$C$115,'TERM 2 SUMMARY'!$R$66:$R$115),""))</f>
        <v/>
      </c>
      <c r="K84" s="397"/>
      <c r="L84" s="399"/>
      <c r="M84" s="396" t="str">
        <f>IF(TRIM(C84)="","",IFERROR(_xlfn.XLOOKUP(TRIM(C84),'TERM 3 SUMMARY'!$C$66:$C$115,'TERM 3 SUMMARY'!$R$66:$R$115),""))</f>
        <v/>
      </c>
      <c r="N84" s="397"/>
      <c r="O84" s="398"/>
      <c r="P84" s="461" t="str">
        <f t="shared" si="3"/>
        <v/>
      </c>
      <c r="Q84" s="461"/>
      <c r="R84" s="427"/>
      <c r="S84" s="462" t="str">
        <f t="shared" si="4"/>
        <v/>
      </c>
      <c r="T84" s="463"/>
      <c r="U84" s="105"/>
      <c r="V84" s="105"/>
      <c r="W84" s="105"/>
      <c r="X84" s="105"/>
      <c r="Y84" s="105"/>
      <c r="Z84" s="105"/>
      <c r="AA84" s="105"/>
      <c r="AB84" s="220"/>
      <c r="AC84" s="105"/>
    </row>
    <row r="85" spans="1:29" ht="15.6">
      <c r="A85" s="105"/>
      <c r="B85" s="108">
        <v>20</v>
      </c>
      <c r="C85" s="426" t="str">
        <f>IF('INPUT DATA'!Q30="","",'INPUT DATA'!Q30)</f>
        <v/>
      </c>
      <c r="D85" s="427"/>
      <c r="E85" s="427"/>
      <c r="F85" s="406" t="str">
        <f>IF(TRIM(C85)="","",IFERROR(_xlfn.XLOOKUP(TRIM(C85),'TERM 1 SUMMARY'!$C$66:$C$115,'TERM 1 SUMMARY'!$R$66:$R$115),""))</f>
        <v/>
      </c>
      <c r="G85" s="407"/>
      <c r="H85" s="407"/>
      <c r="I85" s="407"/>
      <c r="J85" s="396" t="str">
        <f>IF(TRIM(C85)="","",IFERROR(_xlfn.XLOOKUP(TRIM(C85),'TERM 2 SUMMARY'!$C$66:$C$115,'TERM 2 SUMMARY'!$R$66:$R$115),""))</f>
        <v/>
      </c>
      <c r="K85" s="397"/>
      <c r="L85" s="399"/>
      <c r="M85" s="396" t="str">
        <f>IF(TRIM(C85)="","",IFERROR(_xlfn.XLOOKUP(TRIM(C85),'TERM 3 SUMMARY'!$C$66:$C$115,'TERM 3 SUMMARY'!$R$66:$R$115),""))</f>
        <v/>
      </c>
      <c r="N85" s="397"/>
      <c r="O85" s="398"/>
      <c r="P85" s="461" t="str">
        <f t="shared" si="3"/>
        <v/>
      </c>
      <c r="Q85" s="461"/>
      <c r="R85" s="427"/>
      <c r="S85" s="462" t="str">
        <f t="shared" si="4"/>
        <v/>
      </c>
      <c r="T85" s="463"/>
      <c r="U85" s="105"/>
      <c r="V85" s="105"/>
      <c r="W85" s="105"/>
      <c r="X85" s="105"/>
      <c r="Y85" s="105"/>
      <c r="Z85" s="105"/>
      <c r="AA85" s="105"/>
      <c r="AB85" s="220"/>
      <c r="AC85" s="105"/>
    </row>
    <row r="86" spans="1:29" ht="15.6">
      <c r="A86" s="105"/>
      <c r="B86" s="108">
        <v>21</v>
      </c>
      <c r="C86" s="426" t="str">
        <f>IF('INPUT DATA'!Q31="","",'INPUT DATA'!Q31)</f>
        <v/>
      </c>
      <c r="D86" s="427"/>
      <c r="E86" s="427"/>
      <c r="F86" s="406" t="str">
        <f>IF(TRIM(C86)="","",IFERROR(_xlfn.XLOOKUP(TRIM(C86),'TERM 1 SUMMARY'!$C$66:$C$115,'TERM 1 SUMMARY'!$R$66:$R$115),""))</f>
        <v/>
      </c>
      <c r="G86" s="407"/>
      <c r="H86" s="407"/>
      <c r="I86" s="407"/>
      <c r="J86" s="396" t="str">
        <f>IF(TRIM(C86)="","",IFERROR(_xlfn.XLOOKUP(TRIM(C86),'TERM 2 SUMMARY'!$C$66:$C$115,'TERM 2 SUMMARY'!$R$66:$R$115),""))</f>
        <v/>
      </c>
      <c r="K86" s="397"/>
      <c r="L86" s="399"/>
      <c r="M86" s="396" t="str">
        <f>IF(TRIM(C86)="","",IFERROR(_xlfn.XLOOKUP(TRIM(C86),'TERM 3 SUMMARY'!$C$66:$C$115,'TERM 3 SUMMARY'!$R$66:$R$115),""))</f>
        <v/>
      </c>
      <c r="N86" s="397"/>
      <c r="O86" s="398"/>
      <c r="P86" s="461" t="str">
        <f t="shared" si="3"/>
        <v/>
      </c>
      <c r="Q86" s="461"/>
      <c r="R86" s="427"/>
      <c r="S86" s="462" t="str">
        <f t="shared" si="4"/>
        <v/>
      </c>
      <c r="T86" s="463"/>
      <c r="U86" s="105"/>
      <c r="V86" s="105"/>
      <c r="W86" s="105"/>
      <c r="X86" s="105"/>
      <c r="Y86" s="105"/>
      <c r="Z86" s="105"/>
      <c r="AA86" s="105"/>
      <c r="AB86" s="220"/>
      <c r="AC86" s="105"/>
    </row>
    <row r="87" spans="1:29" ht="15.6">
      <c r="A87" s="105"/>
      <c r="B87" s="108">
        <v>22</v>
      </c>
      <c r="C87" s="426" t="str">
        <f>IF('INPUT DATA'!Q32="","",'INPUT DATA'!Q32)</f>
        <v/>
      </c>
      <c r="D87" s="427"/>
      <c r="E87" s="427"/>
      <c r="F87" s="406" t="str">
        <f>IF(TRIM(C87)="","",IFERROR(_xlfn.XLOOKUP(TRIM(C87),'TERM 1 SUMMARY'!$C$66:$C$115,'TERM 1 SUMMARY'!$R$66:$R$115),""))</f>
        <v/>
      </c>
      <c r="G87" s="407"/>
      <c r="H87" s="407"/>
      <c r="I87" s="407"/>
      <c r="J87" s="396" t="str">
        <f>IF(TRIM(C87)="","",IFERROR(_xlfn.XLOOKUP(TRIM(C87),'TERM 2 SUMMARY'!$C$66:$C$115,'TERM 2 SUMMARY'!$R$66:$R$115),""))</f>
        <v/>
      </c>
      <c r="K87" s="397"/>
      <c r="L87" s="399"/>
      <c r="M87" s="396" t="str">
        <f>IF(TRIM(C87)="","",IFERROR(_xlfn.XLOOKUP(TRIM(C87),'TERM 3 SUMMARY'!$C$66:$C$115,'TERM 3 SUMMARY'!$R$66:$R$115),""))</f>
        <v/>
      </c>
      <c r="N87" s="397"/>
      <c r="O87" s="398"/>
      <c r="P87" s="461" t="str">
        <f t="shared" si="3"/>
        <v/>
      </c>
      <c r="Q87" s="461"/>
      <c r="R87" s="427"/>
      <c r="S87" s="462" t="str">
        <f t="shared" si="4"/>
        <v/>
      </c>
      <c r="T87" s="463"/>
      <c r="U87" s="105"/>
      <c r="V87" s="105"/>
      <c r="W87" s="105"/>
      <c r="X87" s="105"/>
      <c r="Y87" s="105"/>
      <c r="Z87" s="105"/>
      <c r="AA87" s="105"/>
      <c r="AB87" s="220"/>
      <c r="AC87" s="105"/>
    </row>
    <row r="88" spans="1:29" ht="15.6">
      <c r="A88" s="105"/>
      <c r="B88" s="108">
        <v>23</v>
      </c>
      <c r="C88" s="426" t="str">
        <f>IF('INPUT DATA'!Q33="","",'INPUT DATA'!Q33)</f>
        <v/>
      </c>
      <c r="D88" s="427"/>
      <c r="E88" s="427"/>
      <c r="F88" s="406" t="str">
        <f>IF(TRIM(C88)="","",IFERROR(_xlfn.XLOOKUP(TRIM(C88),'TERM 1 SUMMARY'!$C$66:$C$115,'TERM 1 SUMMARY'!$R$66:$R$115),""))</f>
        <v/>
      </c>
      <c r="G88" s="407"/>
      <c r="H88" s="407"/>
      <c r="I88" s="407"/>
      <c r="J88" s="396" t="str">
        <f>IF(TRIM(C88)="","",IFERROR(_xlfn.XLOOKUP(TRIM(C88),'TERM 2 SUMMARY'!$C$66:$C$115,'TERM 2 SUMMARY'!$R$66:$R$115),""))</f>
        <v/>
      </c>
      <c r="K88" s="397"/>
      <c r="L88" s="399"/>
      <c r="M88" s="396" t="str">
        <f>IF(TRIM(C88)="","",IFERROR(_xlfn.XLOOKUP(TRIM(C88),'TERM 3 SUMMARY'!$C$66:$C$115,'TERM 3 SUMMARY'!$R$66:$R$115),""))</f>
        <v/>
      </c>
      <c r="N88" s="397"/>
      <c r="O88" s="398"/>
      <c r="P88" s="461" t="str">
        <f t="shared" si="3"/>
        <v/>
      </c>
      <c r="Q88" s="461"/>
      <c r="R88" s="427"/>
      <c r="S88" s="462" t="str">
        <f t="shared" si="4"/>
        <v/>
      </c>
      <c r="T88" s="463"/>
      <c r="U88" s="105"/>
      <c r="V88" s="105"/>
      <c r="W88" s="105"/>
      <c r="X88" s="105"/>
      <c r="Y88" s="105"/>
      <c r="Z88" s="105"/>
      <c r="AA88" s="105"/>
      <c r="AB88" s="220"/>
      <c r="AC88" s="105"/>
    </row>
    <row r="89" spans="1:29" ht="15.6">
      <c r="A89" s="105"/>
      <c r="B89" s="108">
        <v>24</v>
      </c>
      <c r="C89" s="426" t="str">
        <f>IF('INPUT DATA'!Q34="","",'INPUT DATA'!Q34)</f>
        <v/>
      </c>
      <c r="D89" s="427"/>
      <c r="E89" s="427"/>
      <c r="F89" s="406" t="str">
        <f>IF(TRIM(C89)="","",IFERROR(_xlfn.XLOOKUP(TRIM(C89),'TERM 1 SUMMARY'!$C$66:$C$115,'TERM 1 SUMMARY'!$R$66:$R$115),""))</f>
        <v/>
      </c>
      <c r="G89" s="407"/>
      <c r="H89" s="407"/>
      <c r="I89" s="407"/>
      <c r="J89" s="396" t="str">
        <f>IF(TRIM(C89)="","",IFERROR(_xlfn.XLOOKUP(TRIM(C89),'TERM 2 SUMMARY'!$C$66:$C$115,'TERM 2 SUMMARY'!$R$66:$R$115),""))</f>
        <v/>
      </c>
      <c r="K89" s="397"/>
      <c r="L89" s="399"/>
      <c r="M89" s="396" t="str">
        <f>IF(TRIM(C89)="","",IFERROR(_xlfn.XLOOKUP(TRIM(C89),'TERM 3 SUMMARY'!$C$66:$C$115,'TERM 3 SUMMARY'!$R$66:$R$115),""))</f>
        <v/>
      </c>
      <c r="N89" s="397"/>
      <c r="O89" s="398"/>
      <c r="P89" s="461" t="str">
        <f t="shared" si="3"/>
        <v/>
      </c>
      <c r="Q89" s="461"/>
      <c r="R89" s="427"/>
      <c r="S89" s="462" t="str">
        <f t="shared" si="4"/>
        <v/>
      </c>
      <c r="T89" s="463"/>
      <c r="U89" s="105"/>
      <c r="V89" s="105"/>
      <c r="W89" s="105"/>
      <c r="X89" s="105"/>
      <c r="Y89" s="105"/>
      <c r="Z89" s="105"/>
      <c r="AA89" s="105"/>
      <c r="AB89" s="220"/>
      <c r="AC89" s="105"/>
    </row>
    <row r="90" spans="1:29" ht="15.6">
      <c r="A90" s="105"/>
      <c r="B90" s="108">
        <v>25</v>
      </c>
      <c r="C90" s="426" t="str">
        <f>IF('INPUT DATA'!Q35="","",'INPUT DATA'!Q35)</f>
        <v/>
      </c>
      <c r="D90" s="427"/>
      <c r="E90" s="427"/>
      <c r="F90" s="406" t="str">
        <f>IF(TRIM(C90)="","",IFERROR(_xlfn.XLOOKUP(TRIM(C90),'TERM 1 SUMMARY'!$C$66:$C$115,'TERM 1 SUMMARY'!$R$66:$R$115),""))</f>
        <v/>
      </c>
      <c r="G90" s="407"/>
      <c r="H90" s="407"/>
      <c r="I90" s="407"/>
      <c r="J90" s="396" t="str">
        <f>IF(TRIM(C90)="","",IFERROR(_xlfn.XLOOKUP(TRIM(C90),'TERM 2 SUMMARY'!$C$66:$C$115,'TERM 2 SUMMARY'!$R$66:$R$115),""))</f>
        <v/>
      </c>
      <c r="K90" s="397"/>
      <c r="L90" s="399"/>
      <c r="M90" s="396" t="str">
        <f>IF(TRIM(C90)="","",IFERROR(_xlfn.XLOOKUP(TRIM(C90),'TERM 3 SUMMARY'!$C$66:$C$115,'TERM 3 SUMMARY'!$R$66:$R$115),""))</f>
        <v/>
      </c>
      <c r="N90" s="397"/>
      <c r="O90" s="398"/>
      <c r="P90" s="461" t="str">
        <f t="shared" si="3"/>
        <v/>
      </c>
      <c r="Q90" s="461"/>
      <c r="R90" s="427"/>
      <c r="S90" s="462" t="str">
        <f t="shared" si="4"/>
        <v/>
      </c>
      <c r="T90" s="463"/>
      <c r="U90" s="105"/>
      <c r="V90" s="105"/>
      <c r="W90" s="105"/>
      <c r="X90" s="105"/>
      <c r="Y90" s="105"/>
      <c r="Z90" s="105"/>
      <c r="AA90" s="105"/>
      <c r="AB90" s="220"/>
      <c r="AC90" s="105"/>
    </row>
    <row r="91" spans="1:29" ht="15.6">
      <c r="A91" s="105"/>
      <c r="B91" s="108">
        <v>26</v>
      </c>
      <c r="C91" s="426" t="str">
        <f>IF('INPUT DATA'!Q36="","",'INPUT DATA'!Q36)</f>
        <v/>
      </c>
      <c r="D91" s="427"/>
      <c r="E91" s="427"/>
      <c r="F91" s="406" t="str">
        <f>IF(TRIM(C91)="","",IFERROR(_xlfn.XLOOKUP(TRIM(C91),'TERM 1 SUMMARY'!$C$66:$C$115,'TERM 1 SUMMARY'!$R$66:$R$115),""))</f>
        <v/>
      </c>
      <c r="G91" s="407"/>
      <c r="H91" s="407"/>
      <c r="I91" s="407"/>
      <c r="J91" s="396" t="str">
        <f>IF(TRIM(C91)="","",IFERROR(_xlfn.XLOOKUP(TRIM(C91),'TERM 2 SUMMARY'!$C$66:$C$115,'TERM 2 SUMMARY'!$R$66:$R$115),""))</f>
        <v/>
      </c>
      <c r="K91" s="397"/>
      <c r="L91" s="399"/>
      <c r="M91" s="396" t="str">
        <f>IF(TRIM(C91)="","",IFERROR(_xlfn.XLOOKUP(TRIM(C91),'TERM 3 SUMMARY'!$C$66:$C$115,'TERM 3 SUMMARY'!$R$66:$R$115),""))</f>
        <v/>
      </c>
      <c r="N91" s="397"/>
      <c r="O91" s="398"/>
      <c r="P91" s="461" t="str">
        <f t="shared" si="3"/>
        <v/>
      </c>
      <c r="Q91" s="461"/>
      <c r="R91" s="427"/>
      <c r="S91" s="462" t="str">
        <f t="shared" si="4"/>
        <v/>
      </c>
      <c r="T91" s="463"/>
      <c r="U91" s="105"/>
      <c r="V91" s="105"/>
      <c r="W91" s="105"/>
      <c r="X91" s="105"/>
      <c r="Y91" s="105"/>
      <c r="Z91" s="105"/>
      <c r="AA91" s="105"/>
      <c r="AB91" s="220"/>
      <c r="AC91" s="105"/>
    </row>
    <row r="92" spans="1:29" ht="15.6">
      <c r="A92" s="105"/>
      <c r="B92" s="108">
        <v>27</v>
      </c>
      <c r="C92" s="426" t="str">
        <f>IF('INPUT DATA'!Q37="","",'INPUT DATA'!Q37)</f>
        <v/>
      </c>
      <c r="D92" s="427"/>
      <c r="E92" s="427"/>
      <c r="F92" s="406" t="str">
        <f>IF(TRIM(C92)="","",IFERROR(_xlfn.XLOOKUP(TRIM(C92),'TERM 1 SUMMARY'!$C$66:$C$115,'TERM 1 SUMMARY'!$R$66:$R$115),""))</f>
        <v/>
      </c>
      <c r="G92" s="407"/>
      <c r="H92" s="407"/>
      <c r="I92" s="407"/>
      <c r="J92" s="396" t="str">
        <f>IF(TRIM(C92)="","",IFERROR(_xlfn.XLOOKUP(TRIM(C92),'TERM 2 SUMMARY'!$C$66:$C$115,'TERM 2 SUMMARY'!$R$66:$R$115),""))</f>
        <v/>
      </c>
      <c r="K92" s="397"/>
      <c r="L92" s="399"/>
      <c r="M92" s="396" t="str">
        <f>IF(TRIM(C92)="","",IFERROR(_xlfn.XLOOKUP(TRIM(C92),'TERM 3 SUMMARY'!$C$66:$C$115,'TERM 3 SUMMARY'!$R$66:$R$115),""))</f>
        <v/>
      </c>
      <c r="N92" s="397"/>
      <c r="O92" s="398"/>
      <c r="P92" s="461" t="str">
        <f t="shared" si="3"/>
        <v/>
      </c>
      <c r="Q92" s="461"/>
      <c r="R92" s="427"/>
      <c r="S92" s="462" t="str">
        <f t="shared" si="4"/>
        <v/>
      </c>
      <c r="T92" s="463"/>
      <c r="U92" s="105"/>
      <c r="V92" s="105"/>
      <c r="W92" s="105"/>
      <c r="X92" s="105"/>
      <c r="Y92" s="105"/>
      <c r="Z92" s="105"/>
      <c r="AA92" s="105"/>
      <c r="AB92" s="220"/>
      <c r="AC92" s="105"/>
    </row>
    <row r="93" spans="1:29" ht="15.6">
      <c r="A93" s="105"/>
      <c r="B93" s="108">
        <v>28</v>
      </c>
      <c r="C93" s="426" t="str">
        <f>IF('INPUT DATA'!Q38="","",'INPUT DATA'!Q38)</f>
        <v/>
      </c>
      <c r="D93" s="427"/>
      <c r="E93" s="427"/>
      <c r="F93" s="406" t="str">
        <f>IF(TRIM(C93)="","",IFERROR(_xlfn.XLOOKUP(TRIM(C93),'TERM 1 SUMMARY'!$C$66:$C$115,'TERM 1 SUMMARY'!$R$66:$R$115),""))</f>
        <v/>
      </c>
      <c r="G93" s="407"/>
      <c r="H93" s="407"/>
      <c r="I93" s="407"/>
      <c r="J93" s="396" t="str">
        <f>IF(TRIM(C93)="","",IFERROR(_xlfn.XLOOKUP(TRIM(C93),'TERM 2 SUMMARY'!$C$66:$C$115,'TERM 2 SUMMARY'!$R$66:$R$115),""))</f>
        <v/>
      </c>
      <c r="K93" s="397"/>
      <c r="L93" s="399"/>
      <c r="M93" s="396" t="str">
        <f>IF(TRIM(C93)="","",IFERROR(_xlfn.XLOOKUP(TRIM(C93),'TERM 3 SUMMARY'!$C$66:$C$115,'TERM 3 SUMMARY'!$R$66:$R$115),""))</f>
        <v/>
      </c>
      <c r="N93" s="397"/>
      <c r="O93" s="398"/>
      <c r="P93" s="461" t="str">
        <f t="shared" si="3"/>
        <v/>
      </c>
      <c r="Q93" s="461"/>
      <c r="R93" s="427"/>
      <c r="S93" s="462" t="str">
        <f t="shared" si="4"/>
        <v/>
      </c>
      <c r="T93" s="463"/>
      <c r="U93" s="105"/>
      <c r="V93" s="105"/>
      <c r="W93" s="105"/>
      <c r="X93" s="105"/>
      <c r="Y93" s="105"/>
      <c r="Z93" s="105"/>
      <c r="AA93" s="105"/>
      <c r="AB93" s="220"/>
      <c r="AC93" s="105"/>
    </row>
    <row r="94" spans="1:29" ht="15.6">
      <c r="A94" s="105"/>
      <c r="B94" s="108">
        <v>29</v>
      </c>
      <c r="C94" s="426" t="str">
        <f>IF('INPUT DATA'!Q39="","",'INPUT DATA'!Q39)</f>
        <v/>
      </c>
      <c r="D94" s="427"/>
      <c r="E94" s="427"/>
      <c r="F94" s="406" t="str">
        <f>IF(TRIM(C94)="","",IFERROR(_xlfn.XLOOKUP(TRIM(C94),'TERM 1 SUMMARY'!$C$66:$C$115,'TERM 1 SUMMARY'!$R$66:$R$115),""))</f>
        <v/>
      </c>
      <c r="G94" s="407"/>
      <c r="H94" s="407"/>
      <c r="I94" s="407"/>
      <c r="J94" s="396" t="str">
        <f>IF(TRIM(C94)="","",IFERROR(_xlfn.XLOOKUP(TRIM(C94),'TERM 2 SUMMARY'!$C$66:$C$115,'TERM 2 SUMMARY'!$R$66:$R$115),""))</f>
        <v/>
      </c>
      <c r="K94" s="397"/>
      <c r="L94" s="399"/>
      <c r="M94" s="396" t="str">
        <f>IF(TRIM(C94)="","",IFERROR(_xlfn.XLOOKUP(TRIM(C94),'TERM 3 SUMMARY'!$C$66:$C$115,'TERM 3 SUMMARY'!$R$66:$R$115),""))</f>
        <v/>
      </c>
      <c r="N94" s="397"/>
      <c r="O94" s="398"/>
      <c r="P94" s="461" t="str">
        <f t="shared" si="3"/>
        <v/>
      </c>
      <c r="Q94" s="461"/>
      <c r="R94" s="427"/>
      <c r="S94" s="462" t="str">
        <f t="shared" si="4"/>
        <v/>
      </c>
      <c r="T94" s="463"/>
      <c r="U94" s="105"/>
      <c r="V94" s="105"/>
      <c r="W94" s="105"/>
      <c r="X94" s="105"/>
      <c r="Y94" s="105"/>
      <c r="Z94" s="105"/>
      <c r="AA94" s="105"/>
      <c r="AB94" s="220"/>
      <c r="AC94" s="105"/>
    </row>
    <row r="95" spans="1:29" ht="15.6">
      <c r="A95" s="105"/>
      <c r="B95" s="108">
        <v>30</v>
      </c>
      <c r="C95" s="426" t="str">
        <f>IF('INPUT DATA'!Q40="","",'INPUT DATA'!Q40)</f>
        <v/>
      </c>
      <c r="D95" s="427"/>
      <c r="E95" s="427"/>
      <c r="F95" s="406" t="str">
        <f>IF(TRIM(C95)="","",IFERROR(_xlfn.XLOOKUP(TRIM(C95),'TERM 1 SUMMARY'!$C$66:$C$115,'TERM 1 SUMMARY'!$R$66:$R$115),""))</f>
        <v/>
      </c>
      <c r="G95" s="407"/>
      <c r="H95" s="407"/>
      <c r="I95" s="407"/>
      <c r="J95" s="396" t="str">
        <f>IF(TRIM(C95)="","",IFERROR(_xlfn.XLOOKUP(TRIM(C95),'TERM 2 SUMMARY'!$C$66:$C$115,'TERM 2 SUMMARY'!$R$66:$R$115),""))</f>
        <v/>
      </c>
      <c r="K95" s="397"/>
      <c r="L95" s="399"/>
      <c r="M95" s="396" t="str">
        <f>IF(TRIM(C95)="","",IFERROR(_xlfn.XLOOKUP(TRIM(C95),'TERM 3 SUMMARY'!$C$66:$C$115,'TERM 3 SUMMARY'!$R$66:$R$115),""))</f>
        <v/>
      </c>
      <c r="N95" s="397"/>
      <c r="O95" s="398"/>
      <c r="P95" s="461" t="str">
        <f t="shared" si="3"/>
        <v/>
      </c>
      <c r="Q95" s="461"/>
      <c r="R95" s="427"/>
      <c r="S95" s="462" t="str">
        <f t="shared" si="4"/>
        <v/>
      </c>
      <c r="T95" s="463"/>
      <c r="U95" s="105"/>
      <c r="V95" s="105"/>
      <c r="W95" s="105"/>
      <c r="X95" s="105"/>
      <c r="Y95" s="105"/>
      <c r="Z95" s="105"/>
      <c r="AA95" s="105"/>
      <c r="AB95" s="220"/>
      <c r="AC95" s="105"/>
    </row>
    <row r="96" spans="1:29" ht="15.6">
      <c r="A96" s="105"/>
      <c r="B96" s="108">
        <v>31</v>
      </c>
      <c r="C96" s="426" t="str">
        <f>IF('INPUT DATA'!Q41="","",'INPUT DATA'!Q41)</f>
        <v/>
      </c>
      <c r="D96" s="427"/>
      <c r="E96" s="427"/>
      <c r="F96" s="406" t="str">
        <f>IF(TRIM(C96)="","",IFERROR(_xlfn.XLOOKUP(TRIM(C96),'TERM 1 SUMMARY'!$C$66:$C$115,'TERM 1 SUMMARY'!$R$66:$R$115),""))</f>
        <v/>
      </c>
      <c r="G96" s="407"/>
      <c r="H96" s="407"/>
      <c r="I96" s="407"/>
      <c r="J96" s="396" t="str">
        <f>IF(TRIM(C96)="","",IFERROR(_xlfn.XLOOKUP(TRIM(C96),'TERM 2 SUMMARY'!$C$66:$C$115,'TERM 2 SUMMARY'!$R$66:$R$115),""))</f>
        <v/>
      </c>
      <c r="K96" s="397"/>
      <c r="L96" s="399"/>
      <c r="M96" s="396" t="str">
        <f>IF(TRIM(C96)="","",IFERROR(_xlfn.XLOOKUP(TRIM(C96),'TERM 3 SUMMARY'!$C$66:$C$115,'TERM 3 SUMMARY'!$R$66:$R$115),""))</f>
        <v/>
      </c>
      <c r="N96" s="397"/>
      <c r="O96" s="398"/>
      <c r="P96" s="461" t="str">
        <f t="shared" si="3"/>
        <v/>
      </c>
      <c r="Q96" s="461"/>
      <c r="R96" s="427"/>
      <c r="S96" s="462" t="str">
        <f t="shared" si="4"/>
        <v/>
      </c>
      <c r="T96" s="463"/>
      <c r="U96" s="105"/>
      <c r="V96" s="105"/>
      <c r="W96" s="105"/>
      <c r="X96" s="105"/>
      <c r="Y96" s="105"/>
      <c r="Z96" s="105"/>
      <c r="AA96" s="105"/>
      <c r="AB96" s="220"/>
      <c r="AC96" s="105"/>
    </row>
    <row r="97" spans="1:29" ht="15.6">
      <c r="A97" s="105"/>
      <c r="B97" s="108">
        <v>32</v>
      </c>
      <c r="C97" s="426" t="str">
        <f>IF('INPUT DATA'!Q42="","",'INPUT DATA'!Q42)</f>
        <v/>
      </c>
      <c r="D97" s="427"/>
      <c r="E97" s="427"/>
      <c r="F97" s="406" t="str">
        <f>IF(TRIM(C97)="","",IFERROR(_xlfn.XLOOKUP(TRIM(C97),'TERM 1 SUMMARY'!$C$66:$C$115,'TERM 1 SUMMARY'!$R$66:$R$115),""))</f>
        <v/>
      </c>
      <c r="G97" s="407"/>
      <c r="H97" s="407"/>
      <c r="I97" s="407"/>
      <c r="J97" s="396" t="str">
        <f>IF(TRIM(C97)="","",IFERROR(_xlfn.XLOOKUP(TRIM(C97),'TERM 2 SUMMARY'!$C$66:$C$115,'TERM 2 SUMMARY'!$R$66:$R$115),""))</f>
        <v/>
      </c>
      <c r="K97" s="397"/>
      <c r="L97" s="399"/>
      <c r="M97" s="396" t="str">
        <f>IF(TRIM(C97)="","",IFERROR(_xlfn.XLOOKUP(TRIM(C97),'TERM 3 SUMMARY'!$C$66:$C$115,'TERM 3 SUMMARY'!$R$66:$R$115),""))</f>
        <v/>
      </c>
      <c r="N97" s="397"/>
      <c r="O97" s="398"/>
      <c r="P97" s="461" t="str">
        <f t="shared" si="3"/>
        <v/>
      </c>
      <c r="Q97" s="461"/>
      <c r="R97" s="427"/>
      <c r="S97" s="462" t="str">
        <f t="shared" si="4"/>
        <v/>
      </c>
      <c r="T97" s="463"/>
      <c r="U97" s="105"/>
      <c r="V97" s="105"/>
      <c r="W97" s="105"/>
      <c r="X97" s="105"/>
      <c r="Y97" s="105"/>
      <c r="Z97" s="105"/>
      <c r="AA97" s="105"/>
      <c r="AB97" s="220"/>
      <c r="AC97" s="105"/>
    </row>
    <row r="98" spans="1:29" ht="15.6">
      <c r="A98" s="105"/>
      <c r="B98" s="108">
        <v>33</v>
      </c>
      <c r="C98" s="426" t="str">
        <f>IF('INPUT DATA'!Q43="","",'INPUT DATA'!Q43)</f>
        <v/>
      </c>
      <c r="D98" s="427"/>
      <c r="E98" s="427"/>
      <c r="F98" s="406" t="str">
        <f>IF(TRIM(C98)="","",IFERROR(_xlfn.XLOOKUP(TRIM(C98),'TERM 1 SUMMARY'!$C$66:$C$115,'TERM 1 SUMMARY'!$R$66:$R$115),""))</f>
        <v/>
      </c>
      <c r="G98" s="407"/>
      <c r="H98" s="407"/>
      <c r="I98" s="407"/>
      <c r="J98" s="396" t="str">
        <f>IF(TRIM(C98)="","",IFERROR(_xlfn.XLOOKUP(TRIM(C98),'TERM 2 SUMMARY'!$C$66:$C$115,'TERM 2 SUMMARY'!$R$66:$R$115),""))</f>
        <v/>
      </c>
      <c r="K98" s="397"/>
      <c r="L98" s="399"/>
      <c r="M98" s="396" t="str">
        <f>IF(TRIM(C98)="","",IFERROR(_xlfn.XLOOKUP(TRIM(C98),'TERM 3 SUMMARY'!$C$66:$C$115,'TERM 3 SUMMARY'!$R$66:$R$115),""))</f>
        <v/>
      </c>
      <c r="N98" s="397"/>
      <c r="O98" s="398"/>
      <c r="P98" s="461" t="str">
        <f t="shared" si="3"/>
        <v/>
      </c>
      <c r="Q98" s="461"/>
      <c r="R98" s="427"/>
      <c r="S98" s="462" t="str">
        <f t="shared" si="4"/>
        <v/>
      </c>
      <c r="T98" s="463"/>
      <c r="U98" s="105"/>
      <c r="V98" s="105"/>
      <c r="W98" s="105"/>
      <c r="X98" s="105"/>
      <c r="Y98" s="105"/>
      <c r="Z98" s="105"/>
      <c r="AA98" s="105"/>
      <c r="AB98" s="220"/>
      <c r="AC98" s="105"/>
    </row>
    <row r="99" spans="1:29" ht="15.6">
      <c r="A99" s="105"/>
      <c r="B99" s="108">
        <v>34</v>
      </c>
      <c r="C99" s="426" t="str">
        <f>IF('INPUT DATA'!Q44="","",'INPUT DATA'!Q44)</f>
        <v/>
      </c>
      <c r="D99" s="427"/>
      <c r="E99" s="427"/>
      <c r="F99" s="406" t="str">
        <f>IF(TRIM(C99)="","",IFERROR(_xlfn.XLOOKUP(TRIM(C99),'TERM 1 SUMMARY'!$C$66:$C$115,'TERM 1 SUMMARY'!$R$66:$R$115),""))</f>
        <v/>
      </c>
      <c r="G99" s="407"/>
      <c r="H99" s="407"/>
      <c r="I99" s="407"/>
      <c r="J99" s="396" t="str">
        <f>IF(TRIM(C99)="","",IFERROR(_xlfn.XLOOKUP(TRIM(C99),'TERM 2 SUMMARY'!$C$66:$C$115,'TERM 2 SUMMARY'!$R$66:$R$115),""))</f>
        <v/>
      </c>
      <c r="K99" s="397"/>
      <c r="L99" s="399"/>
      <c r="M99" s="396" t="str">
        <f>IF(TRIM(C99)="","",IFERROR(_xlfn.XLOOKUP(TRIM(C99),'TERM 3 SUMMARY'!$C$66:$C$115,'TERM 3 SUMMARY'!$R$66:$R$115),""))</f>
        <v/>
      </c>
      <c r="N99" s="397"/>
      <c r="O99" s="398"/>
      <c r="P99" s="461" t="str">
        <f t="shared" si="3"/>
        <v/>
      </c>
      <c r="Q99" s="461"/>
      <c r="R99" s="427"/>
      <c r="S99" s="462" t="str">
        <f t="shared" si="4"/>
        <v/>
      </c>
      <c r="T99" s="463"/>
      <c r="U99" s="105"/>
      <c r="V99" s="105"/>
      <c r="W99" s="105"/>
      <c r="X99" s="105"/>
      <c r="Y99" s="105"/>
      <c r="Z99" s="105"/>
      <c r="AA99" s="105"/>
      <c r="AB99" s="220"/>
      <c r="AC99" s="105"/>
    </row>
    <row r="100" spans="1:29" ht="15.6">
      <c r="A100" s="105"/>
      <c r="B100" s="108">
        <v>35</v>
      </c>
      <c r="C100" s="426" t="str">
        <f>IF('INPUT DATA'!Q45="","",'INPUT DATA'!Q45)</f>
        <v/>
      </c>
      <c r="D100" s="427"/>
      <c r="E100" s="427"/>
      <c r="F100" s="406" t="str">
        <f>IF(TRIM(C100)="","",IFERROR(_xlfn.XLOOKUP(TRIM(C100),'TERM 1 SUMMARY'!$C$66:$C$115,'TERM 1 SUMMARY'!$R$66:$R$115),""))</f>
        <v/>
      </c>
      <c r="G100" s="407"/>
      <c r="H100" s="407"/>
      <c r="I100" s="407"/>
      <c r="J100" s="396" t="str">
        <f>IF(TRIM(C100)="","",IFERROR(_xlfn.XLOOKUP(TRIM(C100),'TERM 2 SUMMARY'!$C$66:$C$115,'TERM 2 SUMMARY'!$R$66:$R$115),""))</f>
        <v/>
      </c>
      <c r="K100" s="397"/>
      <c r="L100" s="399"/>
      <c r="M100" s="396" t="str">
        <f>IF(TRIM(C100)="","",IFERROR(_xlfn.XLOOKUP(TRIM(C100),'TERM 3 SUMMARY'!$C$66:$C$115,'TERM 3 SUMMARY'!$R$66:$R$115),""))</f>
        <v/>
      </c>
      <c r="N100" s="397"/>
      <c r="O100" s="398"/>
      <c r="P100" s="461" t="str">
        <f t="shared" si="3"/>
        <v/>
      </c>
      <c r="Q100" s="461"/>
      <c r="R100" s="427"/>
      <c r="S100" s="462" t="str">
        <f t="shared" si="4"/>
        <v/>
      </c>
      <c r="T100" s="463"/>
      <c r="U100" s="105"/>
      <c r="V100" s="105"/>
      <c r="W100" s="105"/>
      <c r="X100" s="105"/>
      <c r="Y100" s="105"/>
      <c r="Z100" s="105"/>
      <c r="AA100" s="105"/>
      <c r="AB100" s="220"/>
      <c r="AC100" s="105"/>
    </row>
    <row r="101" spans="1:29" ht="15.6">
      <c r="A101" s="105"/>
      <c r="B101" s="108">
        <v>36</v>
      </c>
      <c r="C101" s="426" t="str">
        <f>IF('INPUT DATA'!Q46="","",'INPUT DATA'!Q46)</f>
        <v/>
      </c>
      <c r="D101" s="427"/>
      <c r="E101" s="427"/>
      <c r="F101" s="406" t="str">
        <f>IF(TRIM(C101)="","",IFERROR(_xlfn.XLOOKUP(TRIM(C101),'TERM 1 SUMMARY'!$C$66:$C$115,'TERM 1 SUMMARY'!$R$66:$R$115),""))</f>
        <v/>
      </c>
      <c r="G101" s="407"/>
      <c r="H101" s="407"/>
      <c r="I101" s="407"/>
      <c r="J101" s="396" t="str">
        <f>IF(TRIM(C101)="","",IFERROR(_xlfn.XLOOKUP(TRIM(C101),'TERM 2 SUMMARY'!$C$66:$C$115,'TERM 2 SUMMARY'!$R$66:$R$115),""))</f>
        <v/>
      </c>
      <c r="K101" s="397"/>
      <c r="L101" s="399"/>
      <c r="M101" s="396" t="str">
        <f>IF(TRIM(C101)="","",IFERROR(_xlfn.XLOOKUP(TRIM(C101),'TERM 3 SUMMARY'!$C$66:$C$115,'TERM 3 SUMMARY'!$R$66:$R$115),""))</f>
        <v/>
      </c>
      <c r="N101" s="397"/>
      <c r="O101" s="398"/>
      <c r="P101" s="461" t="str">
        <f t="shared" si="3"/>
        <v/>
      </c>
      <c r="Q101" s="461"/>
      <c r="R101" s="427"/>
      <c r="S101" s="462" t="str">
        <f t="shared" si="4"/>
        <v/>
      </c>
      <c r="T101" s="463"/>
      <c r="U101" s="105"/>
      <c r="V101" s="105"/>
      <c r="W101" s="105"/>
      <c r="X101" s="105"/>
      <c r="Y101" s="105"/>
      <c r="Z101" s="105"/>
      <c r="AA101" s="105"/>
      <c r="AB101" s="220"/>
      <c r="AC101" s="105"/>
    </row>
    <row r="102" spans="1:29" ht="15.6">
      <c r="A102" s="105"/>
      <c r="B102" s="108">
        <v>37</v>
      </c>
      <c r="C102" s="426" t="str">
        <f>IF('INPUT DATA'!Q47="","",'INPUT DATA'!Q47)</f>
        <v/>
      </c>
      <c r="D102" s="427"/>
      <c r="E102" s="427"/>
      <c r="F102" s="406" t="str">
        <f>IF(TRIM(C102)="","",IFERROR(_xlfn.XLOOKUP(TRIM(C102),'TERM 1 SUMMARY'!$C$66:$C$115,'TERM 1 SUMMARY'!$R$66:$R$115),""))</f>
        <v/>
      </c>
      <c r="G102" s="407"/>
      <c r="H102" s="407"/>
      <c r="I102" s="407"/>
      <c r="J102" s="396" t="str">
        <f>IF(TRIM(C102)="","",IFERROR(_xlfn.XLOOKUP(TRIM(C102),'TERM 2 SUMMARY'!$C$66:$C$115,'TERM 2 SUMMARY'!$R$66:$R$115),""))</f>
        <v/>
      </c>
      <c r="K102" s="397"/>
      <c r="L102" s="399"/>
      <c r="M102" s="396" t="str">
        <f>IF(TRIM(C102)="","",IFERROR(_xlfn.XLOOKUP(TRIM(C102),'TERM 3 SUMMARY'!$C$66:$C$115,'TERM 3 SUMMARY'!$R$66:$R$115),""))</f>
        <v/>
      </c>
      <c r="N102" s="397"/>
      <c r="O102" s="398"/>
      <c r="P102" s="461" t="str">
        <f t="shared" si="3"/>
        <v/>
      </c>
      <c r="Q102" s="461"/>
      <c r="R102" s="427"/>
      <c r="S102" s="462" t="str">
        <f t="shared" si="4"/>
        <v/>
      </c>
      <c r="T102" s="463"/>
      <c r="U102" s="105"/>
      <c r="V102" s="105"/>
      <c r="W102" s="105"/>
      <c r="X102" s="105"/>
      <c r="Y102" s="105"/>
      <c r="Z102" s="105"/>
      <c r="AA102" s="105"/>
      <c r="AB102" s="220"/>
      <c r="AC102" s="105"/>
    </row>
    <row r="103" spans="1:29" ht="15.6">
      <c r="A103" s="105"/>
      <c r="B103" s="108">
        <v>38</v>
      </c>
      <c r="C103" s="426" t="str">
        <f>IF('INPUT DATA'!Q48="","",'INPUT DATA'!Q48)</f>
        <v/>
      </c>
      <c r="D103" s="427"/>
      <c r="E103" s="427"/>
      <c r="F103" s="406" t="str">
        <f>IF(TRIM(C103)="","",IFERROR(_xlfn.XLOOKUP(TRIM(C103),'TERM 1 SUMMARY'!$C$66:$C$115,'TERM 1 SUMMARY'!$R$66:$R$115),""))</f>
        <v/>
      </c>
      <c r="G103" s="407"/>
      <c r="H103" s="407"/>
      <c r="I103" s="407"/>
      <c r="J103" s="396" t="str">
        <f>IF(TRIM(C103)="","",IFERROR(_xlfn.XLOOKUP(TRIM(C103),'TERM 2 SUMMARY'!$C$66:$C$115,'TERM 2 SUMMARY'!$R$66:$R$115),""))</f>
        <v/>
      </c>
      <c r="K103" s="397"/>
      <c r="L103" s="399"/>
      <c r="M103" s="396" t="str">
        <f>IF(TRIM(C103)="","",IFERROR(_xlfn.XLOOKUP(TRIM(C103),'TERM 3 SUMMARY'!$C$66:$C$115,'TERM 3 SUMMARY'!$R$66:$R$115),""))</f>
        <v/>
      </c>
      <c r="N103" s="397"/>
      <c r="O103" s="398"/>
      <c r="P103" s="461" t="str">
        <f t="shared" si="3"/>
        <v/>
      </c>
      <c r="Q103" s="461"/>
      <c r="R103" s="427"/>
      <c r="S103" s="462" t="str">
        <f t="shared" si="4"/>
        <v/>
      </c>
      <c r="T103" s="463"/>
      <c r="U103" s="105"/>
      <c r="V103" s="105"/>
      <c r="W103" s="105"/>
      <c r="X103" s="105"/>
      <c r="Y103" s="105"/>
      <c r="Z103" s="105"/>
      <c r="AA103" s="105"/>
      <c r="AB103" s="220"/>
      <c r="AC103" s="105"/>
    </row>
    <row r="104" spans="1:29" ht="15.6">
      <c r="A104" s="105"/>
      <c r="B104" s="108">
        <v>39</v>
      </c>
      <c r="C104" s="426" t="str">
        <f>IF('INPUT DATA'!Q49="","",'INPUT DATA'!Q49)</f>
        <v/>
      </c>
      <c r="D104" s="427"/>
      <c r="E104" s="427"/>
      <c r="F104" s="406" t="str">
        <f>IF(TRIM(C104)="","",IFERROR(_xlfn.XLOOKUP(TRIM(C104),'TERM 1 SUMMARY'!$C$66:$C$115,'TERM 1 SUMMARY'!$R$66:$R$115),""))</f>
        <v/>
      </c>
      <c r="G104" s="407"/>
      <c r="H104" s="407"/>
      <c r="I104" s="407"/>
      <c r="J104" s="396" t="str">
        <f>IF(TRIM(C104)="","",IFERROR(_xlfn.XLOOKUP(TRIM(C104),'TERM 2 SUMMARY'!$C$66:$C$115,'TERM 2 SUMMARY'!$R$66:$R$115),""))</f>
        <v/>
      </c>
      <c r="K104" s="397"/>
      <c r="L104" s="399"/>
      <c r="M104" s="396" t="str">
        <f>IF(TRIM(C104)="","",IFERROR(_xlfn.XLOOKUP(TRIM(C104),'TERM 3 SUMMARY'!$C$66:$C$115,'TERM 3 SUMMARY'!$R$66:$R$115),""))</f>
        <v/>
      </c>
      <c r="N104" s="397"/>
      <c r="O104" s="398"/>
      <c r="P104" s="461" t="str">
        <f t="shared" si="3"/>
        <v/>
      </c>
      <c r="Q104" s="461"/>
      <c r="R104" s="427"/>
      <c r="S104" s="462" t="str">
        <f t="shared" si="4"/>
        <v/>
      </c>
      <c r="T104" s="463"/>
      <c r="U104" s="105"/>
      <c r="V104" s="105"/>
      <c r="W104" s="105"/>
      <c r="X104" s="105"/>
      <c r="Y104" s="105"/>
      <c r="Z104" s="105"/>
      <c r="AA104" s="105"/>
      <c r="AB104" s="220"/>
      <c r="AC104" s="105"/>
    </row>
    <row r="105" spans="1:29" ht="15.6">
      <c r="A105" s="105"/>
      <c r="B105" s="108">
        <v>40</v>
      </c>
      <c r="C105" s="426" t="str">
        <f>IF('INPUT DATA'!Q50="","",'INPUT DATA'!Q50)</f>
        <v/>
      </c>
      <c r="D105" s="427"/>
      <c r="E105" s="427"/>
      <c r="F105" s="406" t="str">
        <f>IF(TRIM(C105)="","",IFERROR(_xlfn.XLOOKUP(TRIM(C105),'TERM 1 SUMMARY'!$C$66:$C$115,'TERM 1 SUMMARY'!$R$66:$R$115),""))</f>
        <v/>
      </c>
      <c r="G105" s="407"/>
      <c r="H105" s="407"/>
      <c r="I105" s="407"/>
      <c r="J105" s="396" t="str">
        <f>IF(TRIM(C105)="","",IFERROR(_xlfn.XLOOKUP(TRIM(C105),'TERM 2 SUMMARY'!$C$66:$C$115,'TERM 2 SUMMARY'!$R$66:$R$115),""))</f>
        <v/>
      </c>
      <c r="K105" s="397"/>
      <c r="L105" s="399"/>
      <c r="M105" s="396" t="str">
        <f>IF(TRIM(C105)="","",IFERROR(_xlfn.XLOOKUP(TRIM(C105),'TERM 3 SUMMARY'!$C$66:$C$115,'TERM 3 SUMMARY'!$R$66:$R$115),""))</f>
        <v/>
      </c>
      <c r="N105" s="397"/>
      <c r="O105" s="398"/>
      <c r="P105" s="461" t="str">
        <f t="shared" si="3"/>
        <v/>
      </c>
      <c r="Q105" s="461"/>
      <c r="R105" s="427"/>
      <c r="S105" s="462" t="str">
        <f t="shared" si="4"/>
        <v/>
      </c>
      <c r="T105" s="463"/>
      <c r="U105" s="105"/>
      <c r="V105" s="105"/>
      <c r="W105" s="105"/>
      <c r="X105" s="105"/>
      <c r="Y105" s="105"/>
      <c r="Z105" s="105"/>
      <c r="AA105" s="105"/>
      <c r="AB105" s="220"/>
      <c r="AC105" s="105"/>
    </row>
    <row r="106" spans="1:29" ht="15.6">
      <c r="A106" s="105"/>
      <c r="B106" s="108">
        <v>41</v>
      </c>
      <c r="C106" s="426" t="str">
        <f>IF('INPUT DATA'!Q51="","",'INPUT DATA'!Q51)</f>
        <v/>
      </c>
      <c r="D106" s="427"/>
      <c r="E106" s="427"/>
      <c r="F106" s="406" t="str">
        <f>IF(TRIM(C106)="","",IFERROR(_xlfn.XLOOKUP(TRIM(C106),'TERM 1 SUMMARY'!$C$66:$C$115,'TERM 1 SUMMARY'!$R$66:$R$115),""))</f>
        <v/>
      </c>
      <c r="G106" s="407"/>
      <c r="H106" s="407"/>
      <c r="I106" s="407"/>
      <c r="J106" s="396" t="str">
        <f>IF(TRIM(C106)="","",IFERROR(_xlfn.XLOOKUP(TRIM(C106),'TERM 2 SUMMARY'!$C$66:$C$115,'TERM 2 SUMMARY'!$R$66:$R$115),""))</f>
        <v/>
      </c>
      <c r="K106" s="397"/>
      <c r="L106" s="399"/>
      <c r="M106" s="396" t="str">
        <f>IF(TRIM(C106)="","",IFERROR(_xlfn.XLOOKUP(TRIM(C106),'TERM 3 SUMMARY'!$C$66:$C$115,'TERM 3 SUMMARY'!$R$66:$R$115),""))</f>
        <v/>
      </c>
      <c r="N106" s="397"/>
      <c r="O106" s="398"/>
      <c r="P106" s="461" t="str">
        <f t="shared" si="3"/>
        <v/>
      </c>
      <c r="Q106" s="461"/>
      <c r="R106" s="427"/>
      <c r="S106" s="462" t="str">
        <f t="shared" si="4"/>
        <v/>
      </c>
      <c r="T106" s="463"/>
      <c r="U106" s="105"/>
      <c r="V106" s="105"/>
      <c r="W106" s="105"/>
      <c r="X106" s="105"/>
      <c r="Y106" s="105"/>
      <c r="Z106" s="105"/>
      <c r="AA106" s="105"/>
      <c r="AB106" s="220"/>
      <c r="AC106" s="105"/>
    </row>
    <row r="107" spans="1:29" ht="15.6">
      <c r="A107" s="105"/>
      <c r="B107" s="108">
        <v>42</v>
      </c>
      <c r="C107" s="426" t="str">
        <f>IF('INPUT DATA'!Q52="","",'INPUT DATA'!Q52)</f>
        <v/>
      </c>
      <c r="D107" s="427"/>
      <c r="E107" s="427"/>
      <c r="F107" s="406" t="str">
        <f>IF(TRIM(C107)="","",IFERROR(_xlfn.XLOOKUP(TRIM(C107),'TERM 1 SUMMARY'!$C$66:$C$115,'TERM 1 SUMMARY'!$R$66:$R$115),""))</f>
        <v/>
      </c>
      <c r="G107" s="407"/>
      <c r="H107" s="407"/>
      <c r="I107" s="407"/>
      <c r="J107" s="396" t="str">
        <f>IF(TRIM(C107)="","",IFERROR(_xlfn.XLOOKUP(TRIM(C107),'TERM 2 SUMMARY'!$C$66:$C$115,'TERM 2 SUMMARY'!$R$66:$R$115),""))</f>
        <v/>
      </c>
      <c r="K107" s="397"/>
      <c r="L107" s="399"/>
      <c r="M107" s="396" t="str">
        <f>IF(TRIM(C107)="","",IFERROR(_xlfn.XLOOKUP(TRIM(C107),'TERM 3 SUMMARY'!$C$66:$C$115,'TERM 3 SUMMARY'!$R$66:$R$115),""))</f>
        <v/>
      </c>
      <c r="N107" s="397"/>
      <c r="O107" s="398"/>
      <c r="P107" s="461" t="str">
        <f t="shared" si="3"/>
        <v/>
      </c>
      <c r="Q107" s="461"/>
      <c r="R107" s="427"/>
      <c r="S107" s="462" t="str">
        <f t="shared" si="4"/>
        <v/>
      </c>
      <c r="T107" s="463"/>
      <c r="U107" s="105"/>
      <c r="V107" s="105"/>
      <c r="W107" s="105"/>
      <c r="X107" s="105"/>
      <c r="Y107" s="105"/>
      <c r="Z107" s="105"/>
      <c r="AA107" s="105"/>
      <c r="AB107" s="220"/>
      <c r="AC107" s="105"/>
    </row>
    <row r="108" spans="1:29" ht="15.6">
      <c r="A108" s="105"/>
      <c r="B108" s="108">
        <v>43</v>
      </c>
      <c r="C108" s="426" t="str">
        <f>IF('INPUT DATA'!Q53="","",'INPUT DATA'!Q53)</f>
        <v/>
      </c>
      <c r="D108" s="427"/>
      <c r="E108" s="427"/>
      <c r="F108" s="406" t="str">
        <f>IF(TRIM(C108)="","",IFERROR(_xlfn.XLOOKUP(TRIM(C108),'TERM 1 SUMMARY'!$C$66:$C$115,'TERM 1 SUMMARY'!$R$66:$R$115),""))</f>
        <v/>
      </c>
      <c r="G108" s="407"/>
      <c r="H108" s="407"/>
      <c r="I108" s="407"/>
      <c r="J108" s="396" t="str">
        <f>IF(TRIM(C108)="","",IFERROR(_xlfn.XLOOKUP(TRIM(C108),'TERM 2 SUMMARY'!$C$66:$C$115,'TERM 2 SUMMARY'!$R$66:$R$115),""))</f>
        <v/>
      </c>
      <c r="K108" s="397"/>
      <c r="L108" s="399"/>
      <c r="M108" s="396" t="str">
        <f>IF(TRIM(C108)="","",IFERROR(_xlfn.XLOOKUP(TRIM(C108),'TERM 3 SUMMARY'!$C$66:$C$115,'TERM 3 SUMMARY'!$R$66:$R$115),""))</f>
        <v/>
      </c>
      <c r="N108" s="397"/>
      <c r="O108" s="398"/>
      <c r="P108" s="461" t="str">
        <f t="shared" si="3"/>
        <v/>
      </c>
      <c r="Q108" s="461"/>
      <c r="R108" s="427"/>
      <c r="S108" s="462" t="str">
        <f t="shared" si="4"/>
        <v/>
      </c>
      <c r="T108" s="463"/>
      <c r="U108" s="105"/>
      <c r="V108" s="105"/>
      <c r="W108" s="105"/>
      <c r="X108" s="105"/>
      <c r="Y108" s="105"/>
      <c r="Z108" s="105"/>
      <c r="AA108" s="105"/>
      <c r="AB108" s="220"/>
      <c r="AC108" s="105"/>
    </row>
    <row r="109" spans="1:29" ht="15.6">
      <c r="A109" s="105"/>
      <c r="B109" s="108">
        <v>44</v>
      </c>
      <c r="C109" s="426" t="str">
        <f>IF('INPUT DATA'!Q54="","",'INPUT DATA'!Q54)</f>
        <v/>
      </c>
      <c r="D109" s="427"/>
      <c r="E109" s="427"/>
      <c r="F109" s="406" t="str">
        <f>IF(TRIM(C109)="","",IFERROR(_xlfn.XLOOKUP(TRIM(C109),'TERM 1 SUMMARY'!$C$66:$C$115,'TERM 1 SUMMARY'!$R$66:$R$115),""))</f>
        <v/>
      </c>
      <c r="G109" s="407"/>
      <c r="H109" s="407"/>
      <c r="I109" s="407"/>
      <c r="J109" s="396" t="str">
        <f>IF(TRIM(C109)="","",IFERROR(_xlfn.XLOOKUP(TRIM(C109),'TERM 2 SUMMARY'!$C$66:$C$115,'TERM 2 SUMMARY'!$R$66:$R$115),""))</f>
        <v/>
      </c>
      <c r="K109" s="397"/>
      <c r="L109" s="399"/>
      <c r="M109" s="396" t="str">
        <f>IF(TRIM(C109)="","",IFERROR(_xlfn.XLOOKUP(TRIM(C109),'TERM 3 SUMMARY'!$C$66:$C$115,'TERM 3 SUMMARY'!$R$66:$R$115),""))</f>
        <v/>
      </c>
      <c r="N109" s="397"/>
      <c r="O109" s="398"/>
      <c r="P109" s="461" t="str">
        <f t="shared" si="3"/>
        <v/>
      </c>
      <c r="Q109" s="461"/>
      <c r="R109" s="427"/>
      <c r="S109" s="462" t="str">
        <f t="shared" si="4"/>
        <v/>
      </c>
      <c r="T109" s="463"/>
      <c r="U109" s="105"/>
      <c r="V109" s="105"/>
      <c r="W109" s="105"/>
      <c r="X109" s="105"/>
      <c r="Y109" s="105"/>
      <c r="Z109" s="105"/>
      <c r="AA109" s="105"/>
      <c r="AB109" s="220"/>
      <c r="AC109" s="105"/>
    </row>
    <row r="110" spans="1:29" ht="15.6">
      <c r="A110" s="105"/>
      <c r="B110" s="108">
        <v>45</v>
      </c>
      <c r="C110" s="426" t="str">
        <f>IF('INPUT DATA'!Q55="","",'INPUT DATA'!Q55)</f>
        <v/>
      </c>
      <c r="D110" s="427"/>
      <c r="E110" s="427"/>
      <c r="F110" s="406" t="str">
        <f>IF(TRIM(C110)="","",IFERROR(_xlfn.XLOOKUP(TRIM(C110),'TERM 1 SUMMARY'!$C$66:$C$115,'TERM 1 SUMMARY'!$R$66:$R$115),""))</f>
        <v/>
      </c>
      <c r="G110" s="407"/>
      <c r="H110" s="407"/>
      <c r="I110" s="407"/>
      <c r="J110" s="396" t="str">
        <f>IF(TRIM(C110)="","",IFERROR(_xlfn.XLOOKUP(TRIM(C110),'TERM 2 SUMMARY'!$C$66:$C$115,'TERM 2 SUMMARY'!$R$66:$R$115),""))</f>
        <v/>
      </c>
      <c r="K110" s="397"/>
      <c r="L110" s="399"/>
      <c r="M110" s="396" t="str">
        <f>IF(TRIM(C110)="","",IFERROR(_xlfn.XLOOKUP(TRIM(C110),'TERM 3 SUMMARY'!$C$66:$C$115,'TERM 3 SUMMARY'!$R$66:$R$115),""))</f>
        <v/>
      </c>
      <c r="N110" s="397"/>
      <c r="O110" s="398"/>
      <c r="P110" s="461" t="str">
        <f t="shared" si="3"/>
        <v/>
      </c>
      <c r="Q110" s="461"/>
      <c r="R110" s="427"/>
      <c r="S110" s="462" t="str">
        <f t="shared" si="4"/>
        <v/>
      </c>
      <c r="T110" s="463"/>
      <c r="U110" s="105"/>
      <c r="V110" s="105"/>
      <c r="W110" s="105"/>
      <c r="X110" s="105"/>
      <c r="Y110" s="105"/>
      <c r="Z110" s="105"/>
      <c r="AA110" s="105"/>
      <c r="AB110" s="220"/>
      <c r="AC110" s="105"/>
    </row>
    <row r="111" spans="1:29" ht="15.6">
      <c r="A111" s="105"/>
      <c r="B111" s="108">
        <v>46</v>
      </c>
      <c r="C111" s="426" t="str">
        <f>IF('INPUT DATA'!Q56="","",'INPUT DATA'!Q56)</f>
        <v/>
      </c>
      <c r="D111" s="427"/>
      <c r="E111" s="427"/>
      <c r="F111" s="406" t="str">
        <f>IF(TRIM(C111)="","",IFERROR(_xlfn.XLOOKUP(TRIM(C111),'TERM 1 SUMMARY'!$C$66:$C$115,'TERM 1 SUMMARY'!$R$66:$R$115),""))</f>
        <v/>
      </c>
      <c r="G111" s="407"/>
      <c r="H111" s="407"/>
      <c r="I111" s="407"/>
      <c r="J111" s="396" t="str">
        <f>IF(TRIM(C111)="","",IFERROR(_xlfn.XLOOKUP(TRIM(C111),'TERM 2 SUMMARY'!$C$66:$C$115,'TERM 2 SUMMARY'!$R$66:$R$115),""))</f>
        <v/>
      </c>
      <c r="K111" s="397"/>
      <c r="L111" s="399"/>
      <c r="M111" s="396" t="str">
        <f>IF(TRIM(C111)="","",IFERROR(_xlfn.XLOOKUP(TRIM(C111),'TERM 3 SUMMARY'!$C$66:$C$115,'TERM 3 SUMMARY'!$R$66:$R$115),""))</f>
        <v/>
      </c>
      <c r="N111" s="397"/>
      <c r="O111" s="398"/>
      <c r="P111" s="461" t="str">
        <f t="shared" si="3"/>
        <v/>
      </c>
      <c r="Q111" s="461"/>
      <c r="R111" s="427"/>
      <c r="S111" s="462" t="str">
        <f t="shared" si="4"/>
        <v/>
      </c>
      <c r="T111" s="463"/>
      <c r="U111" s="105"/>
      <c r="V111" s="105"/>
      <c r="W111" s="105"/>
      <c r="X111" s="105"/>
      <c r="Y111" s="105"/>
      <c r="Z111" s="105"/>
      <c r="AA111" s="105"/>
      <c r="AB111" s="220"/>
      <c r="AC111" s="105"/>
    </row>
    <row r="112" spans="1:29" ht="15.6">
      <c r="A112" s="105"/>
      <c r="B112" s="108">
        <v>47</v>
      </c>
      <c r="C112" s="426" t="str">
        <f>IF('INPUT DATA'!Q57="","",'INPUT DATA'!Q57)</f>
        <v/>
      </c>
      <c r="D112" s="427"/>
      <c r="E112" s="427"/>
      <c r="F112" s="406" t="str">
        <f>IF(TRIM(C112)="","",IFERROR(_xlfn.XLOOKUP(TRIM(C112),'TERM 1 SUMMARY'!$C$66:$C$115,'TERM 1 SUMMARY'!$R$66:$R$115),""))</f>
        <v/>
      </c>
      <c r="G112" s="407"/>
      <c r="H112" s="407"/>
      <c r="I112" s="407"/>
      <c r="J112" s="396" t="str">
        <f>IF(TRIM(C112)="","",IFERROR(_xlfn.XLOOKUP(TRIM(C112),'TERM 2 SUMMARY'!$C$66:$C$115,'TERM 2 SUMMARY'!$R$66:$R$115),""))</f>
        <v/>
      </c>
      <c r="K112" s="397"/>
      <c r="L112" s="399"/>
      <c r="M112" s="396" t="str">
        <f>IF(TRIM(C112)="","",IFERROR(_xlfn.XLOOKUP(TRIM(C112),'TERM 3 SUMMARY'!$C$66:$C$115,'TERM 3 SUMMARY'!$R$66:$R$115),""))</f>
        <v/>
      </c>
      <c r="N112" s="397"/>
      <c r="O112" s="398"/>
      <c r="P112" s="461" t="str">
        <f t="shared" si="3"/>
        <v/>
      </c>
      <c r="Q112" s="461"/>
      <c r="R112" s="427"/>
      <c r="S112" s="462" t="str">
        <f t="shared" si="4"/>
        <v/>
      </c>
      <c r="T112" s="463"/>
      <c r="U112" s="105"/>
      <c r="V112" s="105"/>
      <c r="W112" s="105"/>
      <c r="X112" s="105"/>
      <c r="Y112" s="105"/>
      <c r="Z112" s="105"/>
      <c r="AA112" s="105"/>
      <c r="AB112" s="220"/>
      <c r="AC112" s="105"/>
    </row>
    <row r="113" spans="1:29" ht="15.6">
      <c r="A113" s="105"/>
      <c r="B113" s="108">
        <v>48</v>
      </c>
      <c r="C113" s="426" t="str">
        <f>IF('INPUT DATA'!Q58="","",'INPUT DATA'!Q58)</f>
        <v/>
      </c>
      <c r="D113" s="427"/>
      <c r="E113" s="427"/>
      <c r="F113" s="409" t="str">
        <f>IF(TRIM(C113)="","",IFERROR(_xlfn.XLOOKUP(TRIM(C113),'TERM 1 SUMMARY'!$C$66:$C$115,'TERM 1 SUMMARY'!$R$66:$R$115),""))</f>
        <v/>
      </c>
      <c r="G113" s="410"/>
      <c r="H113" s="410"/>
      <c r="I113" s="410"/>
      <c r="J113" s="396" t="str">
        <f>IF(TRIM(C113)="","",IFERROR(_xlfn.XLOOKUP(TRIM(C113),'TERM 2 SUMMARY'!$C$66:$C$115,'TERM 2 SUMMARY'!$R$66:$R$115),""))</f>
        <v/>
      </c>
      <c r="K113" s="397"/>
      <c r="L113" s="399"/>
      <c r="M113" s="396" t="str">
        <f>IF(TRIM(C113)="","",IFERROR(_xlfn.XLOOKUP(TRIM(C113),'TERM 3 SUMMARY'!$C$66:$C$115,'TERM 3 SUMMARY'!$R$66:$R$115),""))</f>
        <v/>
      </c>
      <c r="N113" s="397"/>
      <c r="O113" s="398"/>
      <c r="P113" s="461" t="str">
        <f t="shared" si="3"/>
        <v/>
      </c>
      <c r="Q113" s="461"/>
      <c r="R113" s="427"/>
      <c r="S113" s="462" t="str">
        <f t="shared" si="4"/>
        <v/>
      </c>
      <c r="T113" s="463"/>
      <c r="U113" s="105"/>
      <c r="V113" s="105"/>
      <c r="W113" s="105"/>
      <c r="X113" s="105"/>
      <c r="Y113" s="105"/>
      <c r="Z113" s="105"/>
      <c r="AA113" s="105"/>
      <c r="AB113" s="220"/>
      <c r="AC113" s="105"/>
    </row>
    <row r="114" spans="1:29" ht="15.6">
      <c r="A114" s="105"/>
      <c r="B114" s="108">
        <v>49</v>
      </c>
      <c r="C114" s="426" t="str">
        <f>IF('INPUT DATA'!Q59="","",'INPUT DATA'!Q59)</f>
        <v/>
      </c>
      <c r="D114" s="427"/>
      <c r="E114" s="427"/>
      <c r="F114" s="409" t="str">
        <f>IF(TRIM(C114)="","",IFERROR(_xlfn.XLOOKUP(TRIM(C114),'TERM 1 SUMMARY'!$C$66:$C$115,'TERM 1 SUMMARY'!$R$66:$R$115),""))</f>
        <v/>
      </c>
      <c r="G114" s="410"/>
      <c r="H114" s="410"/>
      <c r="I114" s="410"/>
      <c r="J114" s="396" t="str">
        <f>IF(TRIM(C114)="","",IFERROR(_xlfn.XLOOKUP(TRIM(C114),'TERM 2 SUMMARY'!$C$66:$C$115,'TERM 2 SUMMARY'!$R$66:$R$115),""))</f>
        <v/>
      </c>
      <c r="K114" s="397"/>
      <c r="L114" s="399"/>
      <c r="M114" s="396" t="str">
        <f>IF(TRIM(C114)="","",IFERROR(_xlfn.XLOOKUP(TRIM(C114),'TERM 3 SUMMARY'!$C$66:$C$115,'TERM 3 SUMMARY'!$R$66:$R$115),""))</f>
        <v/>
      </c>
      <c r="N114" s="397"/>
      <c r="O114" s="398"/>
      <c r="P114" s="461" t="str">
        <f t="shared" si="3"/>
        <v/>
      </c>
      <c r="Q114" s="461"/>
      <c r="R114" s="427"/>
      <c r="S114" s="462" t="str">
        <f t="shared" si="4"/>
        <v/>
      </c>
      <c r="T114" s="463"/>
      <c r="U114" s="105"/>
      <c r="V114" s="105"/>
      <c r="W114" s="105"/>
      <c r="X114" s="105"/>
      <c r="Y114" s="105"/>
      <c r="Z114" s="105"/>
      <c r="AA114" s="105"/>
      <c r="AB114" s="220"/>
      <c r="AC114" s="105"/>
    </row>
    <row r="115" spans="1:29" ht="16.2" thickBot="1">
      <c r="A115" s="105"/>
      <c r="B115" s="107">
        <v>50</v>
      </c>
      <c r="C115" s="468" t="str">
        <f>IF('INPUT DATA'!Q60="","",'INPUT DATA'!Q60)</f>
        <v/>
      </c>
      <c r="D115" s="457"/>
      <c r="E115" s="457"/>
      <c r="F115" s="411" t="str">
        <f>IF(TRIM(C115)="","",IFERROR(_xlfn.XLOOKUP(TRIM(C115),'TERM 1 SUMMARY'!$C$66:$C$115,'TERM 1 SUMMARY'!$R$66:$R$115),""))</f>
        <v/>
      </c>
      <c r="G115" s="412"/>
      <c r="H115" s="412"/>
      <c r="I115" s="412"/>
      <c r="J115" s="400" t="str">
        <f>IF(TRIM(C115)="","",IFERROR(_xlfn.XLOOKUP(TRIM(C115),'TERM 2 SUMMARY'!$C$66:$C$115,'TERM 2 SUMMARY'!$R$66:$R$115),""))</f>
        <v/>
      </c>
      <c r="K115" s="401"/>
      <c r="L115" s="402"/>
      <c r="M115" s="400" t="str">
        <f>IF(TRIM(C115)="","",IFERROR(_xlfn.XLOOKUP(TRIM(C115),'TERM 3 SUMMARY'!$C$66:$C$115,'TERM 3 SUMMARY'!$R$66:$R$115),""))</f>
        <v/>
      </c>
      <c r="N115" s="401"/>
      <c r="O115" s="433"/>
      <c r="P115" s="490" t="str">
        <f t="shared" si="3"/>
        <v/>
      </c>
      <c r="Q115" s="490"/>
      <c r="R115" s="457"/>
      <c r="S115" s="464" t="str">
        <f t="shared" si="4"/>
        <v/>
      </c>
      <c r="T115" s="465"/>
      <c r="U115" s="105"/>
      <c r="V115" s="105"/>
      <c r="W115" s="105"/>
      <c r="X115" s="105"/>
      <c r="Y115" s="105"/>
      <c r="Z115" s="105"/>
      <c r="AA115" s="105"/>
      <c r="AB115" s="220"/>
      <c r="AC115" s="105"/>
    </row>
    <row r="116" spans="1:29" ht="15">
      <c r="A116" s="105"/>
      <c r="B116" s="105"/>
      <c r="C116" s="106"/>
      <c r="D116" s="105"/>
      <c r="E116" s="105"/>
      <c r="F116" s="466"/>
      <c r="G116" s="466"/>
      <c r="H116" s="466"/>
      <c r="I116" s="466"/>
      <c r="J116" s="467"/>
      <c r="L116" s="466"/>
      <c r="M116" s="467"/>
      <c r="N116" s="105"/>
      <c r="O116" s="105"/>
      <c r="P116" s="466"/>
      <c r="Q116" s="466"/>
      <c r="R116" s="467"/>
      <c r="S116" s="466"/>
      <c r="T116" s="467"/>
      <c r="U116" s="105"/>
      <c r="V116" s="105"/>
      <c r="W116" s="105"/>
      <c r="X116" s="105"/>
      <c r="Y116" s="105"/>
      <c r="Z116" s="105"/>
      <c r="AA116" s="105"/>
      <c r="AB116" s="220"/>
      <c r="AC116" s="105"/>
    </row>
    <row r="117" spans="1:29" ht="15">
      <c r="A117" s="105"/>
      <c r="B117" s="105"/>
      <c r="C117" s="106"/>
      <c r="D117" s="105"/>
      <c r="E117" s="105"/>
      <c r="F117" s="466"/>
      <c r="G117" s="466"/>
      <c r="H117" s="466"/>
      <c r="I117" s="466"/>
      <c r="J117" s="467"/>
      <c r="L117" s="466"/>
      <c r="M117" s="467"/>
      <c r="N117" s="105"/>
      <c r="O117" s="105"/>
      <c r="P117" s="466"/>
      <c r="Q117" s="466"/>
      <c r="R117" s="467"/>
      <c r="S117" s="466"/>
      <c r="T117" s="467"/>
      <c r="U117" s="105"/>
      <c r="V117" s="105"/>
      <c r="W117" s="105"/>
      <c r="X117" s="105"/>
      <c r="Y117" s="105"/>
      <c r="Z117" s="105"/>
      <c r="AA117" s="105"/>
      <c r="AB117" s="220"/>
      <c r="AC117" s="105"/>
    </row>
    <row r="118" spans="1:29" ht="15">
      <c r="A118" s="105"/>
      <c r="B118" s="105"/>
      <c r="C118" s="106"/>
      <c r="D118" s="105"/>
      <c r="E118" s="105"/>
      <c r="F118" s="466"/>
      <c r="G118" s="466"/>
      <c r="H118" s="466"/>
      <c r="I118" s="466"/>
      <c r="J118" s="467"/>
      <c r="L118" s="466"/>
      <c r="M118" s="467"/>
      <c r="N118" s="105"/>
      <c r="O118" s="105"/>
      <c r="P118" s="466"/>
      <c r="Q118" s="466"/>
      <c r="R118" s="467"/>
      <c r="S118" s="466"/>
      <c r="T118" s="467"/>
      <c r="U118" s="105"/>
      <c r="V118" s="105"/>
      <c r="W118" s="105"/>
      <c r="X118" s="105"/>
      <c r="Y118" s="105"/>
      <c r="Z118" s="105"/>
      <c r="AA118" s="105"/>
      <c r="AB118" s="220"/>
      <c r="AC118" s="105"/>
    </row>
    <row r="119" spans="1:29" ht="15">
      <c r="A119" s="105"/>
      <c r="B119" s="105"/>
      <c r="C119" s="106"/>
      <c r="D119" s="105"/>
      <c r="E119" s="105"/>
      <c r="F119" s="466"/>
      <c r="G119" s="466"/>
      <c r="H119" s="466"/>
      <c r="I119" s="466"/>
      <c r="J119" s="467"/>
      <c r="L119" s="466"/>
      <c r="M119" s="467"/>
      <c r="N119" s="105"/>
      <c r="O119" s="105"/>
      <c r="P119" s="466"/>
      <c r="Q119" s="466"/>
      <c r="R119" s="467"/>
      <c r="S119" s="466"/>
      <c r="T119" s="467"/>
      <c r="U119" s="105"/>
      <c r="V119" s="105"/>
      <c r="W119" s="105"/>
      <c r="X119" s="105"/>
      <c r="Y119" s="105"/>
      <c r="Z119" s="105"/>
      <c r="AA119" s="105"/>
      <c r="AB119" s="220"/>
      <c r="AC119" s="105"/>
    </row>
    <row r="120" spans="1:29" ht="15">
      <c r="A120" s="105"/>
      <c r="B120" s="105"/>
      <c r="C120" s="106"/>
      <c r="D120" s="105"/>
      <c r="E120" s="105"/>
      <c r="F120" s="466"/>
      <c r="G120" s="466"/>
      <c r="H120" s="466"/>
      <c r="I120" s="466"/>
      <c r="J120" s="467"/>
      <c r="L120" s="466"/>
      <c r="M120" s="467"/>
      <c r="N120" s="105"/>
      <c r="O120" s="105"/>
      <c r="P120" s="466"/>
      <c r="Q120" s="466"/>
      <c r="R120" s="467"/>
      <c r="S120" s="466"/>
      <c r="T120" s="467"/>
      <c r="U120" s="105"/>
      <c r="V120" s="105"/>
      <c r="W120" s="105"/>
      <c r="X120" s="105"/>
      <c r="Y120" s="105"/>
      <c r="Z120" s="105"/>
      <c r="AA120" s="105"/>
      <c r="AB120" s="220"/>
      <c r="AC120" s="105"/>
    </row>
    <row r="121" spans="1:29" ht="15">
      <c r="A121" s="105"/>
      <c r="B121" s="105"/>
      <c r="C121" s="106"/>
      <c r="D121" s="105"/>
      <c r="E121" s="105"/>
      <c r="F121" s="466"/>
      <c r="G121" s="466"/>
      <c r="H121" s="466"/>
      <c r="I121" s="466"/>
      <c r="J121" s="467"/>
      <c r="L121" s="466"/>
      <c r="M121" s="467"/>
      <c r="N121" s="105"/>
      <c r="O121" s="105"/>
      <c r="P121" s="466"/>
      <c r="Q121" s="466"/>
      <c r="R121" s="467"/>
      <c r="S121" s="466"/>
      <c r="T121" s="467"/>
      <c r="U121" s="105"/>
      <c r="V121" s="105"/>
      <c r="W121" s="105"/>
      <c r="X121" s="105"/>
      <c r="Y121" s="105"/>
      <c r="Z121" s="105"/>
      <c r="AA121" s="105"/>
      <c r="AB121" s="220"/>
      <c r="AC121" s="105"/>
    </row>
    <row r="122" spans="1:29" ht="15">
      <c r="A122" s="105"/>
      <c r="B122" s="105"/>
      <c r="C122" s="106"/>
      <c r="D122" s="105"/>
      <c r="E122" s="105"/>
      <c r="F122" s="466"/>
      <c r="G122" s="466"/>
      <c r="H122" s="466"/>
      <c r="I122" s="466"/>
      <c r="J122" s="467"/>
      <c r="L122" s="466"/>
      <c r="M122" s="467"/>
      <c r="N122" s="105"/>
      <c r="O122" s="105"/>
      <c r="P122" s="466"/>
      <c r="Q122" s="466"/>
      <c r="R122" s="467"/>
      <c r="S122" s="466"/>
      <c r="T122" s="467"/>
      <c r="U122" s="105"/>
      <c r="V122" s="105"/>
      <c r="W122" s="105"/>
      <c r="X122" s="105"/>
      <c r="Y122" s="105"/>
      <c r="Z122" s="105"/>
      <c r="AA122" s="105"/>
      <c r="AB122" s="220"/>
      <c r="AC122" s="105"/>
    </row>
    <row r="123" spans="1:29" ht="15">
      <c r="A123" s="105"/>
      <c r="B123" s="105"/>
      <c r="C123" s="106"/>
      <c r="D123" s="105"/>
      <c r="E123" s="105"/>
      <c r="F123" s="466"/>
      <c r="G123" s="466"/>
      <c r="H123" s="466"/>
      <c r="I123" s="466"/>
      <c r="J123" s="467"/>
      <c r="L123" s="466"/>
      <c r="M123" s="467"/>
      <c r="N123" s="105"/>
      <c r="O123" s="105"/>
      <c r="P123" s="466"/>
      <c r="Q123" s="466"/>
      <c r="R123" s="467"/>
      <c r="S123" s="466"/>
      <c r="T123" s="467"/>
      <c r="U123" s="105"/>
      <c r="V123" s="105"/>
      <c r="W123" s="105"/>
      <c r="X123" s="105"/>
      <c r="Y123" s="105"/>
      <c r="Z123" s="105"/>
      <c r="AA123" s="105"/>
      <c r="AB123" s="220"/>
      <c r="AC123" s="105"/>
    </row>
    <row r="124" spans="1:29" ht="15">
      <c r="A124" s="105"/>
      <c r="B124" s="105"/>
      <c r="C124" s="106"/>
      <c r="D124" s="105"/>
      <c r="E124" s="105"/>
      <c r="F124" s="466"/>
      <c r="G124" s="466"/>
      <c r="H124" s="466"/>
      <c r="I124" s="466"/>
      <c r="J124" s="467"/>
      <c r="L124" s="466"/>
      <c r="M124" s="467"/>
      <c r="N124" s="105"/>
      <c r="O124" s="105"/>
      <c r="P124" s="466"/>
      <c r="Q124" s="466"/>
      <c r="R124" s="467"/>
      <c r="S124" s="466"/>
      <c r="T124" s="467"/>
      <c r="U124" s="105"/>
      <c r="V124" s="105"/>
      <c r="W124" s="105"/>
      <c r="X124" s="105"/>
      <c r="Y124" s="105"/>
      <c r="Z124" s="105"/>
      <c r="AA124" s="105"/>
      <c r="AB124" s="220"/>
      <c r="AC124" s="105"/>
    </row>
    <row r="125" spans="1:29" ht="15">
      <c r="A125" s="105"/>
      <c r="B125" s="105"/>
      <c r="C125" s="106"/>
      <c r="D125" s="105"/>
      <c r="E125" s="105"/>
      <c r="F125" s="466"/>
      <c r="G125" s="466"/>
      <c r="H125" s="466"/>
      <c r="I125" s="466"/>
      <c r="J125" s="467"/>
      <c r="L125" s="466"/>
      <c r="M125" s="467"/>
      <c r="N125" s="105"/>
      <c r="O125" s="105"/>
      <c r="P125" s="466"/>
      <c r="Q125" s="466"/>
      <c r="R125" s="467"/>
      <c r="S125" s="466"/>
      <c r="T125" s="467"/>
      <c r="U125" s="105"/>
      <c r="V125" s="105"/>
      <c r="W125" s="105"/>
      <c r="X125" s="105"/>
      <c r="Y125" s="105"/>
      <c r="Z125" s="105"/>
      <c r="AA125" s="105"/>
      <c r="AB125" s="220"/>
      <c r="AC125" s="105"/>
    </row>
    <row r="126" spans="1:29" ht="15">
      <c r="A126" s="105"/>
      <c r="B126" s="105"/>
      <c r="C126" s="106"/>
      <c r="D126" s="105"/>
      <c r="E126" s="105"/>
      <c r="F126" s="466"/>
      <c r="G126" s="466"/>
      <c r="H126" s="466"/>
      <c r="I126" s="466"/>
      <c r="J126" s="467"/>
      <c r="L126" s="466"/>
      <c r="M126" s="467"/>
      <c r="N126" s="105"/>
      <c r="O126" s="105"/>
      <c r="P126" s="466"/>
      <c r="Q126" s="466"/>
      <c r="R126" s="467"/>
      <c r="S126" s="466"/>
      <c r="T126" s="467"/>
      <c r="U126" s="105"/>
      <c r="V126" s="105"/>
      <c r="W126" s="105"/>
      <c r="X126" s="105"/>
      <c r="Y126" s="105"/>
      <c r="Z126" s="105"/>
      <c r="AA126" s="105"/>
      <c r="AB126" s="220"/>
      <c r="AC126" s="105"/>
    </row>
    <row r="127" spans="1:29" ht="15">
      <c r="A127" s="105"/>
      <c r="B127" s="105"/>
      <c r="C127" s="106"/>
      <c r="D127" s="105"/>
      <c r="E127" s="105"/>
      <c r="F127" s="466"/>
      <c r="G127" s="466"/>
      <c r="H127" s="466"/>
      <c r="I127" s="466"/>
      <c r="J127" s="467"/>
      <c r="L127" s="466"/>
      <c r="M127" s="467"/>
      <c r="N127" s="105"/>
      <c r="O127" s="105"/>
      <c r="P127" s="466"/>
      <c r="Q127" s="466"/>
      <c r="R127" s="467"/>
      <c r="S127" s="466"/>
      <c r="T127" s="467"/>
      <c r="U127" s="105"/>
      <c r="V127" s="105"/>
      <c r="W127" s="105"/>
      <c r="X127" s="105"/>
      <c r="Y127" s="105"/>
      <c r="Z127" s="105"/>
      <c r="AA127" s="105"/>
      <c r="AB127" s="220"/>
      <c r="AC127" s="105"/>
    </row>
    <row r="128" spans="1:29" ht="15">
      <c r="A128" s="105"/>
      <c r="B128" s="105"/>
      <c r="C128" s="106"/>
      <c r="D128" s="105"/>
      <c r="E128" s="105"/>
      <c r="F128" s="466"/>
      <c r="G128" s="466"/>
      <c r="H128" s="466"/>
      <c r="I128" s="466"/>
      <c r="J128" s="467"/>
      <c r="L128" s="466"/>
      <c r="M128" s="467"/>
      <c r="N128" s="105"/>
      <c r="O128" s="105"/>
      <c r="P128" s="466"/>
      <c r="Q128" s="466"/>
      <c r="R128" s="467"/>
      <c r="S128" s="466"/>
      <c r="T128" s="467"/>
      <c r="U128" s="105"/>
      <c r="V128" s="105"/>
      <c r="W128" s="105"/>
      <c r="X128" s="105"/>
      <c r="Y128" s="105"/>
      <c r="Z128" s="105"/>
      <c r="AA128" s="105"/>
      <c r="AB128" s="220"/>
      <c r="AC128" s="105"/>
    </row>
    <row r="129" spans="1:29" ht="15">
      <c r="A129" s="105"/>
      <c r="B129" s="105"/>
      <c r="C129" s="106"/>
      <c r="D129" s="105"/>
      <c r="E129" s="105"/>
      <c r="F129" s="466"/>
      <c r="G129" s="466"/>
      <c r="H129" s="466"/>
      <c r="I129" s="466"/>
      <c r="J129" s="467"/>
      <c r="L129" s="466"/>
      <c r="M129" s="467"/>
      <c r="N129" s="105"/>
      <c r="O129" s="105"/>
      <c r="P129" s="466"/>
      <c r="Q129" s="466"/>
      <c r="R129" s="467"/>
      <c r="S129" s="466"/>
      <c r="T129" s="467"/>
      <c r="U129" s="105"/>
      <c r="V129" s="105"/>
      <c r="W129" s="105"/>
      <c r="X129" s="105"/>
      <c r="Y129" s="105"/>
      <c r="Z129" s="105"/>
      <c r="AA129" s="105"/>
      <c r="AB129" s="220"/>
      <c r="AC129" s="105"/>
    </row>
    <row r="130" spans="1:29" ht="15">
      <c r="A130" s="105"/>
      <c r="B130" s="105"/>
      <c r="C130" s="106"/>
      <c r="D130" s="105"/>
      <c r="E130" s="105"/>
      <c r="F130" s="466"/>
      <c r="G130" s="466"/>
      <c r="H130" s="466"/>
      <c r="I130" s="466"/>
      <c r="J130" s="467"/>
      <c r="L130" s="466"/>
      <c r="M130" s="467"/>
      <c r="N130" s="105"/>
      <c r="O130" s="105"/>
      <c r="P130" s="466"/>
      <c r="Q130" s="466"/>
      <c r="R130" s="467"/>
      <c r="S130" s="466"/>
      <c r="T130" s="467"/>
      <c r="U130" s="105"/>
      <c r="V130" s="105"/>
      <c r="W130" s="105"/>
      <c r="X130" s="105"/>
      <c r="Y130" s="105"/>
      <c r="Z130" s="105"/>
      <c r="AA130" s="105"/>
      <c r="AB130" s="220"/>
      <c r="AC130" s="105"/>
    </row>
    <row r="131" spans="1:29" ht="15">
      <c r="A131" s="105"/>
      <c r="B131" s="105"/>
      <c r="C131" s="106"/>
      <c r="D131" s="105"/>
      <c r="E131" s="105"/>
      <c r="F131" s="466"/>
      <c r="G131" s="466"/>
      <c r="H131" s="466"/>
      <c r="I131" s="466"/>
      <c r="J131" s="467"/>
      <c r="L131" s="466"/>
      <c r="M131" s="467"/>
      <c r="N131" s="105"/>
      <c r="O131" s="105"/>
      <c r="P131" s="466"/>
      <c r="Q131" s="466"/>
      <c r="R131" s="467"/>
      <c r="S131" s="466"/>
      <c r="T131" s="467"/>
      <c r="U131" s="105"/>
      <c r="V131" s="105"/>
      <c r="W131" s="105"/>
      <c r="X131" s="105"/>
      <c r="Y131" s="105"/>
      <c r="Z131" s="105"/>
      <c r="AA131" s="105"/>
      <c r="AB131" s="220"/>
      <c r="AC131" s="105"/>
    </row>
    <row r="132" spans="1:29" ht="15">
      <c r="A132" s="105"/>
      <c r="B132" s="105"/>
      <c r="C132" s="106"/>
      <c r="D132" s="105"/>
      <c r="E132" s="105"/>
      <c r="F132" s="466"/>
      <c r="G132" s="466"/>
      <c r="H132" s="466"/>
      <c r="I132" s="466"/>
      <c r="J132" s="467"/>
      <c r="L132" s="466"/>
      <c r="M132" s="467"/>
      <c r="N132" s="105"/>
      <c r="O132" s="105"/>
      <c r="P132" s="466"/>
      <c r="Q132" s="466"/>
      <c r="R132" s="467"/>
      <c r="S132" s="466"/>
      <c r="T132" s="467"/>
      <c r="U132" s="105"/>
      <c r="V132" s="105"/>
      <c r="W132" s="105"/>
      <c r="X132" s="105"/>
      <c r="Y132" s="105"/>
      <c r="Z132" s="105"/>
      <c r="AA132" s="105"/>
      <c r="AB132" s="220"/>
      <c r="AC132" s="105"/>
    </row>
    <row r="133" spans="1:29" ht="15">
      <c r="A133" s="105"/>
      <c r="B133" s="105"/>
      <c r="C133" s="106"/>
      <c r="D133" s="105"/>
      <c r="E133" s="105"/>
      <c r="F133" s="466"/>
      <c r="G133" s="466"/>
      <c r="H133" s="466"/>
      <c r="I133" s="466"/>
      <c r="J133" s="467"/>
      <c r="L133" s="466"/>
      <c r="M133" s="467"/>
      <c r="N133" s="105"/>
      <c r="O133" s="105"/>
      <c r="P133" s="466"/>
      <c r="Q133" s="466"/>
      <c r="R133" s="467"/>
      <c r="S133" s="466"/>
      <c r="T133" s="467"/>
      <c r="U133" s="105"/>
      <c r="V133" s="105"/>
      <c r="W133" s="105"/>
      <c r="X133" s="105"/>
      <c r="Y133" s="105"/>
      <c r="Z133" s="105"/>
      <c r="AA133" s="105"/>
      <c r="AB133" s="220"/>
      <c r="AC133" s="105"/>
    </row>
    <row r="134" spans="1:29" ht="15">
      <c r="A134" s="105"/>
      <c r="B134" s="105"/>
      <c r="C134" s="106"/>
      <c r="D134" s="105"/>
      <c r="E134" s="105"/>
      <c r="F134" s="466"/>
      <c r="G134" s="466"/>
      <c r="H134" s="466"/>
      <c r="I134" s="466"/>
      <c r="J134" s="467"/>
      <c r="L134" s="466"/>
      <c r="M134" s="467"/>
      <c r="N134" s="105"/>
      <c r="O134" s="105"/>
      <c r="P134" s="466"/>
      <c r="Q134" s="466"/>
      <c r="R134" s="467"/>
      <c r="S134" s="466"/>
      <c r="T134" s="467"/>
      <c r="U134" s="105"/>
      <c r="V134" s="105"/>
      <c r="W134" s="105"/>
      <c r="X134" s="105"/>
      <c r="Y134" s="105"/>
      <c r="Z134" s="105"/>
      <c r="AA134" s="105"/>
      <c r="AB134" s="220"/>
      <c r="AC134" s="105"/>
    </row>
    <row r="135" spans="1:29" ht="15">
      <c r="A135" s="105"/>
      <c r="B135" s="105"/>
      <c r="C135" s="106"/>
      <c r="D135" s="105"/>
      <c r="E135" s="105"/>
      <c r="F135" s="466"/>
      <c r="G135" s="466"/>
      <c r="H135" s="466"/>
      <c r="I135" s="466"/>
      <c r="J135" s="467"/>
      <c r="L135" s="466"/>
      <c r="M135" s="467"/>
      <c r="N135" s="105"/>
      <c r="O135" s="105"/>
      <c r="P135" s="466"/>
      <c r="Q135" s="466"/>
      <c r="R135" s="467"/>
      <c r="S135" s="466"/>
      <c r="T135" s="467"/>
      <c r="U135" s="105"/>
      <c r="V135" s="105"/>
      <c r="W135" s="105"/>
      <c r="X135" s="105"/>
      <c r="Y135" s="105"/>
      <c r="Z135" s="105"/>
      <c r="AA135" s="105"/>
      <c r="AB135" s="220"/>
      <c r="AC135" s="105"/>
    </row>
    <row r="136" spans="1:29" ht="15">
      <c r="A136" s="105"/>
      <c r="B136" s="105"/>
      <c r="C136" s="106"/>
      <c r="D136" s="105"/>
      <c r="E136" s="105"/>
      <c r="F136" s="466"/>
      <c r="G136" s="466"/>
      <c r="H136" s="466"/>
      <c r="I136" s="466"/>
      <c r="J136" s="467"/>
      <c r="L136" s="466"/>
      <c r="M136" s="467"/>
      <c r="N136" s="105"/>
      <c r="O136" s="105"/>
      <c r="P136" s="466"/>
      <c r="Q136" s="466"/>
      <c r="R136" s="467"/>
      <c r="S136" s="466"/>
      <c r="T136" s="467"/>
      <c r="U136" s="105"/>
      <c r="V136" s="105"/>
      <c r="W136" s="105"/>
      <c r="X136" s="105"/>
      <c r="Y136" s="105"/>
      <c r="Z136" s="105"/>
      <c r="AA136" s="105"/>
      <c r="AB136" s="220"/>
      <c r="AC136" s="105"/>
    </row>
    <row r="137" spans="1:29" ht="15">
      <c r="A137" s="105"/>
      <c r="B137" s="105"/>
      <c r="C137" s="106"/>
      <c r="D137" s="105"/>
      <c r="E137" s="105"/>
      <c r="F137" s="466"/>
      <c r="G137" s="466"/>
      <c r="H137" s="466"/>
      <c r="I137" s="466"/>
      <c r="J137" s="467"/>
      <c r="L137" s="105"/>
      <c r="M137" s="105"/>
      <c r="N137" s="105"/>
      <c r="O137" s="105"/>
      <c r="P137" s="466"/>
      <c r="Q137" s="466"/>
      <c r="R137" s="467"/>
      <c r="S137" s="466"/>
      <c r="T137" s="467"/>
      <c r="U137" s="105"/>
      <c r="V137" s="105"/>
      <c r="W137" s="105"/>
      <c r="X137" s="105"/>
      <c r="Y137" s="105"/>
      <c r="Z137" s="105"/>
      <c r="AA137" s="105"/>
      <c r="AB137" s="220"/>
      <c r="AC137" s="105"/>
    </row>
    <row r="138" spans="1:29" ht="15">
      <c r="A138" s="105"/>
      <c r="B138" s="105"/>
      <c r="C138" s="106"/>
      <c r="D138" s="105"/>
      <c r="E138" s="105"/>
      <c r="F138" s="466"/>
      <c r="G138" s="466"/>
      <c r="H138" s="466"/>
      <c r="I138" s="466"/>
      <c r="J138" s="467"/>
      <c r="L138" s="105"/>
      <c r="M138" s="105"/>
      <c r="N138" s="105"/>
      <c r="O138" s="105"/>
      <c r="P138" s="466"/>
      <c r="Q138" s="466"/>
      <c r="R138" s="467"/>
      <c r="S138" s="105"/>
      <c r="T138" s="105"/>
      <c r="U138" s="105"/>
      <c r="V138" s="105"/>
      <c r="W138" s="105"/>
      <c r="X138" s="105"/>
      <c r="Y138" s="105"/>
      <c r="Z138" s="105"/>
      <c r="AA138" s="105"/>
      <c r="AB138" s="220"/>
      <c r="AC138" s="105"/>
    </row>
    <row r="139" spans="1:29" ht="15">
      <c r="A139" s="105"/>
      <c r="B139" s="105"/>
      <c r="C139" s="106"/>
      <c r="D139" s="105"/>
      <c r="E139" s="105"/>
      <c r="F139" s="466"/>
      <c r="G139" s="466"/>
      <c r="H139" s="466"/>
      <c r="I139" s="466"/>
      <c r="J139" s="467"/>
      <c r="L139" s="105"/>
      <c r="M139" s="105"/>
      <c r="N139" s="105"/>
      <c r="O139" s="105"/>
      <c r="P139" s="466"/>
      <c r="Q139" s="466"/>
      <c r="R139" s="467"/>
      <c r="S139" s="105"/>
      <c r="T139" s="105"/>
      <c r="U139" s="105"/>
      <c r="V139" s="105"/>
      <c r="W139" s="105"/>
      <c r="X139" s="105"/>
      <c r="Y139" s="105"/>
      <c r="Z139" s="105"/>
      <c r="AA139" s="105"/>
      <c r="AB139" s="220"/>
      <c r="AC139" s="105"/>
    </row>
    <row r="140" spans="1:29" ht="15">
      <c r="A140" s="105"/>
      <c r="B140" s="105"/>
      <c r="C140" s="106"/>
      <c r="D140" s="105"/>
      <c r="E140" s="105"/>
      <c r="F140" s="466"/>
      <c r="G140" s="466"/>
      <c r="H140" s="466"/>
      <c r="I140" s="466"/>
      <c r="J140" s="467"/>
      <c r="L140" s="105"/>
      <c r="M140" s="105"/>
      <c r="N140" s="105"/>
      <c r="O140" s="105"/>
      <c r="P140" s="466"/>
      <c r="Q140" s="466"/>
      <c r="R140" s="467"/>
      <c r="S140" s="105"/>
      <c r="T140" s="105"/>
      <c r="U140" s="105"/>
      <c r="V140" s="105"/>
      <c r="W140" s="105"/>
      <c r="X140" s="105"/>
      <c r="Y140" s="105"/>
      <c r="Z140" s="105"/>
      <c r="AA140" s="105"/>
      <c r="AB140" s="220"/>
      <c r="AC140" s="105"/>
    </row>
    <row r="141" spans="1:29" ht="15">
      <c r="A141" s="105"/>
      <c r="B141" s="105"/>
      <c r="C141" s="106"/>
      <c r="D141" s="105"/>
      <c r="E141" s="105"/>
      <c r="F141" s="466"/>
      <c r="G141" s="466"/>
      <c r="H141" s="466"/>
      <c r="I141" s="466"/>
      <c r="J141" s="467"/>
      <c r="L141" s="105"/>
      <c r="M141" s="105"/>
      <c r="N141" s="105"/>
      <c r="O141" s="105"/>
      <c r="P141" s="466"/>
      <c r="Q141" s="466"/>
      <c r="R141" s="467"/>
      <c r="S141" s="105"/>
      <c r="T141" s="105"/>
      <c r="U141" s="105"/>
      <c r="V141" s="105"/>
      <c r="W141" s="105"/>
      <c r="X141" s="105"/>
      <c r="Y141" s="105"/>
      <c r="Z141" s="105"/>
      <c r="AA141" s="105"/>
      <c r="AB141" s="220"/>
      <c r="AC141" s="105"/>
    </row>
    <row r="142" spans="1:29" ht="15">
      <c r="A142" s="105"/>
      <c r="B142" s="105"/>
      <c r="C142" s="106"/>
      <c r="D142" s="105"/>
      <c r="E142" s="105"/>
      <c r="F142" s="466"/>
      <c r="G142" s="466"/>
      <c r="H142" s="466"/>
      <c r="I142" s="466"/>
      <c r="J142" s="467"/>
      <c r="L142" s="105"/>
      <c r="M142" s="105"/>
      <c r="N142" s="105"/>
      <c r="O142" s="105"/>
      <c r="P142" s="466"/>
      <c r="Q142" s="466"/>
      <c r="R142" s="467"/>
      <c r="S142" s="105"/>
      <c r="T142" s="105"/>
      <c r="U142" s="105"/>
      <c r="V142" s="105"/>
      <c r="W142" s="105"/>
      <c r="X142" s="105"/>
      <c r="Y142" s="105"/>
      <c r="Z142" s="105"/>
      <c r="AA142" s="105"/>
      <c r="AB142" s="220"/>
      <c r="AC142" s="105"/>
    </row>
    <row r="143" spans="1:29" ht="15">
      <c r="A143" s="105"/>
      <c r="B143" s="105"/>
      <c r="C143" s="106"/>
      <c r="D143" s="105"/>
      <c r="E143" s="105"/>
      <c r="F143" s="466"/>
      <c r="G143" s="466"/>
      <c r="H143" s="466"/>
      <c r="I143" s="466"/>
      <c r="J143" s="467"/>
      <c r="L143" s="105"/>
      <c r="M143" s="105"/>
      <c r="N143" s="105"/>
      <c r="O143" s="105"/>
      <c r="P143" s="466"/>
      <c r="Q143" s="466"/>
      <c r="R143" s="467"/>
      <c r="S143" s="105"/>
      <c r="T143" s="105"/>
      <c r="U143" s="105"/>
      <c r="V143" s="105"/>
      <c r="W143" s="105"/>
      <c r="X143" s="105"/>
      <c r="Y143" s="105"/>
      <c r="Z143" s="105"/>
      <c r="AA143" s="105"/>
      <c r="AB143" s="220"/>
      <c r="AC143" s="105"/>
    </row>
    <row r="144" spans="1:29" ht="15">
      <c r="A144" s="105"/>
      <c r="B144" s="105"/>
      <c r="C144" s="106"/>
      <c r="D144" s="105"/>
      <c r="E144" s="105"/>
      <c r="F144" s="466"/>
      <c r="G144" s="466"/>
      <c r="H144" s="466"/>
      <c r="I144" s="466"/>
      <c r="J144" s="467"/>
      <c r="L144" s="105"/>
      <c r="M144" s="105"/>
      <c r="N144" s="105"/>
      <c r="O144" s="105"/>
      <c r="P144" s="466"/>
      <c r="Q144" s="466"/>
      <c r="R144" s="467"/>
      <c r="S144" s="105"/>
      <c r="T144" s="105"/>
      <c r="U144" s="105"/>
      <c r="V144" s="105"/>
      <c r="W144" s="105"/>
      <c r="X144" s="105"/>
      <c r="Y144" s="105"/>
      <c r="Z144" s="105"/>
      <c r="AA144" s="105"/>
      <c r="AB144" s="220"/>
      <c r="AC144" s="105"/>
    </row>
    <row r="145" spans="1:29" ht="15">
      <c r="A145" s="105"/>
      <c r="B145" s="105"/>
      <c r="C145" s="106"/>
      <c r="D145" s="105"/>
      <c r="E145" s="105"/>
      <c r="F145" s="466"/>
      <c r="G145" s="466"/>
      <c r="H145" s="466"/>
      <c r="I145" s="466"/>
      <c r="J145" s="467"/>
      <c r="L145" s="105"/>
      <c r="M145" s="105"/>
      <c r="N145" s="105"/>
      <c r="O145" s="105"/>
      <c r="P145" s="466"/>
      <c r="Q145" s="466"/>
      <c r="R145" s="467"/>
      <c r="S145" s="105"/>
      <c r="T145" s="105"/>
      <c r="U145" s="105"/>
      <c r="V145" s="105"/>
      <c r="W145" s="105"/>
      <c r="X145" s="105"/>
      <c r="Y145" s="105"/>
      <c r="Z145" s="105"/>
      <c r="AA145" s="105"/>
      <c r="AB145" s="220"/>
      <c r="AC145" s="105"/>
    </row>
    <row r="146" spans="1:29" ht="15">
      <c r="A146" s="105"/>
      <c r="B146" s="105"/>
      <c r="C146" s="106"/>
      <c r="D146" s="105"/>
      <c r="E146" s="105"/>
      <c r="F146" s="466"/>
      <c r="G146" s="466"/>
      <c r="H146" s="466"/>
      <c r="I146" s="466"/>
      <c r="J146" s="467"/>
      <c r="L146" s="105"/>
      <c r="M146" s="105"/>
      <c r="N146" s="105"/>
      <c r="O146" s="105"/>
      <c r="P146" s="105"/>
      <c r="Q146" s="105"/>
      <c r="R146" s="105"/>
      <c r="S146" s="105"/>
      <c r="T146" s="105"/>
      <c r="U146" s="105"/>
      <c r="V146" s="105"/>
      <c r="W146" s="105"/>
      <c r="X146" s="105"/>
      <c r="Y146" s="105"/>
      <c r="Z146" s="105"/>
      <c r="AA146" s="105"/>
      <c r="AB146" s="220"/>
      <c r="AC146" s="105"/>
    </row>
    <row r="147" spans="1:29" ht="15">
      <c r="A147" s="105"/>
      <c r="B147" s="105"/>
      <c r="C147" s="106"/>
      <c r="D147" s="105"/>
      <c r="E147" s="105"/>
      <c r="F147" s="466"/>
      <c r="G147" s="466"/>
      <c r="H147" s="466"/>
      <c r="I147" s="466"/>
      <c r="J147" s="467"/>
      <c r="L147" s="105"/>
      <c r="M147" s="105"/>
      <c r="N147" s="105"/>
      <c r="O147" s="105"/>
      <c r="P147" s="105"/>
      <c r="Q147" s="105"/>
      <c r="R147" s="105"/>
      <c r="S147" s="105"/>
      <c r="T147" s="105"/>
      <c r="U147" s="105"/>
      <c r="V147" s="105"/>
      <c r="W147" s="105"/>
      <c r="X147" s="105"/>
      <c r="Y147" s="105"/>
      <c r="Z147" s="105"/>
      <c r="AA147" s="105"/>
      <c r="AB147" s="220"/>
      <c r="AC147" s="105"/>
    </row>
    <row r="148" spans="1:29" ht="15">
      <c r="A148" s="105"/>
      <c r="B148" s="105"/>
      <c r="C148" s="106"/>
      <c r="D148" s="105"/>
      <c r="E148" s="105"/>
      <c r="F148" s="466"/>
      <c r="G148" s="466"/>
      <c r="H148" s="466"/>
      <c r="I148" s="466"/>
      <c r="J148" s="467"/>
      <c r="L148" s="105"/>
      <c r="M148" s="105"/>
      <c r="N148" s="105"/>
      <c r="O148" s="105"/>
      <c r="P148" s="105"/>
      <c r="Q148" s="105"/>
      <c r="R148" s="105"/>
      <c r="S148" s="105"/>
      <c r="T148" s="105"/>
      <c r="U148" s="105"/>
      <c r="V148" s="105"/>
      <c r="W148" s="105"/>
      <c r="X148" s="105"/>
      <c r="Y148" s="105"/>
      <c r="Z148" s="105"/>
      <c r="AA148" s="105"/>
      <c r="AB148" s="220"/>
      <c r="AC148" s="105"/>
    </row>
    <row r="149" spans="1:29" ht="15">
      <c r="A149" s="105"/>
      <c r="B149" s="105"/>
      <c r="C149" s="106"/>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220"/>
      <c r="AC149" s="105"/>
    </row>
    <row r="150" spans="1:29" ht="15">
      <c r="A150" s="105"/>
      <c r="B150" s="105"/>
      <c r="C150" s="106"/>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220"/>
      <c r="AC150" s="105"/>
    </row>
    <row r="151" spans="1:29" ht="15">
      <c r="A151" s="105"/>
      <c r="B151" s="105"/>
      <c r="C151" s="106"/>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220"/>
      <c r="AC151" s="105"/>
    </row>
    <row r="152" spans="1:29" ht="15">
      <c r="A152" s="105"/>
      <c r="B152" s="105"/>
      <c r="C152" s="106"/>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220"/>
      <c r="AC152" s="105"/>
    </row>
    <row r="153" spans="1:29" ht="15">
      <c r="A153" s="105"/>
      <c r="B153" s="105"/>
      <c r="C153" s="106"/>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220"/>
      <c r="AC153" s="105"/>
    </row>
    <row r="154" spans="1:29" ht="15">
      <c r="A154" s="105"/>
      <c r="B154" s="105"/>
      <c r="C154" s="106"/>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220"/>
      <c r="AC154" s="105"/>
    </row>
    <row r="155" spans="1:29" ht="15">
      <c r="A155" s="105"/>
      <c r="B155" s="105"/>
      <c r="C155" s="106"/>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220"/>
      <c r="AC155" s="105"/>
    </row>
    <row r="156" spans="1:29" ht="15">
      <c r="A156" s="105"/>
      <c r="B156" s="105"/>
      <c r="C156" s="106"/>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220"/>
      <c r="AC156" s="105"/>
    </row>
    <row r="157" spans="1:29" ht="15">
      <c r="A157" s="105"/>
      <c r="B157" s="105"/>
      <c r="C157" s="106"/>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220"/>
      <c r="AC157" s="105"/>
    </row>
    <row r="158" spans="1:29" ht="15">
      <c r="A158" s="105"/>
      <c r="B158" s="105"/>
      <c r="C158" s="106"/>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220"/>
      <c r="AC158" s="105"/>
    </row>
    <row r="159" spans="1:29" ht="15">
      <c r="A159" s="105"/>
      <c r="B159" s="105"/>
      <c r="C159" s="106"/>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220"/>
      <c r="AC159" s="105"/>
    </row>
    <row r="160" spans="1:29" ht="15">
      <c r="A160" s="105"/>
      <c r="B160" s="105"/>
      <c r="C160" s="106"/>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220"/>
      <c r="AC160" s="105"/>
    </row>
    <row r="161" spans="1:29" ht="15">
      <c r="A161" s="105"/>
      <c r="B161" s="105"/>
      <c r="C161" s="106"/>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220"/>
      <c r="AC161" s="105"/>
    </row>
    <row r="162" spans="1:29" ht="15">
      <c r="A162" s="105"/>
      <c r="B162" s="105"/>
      <c r="C162" s="106"/>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220"/>
      <c r="AC162" s="105"/>
    </row>
    <row r="163" spans="1:29" ht="15">
      <c r="A163" s="105"/>
      <c r="B163" s="105"/>
      <c r="C163" s="106"/>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220"/>
      <c r="AC163" s="105"/>
    </row>
    <row r="164" spans="1:29" ht="15">
      <c r="A164" s="105"/>
      <c r="B164" s="105"/>
      <c r="C164" s="106"/>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220"/>
      <c r="AC164" s="105"/>
    </row>
    <row r="165" spans="1:29" ht="15">
      <c r="A165" s="105"/>
      <c r="B165" s="105"/>
      <c r="C165" s="106"/>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220"/>
      <c r="AC165" s="105"/>
    </row>
    <row r="166" spans="1:29" ht="15">
      <c r="A166" s="105"/>
      <c r="B166" s="105"/>
      <c r="C166" s="106"/>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220"/>
      <c r="AC166" s="105"/>
    </row>
    <row r="167" spans="1:29" ht="15">
      <c r="A167" s="105"/>
      <c r="B167" s="105"/>
      <c r="C167" s="106"/>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220"/>
      <c r="AC167" s="105"/>
    </row>
    <row r="168" spans="1:29" ht="15">
      <c r="A168" s="105"/>
      <c r="B168" s="105"/>
      <c r="C168" s="106"/>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220"/>
      <c r="AC168" s="105"/>
    </row>
    <row r="169" spans="1:29" ht="15">
      <c r="A169" s="105"/>
      <c r="B169" s="105"/>
      <c r="C169" s="106"/>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220"/>
      <c r="AC169" s="105"/>
    </row>
    <row r="170" spans="1:29" ht="15">
      <c r="A170" s="105"/>
      <c r="B170" s="105"/>
      <c r="C170" s="106"/>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220"/>
      <c r="AC170" s="105"/>
    </row>
    <row r="171" spans="1:29" ht="15">
      <c r="A171" s="105"/>
      <c r="B171" s="105"/>
      <c r="C171" s="106"/>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220"/>
      <c r="AC171" s="105"/>
    </row>
    <row r="172" spans="1:29" ht="15">
      <c r="A172" s="105"/>
      <c r="B172" s="105"/>
      <c r="C172" s="106"/>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220"/>
      <c r="AC172" s="105"/>
    </row>
    <row r="173" spans="1:29" ht="15">
      <c r="A173" s="105"/>
      <c r="B173" s="105"/>
      <c r="C173" s="106"/>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220"/>
      <c r="AC173" s="105"/>
    </row>
    <row r="174" spans="1:29" ht="15">
      <c r="A174" s="105"/>
      <c r="B174" s="105"/>
      <c r="C174" s="106"/>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220"/>
      <c r="AC174" s="105"/>
    </row>
    <row r="175" spans="1:29" ht="15">
      <c r="A175" s="105"/>
      <c r="B175" s="105"/>
      <c r="C175" s="106"/>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220"/>
      <c r="AC175" s="105"/>
    </row>
    <row r="176" spans="1:29" ht="15">
      <c r="A176" s="105"/>
      <c r="B176" s="105"/>
      <c r="C176" s="106"/>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220"/>
      <c r="AC176" s="105"/>
    </row>
    <row r="177" spans="1:29" ht="15">
      <c r="A177" s="105"/>
      <c r="B177" s="105"/>
      <c r="C177" s="106"/>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220"/>
      <c r="AC177" s="105"/>
    </row>
    <row r="178" spans="1:29" ht="15">
      <c r="A178" s="105"/>
      <c r="B178" s="105"/>
      <c r="C178" s="106"/>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220"/>
      <c r="AC178" s="105"/>
    </row>
    <row r="179" spans="1:29" ht="15">
      <c r="A179" s="105"/>
      <c r="B179" s="105"/>
      <c r="C179" s="106"/>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220"/>
      <c r="AC179" s="105"/>
    </row>
    <row r="180" spans="1:29" ht="15">
      <c r="A180" s="105"/>
      <c r="B180" s="105"/>
      <c r="C180" s="106"/>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220"/>
      <c r="AC180" s="105"/>
    </row>
    <row r="181" spans="1:29" ht="15">
      <c r="A181" s="105"/>
      <c r="B181" s="105"/>
      <c r="C181" s="106"/>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220"/>
      <c r="AC181" s="105"/>
    </row>
    <row r="182" spans="1:29" ht="15">
      <c r="A182" s="105"/>
      <c r="B182" s="105"/>
      <c r="C182" s="106"/>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220"/>
      <c r="AC182" s="105"/>
    </row>
    <row r="183" spans="1:29" ht="15">
      <c r="A183" s="105"/>
      <c r="B183" s="105"/>
      <c r="C183" s="106"/>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220"/>
      <c r="AC183" s="105"/>
    </row>
    <row r="184" spans="1:29" ht="15">
      <c r="A184" s="105"/>
      <c r="B184" s="105"/>
      <c r="C184" s="106"/>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220"/>
      <c r="AC184" s="105"/>
    </row>
    <row r="185" spans="1:29" ht="15">
      <c r="A185" s="105"/>
      <c r="B185" s="105"/>
      <c r="C185" s="106"/>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220"/>
      <c r="AC185" s="105"/>
    </row>
    <row r="186" spans="1:29" ht="15">
      <c r="A186" s="105"/>
      <c r="B186" s="105"/>
      <c r="C186" s="106"/>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220"/>
      <c r="AC186" s="105"/>
    </row>
    <row r="187" spans="1:29" ht="15">
      <c r="A187" s="105"/>
      <c r="B187" s="105"/>
      <c r="C187" s="106"/>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220"/>
      <c r="AC187" s="105"/>
    </row>
    <row r="188" spans="1:29" ht="15">
      <c r="A188" s="105"/>
      <c r="B188" s="105"/>
      <c r="C188" s="106"/>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220"/>
      <c r="AC188" s="105"/>
    </row>
    <row r="189" spans="1:29" ht="15">
      <c r="A189" s="105"/>
      <c r="B189" s="105"/>
      <c r="C189" s="106"/>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220"/>
      <c r="AC189" s="105"/>
    </row>
    <row r="190" spans="1:29" ht="15">
      <c r="A190" s="105"/>
      <c r="B190" s="105"/>
      <c r="C190" s="106"/>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220"/>
      <c r="AC190" s="105"/>
    </row>
    <row r="191" spans="1:29" ht="15">
      <c r="A191" s="105"/>
      <c r="B191" s="105"/>
      <c r="C191" s="106"/>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220"/>
      <c r="AC191" s="105"/>
    </row>
    <row r="192" spans="1:29" ht="15">
      <c r="A192" s="105"/>
      <c r="B192" s="105"/>
      <c r="C192" s="106"/>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220"/>
      <c r="AC192" s="105"/>
    </row>
    <row r="193" spans="1:29" ht="15">
      <c r="A193" s="105"/>
      <c r="B193" s="105"/>
      <c r="C193" s="106"/>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220"/>
      <c r="AC193" s="105"/>
    </row>
    <row r="194" spans="1:29" ht="15">
      <c r="A194" s="105"/>
      <c r="B194" s="105"/>
      <c r="C194" s="106"/>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220"/>
      <c r="AC194" s="105"/>
    </row>
    <row r="195" spans="1:29" ht="15">
      <c r="A195" s="105"/>
      <c r="B195" s="105"/>
      <c r="C195" s="106"/>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220"/>
      <c r="AC195" s="105"/>
    </row>
    <row r="196" spans="1:29" ht="15">
      <c r="A196" s="105"/>
      <c r="B196" s="105"/>
      <c r="C196" s="106"/>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220"/>
      <c r="AC196" s="105"/>
    </row>
    <row r="197" spans="1:29" ht="15">
      <c r="A197" s="105"/>
      <c r="B197" s="105"/>
      <c r="C197" s="106"/>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220"/>
      <c r="AC197" s="105"/>
    </row>
    <row r="198" spans="1:29" ht="15">
      <c r="A198" s="105"/>
      <c r="B198" s="105"/>
      <c r="C198" s="106"/>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220"/>
      <c r="AC198" s="105"/>
    </row>
    <row r="199" spans="1:29" ht="15">
      <c r="A199" s="105"/>
      <c r="B199" s="105"/>
      <c r="C199" s="106"/>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220"/>
      <c r="AC199" s="105"/>
    </row>
    <row r="200" spans="1:29" ht="15">
      <c r="A200" s="105"/>
      <c r="B200" s="105"/>
      <c r="C200" s="106"/>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220"/>
      <c r="AC200" s="105"/>
    </row>
    <row r="201" spans="1:29" ht="15">
      <c r="A201" s="105"/>
      <c r="B201" s="105"/>
      <c r="C201" s="106"/>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220"/>
      <c r="AC201" s="105"/>
    </row>
    <row r="202" spans="1:29" ht="15">
      <c r="A202" s="105"/>
      <c r="B202" s="105"/>
      <c r="C202" s="106"/>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220"/>
      <c r="AC202" s="105"/>
    </row>
    <row r="203" spans="1:29" ht="15">
      <c r="A203" s="105"/>
      <c r="B203" s="105"/>
      <c r="C203" s="106"/>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220"/>
      <c r="AC203" s="105"/>
    </row>
    <row r="204" spans="1:29" ht="15">
      <c r="A204" s="105"/>
      <c r="B204" s="105"/>
      <c r="C204" s="106"/>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220"/>
      <c r="AC204" s="105"/>
    </row>
    <row r="205" spans="1:29" ht="15">
      <c r="A205" s="105"/>
      <c r="B205" s="105"/>
      <c r="C205" s="106"/>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220"/>
      <c r="AC205" s="105"/>
    </row>
    <row r="206" spans="1:29" ht="15">
      <c r="A206" s="105"/>
      <c r="B206" s="105"/>
      <c r="C206" s="106"/>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220"/>
      <c r="AC206" s="105"/>
    </row>
    <row r="207" spans="1:29" ht="15">
      <c r="A207" s="105"/>
      <c r="B207" s="105"/>
      <c r="C207" s="106"/>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220"/>
      <c r="AC207" s="105"/>
    </row>
    <row r="208" spans="1:29" ht="15">
      <c r="A208" s="105"/>
      <c r="B208" s="105"/>
      <c r="C208" s="106"/>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220"/>
      <c r="AC208" s="105"/>
    </row>
    <row r="209" spans="1:29" ht="15">
      <c r="A209" s="105"/>
      <c r="B209" s="105"/>
      <c r="C209" s="106"/>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220"/>
      <c r="AC209" s="105"/>
    </row>
    <row r="210" spans="1:29" ht="15">
      <c r="A210" s="105"/>
      <c r="B210" s="105"/>
      <c r="C210" s="106"/>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220"/>
      <c r="AC210" s="105"/>
    </row>
    <row r="211" spans="1:29" ht="15">
      <c r="A211" s="105"/>
      <c r="B211" s="105"/>
      <c r="C211" s="106"/>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220"/>
      <c r="AC211" s="105"/>
    </row>
    <row r="212" spans="1:29" ht="15">
      <c r="A212" s="105"/>
      <c r="B212" s="105"/>
      <c r="C212" s="106"/>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220"/>
      <c r="AC212" s="105"/>
    </row>
    <row r="213" spans="1:29" ht="15">
      <c r="A213" s="105"/>
      <c r="B213" s="105"/>
      <c r="C213" s="106"/>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220"/>
      <c r="AC213" s="105"/>
    </row>
    <row r="214" spans="1:29" ht="15">
      <c r="A214" s="105"/>
      <c r="B214" s="105"/>
      <c r="C214" s="106"/>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220"/>
      <c r="AC214" s="105"/>
    </row>
    <row r="215" spans="1:29" ht="15">
      <c r="A215" s="105"/>
      <c r="B215" s="105"/>
      <c r="C215" s="106"/>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220"/>
      <c r="AC215" s="105"/>
    </row>
    <row r="216" spans="1:29" ht="15">
      <c r="A216" s="105"/>
      <c r="B216" s="105"/>
      <c r="C216" s="106"/>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220"/>
      <c r="AC216" s="105"/>
    </row>
    <row r="217" spans="1:29" ht="15">
      <c r="A217" s="105"/>
      <c r="B217" s="105"/>
      <c r="C217" s="106"/>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220"/>
      <c r="AC217" s="105"/>
    </row>
    <row r="218" spans="1:29" ht="15">
      <c r="A218" s="105"/>
      <c r="B218" s="105"/>
      <c r="C218" s="106"/>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220"/>
      <c r="AC218" s="105"/>
    </row>
    <row r="219" spans="1:29" ht="15">
      <c r="A219" s="105"/>
      <c r="B219" s="105"/>
      <c r="C219" s="106"/>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220"/>
      <c r="AC219" s="105"/>
    </row>
    <row r="220" spans="1:29" ht="15">
      <c r="A220" s="105"/>
      <c r="B220" s="105"/>
      <c r="C220" s="106"/>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220"/>
      <c r="AC220" s="105"/>
    </row>
    <row r="221" spans="1:29" ht="15">
      <c r="A221" s="105"/>
      <c r="B221" s="105"/>
      <c r="C221" s="106"/>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220"/>
      <c r="AC221" s="105"/>
    </row>
    <row r="222" spans="1:29" ht="15">
      <c r="A222" s="105"/>
      <c r="B222" s="105"/>
      <c r="C222" s="106"/>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220"/>
      <c r="AC222" s="105"/>
    </row>
    <row r="223" spans="1:29" ht="15">
      <c r="A223" s="105"/>
      <c r="B223" s="105"/>
      <c r="C223" s="106"/>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220"/>
      <c r="AC223" s="105"/>
    </row>
    <row r="224" spans="1:29" ht="15">
      <c r="A224" s="105"/>
      <c r="B224" s="105"/>
      <c r="C224" s="106"/>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220"/>
      <c r="AC224" s="105"/>
    </row>
    <row r="225" spans="1:29" ht="15">
      <c r="A225" s="105"/>
      <c r="B225" s="105"/>
      <c r="C225" s="106"/>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220"/>
      <c r="AC225" s="105"/>
    </row>
    <row r="226" spans="1:29" ht="15">
      <c r="A226" s="105"/>
      <c r="B226" s="105"/>
      <c r="C226" s="106"/>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220"/>
      <c r="AC226" s="105"/>
    </row>
    <row r="227" spans="1:29" ht="15">
      <c r="A227" s="105"/>
      <c r="B227" s="105"/>
      <c r="C227" s="106"/>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220"/>
      <c r="AC227" s="105"/>
    </row>
    <row r="228" spans="1:29" ht="15">
      <c r="A228" s="105"/>
      <c r="B228" s="105"/>
      <c r="C228" s="106"/>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220"/>
      <c r="AC228" s="105"/>
    </row>
    <row r="229" spans="1:29" ht="15">
      <c r="A229" s="105"/>
      <c r="B229" s="105"/>
      <c r="C229" s="106"/>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220"/>
      <c r="AC229" s="105"/>
    </row>
    <row r="230" spans="1:29" ht="15">
      <c r="A230" s="105"/>
      <c r="B230" s="105"/>
      <c r="C230" s="106"/>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220"/>
      <c r="AC230" s="105"/>
    </row>
    <row r="231" spans="1:29" ht="15">
      <c r="A231" s="105"/>
      <c r="B231" s="105"/>
      <c r="C231" s="106"/>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220"/>
      <c r="AC231" s="105"/>
    </row>
    <row r="232" spans="1:29" ht="15">
      <c r="A232" s="105"/>
      <c r="B232" s="105"/>
      <c r="C232" s="106"/>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220"/>
      <c r="AC232" s="105"/>
    </row>
    <row r="233" spans="1:29" ht="15">
      <c r="A233" s="105"/>
      <c r="B233" s="105"/>
      <c r="C233" s="106"/>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220"/>
      <c r="AC233" s="105"/>
    </row>
    <row r="234" spans="1:29" ht="15">
      <c r="A234" s="105"/>
      <c r="B234" s="105"/>
      <c r="C234" s="106"/>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220"/>
      <c r="AC234" s="105"/>
    </row>
    <row r="235" spans="1:29" ht="15">
      <c r="A235" s="105"/>
      <c r="B235" s="105"/>
      <c r="C235" s="106"/>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220"/>
      <c r="AC235" s="105"/>
    </row>
    <row r="236" spans="1:29" ht="15">
      <c r="A236" s="105"/>
      <c r="B236" s="105"/>
      <c r="C236" s="106"/>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220"/>
      <c r="AC236" s="105"/>
    </row>
    <row r="237" spans="1:29" ht="15">
      <c r="A237" s="105"/>
      <c r="B237" s="105"/>
      <c r="C237" s="106"/>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220"/>
      <c r="AC237" s="105"/>
    </row>
    <row r="238" spans="1:29" ht="15">
      <c r="A238" s="105"/>
      <c r="B238" s="105"/>
      <c r="C238" s="106"/>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220"/>
      <c r="AC238" s="105"/>
    </row>
    <row r="239" spans="1:29" ht="15">
      <c r="A239" s="105"/>
      <c r="B239" s="105"/>
      <c r="C239" s="106"/>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220"/>
      <c r="AC239" s="105"/>
    </row>
    <row r="240" spans="1:29" ht="15">
      <c r="A240" s="105"/>
      <c r="B240" s="105"/>
      <c r="C240" s="106"/>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220"/>
      <c r="AC240" s="105"/>
    </row>
    <row r="241" spans="1:29" ht="15">
      <c r="A241" s="105"/>
      <c r="B241" s="105"/>
      <c r="C241" s="106"/>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220"/>
      <c r="AC241" s="105"/>
    </row>
    <row r="242" spans="1:29" ht="15">
      <c r="A242" s="105"/>
      <c r="B242" s="105"/>
      <c r="C242" s="106"/>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220"/>
      <c r="AC242" s="105"/>
    </row>
    <row r="243" spans="1:29" ht="15">
      <c r="A243" s="105"/>
      <c r="B243" s="105"/>
      <c r="C243" s="106"/>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220"/>
      <c r="AC243" s="105"/>
    </row>
    <row r="244" spans="1:29" ht="15">
      <c r="A244" s="105"/>
      <c r="B244" s="105"/>
      <c r="C244" s="106"/>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220"/>
      <c r="AC244" s="105"/>
    </row>
    <row r="245" spans="1:29" ht="15">
      <c r="A245" s="105"/>
      <c r="B245" s="105"/>
      <c r="C245" s="106"/>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220"/>
      <c r="AC245" s="105"/>
    </row>
    <row r="246" spans="1:29" ht="15">
      <c r="A246" s="105"/>
      <c r="B246" s="105"/>
      <c r="C246" s="106"/>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220"/>
      <c r="AC246" s="105"/>
    </row>
    <row r="247" spans="1:29" ht="15">
      <c r="A247" s="105"/>
      <c r="B247" s="105"/>
      <c r="C247" s="106"/>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220"/>
      <c r="AC247" s="105"/>
    </row>
    <row r="248" spans="1:29" ht="15">
      <c r="A248" s="105"/>
      <c r="B248" s="105"/>
      <c r="C248" s="106"/>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220"/>
      <c r="AC248" s="105"/>
    </row>
    <row r="249" spans="1:29" ht="15">
      <c r="A249" s="105"/>
      <c r="B249" s="105"/>
      <c r="C249" s="106"/>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220"/>
      <c r="AC249" s="105"/>
    </row>
    <row r="250" spans="1:29" ht="15">
      <c r="A250" s="105"/>
      <c r="B250" s="105"/>
      <c r="C250" s="106"/>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220"/>
      <c r="AC250" s="105"/>
    </row>
    <row r="251" spans="1:29" ht="15">
      <c r="A251" s="105"/>
      <c r="B251" s="105"/>
      <c r="C251" s="106"/>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220"/>
      <c r="AC251" s="105"/>
    </row>
    <row r="252" spans="1:29" ht="15">
      <c r="A252" s="105"/>
      <c r="B252" s="105"/>
      <c r="C252" s="106"/>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220"/>
      <c r="AC252" s="105"/>
    </row>
    <row r="253" spans="1:29" ht="15">
      <c r="A253" s="105"/>
      <c r="B253" s="105"/>
      <c r="C253" s="106"/>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220"/>
      <c r="AC253" s="105"/>
    </row>
    <row r="254" spans="1:29" ht="15">
      <c r="A254" s="105"/>
      <c r="B254" s="105"/>
      <c r="C254" s="106"/>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220"/>
      <c r="AC254" s="105"/>
    </row>
    <row r="255" spans="1:29" ht="15">
      <c r="A255" s="105"/>
      <c r="B255" s="105"/>
      <c r="C255" s="106"/>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220"/>
      <c r="AC255" s="105"/>
    </row>
    <row r="256" spans="1:29" ht="15">
      <c r="A256" s="105"/>
      <c r="B256" s="105"/>
      <c r="C256" s="106"/>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220"/>
      <c r="AC256" s="105"/>
    </row>
    <row r="257" spans="1:29" ht="15">
      <c r="A257" s="105"/>
      <c r="B257" s="105"/>
      <c r="C257" s="106"/>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220"/>
      <c r="AC257" s="105"/>
    </row>
    <row r="258" spans="1:29" ht="15">
      <c r="A258" s="105"/>
      <c r="B258" s="105"/>
      <c r="C258" s="106"/>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220"/>
      <c r="AC258" s="105"/>
    </row>
    <row r="259" spans="1:29" ht="15">
      <c r="A259" s="105"/>
      <c r="B259" s="105"/>
      <c r="C259" s="106"/>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220"/>
      <c r="AC259" s="105"/>
    </row>
    <row r="260" spans="1:29" ht="15">
      <c r="A260" s="105"/>
      <c r="B260" s="105"/>
      <c r="C260" s="106"/>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220"/>
      <c r="AC260" s="105"/>
    </row>
    <row r="261" spans="1:29" ht="15">
      <c r="A261" s="105"/>
      <c r="B261" s="105"/>
      <c r="C261" s="106"/>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220"/>
      <c r="AC261" s="105"/>
    </row>
    <row r="262" spans="1:29" ht="15">
      <c r="A262" s="105"/>
      <c r="B262" s="105"/>
      <c r="C262" s="106"/>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220"/>
      <c r="AC262" s="105"/>
    </row>
    <row r="263" spans="1:29" ht="15">
      <c r="A263" s="105"/>
      <c r="B263" s="105"/>
      <c r="C263" s="106"/>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220"/>
      <c r="AC263" s="105"/>
    </row>
    <row r="264" spans="1:29" ht="15">
      <c r="A264" s="105"/>
      <c r="B264" s="105"/>
      <c r="C264" s="106"/>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220"/>
      <c r="AC264" s="105"/>
    </row>
    <row r="265" spans="1:29" ht="15">
      <c r="A265" s="105"/>
      <c r="B265" s="105"/>
      <c r="C265" s="106"/>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220"/>
      <c r="AC265" s="105"/>
    </row>
    <row r="266" spans="1:29" ht="15">
      <c r="A266" s="105"/>
      <c r="B266" s="105"/>
      <c r="C266" s="106"/>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220"/>
      <c r="AC266" s="105"/>
    </row>
    <row r="267" spans="1:29" ht="15">
      <c r="A267" s="105"/>
      <c r="B267" s="105"/>
      <c r="C267" s="106"/>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220"/>
      <c r="AC267" s="105"/>
    </row>
    <row r="268" spans="1:29" ht="15">
      <c r="A268" s="105"/>
      <c r="B268" s="105"/>
      <c r="C268" s="106"/>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220"/>
      <c r="AC268" s="105"/>
    </row>
    <row r="269" spans="1:29" ht="15">
      <c r="A269" s="105"/>
      <c r="B269" s="105"/>
      <c r="C269" s="106"/>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220"/>
      <c r="AC269" s="105"/>
    </row>
    <row r="270" spans="1:29" ht="15">
      <c r="A270" s="105"/>
      <c r="B270" s="105"/>
      <c r="C270" s="106"/>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220"/>
      <c r="AC270" s="105"/>
    </row>
    <row r="271" spans="1:29" ht="15">
      <c r="A271" s="105"/>
      <c r="B271" s="105"/>
      <c r="C271" s="106"/>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220"/>
      <c r="AC271" s="105"/>
    </row>
    <row r="272" spans="1:29" ht="15">
      <c r="A272" s="105"/>
      <c r="B272" s="105"/>
      <c r="C272" s="106"/>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220"/>
      <c r="AC272" s="105"/>
    </row>
    <row r="273" spans="1:29" ht="15">
      <c r="A273" s="105"/>
      <c r="B273" s="105"/>
      <c r="C273" s="106"/>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220"/>
      <c r="AC273" s="105"/>
    </row>
    <row r="274" spans="1:29" ht="15">
      <c r="A274" s="105"/>
      <c r="B274" s="105"/>
      <c r="C274" s="106"/>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220"/>
      <c r="AC274" s="105"/>
    </row>
    <row r="275" spans="1:29" ht="15">
      <c r="A275" s="105"/>
      <c r="B275" s="105"/>
      <c r="C275" s="106"/>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220"/>
      <c r="AC275" s="105"/>
    </row>
    <row r="276" spans="1:29" ht="15">
      <c r="A276" s="105"/>
      <c r="B276" s="105"/>
      <c r="C276" s="106"/>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220"/>
      <c r="AC276" s="105"/>
    </row>
    <row r="277" spans="1:29" ht="15">
      <c r="A277" s="105"/>
      <c r="B277" s="105"/>
      <c r="C277" s="106"/>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220"/>
      <c r="AC277" s="105"/>
    </row>
    <row r="278" spans="1:29" ht="15">
      <c r="A278" s="105"/>
      <c r="B278" s="105"/>
      <c r="C278" s="106"/>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220"/>
      <c r="AC278" s="105"/>
    </row>
    <row r="279" spans="1:29" ht="15">
      <c r="A279" s="105"/>
      <c r="B279" s="105"/>
      <c r="C279" s="106"/>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220"/>
      <c r="AC279" s="105"/>
    </row>
    <row r="280" spans="1:29" ht="15">
      <c r="A280" s="105"/>
      <c r="B280" s="105"/>
      <c r="C280" s="106"/>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220"/>
      <c r="AC280" s="105"/>
    </row>
    <row r="281" spans="1:29" ht="15">
      <c r="A281" s="105"/>
      <c r="B281" s="105"/>
      <c r="C281" s="106"/>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220"/>
      <c r="AC281" s="105"/>
    </row>
    <row r="282" spans="1:29" ht="15">
      <c r="A282" s="105"/>
      <c r="B282" s="105"/>
      <c r="C282" s="106"/>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220"/>
      <c r="AC282" s="105"/>
    </row>
    <row r="283" spans="1:29" ht="15">
      <c r="A283" s="105"/>
      <c r="B283" s="105"/>
      <c r="C283" s="106"/>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220"/>
      <c r="AC283" s="105"/>
    </row>
    <row r="284" spans="1:29" ht="15">
      <c r="A284" s="105"/>
      <c r="B284" s="105"/>
      <c r="C284" s="106"/>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220"/>
      <c r="AC284" s="105"/>
    </row>
    <row r="285" spans="1:29" ht="15">
      <c r="A285" s="105"/>
      <c r="B285" s="105"/>
      <c r="C285" s="106"/>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220"/>
      <c r="AC285" s="105"/>
    </row>
    <row r="286" spans="1:29" ht="15">
      <c r="A286" s="105"/>
      <c r="B286" s="105"/>
      <c r="C286" s="106"/>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220"/>
      <c r="AC286" s="105"/>
    </row>
    <row r="287" spans="1:29" ht="15">
      <c r="A287" s="105"/>
      <c r="B287" s="105"/>
      <c r="C287" s="106"/>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220"/>
      <c r="AC287" s="105"/>
    </row>
    <row r="288" spans="1:29" ht="15">
      <c r="A288" s="105"/>
      <c r="B288" s="105"/>
      <c r="C288" s="106"/>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220"/>
      <c r="AC288" s="105"/>
    </row>
    <row r="289" spans="1:29" ht="15">
      <c r="A289" s="105"/>
      <c r="B289" s="105"/>
      <c r="C289" s="106"/>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220"/>
      <c r="AC289" s="105"/>
    </row>
    <row r="290" spans="1:29" ht="15">
      <c r="A290" s="105"/>
      <c r="B290" s="105"/>
      <c r="C290" s="106"/>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220"/>
      <c r="AC290" s="105"/>
    </row>
    <row r="291" spans="1:29" ht="15">
      <c r="A291" s="105"/>
      <c r="B291" s="105"/>
      <c r="C291" s="106"/>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220"/>
      <c r="AC291" s="105"/>
    </row>
    <row r="292" spans="1:29" ht="15">
      <c r="A292" s="105"/>
      <c r="B292" s="105"/>
      <c r="C292" s="106"/>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220"/>
      <c r="AC292" s="105"/>
    </row>
    <row r="293" spans="1:29" ht="15">
      <c r="A293" s="105"/>
      <c r="B293" s="105"/>
      <c r="C293" s="106"/>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220"/>
      <c r="AC293" s="105"/>
    </row>
    <row r="294" spans="1:29" ht="15">
      <c r="A294" s="105"/>
      <c r="B294" s="105"/>
      <c r="C294" s="106"/>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220"/>
      <c r="AC294" s="105"/>
    </row>
    <row r="295" spans="1:29" ht="15">
      <c r="A295" s="105"/>
      <c r="B295" s="105"/>
      <c r="C295" s="106"/>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220"/>
      <c r="AC295" s="105"/>
    </row>
    <row r="296" spans="1:29" ht="15">
      <c r="A296" s="105"/>
      <c r="B296" s="105"/>
      <c r="C296" s="106"/>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220"/>
      <c r="AC296" s="105"/>
    </row>
    <row r="297" spans="1:29" ht="15">
      <c r="A297" s="105"/>
      <c r="B297" s="105"/>
      <c r="C297" s="106"/>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220"/>
      <c r="AC297" s="105"/>
    </row>
    <row r="298" spans="1:29" ht="15">
      <c r="A298" s="105"/>
      <c r="B298" s="105"/>
      <c r="C298" s="106"/>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220"/>
      <c r="AC298" s="105"/>
    </row>
    <row r="299" spans="1:29" ht="15">
      <c r="A299" s="105"/>
      <c r="B299" s="105"/>
      <c r="C299" s="106"/>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220"/>
      <c r="AC299" s="105"/>
    </row>
    <row r="300" spans="1:29" ht="15">
      <c r="A300" s="105"/>
      <c r="B300" s="105"/>
      <c r="C300" s="106"/>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220"/>
      <c r="AC300" s="105"/>
    </row>
    <row r="301" spans="1:29" ht="15">
      <c r="A301" s="105"/>
      <c r="B301" s="105"/>
      <c r="C301" s="106"/>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220"/>
      <c r="AC301" s="105"/>
    </row>
    <row r="302" spans="1:29" ht="15">
      <c r="A302" s="105"/>
      <c r="B302" s="105"/>
      <c r="C302" s="106"/>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220"/>
      <c r="AC302" s="105"/>
    </row>
    <row r="303" spans="1:29" ht="15">
      <c r="A303" s="105"/>
      <c r="B303" s="105"/>
      <c r="C303" s="106"/>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220"/>
      <c r="AC303" s="105"/>
    </row>
    <row r="304" spans="1:29" ht="15">
      <c r="A304" s="105"/>
      <c r="B304" s="105"/>
      <c r="C304" s="106"/>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220"/>
      <c r="AC304" s="105"/>
    </row>
    <row r="305" spans="1:29" ht="15">
      <c r="A305" s="105"/>
      <c r="B305" s="105"/>
      <c r="C305" s="106"/>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220"/>
      <c r="AC305" s="105"/>
    </row>
    <row r="306" spans="1:29" ht="15">
      <c r="A306" s="105"/>
      <c r="B306" s="105"/>
      <c r="C306" s="106"/>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220"/>
      <c r="AC306" s="105"/>
    </row>
    <row r="307" spans="1:29" ht="15">
      <c r="A307" s="105"/>
      <c r="B307" s="105"/>
      <c r="C307" s="106"/>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220"/>
      <c r="AC307" s="105"/>
    </row>
    <row r="308" spans="1:29" ht="15">
      <c r="A308" s="105"/>
      <c r="B308" s="105"/>
      <c r="C308" s="106"/>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220"/>
      <c r="AC308" s="105"/>
    </row>
    <row r="309" spans="1:29" ht="15">
      <c r="A309" s="105"/>
      <c r="B309" s="105"/>
      <c r="C309" s="106"/>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220"/>
      <c r="AC309" s="105"/>
    </row>
    <row r="310" spans="1:29" ht="15">
      <c r="A310" s="105"/>
      <c r="B310" s="105"/>
      <c r="C310" s="106"/>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220"/>
      <c r="AC310" s="105"/>
    </row>
    <row r="311" spans="1:29" ht="15">
      <c r="A311" s="105"/>
      <c r="B311" s="105"/>
      <c r="C311" s="106"/>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220"/>
      <c r="AC311" s="105"/>
    </row>
    <row r="312" spans="1:29" ht="15">
      <c r="A312" s="105"/>
      <c r="B312" s="105"/>
      <c r="C312" s="106"/>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220"/>
      <c r="AC312" s="105"/>
    </row>
    <row r="313" spans="1:29" ht="15">
      <c r="A313" s="105"/>
      <c r="B313" s="105"/>
      <c r="C313" s="106"/>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220"/>
      <c r="AC313" s="105"/>
    </row>
    <row r="314" spans="1:29" ht="15">
      <c r="A314" s="105"/>
      <c r="B314" s="105"/>
      <c r="C314" s="106"/>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220"/>
      <c r="AC314" s="105"/>
    </row>
    <row r="315" spans="1:29" ht="15">
      <c r="A315" s="105"/>
      <c r="B315" s="105"/>
      <c r="C315" s="106"/>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220"/>
      <c r="AC315" s="105"/>
    </row>
    <row r="316" spans="1:29" ht="15">
      <c r="A316" s="105"/>
      <c r="B316" s="105"/>
      <c r="C316" s="106"/>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220"/>
      <c r="AC316" s="105"/>
    </row>
    <row r="317" spans="1:29" ht="15">
      <c r="A317" s="105"/>
      <c r="B317" s="105"/>
      <c r="C317" s="106"/>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220"/>
      <c r="AC317" s="105"/>
    </row>
    <row r="318" spans="1:29" ht="15">
      <c r="A318" s="105"/>
      <c r="B318" s="105"/>
      <c r="C318" s="106"/>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220"/>
      <c r="AC318" s="105"/>
    </row>
    <row r="319" spans="1:29" ht="15">
      <c r="A319" s="105"/>
      <c r="B319" s="105"/>
      <c r="C319" s="106"/>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220"/>
      <c r="AC319" s="105"/>
    </row>
    <row r="320" spans="1:29" ht="15">
      <c r="A320" s="105"/>
      <c r="B320" s="105"/>
      <c r="C320" s="106"/>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220"/>
      <c r="AC320" s="105"/>
    </row>
    <row r="321" spans="1:29" ht="15">
      <c r="A321" s="105"/>
      <c r="B321" s="105"/>
      <c r="C321" s="106"/>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220"/>
      <c r="AC321" s="105"/>
    </row>
    <row r="322" spans="1:29" ht="15">
      <c r="A322" s="105"/>
      <c r="B322" s="105"/>
      <c r="C322" s="106"/>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220"/>
      <c r="AC322" s="105"/>
    </row>
    <row r="323" spans="1:29" ht="15">
      <c r="A323" s="105"/>
      <c r="B323" s="105"/>
      <c r="C323" s="106"/>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220"/>
      <c r="AC323" s="105"/>
    </row>
    <row r="324" spans="1:29" ht="15">
      <c r="A324" s="105"/>
      <c r="B324" s="105"/>
      <c r="C324" s="106"/>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220"/>
      <c r="AC324" s="105"/>
    </row>
    <row r="325" spans="1:29" ht="15">
      <c r="A325" s="105"/>
      <c r="B325" s="105"/>
      <c r="C325" s="106"/>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220"/>
      <c r="AC325" s="105"/>
    </row>
    <row r="326" spans="1:29" ht="15">
      <c r="A326" s="105"/>
      <c r="B326" s="105"/>
      <c r="C326" s="106"/>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220"/>
      <c r="AC326" s="105"/>
    </row>
    <row r="327" spans="1:29" ht="15">
      <c r="A327" s="105"/>
      <c r="B327" s="105"/>
      <c r="C327" s="106"/>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220"/>
      <c r="AC327" s="105"/>
    </row>
    <row r="328" spans="1:29" ht="15">
      <c r="A328" s="105"/>
      <c r="B328" s="105"/>
      <c r="C328" s="106"/>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220"/>
      <c r="AC328" s="105"/>
    </row>
    <row r="329" spans="1:29" ht="15">
      <c r="A329" s="105"/>
      <c r="B329" s="105"/>
      <c r="C329" s="106"/>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220"/>
      <c r="AC329" s="105"/>
    </row>
    <row r="330" spans="1:29" ht="15">
      <c r="A330" s="105"/>
      <c r="B330" s="105"/>
      <c r="C330" s="106"/>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220"/>
      <c r="AC330" s="105"/>
    </row>
    <row r="331" spans="1:29" ht="15">
      <c r="A331" s="105"/>
      <c r="B331" s="105"/>
      <c r="C331" s="106"/>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220"/>
      <c r="AC331" s="105"/>
    </row>
    <row r="332" spans="1:29" ht="15">
      <c r="A332" s="105"/>
      <c r="B332" s="105"/>
      <c r="C332" s="106"/>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220"/>
      <c r="AC332" s="105"/>
    </row>
    <row r="333" spans="1:29" ht="15">
      <c r="A333" s="105"/>
      <c r="B333" s="105"/>
      <c r="C333" s="106"/>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220"/>
      <c r="AC333" s="105"/>
    </row>
    <row r="334" spans="1:29" ht="15">
      <c r="A334" s="105"/>
      <c r="B334" s="105"/>
      <c r="C334" s="106"/>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220"/>
      <c r="AC334" s="105"/>
    </row>
    <row r="335" spans="1:29" ht="15">
      <c r="A335" s="105"/>
      <c r="B335" s="105"/>
      <c r="C335" s="106"/>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220"/>
      <c r="AC335" s="105"/>
    </row>
    <row r="336" spans="1:29" ht="15">
      <c r="A336" s="105"/>
      <c r="B336" s="105"/>
      <c r="C336" s="106"/>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220"/>
      <c r="AC336" s="105"/>
    </row>
    <row r="337" spans="1:29" ht="15">
      <c r="A337" s="105"/>
      <c r="B337" s="105"/>
      <c r="C337" s="106"/>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220"/>
      <c r="AC337" s="105"/>
    </row>
    <row r="338" spans="1:29" ht="15">
      <c r="A338" s="105"/>
      <c r="B338" s="105"/>
      <c r="C338" s="106"/>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220"/>
      <c r="AC338" s="105"/>
    </row>
    <row r="339" spans="1:29" ht="15">
      <c r="A339" s="105"/>
      <c r="B339" s="105"/>
      <c r="C339" s="106"/>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220"/>
      <c r="AC339" s="105"/>
    </row>
    <row r="340" spans="1:29" ht="15">
      <c r="A340" s="105"/>
      <c r="B340" s="105"/>
      <c r="C340" s="106"/>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220"/>
      <c r="AC340" s="105"/>
    </row>
    <row r="341" spans="1:29" ht="15">
      <c r="A341" s="105"/>
      <c r="B341" s="105"/>
      <c r="C341" s="106"/>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220"/>
      <c r="AC341" s="105"/>
    </row>
    <row r="342" spans="1:29" ht="15">
      <c r="A342" s="105"/>
      <c r="B342" s="105"/>
      <c r="C342" s="106"/>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220"/>
      <c r="AC342" s="105"/>
    </row>
    <row r="343" spans="1:29" ht="15">
      <c r="A343" s="105"/>
      <c r="B343" s="105"/>
      <c r="C343" s="106"/>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220"/>
      <c r="AC343" s="105"/>
    </row>
    <row r="344" spans="1:29" ht="15">
      <c r="A344" s="105"/>
      <c r="B344" s="105"/>
      <c r="C344" s="106"/>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220"/>
      <c r="AC344" s="105"/>
    </row>
    <row r="345" spans="1:29" ht="15">
      <c r="A345" s="105"/>
      <c r="B345" s="105"/>
      <c r="C345" s="106"/>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220"/>
      <c r="AC345" s="105"/>
    </row>
    <row r="346" spans="1:29" ht="15">
      <c r="A346" s="105"/>
      <c r="B346" s="105"/>
      <c r="C346" s="106"/>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220"/>
      <c r="AC346" s="105"/>
    </row>
    <row r="347" spans="1:29" ht="15">
      <c r="A347" s="105"/>
      <c r="B347" s="105"/>
      <c r="C347" s="106"/>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220"/>
      <c r="AC347" s="105"/>
    </row>
    <row r="348" spans="1:29" ht="15">
      <c r="A348" s="105"/>
      <c r="B348" s="105"/>
      <c r="C348" s="106"/>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220"/>
      <c r="AC348" s="105"/>
    </row>
    <row r="349" spans="1:29" ht="15">
      <c r="A349" s="105"/>
      <c r="B349" s="105"/>
      <c r="C349" s="106"/>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220"/>
      <c r="AC349" s="105"/>
    </row>
    <row r="350" spans="1:29" ht="15">
      <c r="A350" s="105"/>
      <c r="B350" s="105"/>
      <c r="C350" s="106"/>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220"/>
      <c r="AC350" s="105"/>
    </row>
    <row r="351" spans="1:29" ht="15">
      <c r="A351" s="105"/>
      <c r="B351" s="105"/>
      <c r="C351" s="106"/>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220"/>
      <c r="AC351" s="105"/>
    </row>
    <row r="352" spans="1:29" ht="15">
      <c r="A352" s="105"/>
      <c r="B352" s="105"/>
      <c r="C352" s="106"/>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220"/>
      <c r="AC352" s="105"/>
    </row>
    <row r="353" spans="1:29" ht="15">
      <c r="A353" s="105"/>
      <c r="B353" s="105"/>
      <c r="C353" s="106"/>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220"/>
      <c r="AC353" s="105"/>
    </row>
    <row r="354" spans="1:29" ht="15">
      <c r="A354" s="105"/>
      <c r="B354" s="105"/>
      <c r="C354" s="106"/>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220"/>
      <c r="AC354" s="105"/>
    </row>
    <row r="355" spans="1:29" ht="15">
      <c r="A355" s="105"/>
      <c r="B355" s="105"/>
      <c r="C355" s="106"/>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220"/>
      <c r="AC355" s="105"/>
    </row>
    <row r="356" spans="1:29" ht="15">
      <c r="A356" s="105"/>
      <c r="B356" s="105"/>
      <c r="C356" s="106"/>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220"/>
      <c r="AC356" s="105"/>
    </row>
    <row r="357" spans="1:29" ht="15">
      <c r="A357" s="105"/>
      <c r="B357" s="105"/>
      <c r="C357" s="106"/>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220"/>
      <c r="AC357" s="105"/>
    </row>
    <row r="358" spans="1:29" ht="15">
      <c r="A358" s="105"/>
      <c r="B358" s="105"/>
      <c r="C358" s="106"/>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220"/>
      <c r="AC358" s="105"/>
    </row>
    <row r="359" spans="1:29" ht="15">
      <c r="A359" s="105"/>
      <c r="B359" s="105"/>
      <c r="C359" s="106"/>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220"/>
      <c r="AC359" s="105"/>
    </row>
    <row r="360" spans="1:29" ht="15">
      <c r="A360" s="105"/>
      <c r="B360" s="105"/>
      <c r="C360" s="106"/>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220"/>
      <c r="AC360" s="105"/>
    </row>
    <row r="361" spans="1:29" ht="15">
      <c r="A361" s="105"/>
      <c r="B361" s="105"/>
      <c r="C361" s="106"/>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220"/>
      <c r="AC361" s="105"/>
    </row>
    <row r="362" spans="1:29" ht="15">
      <c r="A362" s="105"/>
      <c r="B362" s="105"/>
      <c r="C362" s="106"/>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220"/>
      <c r="AC362" s="105"/>
    </row>
    <row r="363" spans="1:29" ht="15">
      <c r="A363" s="105"/>
      <c r="B363" s="105"/>
      <c r="C363" s="106"/>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220"/>
      <c r="AC363" s="105"/>
    </row>
    <row r="364" spans="1:29" ht="15">
      <c r="A364" s="105"/>
      <c r="B364" s="105"/>
      <c r="C364" s="106"/>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220"/>
      <c r="AC364" s="105"/>
    </row>
    <row r="365" spans="1:29" ht="15">
      <c r="A365" s="105"/>
      <c r="B365" s="105"/>
      <c r="C365" s="106"/>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220"/>
      <c r="AC365" s="105"/>
    </row>
    <row r="366" spans="1:29" ht="15">
      <c r="A366" s="105"/>
      <c r="B366" s="105"/>
      <c r="C366" s="106"/>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220"/>
      <c r="AC366" s="105"/>
    </row>
    <row r="367" spans="1:29" ht="15">
      <c r="A367" s="105"/>
      <c r="B367" s="105"/>
      <c r="C367" s="106"/>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220"/>
      <c r="AC367" s="105"/>
    </row>
    <row r="368" spans="1:29" ht="15">
      <c r="A368" s="105"/>
      <c r="B368" s="105"/>
      <c r="C368" s="106"/>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220"/>
      <c r="AC368" s="105"/>
    </row>
    <row r="369" spans="1:29" ht="15">
      <c r="A369" s="105"/>
      <c r="B369" s="105"/>
      <c r="C369" s="106"/>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220"/>
      <c r="AC369" s="105"/>
    </row>
    <row r="370" spans="1:29" ht="15">
      <c r="A370" s="105"/>
      <c r="B370" s="105"/>
      <c r="C370" s="106"/>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220"/>
      <c r="AC370" s="105"/>
    </row>
    <row r="371" spans="1:29" ht="15">
      <c r="A371" s="105"/>
      <c r="B371" s="105"/>
      <c r="C371" s="106"/>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220"/>
      <c r="AC371" s="105"/>
    </row>
    <row r="372" spans="1:29" ht="15">
      <c r="A372" s="105"/>
      <c r="B372" s="105"/>
      <c r="C372" s="106"/>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220"/>
      <c r="AC372" s="105"/>
    </row>
    <row r="373" spans="1:29" ht="15">
      <c r="A373" s="105"/>
      <c r="B373" s="105"/>
      <c r="C373" s="106"/>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220"/>
      <c r="AC373" s="105"/>
    </row>
    <row r="374" spans="1:29" ht="15">
      <c r="A374" s="105"/>
      <c r="B374" s="105"/>
      <c r="C374" s="106"/>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220"/>
      <c r="AC374" s="105"/>
    </row>
    <row r="375" spans="1:29" ht="15">
      <c r="A375" s="105"/>
      <c r="B375" s="105"/>
      <c r="C375" s="106"/>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220"/>
      <c r="AC375" s="105"/>
    </row>
    <row r="376" spans="1:29" ht="15">
      <c r="A376" s="105"/>
      <c r="B376" s="105"/>
      <c r="C376" s="106"/>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220"/>
      <c r="AC376" s="105"/>
    </row>
    <row r="377" spans="1:29" ht="15">
      <c r="A377" s="105"/>
      <c r="B377" s="105"/>
      <c r="C377" s="106"/>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220"/>
      <c r="AC377" s="105"/>
    </row>
    <row r="378" spans="1:29" ht="15">
      <c r="A378" s="105"/>
      <c r="B378" s="105"/>
      <c r="C378" s="106"/>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220"/>
      <c r="AC378" s="105"/>
    </row>
    <row r="379" spans="1:29" ht="15">
      <c r="A379" s="105"/>
      <c r="B379" s="105"/>
      <c r="C379" s="106"/>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220"/>
      <c r="AC379" s="105"/>
    </row>
    <row r="380" spans="1:29" ht="15">
      <c r="A380" s="105"/>
      <c r="B380" s="105"/>
      <c r="C380" s="106"/>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220"/>
      <c r="AC380" s="105"/>
    </row>
    <row r="381" spans="1:29" ht="15">
      <c r="A381" s="105"/>
      <c r="B381" s="105"/>
      <c r="C381" s="106"/>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220"/>
      <c r="AC381" s="105"/>
    </row>
    <row r="382" spans="1:29" ht="15">
      <c r="A382" s="105"/>
      <c r="B382" s="105"/>
      <c r="C382" s="106"/>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220"/>
      <c r="AC382" s="105"/>
    </row>
    <row r="383" spans="1:29" ht="15">
      <c r="A383" s="105"/>
      <c r="B383" s="105"/>
      <c r="C383" s="106"/>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220"/>
      <c r="AC383" s="105"/>
    </row>
    <row r="384" spans="1:29" ht="15">
      <c r="A384" s="105"/>
      <c r="B384" s="105"/>
      <c r="C384" s="106"/>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220"/>
      <c r="AC384" s="105"/>
    </row>
    <row r="385" spans="1:29" ht="15">
      <c r="A385" s="105"/>
      <c r="B385" s="105"/>
      <c r="C385" s="106"/>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220"/>
      <c r="AC385" s="105"/>
    </row>
    <row r="386" spans="1:29" ht="15">
      <c r="A386" s="105"/>
      <c r="B386" s="105"/>
      <c r="C386" s="106"/>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220"/>
      <c r="AC386" s="105"/>
    </row>
    <row r="387" spans="1:29" ht="15">
      <c r="A387" s="105"/>
      <c r="B387" s="105"/>
      <c r="C387" s="106"/>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220"/>
      <c r="AC387" s="105"/>
    </row>
    <row r="388" spans="1:29" ht="15">
      <c r="A388" s="105"/>
      <c r="B388" s="105"/>
      <c r="C388" s="106"/>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220"/>
      <c r="AC388" s="105"/>
    </row>
    <row r="389" spans="1:29" ht="15">
      <c r="A389" s="105"/>
      <c r="B389" s="105"/>
      <c r="C389" s="106"/>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220"/>
      <c r="AC389" s="105"/>
    </row>
    <row r="390" spans="1:29" ht="15">
      <c r="A390" s="105"/>
      <c r="B390" s="105"/>
      <c r="C390" s="106"/>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220"/>
      <c r="AC390" s="105"/>
    </row>
    <row r="391" spans="1:29" ht="15">
      <c r="A391" s="105"/>
      <c r="B391" s="105"/>
      <c r="C391" s="106"/>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220"/>
      <c r="AC391" s="105"/>
    </row>
    <row r="392" spans="1:29" ht="15">
      <c r="A392" s="105"/>
      <c r="B392" s="105"/>
      <c r="C392" s="106"/>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220"/>
      <c r="AC392" s="105"/>
    </row>
    <row r="393" spans="1:29" ht="15">
      <c r="A393" s="105"/>
      <c r="B393" s="105"/>
      <c r="C393" s="106"/>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220"/>
      <c r="AC393" s="105"/>
    </row>
    <row r="394" spans="1:29" ht="15">
      <c r="A394" s="105"/>
      <c r="B394" s="105"/>
      <c r="C394" s="106"/>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220"/>
      <c r="AC394" s="105"/>
    </row>
    <row r="395" spans="1:29" ht="15">
      <c r="A395" s="105"/>
      <c r="B395" s="105"/>
      <c r="C395" s="106"/>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220"/>
      <c r="AC395" s="105"/>
    </row>
    <row r="396" spans="1:29" ht="15">
      <c r="A396" s="105"/>
      <c r="B396" s="105"/>
      <c r="C396" s="106"/>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220"/>
      <c r="AC396" s="105"/>
    </row>
    <row r="397" spans="1:29" ht="15">
      <c r="A397" s="105"/>
      <c r="B397" s="105"/>
      <c r="C397" s="106"/>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220"/>
      <c r="AC397" s="105"/>
    </row>
    <row r="398" spans="1:29" ht="15">
      <c r="A398" s="105"/>
      <c r="B398" s="105"/>
      <c r="C398" s="106"/>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220"/>
      <c r="AC398" s="105"/>
    </row>
    <row r="399" spans="1:29" ht="15">
      <c r="A399" s="105"/>
      <c r="B399" s="105"/>
      <c r="C399" s="106"/>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220"/>
      <c r="AC399" s="105"/>
    </row>
    <row r="400" spans="1:29" ht="15">
      <c r="A400" s="105"/>
      <c r="B400" s="105"/>
      <c r="C400" s="106"/>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220"/>
      <c r="AC400" s="105"/>
    </row>
    <row r="401" spans="1:29" ht="15">
      <c r="A401" s="105"/>
      <c r="B401" s="105"/>
      <c r="C401" s="106"/>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220"/>
      <c r="AC401" s="105"/>
    </row>
    <row r="402" spans="1:29" ht="15">
      <c r="A402" s="105"/>
      <c r="B402" s="105"/>
      <c r="C402" s="106"/>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220"/>
      <c r="AC402" s="105"/>
    </row>
    <row r="403" spans="1:29" ht="15">
      <c r="A403" s="105"/>
      <c r="B403" s="105"/>
      <c r="C403" s="106"/>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220"/>
      <c r="AC403" s="105"/>
    </row>
    <row r="404" spans="1:29" ht="15">
      <c r="A404" s="105"/>
      <c r="B404" s="105"/>
      <c r="C404" s="106"/>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220"/>
      <c r="AC404" s="105"/>
    </row>
    <row r="405" spans="1:29" ht="15">
      <c r="A405" s="105"/>
      <c r="B405" s="105"/>
      <c r="C405" s="106"/>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220"/>
      <c r="AC405" s="105"/>
    </row>
    <row r="406" spans="1:29" ht="15">
      <c r="A406" s="105"/>
      <c r="B406" s="105"/>
      <c r="C406" s="106"/>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220"/>
      <c r="AC406" s="105"/>
    </row>
    <row r="407" spans="1:29" ht="15">
      <c r="A407" s="105"/>
      <c r="B407" s="105"/>
      <c r="C407" s="106"/>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220"/>
      <c r="AC407" s="105"/>
    </row>
    <row r="408" spans="1:29" ht="15">
      <c r="A408" s="105"/>
      <c r="B408" s="105"/>
      <c r="C408" s="106"/>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220"/>
      <c r="AC408" s="105"/>
    </row>
    <row r="409" spans="1:29" ht="15">
      <c r="A409" s="105"/>
      <c r="B409" s="105"/>
      <c r="C409" s="106"/>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220"/>
      <c r="AC409" s="105"/>
    </row>
    <row r="410" spans="1:29" ht="15">
      <c r="A410" s="105"/>
      <c r="B410" s="105"/>
      <c r="C410" s="106"/>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220"/>
      <c r="AC410" s="105"/>
    </row>
    <row r="411" spans="1:29" ht="15">
      <c r="A411" s="105"/>
      <c r="B411" s="105"/>
      <c r="C411" s="106"/>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220"/>
      <c r="AC411" s="105"/>
    </row>
    <row r="412" spans="1:29" ht="15">
      <c r="A412" s="105"/>
      <c r="B412" s="105"/>
      <c r="C412" s="106"/>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220"/>
      <c r="AC412" s="105"/>
    </row>
    <row r="413" spans="1:29" ht="15">
      <c r="A413" s="105"/>
      <c r="B413" s="105"/>
      <c r="C413" s="106"/>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220"/>
      <c r="AC413" s="105"/>
    </row>
    <row r="414" spans="1:29" ht="15">
      <c r="A414" s="105"/>
      <c r="B414" s="105"/>
      <c r="C414" s="106"/>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220"/>
      <c r="AC414" s="105"/>
    </row>
    <row r="415" spans="1:29" ht="15">
      <c r="A415" s="105"/>
      <c r="B415" s="105"/>
      <c r="C415" s="106"/>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220"/>
      <c r="AC415" s="105"/>
    </row>
    <row r="416" spans="1:29" ht="15">
      <c r="A416" s="105"/>
      <c r="B416" s="105"/>
      <c r="C416" s="106"/>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220"/>
      <c r="AC416" s="105"/>
    </row>
    <row r="417" spans="1:29" ht="15">
      <c r="A417" s="105"/>
      <c r="B417" s="105"/>
      <c r="C417" s="106"/>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220"/>
      <c r="AC417" s="105"/>
    </row>
    <row r="418" spans="1:29" ht="15">
      <c r="A418" s="105"/>
      <c r="B418" s="105"/>
      <c r="C418" s="106"/>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220"/>
      <c r="AC418" s="105"/>
    </row>
    <row r="419" spans="1:29" ht="15">
      <c r="A419" s="105"/>
      <c r="B419" s="105"/>
      <c r="C419" s="106"/>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220"/>
      <c r="AC419" s="105"/>
    </row>
    <row r="420" spans="1:29" ht="15">
      <c r="A420" s="105"/>
      <c r="B420" s="105"/>
      <c r="C420" s="106"/>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220"/>
      <c r="AC420" s="105"/>
    </row>
    <row r="421" spans="1:29" ht="15">
      <c r="A421" s="105"/>
      <c r="B421" s="105"/>
      <c r="C421" s="106"/>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220"/>
      <c r="AC421" s="105"/>
    </row>
    <row r="422" spans="1:29" ht="15">
      <c r="A422" s="105"/>
      <c r="B422" s="105"/>
      <c r="C422" s="106"/>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220"/>
      <c r="AC422" s="105"/>
    </row>
    <row r="423" spans="1:29" ht="15">
      <c r="A423" s="105"/>
      <c r="B423" s="105"/>
      <c r="C423" s="106"/>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220"/>
      <c r="AC423" s="105"/>
    </row>
    <row r="424" spans="1:29" ht="15">
      <c r="A424" s="105"/>
      <c r="B424" s="105"/>
      <c r="C424" s="106"/>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220"/>
      <c r="AC424" s="105"/>
    </row>
    <row r="425" spans="1:29" ht="15">
      <c r="A425" s="105"/>
      <c r="B425" s="105"/>
      <c r="C425" s="106"/>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220"/>
      <c r="AC425" s="105"/>
    </row>
    <row r="426" spans="1:29" ht="15">
      <c r="A426" s="105"/>
      <c r="B426" s="105"/>
      <c r="C426" s="106"/>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220"/>
      <c r="AC426" s="105"/>
    </row>
    <row r="427" spans="1:29" ht="15">
      <c r="A427" s="105"/>
      <c r="B427" s="105"/>
      <c r="C427" s="106"/>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220"/>
      <c r="AC427" s="105"/>
    </row>
    <row r="428" spans="1:29" ht="15">
      <c r="A428" s="105"/>
      <c r="B428" s="105"/>
      <c r="C428" s="106"/>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220"/>
      <c r="AC428" s="105"/>
    </row>
    <row r="429" spans="1:29" ht="15">
      <c r="A429" s="105"/>
      <c r="B429" s="105"/>
      <c r="C429" s="106"/>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220"/>
      <c r="AC429" s="105"/>
    </row>
    <row r="430" spans="1:29" ht="15">
      <c r="A430" s="105"/>
      <c r="B430" s="105"/>
      <c r="C430" s="106"/>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220"/>
      <c r="AC430" s="105"/>
    </row>
    <row r="431" spans="1:29" ht="15">
      <c r="A431" s="105"/>
      <c r="B431" s="105"/>
      <c r="C431" s="106"/>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220"/>
      <c r="AC431" s="105"/>
    </row>
    <row r="432" spans="1:29" ht="15">
      <c r="A432" s="105"/>
      <c r="B432" s="105"/>
      <c r="C432" s="106"/>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220"/>
      <c r="AC432" s="105"/>
    </row>
    <row r="433" spans="1:29" ht="15">
      <c r="A433" s="105"/>
      <c r="B433" s="105"/>
      <c r="C433" s="106"/>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220"/>
      <c r="AC433" s="105"/>
    </row>
    <row r="434" spans="1:29" ht="15">
      <c r="A434" s="105"/>
      <c r="B434" s="105"/>
      <c r="C434" s="106"/>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220"/>
      <c r="AC434" s="105"/>
    </row>
    <row r="435" spans="1:29" ht="15">
      <c r="A435" s="105"/>
      <c r="B435" s="105"/>
      <c r="C435" s="106"/>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220"/>
      <c r="AC435" s="105"/>
    </row>
    <row r="436" spans="1:29" ht="15">
      <c r="A436" s="105"/>
      <c r="B436" s="105"/>
      <c r="C436" s="106"/>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220"/>
      <c r="AC436" s="105"/>
    </row>
    <row r="437" spans="1:29" ht="15">
      <c r="A437" s="105"/>
      <c r="B437" s="105"/>
      <c r="C437" s="106"/>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220"/>
      <c r="AC437" s="105"/>
    </row>
    <row r="438" spans="1:29" ht="15">
      <c r="A438" s="105"/>
      <c r="B438" s="105"/>
      <c r="C438" s="106"/>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220"/>
      <c r="AC438" s="105"/>
    </row>
    <row r="439" spans="1:29" ht="15">
      <c r="A439" s="105"/>
      <c r="B439" s="105"/>
      <c r="C439" s="106"/>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220"/>
      <c r="AC439" s="105"/>
    </row>
    <row r="440" spans="1:29" ht="15">
      <c r="A440" s="105"/>
      <c r="B440" s="105"/>
      <c r="C440" s="106"/>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220"/>
      <c r="AC440" s="105"/>
    </row>
    <row r="441" spans="1:29" ht="15">
      <c r="A441" s="105"/>
      <c r="B441" s="105"/>
      <c r="C441" s="106"/>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220"/>
      <c r="AC441" s="105"/>
    </row>
    <row r="442" spans="1:29" ht="15">
      <c r="A442" s="105"/>
      <c r="B442" s="105"/>
      <c r="C442" s="106"/>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220"/>
      <c r="AC442" s="105"/>
    </row>
    <row r="443" spans="1:29" ht="15">
      <c r="A443" s="105"/>
      <c r="B443" s="105"/>
      <c r="C443" s="106"/>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220"/>
      <c r="AC443" s="105"/>
    </row>
    <row r="444" spans="1:29" ht="15">
      <c r="A444" s="105"/>
      <c r="B444" s="105"/>
      <c r="C444" s="106"/>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220"/>
      <c r="AC444" s="105"/>
    </row>
    <row r="445" spans="1:29" ht="15">
      <c r="A445" s="105"/>
      <c r="B445" s="105"/>
      <c r="C445" s="106"/>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220"/>
      <c r="AC445" s="105"/>
    </row>
    <row r="446" spans="1:29" ht="15">
      <c r="A446" s="105"/>
      <c r="B446" s="105"/>
      <c r="C446" s="106"/>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220"/>
      <c r="AC446" s="105"/>
    </row>
    <row r="447" spans="1:29" ht="15">
      <c r="A447" s="105"/>
      <c r="B447" s="105"/>
      <c r="C447" s="106"/>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220"/>
      <c r="AC447" s="105"/>
    </row>
    <row r="448" spans="1:29" ht="15">
      <c r="A448" s="105"/>
      <c r="B448" s="105"/>
      <c r="C448" s="106"/>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220"/>
      <c r="AC448" s="105"/>
    </row>
    <row r="449" spans="1:29" ht="15">
      <c r="A449" s="105"/>
      <c r="B449" s="105"/>
      <c r="C449" s="106"/>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220"/>
      <c r="AC449" s="105"/>
    </row>
    <row r="450" spans="1:29" ht="15">
      <c r="A450" s="105"/>
      <c r="B450" s="105"/>
      <c r="C450" s="106"/>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220"/>
      <c r="AC450" s="105"/>
    </row>
    <row r="451" spans="1:29" ht="15">
      <c r="A451" s="105"/>
      <c r="B451" s="105"/>
      <c r="C451" s="106"/>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220"/>
      <c r="AC451" s="105"/>
    </row>
    <row r="452" spans="1:29" ht="15">
      <c r="A452" s="105"/>
      <c r="B452" s="105"/>
      <c r="C452" s="106"/>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220"/>
      <c r="AC452" s="105"/>
    </row>
    <row r="453" spans="1:29" ht="15">
      <c r="A453" s="105"/>
      <c r="B453" s="105"/>
      <c r="C453" s="106"/>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220"/>
      <c r="AC453" s="105"/>
    </row>
    <row r="454" spans="1:29" ht="15">
      <c r="A454" s="105"/>
      <c r="B454" s="105"/>
      <c r="C454" s="106"/>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220"/>
      <c r="AC454" s="105"/>
    </row>
    <row r="455" spans="1:29" ht="15">
      <c r="A455" s="105"/>
      <c r="B455" s="105"/>
      <c r="C455" s="106"/>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220"/>
      <c r="AC455" s="105"/>
    </row>
    <row r="456" spans="1:29" ht="15">
      <c r="A456" s="105"/>
      <c r="B456" s="105"/>
      <c r="C456" s="106"/>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220"/>
      <c r="AC456" s="105"/>
    </row>
    <row r="457" spans="1:29" ht="15">
      <c r="A457" s="105"/>
      <c r="B457" s="105"/>
      <c r="C457" s="106"/>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220"/>
      <c r="AC457" s="105"/>
    </row>
    <row r="458" spans="1:29" ht="15">
      <c r="A458" s="105"/>
      <c r="B458" s="105"/>
      <c r="C458" s="106"/>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220"/>
      <c r="AC458" s="105"/>
    </row>
    <row r="459" spans="1:29" ht="15">
      <c r="A459" s="105"/>
      <c r="B459" s="105"/>
      <c r="C459" s="106"/>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220"/>
      <c r="AC459" s="105"/>
    </row>
    <row r="460" spans="1:29" ht="15">
      <c r="A460" s="105"/>
      <c r="B460" s="105"/>
      <c r="C460" s="106"/>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220"/>
      <c r="AC460" s="105"/>
    </row>
    <row r="461" spans="1:29" ht="15">
      <c r="A461" s="105"/>
      <c r="B461" s="105"/>
      <c r="C461" s="106"/>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220"/>
      <c r="AC461" s="105"/>
    </row>
    <row r="462" spans="1:29" ht="15">
      <c r="A462" s="105"/>
      <c r="B462" s="105"/>
      <c r="C462" s="106"/>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220"/>
      <c r="AC462" s="105"/>
    </row>
    <row r="463" spans="1:29" ht="15">
      <c r="A463" s="105"/>
      <c r="B463" s="105"/>
      <c r="C463" s="106"/>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220"/>
      <c r="AC463" s="105"/>
    </row>
    <row r="464" spans="1:29" ht="15">
      <c r="A464" s="105"/>
      <c r="B464" s="105"/>
      <c r="C464" s="106"/>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220"/>
      <c r="AC464" s="105"/>
    </row>
    <row r="465" spans="1:29" ht="15">
      <c r="A465" s="105"/>
      <c r="B465" s="105"/>
      <c r="C465" s="106"/>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220"/>
      <c r="AC465" s="105"/>
    </row>
    <row r="466" spans="1:29" ht="15">
      <c r="A466" s="105"/>
      <c r="B466" s="105"/>
      <c r="C466" s="106"/>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220"/>
      <c r="AC466" s="105"/>
    </row>
    <row r="467" spans="1:29" ht="15">
      <c r="A467" s="105"/>
      <c r="B467" s="105"/>
      <c r="C467" s="106"/>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220"/>
      <c r="AC467" s="105"/>
    </row>
    <row r="468" spans="1:29" ht="15">
      <c r="A468" s="105"/>
      <c r="B468" s="105"/>
      <c r="C468" s="106"/>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220"/>
      <c r="AC468" s="105"/>
    </row>
    <row r="469" spans="1:29" ht="15">
      <c r="A469" s="105"/>
      <c r="B469" s="105"/>
      <c r="C469" s="106"/>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220"/>
      <c r="AC469" s="105"/>
    </row>
    <row r="470" spans="1:29" ht="15">
      <c r="A470" s="105"/>
      <c r="B470" s="105"/>
      <c r="C470" s="106"/>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220"/>
      <c r="AC470" s="105"/>
    </row>
    <row r="471" spans="1:29" ht="15">
      <c r="A471" s="105"/>
      <c r="B471" s="105"/>
      <c r="C471" s="106"/>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220"/>
      <c r="AC471" s="105"/>
    </row>
    <row r="472" spans="1:29" ht="15">
      <c r="A472" s="105"/>
      <c r="B472" s="105"/>
      <c r="C472" s="106"/>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220"/>
      <c r="AC472" s="105"/>
    </row>
    <row r="473" spans="1:29" ht="15">
      <c r="A473" s="105"/>
      <c r="B473" s="105"/>
      <c r="C473" s="106"/>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220"/>
      <c r="AC473" s="105"/>
    </row>
    <row r="474" spans="1:29" ht="15">
      <c r="A474" s="105"/>
      <c r="B474" s="105"/>
      <c r="C474" s="106"/>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220"/>
      <c r="AC474" s="105"/>
    </row>
    <row r="475" spans="1:29" ht="15">
      <c r="A475" s="105"/>
      <c r="B475" s="105"/>
      <c r="C475" s="106"/>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220"/>
      <c r="AC475" s="105"/>
    </row>
    <row r="476" spans="1:29" ht="15">
      <c r="A476" s="105"/>
      <c r="B476" s="105"/>
      <c r="C476" s="106"/>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220"/>
      <c r="AC476" s="105"/>
    </row>
    <row r="477" spans="1:29" ht="15">
      <c r="A477" s="105"/>
      <c r="B477" s="105"/>
      <c r="C477" s="106"/>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220"/>
      <c r="AC477" s="105"/>
    </row>
    <row r="478" spans="1:29" ht="15">
      <c r="A478" s="105"/>
      <c r="B478" s="105"/>
      <c r="C478" s="106"/>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220"/>
      <c r="AC478" s="105"/>
    </row>
    <row r="479" spans="1:29" ht="15">
      <c r="A479" s="105"/>
      <c r="B479" s="105"/>
      <c r="C479" s="106"/>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220"/>
      <c r="AC479" s="105"/>
    </row>
    <row r="480" spans="1:29" ht="15">
      <c r="A480" s="105"/>
      <c r="B480" s="105"/>
      <c r="C480" s="106"/>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220"/>
      <c r="AC480" s="105"/>
    </row>
    <row r="481" spans="1:29" ht="15">
      <c r="A481" s="105"/>
      <c r="B481" s="105"/>
      <c r="C481" s="106"/>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220"/>
      <c r="AC481" s="105"/>
    </row>
    <row r="482" spans="1:29" ht="15">
      <c r="A482" s="105"/>
      <c r="B482" s="105"/>
      <c r="C482" s="106"/>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220"/>
      <c r="AC482" s="105"/>
    </row>
    <row r="483" spans="1:29" ht="15">
      <c r="A483" s="105"/>
      <c r="B483" s="105"/>
      <c r="C483" s="106"/>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220"/>
      <c r="AC483" s="105"/>
    </row>
    <row r="484" spans="1:29" ht="15">
      <c r="A484" s="105"/>
      <c r="B484" s="105"/>
      <c r="C484" s="106"/>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220"/>
      <c r="AC484" s="105"/>
    </row>
    <row r="485" spans="1:29" ht="15">
      <c r="A485" s="105"/>
      <c r="B485" s="105"/>
      <c r="C485" s="106"/>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220"/>
      <c r="AC485" s="105"/>
    </row>
    <row r="486" spans="1:29" ht="15">
      <c r="A486" s="105"/>
      <c r="B486" s="105"/>
      <c r="C486" s="106"/>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220"/>
      <c r="AC486" s="105"/>
    </row>
    <row r="487" spans="1:29" ht="15">
      <c r="A487" s="105"/>
      <c r="B487" s="105"/>
      <c r="C487" s="106"/>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220"/>
      <c r="AC487" s="105"/>
    </row>
    <row r="488" spans="1:29" ht="15">
      <c r="A488" s="105"/>
      <c r="B488" s="105"/>
      <c r="C488" s="106"/>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220"/>
      <c r="AC488" s="105"/>
    </row>
    <row r="489" spans="1:29" ht="15">
      <c r="A489" s="105"/>
      <c r="B489" s="105"/>
      <c r="C489" s="106"/>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220"/>
      <c r="AC489" s="105"/>
    </row>
    <row r="490" spans="1:29" ht="15">
      <c r="A490" s="105"/>
      <c r="B490" s="105"/>
      <c r="C490" s="106"/>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220"/>
      <c r="AC490" s="105"/>
    </row>
    <row r="491" spans="1:29" ht="15">
      <c r="A491" s="105"/>
      <c r="B491" s="105"/>
      <c r="C491" s="106"/>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220"/>
      <c r="AC491" s="105"/>
    </row>
    <row r="492" spans="1:29" ht="15">
      <c r="A492" s="105"/>
      <c r="B492" s="105"/>
      <c r="C492" s="106"/>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220"/>
      <c r="AC492" s="105"/>
    </row>
    <row r="493" spans="1:29" ht="15">
      <c r="A493" s="105"/>
      <c r="B493" s="105"/>
      <c r="C493" s="106"/>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220"/>
      <c r="AC493" s="105"/>
    </row>
    <row r="494" spans="1:29" ht="15">
      <c r="A494" s="105"/>
      <c r="B494" s="105"/>
      <c r="C494" s="106"/>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220"/>
      <c r="AC494" s="105"/>
    </row>
    <row r="495" spans="1:29" ht="15">
      <c r="A495" s="105"/>
      <c r="B495" s="105"/>
      <c r="C495" s="106"/>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220"/>
      <c r="AC495" s="105"/>
    </row>
    <row r="496" spans="1:29" ht="15">
      <c r="A496" s="105"/>
      <c r="B496" s="105"/>
      <c r="C496" s="106"/>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220"/>
      <c r="AC496" s="105"/>
    </row>
    <row r="497" spans="1:29" ht="15">
      <c r="A497" s="105"/>
      <c r="B497" s="105"/>
      <c r="C497" s="106"/>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220"/>
      <c r="AC497" s="105"/>
    </row>
    <row r="498" spans="1:29" ht="15">
      <c r="A498" s="105"/>
      <c r="B498" s="105"/>
      <c r="C498" s="106"/>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220"/>
      <c r="AC498" s="105"/>
    </row>
    <row r="499" spans="1:29" ht="15">
      <c r="A499" s="105"/>
      <c r="B499" s="105"/>
      <c r="C499" s="106"/>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220"/>
      <c r="AC499" s="105"/>
    </row>
    <row r="500" spans="1:29" ht="15">
      <c r="A500" s="105"/>
      <c r="B500" s="105"/>
      <c r="C500" s="106"/>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220"/>
      <c r="AC500" s="105"/>
    </row>
    <row r="501" spans="1:29" ht="15">
      <c r="A501" s="105"/>
      <c r="B501" s="105"/>
      <c r="C501" s="106"/>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220"/>
      <c r="AC501" s="105"/>
    </row>
    <row r="502" spans="1:29" ht="15">
      <c r="A502" s="105"/>
      <c r="B502" s="105"/>
      <c r="C502" s="106"/>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220"/>
      <c r="AC502" s="105"/>
    </row>
    <row r="503" spans="1:29" ht="15">
      <c r="A503" s="105"/>
      <c r="B503" s="105"/>
      <c r="C503" s="106"/>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220"/>
      <c r="AC503" s="105"/>
    </row>
    <row r="504" spans="1:29" ht="15">
      <c r="A504" s="105"/>
      <c r="B504" s="105"/>
      <c r="C504" s="106"/>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220"/>
      <c r="AC504" s="105"/>
    </row>
    <row r="505" spans="1:29" ht="15">
      <c r="A505" s="105"/>
      <c r="B505" s="105"/>
      <c r="C505" s="106"/>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220"/>
      <c r="AC505" s="105"/>
    </row>
    <row r="506" spans="1:29" ht="15">
      <c r="A506" s="105"/>
      <c r="B506" s="105"/>
      <c r="C506" s="106"/>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220"/>
      <c r="AC506" s="105"/>
    </row>
    <row r="507" spans="1:29" ht="15">
      <c r="A507" s="105"/>
      <c r="B507" s="105"/>
      <c r="C507" s="106"/>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220"/>
      <c r="AC507" s="105"/>
    </row>
    <row r="508" spans="1:29" ht="15">
      <c r="A508" s="105"/>
      <c r="B508" s="105"/>
      <c r="C508" s="106"/>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220"/>
      <c r="AC508" s="105"/>
    </row>
    <row r="509" spans="1:29" ht="15">
      <c r="A509" s="105"/>
      <c r="B509" s="105"/>
      <c r="C509" s="106"/>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220"/>
      <c r="AC509" s="105"/>
    </row>
    <row r="510" spans="1:29" ht="15">
      <c r="A510" s="105"/>
      <c r="B510" s="105"/>
      <c r="C510" s="106"/>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220"/>
      <c r="AC510" s="105"/>
    </row>
    <row r="511" spans="1:29" ht="15">
      <c r="A511" s="105"/>
      <c r="B511" s="105"/>
      <c r="C511" s="106"/>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220"/>
      <c r="AC511" s="105"/>
    </row>
    <row r="512" spans="1:29" ht="15">
      <c r="A512" s="105"/>
      <c r="B512" s="105"/>
      <c r="C512" s="106"/>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220"/>
      <c r="AC512" s="105"/>
    </row>
    <row r="513" spans="1:29" ht="15">
      <c r="A513" s="105"/>
      <c r="B513" s="105"/>
      <c r="C513" s="106"/>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220"/>
      <c r="AC513" s="105"/>
    </row>
    <row r="514" spans="1:29" ht="15">
      <c r="A514" s="105"/>
      <c r="B514" s="105"/>
      <c r="C514" s="106"/>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220"/>
      <c r="AC514" s="105"/>
    </row>
    <row r="515" spans="1:29" ht="15">
      <c r="A515" s="105"/>
      <c r="B515" s="105"/>
      <c r="C515" s="106"/>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220"/>
      <c r="AC515" s="105"/>
    </row>
    <row r="516" spans="1:29" ht="15">
      <c r="A516" s="105"/>
      <c r="B516" s="105"/>
      <c r="C516" s="106"/>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220"/>
      <c r="AC516" s="105"/>
    </row>
    <row r="517" spans="1:29" ht="15">
      <c r="A517" s="105"/>
      <c r="B517" s="105"/>
      <c r="C517" s="106"/>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220"/>
      <c r="AC517" s="105"/>
    </row>
    <row r="518" spans="1:29" ht="15">
      <c r="A518" s="105"/>
      <c r="B518" s="105"/>
      <c r="C518" s="106"/>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220"/>
      <c r="AC518" s="105"/>
    </row>
    <row r="519" spans="1:29" ht="15">
      <c r="A519" s="105"/>
      <c r="B519" s="105"/>
      <c r="C519" s="106"/>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220"/>
      <c r="AC519" s="105"/>
    </row>
    <row r="520" spans="1:29" ht="15">
      <c r="A520" s="105"/>
      <c r="B520" s="105"/>
      <c r="C520" s="106"/>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220"/>
      <c r="AC520" s="105"/>
    </row>
    <row r="521" spans="1:29" ht="15">
      <c r="A521" s="105"/>
      <c r="B521" s="105"/>
      <c r="C521" s="106"/>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220"/>
      <c r="AC521" s="105"/>
    </row>
    <row r="522" spans="1:29" ht="15">
      <c r="A522" s="105"/>
      <c r="B522" s="105"/>
      <c r="C522" s="106"/>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220"/>
      <c r="AC522" s="105"/>
    </row>
    <row r="523" spans="1:29" ht="15">
      <c r="A523" s="105"/>
      <c r="B523" s="105"/>
      <c r="C523" s="106"/>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220"/>
      <c r="AC523" s="105"/>
    </row>
    <row r="524" spans="1:29" ht="15">
      <c r="A524" s="105"/>
      <c r="B524" s="105"/>
      <c r="C524" s="106"/>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220"/>
      <c r="AC524" s="105"/>
    </row>
    <row r="525" spans="1:29" ht="15">
      <c r="A525" s="105"/>
      <c r="B525" s="105"/>
      <c r="C525" s="106"/>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220"/>
      <c r="AC525" s="105"/>
    </row>
    <row r="526" spans="1:29" ht="15">
      <c r="A526" s="105"/>
      <c r="B526" s="105"/>
      <c r="C526" s="106"/>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220"/>
      <c r="AC526" s="105"/>
    </row>
    <row r="527" spans="1:29" ht="15">
      <c r="A527" s="105"/>
      <c r="B527" s="105"/>
      <c r="C527" s="106"/>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220"/>
      <c r="AC527" s="105"/>
    </row>
    <row r="528" spans="1:29" ht="15">
      <c r="A528" s="105"/>
      <c r="B528" s="105"/>
      <c r="C528" s="106"/>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220"/>
      <c r="AC528" s="105"/>
    </row>
    <row r="529" spans="1:29" ht="15">
      <c r="A529" s="105"/>
      <c r="B529" s="105"/>
      <c r="C529" s="106"/>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220"/>
      <c r="AC529" s="105"/>
    </row>
    <row r="530" spans="1:29" ht="15">
      <c r="A530" s="105"/>
      <c r="B530" s="105"/>
      <c r="C530" s="106"/>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220"/>
      <c r="AC530" s="105"/>
    </row>
    <row r="531" spans="1:29" ht="15">
      <c r="A531" s="105"/>
      <c r="B531" s="105"/>
      <c r="C531" s="106"/>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220"/>
      <c r="AC531" s="105"/>
    </row>
    <row r="532" spans="1:29" ht="15">
      <c r="A532" s="105"/>
      <c r="B532" s="105"/>
      <c r="C532" s="106"/>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220"/>
      <c r="AC532" s="105"/>
    </row>
    <row r="533" spans="1:29" ht="15">
      <c r="A533" s="105"/>
      <c r="B533" s="105"/>
      <c r="C533" s="106"/>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220"/>
      <c r="AC533" s="105"/>
    </row>
    <row r="534" spans="1:29" ht="15">
      <c r="A534" s="105"/>
      <c r="B534" s="105"/>
      <c r="C534" s="106"/>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220"/>
      <c r="AC534" s="105"/>
    </row>
    <row r="535" spans="1:29" ht="15">
      <c r="A535" s="105"/>
      <c r="B535" s="105"/>
      <c r="C535" s="106"/>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220"/>
      <c r="AC535" s="105"/>
    </row>
    <row r="536" spans="1:29" ht="15">
      <c r="A536" s="105"/>
      <c r="B536" s="105"/>
      <c r="C536" s="106"/>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220"/>
      <c r="AC536" s="105"/>
    </row>
    <row r="537" spans="1:29" ht="15">
      <c r="A537" s="105"/>
      <c r="B537" s="105"/>
      <c r="C537" s="106"/>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220"/>
      <c r="AC537" s="105"/>
    </row>
    <row r="538" spans="1:29" ht="15">
      <c r="A538" s="105"/>
      <c r="B538" s="105"/>
      <c r="C538" s="106"/>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220"/>
      <c r="AC538" s="105"/>
    </row>
    <row r="539" spans="1:29" ht="15">
      <c r="A539" s="105"/>
      <c r="B539" s="105"/>
      <c r="C539" s="106"/>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220"/>
      <c r="AC539" s="105"/>
    </row>
    <row r="540" spans="1:29" ht="15">
      <c r="A540" s="105"/>
      <c r="B540" s="105"/>
      <c r="C540" s="106"/>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220"/>
      <c r="AC540" s="105"/>
    </row>
    <row r="541" spans="1:29" ht="15">
      <c r="A541" s="105"/>
      <c r="B541" s="105"/>
      <c r="C541" s="106"/>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220"/>
      <c r="AC541" s="105"/>
    </row>
    <row r="542" spans="1:29" ht="15">
      <c r="A542" s="105"/>
      <c r="B542" s="105"/>
      <c r="C542" s="106"/>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220"/>
      <c r="AC542" s="105"/>
    </row>
    <row r="543" spans="1:29" ht="15">
      <c r="A543" s="105"/>
      <c r="B543" s="105"/>
      <c r="C543" s="106"/>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220"/>
      <c r="AC543" s="105"/>
    </row>
    <row r="544" spans="1:29" ht="15">
      <c r="A544" s="105"/>
      <c r="B544" s="105"/>
      <c r="C544" s="106"/>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220"/>
      <c r="AC544" s="105"/>
    </row>
    <row r="545" spans="1:29" ht="15">
      <c r="A545" s="105"/>
      <c r="B545" s="105"/>
      <c r="C545" s="106"/>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220"/>
      <c r="AC545" s="105"/>
    </row>
    <row r="546" spans="1:29" ht="15">
      <c r="A546" s="105"/>
      <c r="B546" s="105"/>
      <c r="C546" s="106"/>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220"/>
      <c r="AC546" s="105"/>
    </row>
    <row r="547" spans="1:29" ht="15">
      <c r="A547" s="105"/>
      <c r="B547" s="105"/>
      <c r="C547" s="106"/>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220"/>
      <c r="AC547" s="105"/>
    </row>
    <row r="548" spans="1:29" ht="15">
      <c r="A548" s="105"/>
      <c r="B548" s="105"/>
      <c r="C548" s="106"/>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220"/>
      <c r="AC548" s="105"/>
    </row>
    <row r="549" spans="1:29" ht="15">
      <c r="A549" s="105"/>
      <c r="B549" s="105"/>
      <c r="C549" s="106"/>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220"/>
      <c r="AC549" s="105"/>
    </row>
    <row r="550" spans="1:29" ht="15">
      <c r="A550" s="105"/>
      <c r="B550" s="105"/>
      <c r="C550" s="106"/>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220"/>
      <c r="AC550" s="105"/>
    </row>
    <row r="551" spans="1:29" ht="15">
      <c r="A551" s="105"/>
      <c r="B551" s="105"/>
      <c r="C551" s="106"/>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220"/>
      <c r="AC551" s="105"/>
    </row>
    <row r="552" spans="1:29" ht="15">
      <c r="A552" s="105"/>
      <c r="B552" s="105"/>
      <c r="C552" s="106"/>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220"/>
      <c r="AC552" s="105"/>
    </row>
    <row r="553" spans="1:29" ht="15">
      <c r="A553" s="105"/>
      <c r="B553" s="105"/>
      <c r="C553" s="106"/>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220"/>
      <c r="AC553" s="105"/>
    </row>
    <row r="554" spans="1:29" ht="15">
      <c r="A554" s="105"/>
      <c r="B554" s="105"/>
      <c r="C554" s="106"/>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220"/>
      <c r="AC554" s="105"/>
    </row>
    <row r="555" spans="1:29" ht="15">
      <c r="A555" s="105"/>
      <c r="B555" s="105"/>
      <c r="C555" s="106"/>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220"/>
      <c r="AC555" s="105"/>
    </row>
    <row r="556" spans="1:29" ht="15">
      <c r="A556" s="105"/>
      <c r="B556" s="105"/>
      <c r="C556" s="106"/>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220"/>
      <c r="AC556" s="105"/>
    </row>
    <row r="557" spans="1:29" ht="15">
      <c r="A557" s="105"/>
      <c r="B557" s="105"/>
      <c r="C557" s="106"/>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220"/>
      <c r="AC557" s="105"/>
    </row>
    <row r="558" spans="1:29" ht="15">
      <c r="A558" s="105"/>
      <c r="B558" s="105"/>
      <c r="C558" s="106"/>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220"/>
      <c r="AC558" s="105"/>
    </row>
    <row r="559" spans="1:29" ht="15">
      <c r="A559" s="105"/>
      <c r="B559" s="105"/>
      <c r="C559" s="106"/>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220"/>
      <c r="AC559" s="105"/>
    </row>
    <row r="560" spans="1:29" ht="15">
      <c r="A560" s="105"/>
      <c r="B560" s="105"/>
      <c r="C560" s="106"/>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220"/>
      <c r="AC560" s="105"/>
    </row>
    <row r="561" spans="1:29" ht="15">
      <c r="A561" s="105"/>
      <c r="B561" s="105"/>
      <c r="C561" s="106"/>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220"/>
      <c r="AC561" s="105"/>
    </row>
    <row r="562" spans="1:29" ht="15">
      <c r="A562" s="105"/>
      <c r="B562" s="105"/>
      <c r="C562" s="106"/>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220"/>
      <c r="AC562" s="105"/>
    </row>
    <row r="563" spans="1:29" ht="15">
      <c r="A563" s="105"/>
      <c r="B563" s="105"/>
      <c r="C563" s="106"/>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220"/>
      <c r="AC563" s="105"/>
    </row>
    <row r="564" spans="1:29" ht="15">
      <c r="A564" s="105"/>
      <c r="B564" s="105"/>
      <c r="C564" s="106"/>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220"/>
      <c r="AC564" s="105"/>
    </row>
    <row r="565" spans="1:29" ht="15">
      <c r="A565" s="105"/>
      <c r="B565" s="105"/>
      <c r="C565" s="106"/>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220"/>
      <c r="AC565" s="105"/>
    </row>
    <row r="566" spans="1:29" ht="15">
      <c r="A566" s="105"/>
      <c r="B566" s="105"/>
      <c r="C566" s="106"/>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220"/>
      <c r="AC566" s="105"/>
    </row>
    <row r="567" spans="1:29" ht="15">
      <c r="A567" s="105"/>
      <c r="B567" s="105"/>
      <c r="C567" s="106"/>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220"/>
      <c r="AC567" s="105"/>
    </row>
    <row r="568" spans="1:29" ht="15">
      <c r="A568" s="105"/>
      <c r="B568" s="105"/>
      <c r="C568" s="106"/>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220"/>
      <c r="AC568" s="105"/>
    </row>
    <row r="569" spans="1:29" ht="15">
      <c r="A569" s="105"/>
      <c r="B569" s="105"/>
      <c r="C569" s="106"/>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220"/>
      <c r="AC569" s="105"/>
    </row>
    <row r="570" spans="1:29" ht="15">
      <c r="A570" s="105"/>
      <c r="B570" s="105"/>
      <c r="C570" s="106"/>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220"/>
      <c r="AC570" s="105"/>
    </row>
    <row r="571" spans="1:29" ht="15">
      <c r="A571" s="105"/>
      <c r="B571" s="105"/>
      <c r="C571" s="106"/>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220"/>
      <c r="AC571" s="105"/>
    </row>
    <row r="572" spans="1:29" ht="15">
      <c r="A572" s="105"/>
      <c r="B572" s="105"/>
      <c r="C572" s="106"/>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220"/>
      <c r="AC572" s="105"/>
    </row>
    <row r="573" spans="1:29" ht="15">
      <c r="A573" s="105"/>
      <c r="B573" s="105"/>
      <c r="C573" s="106"/>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220"/>
      <c r="AC573" s="105"/>
    </row>
    <row r="574" spans="1:29" ht="15">
      <c r="A574" s="105"/>
      <c r="B574" s="105"/>
      <c r="C574" s="106"/>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220"/>
      <c r="AC574" s="105"/>
    </row>
    <row r="575" spans="1:29" ht="15">
      <c r="A575" s="105"/>
      <c r="B575" s="105"/>
      <c r="C575" s="106"/>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220"/>
      <c r="AC575" s="105"/>
    </row>
    <row r="576" spans="1:29" ht="15">
      <c r="A576" s="105"/>
      <c r="B576" s="105"/>
      <c r="C576" s="106"/>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220"/>
      <c r="AC576" s="105"/>
    </row>
    <row r="577" spans="1:29" ht="15">
      <c r="A577" s="105"/>
      <c r="B577" s="105"/>
      <c r="C577" s="106"/>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220"/>
      <c r="AC577" s="105"/>
    </row>
    <row r="578" spans="1:29" ht="15">
      <c r="A578" s="105"/>
      <c r="B578" s="105"/>
      <c r="C578" s="106"/>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220"/>
      <c r="AC578" s="105"/>
    </row>
    <row r="579" spans="1:29" ht="15">
      <c r="A579" s="105"/>
      <c r="B579" s="105"/>
      <c r="C579" s="106"/>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220"/>
      <c r="AC579" s="105"/>
    </row>
    <row r="580" spans="1:29" ht="15">
      <c r="A580" s="105"/>
      <c r="B580" s="105"/>
      <c r="C580" s="106"/>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220"/>
      <c r="AC580" s="105"/>
    </row>
    <row r="581" spans="1:29" ht="15">
      <c r="A581" s="105"/>
      <c r="B581" s="105"/>
      <c r="C581" s="106"/>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220"/>
      <c r="AC581" s="105"/>
    </row>
    <row r="582" spans="1:29" ht="15">
      <c r="A582" s="105"/>
      <c r="B582" s="105"/>
      <c r="C582" s="106"/>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220"/>
      <c r="AC582" s="105"/>
    </row>
    <row r="583" spans="1:29" ht="15">
      <c r="A583" s="105"/>
      <c r="B583" s="105"/>
      <c r="C583" s="106"/>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220"/>
      <c r="AC583" s="105"/>
    </row>
    <row r="584" spans="1:29" ht="15">
      <c r="A584" s="105"/>
      <c r="B584" s="105"/>
      <c r="C584" s="106"/>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220"/>
      <c r="AC584" s="105"/>
    </row>
    <row r="585" spans="1:29" ht="15">
      <c r="A585" s="105"/>
      <c r="B585" s="105"/>
      <c r="C585" s="106"/>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220"/>
      <c r="AC585" s="105"/>
    </row>
    <row r="586" spans="1:29" ht="15">
      <c r="A586" s="105"/>
      <c r="B586" s="105"/>
      <c r="C586" s="106"/>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220"/>
      <c r="AC586" s="105"/>
    </row>
    <row r="587" spans="1:29" ht="15">
      <c r="A587" s="105"/>
      <c r="B587" s="105"/>
      <c r="C587" s="106"/>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220"/>
      <c r="AC587" s="105"/>
    </row>
    <row r="588" spans="1:29" ht="15">
      <c r="A588" s="105"/>
      <c r="B588" s="105"/>
      <c r="C588" s="106"/>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220"/>
      <c r="AC588" s="105"/>
    </row>
    <row r="589" spans="1:29" ht="15">
      <c r="A589" s="105"/>
      <c r="B589" s="105"/>
      <c r="C589" s="106"/>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220"/>
      <c r="AC589" s="105"/>
    </row>
    <row r="590" spans="1:29" ht="15">
      <c r="A590" s="105"/>
      <c r="B590" s="105"/>
      <c r="C590" s="106"/>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220"/>
      <c r="AC590" s="105"/>
    </row>
    <row r="591" spans="1:29" ht="15">
      <c r="A591" s="105"/>
      <c r="B591" s="105"/>
      <c r="C591" s="106"/>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220"/>
      <c r="AC591" s="105"/>
    </row>
    <row r="592" spans="1:29" ht="15">
      <c r="A592" s="105"/>
      <c r="B592" s="105"/>
      <c r="C592" s="106"/>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220"/>
      <c r="AC592" s="105"/>
    </row>
    <row r="593" spans="1:29" ht="15">
      <c r="A593" s="105"/>
      <c r="B593" s="105"/>
      <c r="C593" s="106"/>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220"/>
      <c r="AC593" s="105"/>
    </row>
    <row r="594" spans="1:29" ht="15">
      <c r="A594" s="105"/>
      <c r="B594" s="105"/>
      <c r="C594" s="106"/>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220"/>
      <c r="AC594" s="105"/>
    </row>
    <row r="595" spans="1:29" ht="15">
      <c r="A595" s="105"/>
      <c r="B595" s="105"/>
      <c r="C595" s="106"/>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220"/>
      <c r="AC595" s="105"/>
    </row>
    <row r="596" spans="1:29" ht="15">
      <c r="A596" s="105"/>
      <c r="B596" s="105"/>
      <c r="C596" s="106"/>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220"/>
      <c r="AC596" s="105"/>
    </row>
    <row r="597" spans="1:29" ht="15">
      <c r="A597" s="105"/>
      <c r="B597" s="105"/>
      <c r="C597" s="106"/>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220"/>
      <c r="AC597" s="105"/>
    </row>
    <row r="598" spans="1:29" ht="15">
      <c r="A598" s="105"/>
      <c r="B598" s="105"/>
      <c r="C598" s="106"/>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220"/>
      <c r="AC598" s="105"/>
    </row>
    <row r="599" spans="1:29" ht="15">
      <c r="A599" s="105"/>
      <c r="B599" s="105"/>
      <c r="C599" s="106"/>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220"/>
      <c r="AC599" s="105"/>
    </row>
    <row r="600" spans="1:29" ht="15">
      <c r="A600" s="105"/>
      <c r="B600" s="105"/>
      <c r="C600" s="106"/>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220"/>
      <c r="AC600" s="105"/>
    </row>
    <row r="601" spans="1:29" ht="15">
      <c r="A601" s="105"/>
      <c r="B601" s="105"/>
      <c r="C601" s="106"/>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220"/>
      <c r="AC601" s="105"/>
    </row>
    <row r="602" spans="1:29" ht="15">
      <c r="A602" s="105"/>
      <c r="B602" s="105"/>
      <c r="C602" s="106"/>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220"/>
      <c r="AC602" s="105"/>
    </row>
    <row r="603" spans="1:29" ht="15">
      <c r="A603" s="105"/>
      <c r="B603" s="105"/>
      <c r="C603" s="106"/>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220"/>
      <c r="AC603" s="105"/>
    </row>
    <row r="604" spans="1:29" ht="15">
      <c r="A604" s="105"/>
      <c r="B604" s="105"/>
      <c r="C604" s="106"/>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220"/>
      <c r="AC604" s="105"/>
    </row>
    <row r="605" spans="1:29" ht="15">
      <c r="A605" s="105"/>
      <c r="B605" s="105"/>
      <c r="C605" s="106"/>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220"/>
      <c r="AC605" s="105"/>
    </row>
    <row r="606" spans="1:29" ht="15">
      <c r="A606" s="105"/>
      <c r="B606" s="105"/>
      <c r="C606" s="106"/>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220"/>
      <c r="AC606" s="105"/>
    </row>
    <row r="607" spans="1:29" ht="15">
      <c r="A607" s="105"/>
      <c r="B607" s="105"/>
      <c r="C607" s="106"/>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220"/>
      <c r="AC607" s="105"/>
    </row>
    <row r="608" spans="1:29" ht="15">
      <c r="A608" s="105"/>
      <c r="B608" s="105"/>
      <c r="C608" s="106"/>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220"/>
      <c r="AC608" s="105"/>
    </row>
    <row r="609" spans="1:29" ht="15">
      <c r="A609" s="105"/>
      <c r="B609" s="105"/>
      <c r="C609" s="106"/>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220"/>
      <c r="AC609" s="105"/>
    </row>
    <row r="610" spans="1:29" ht="15">
      <c r="A610" s="105"/>
      <c r="B610" s="105"/>
      <c r="C610" s="106"/>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220"/>
      <c r="AC610" s="105"/>
    </row>
    <row r="611" spans="1:29" ht="15">
      <c r="A611" s="105"/>
      <c r="B611" s="105"/>
      <c r="C611" s="106"/>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220"/>
      <c r="AC611" s="105"/>
    </row>
    <row r="612" spans="1:29" ht="15">
      <c r="A612" s="105"/>
      <c r="B612" s="105"/>
      <c r="C612" s="106"/>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220"/>
      <c r="AC612" s="105"/>
    </row>
    <row r="613" spans="1:29" ht="15">
      <c r="A613" s="105"/>
      <c r="B613" s="105"/>
      <c r="C613" s="106"/>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220"/>
      <c r="AC613" s="105"/>
    </row>
    <row r="614" spans="1:29" ht="15">
      <c r="A614" s="105"/>
      <c r="B614" s="105"/>
      <c r="C614" s="106"/>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220"/>
      <c r="AC614" s="105"/>
    </row>
    <row r="615" spans="1:29" ht="15">
      <c r="A615" s="105"/>
      <c r="B615" s="105"/>
      <c r="C615" s="106"/>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220"/>
      <c r="AC615" s="105"/>
    </row>
    <row r="616" spans="1:29" ht="15">
      <c r="A616" s="105"/>
      <c r="B616" s="105"/>
      <c r="C616" s="106"/>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220"/>
      <c r="AC616" s="105"/>
    </row>
    <row r="617" spans="1:29" ht="15">
      <c r="A617" s="105"/>
      <c r="B617" s="105"/>
      <c r="C617" s="106"/>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220"/>
      <c r="AC617" s="105"/>
    </row>
    <row r="618" spans="1:29" ht="15">
      <c r="A618" s="105"/>
      <c r="B618" s="105"/>
      <c r="C618" s="106"/>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220"/>
      <c r="AC618" s="105"/>
    </row>
    <row r="619" spans="1:29" ht="15">
      <c r="A619" s="105"/>
      <c r="B619" s="105"/>
      <c r="C619" s="106"/>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220"/>
      <c r="AC619" s="105"/>
    </row>
    <row r="620" spans="1:29" ht="15">
      <c r="A620" s="105"/>
      <c r="B620" s="105"/>
      <c r="C620" s="106"/>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220"/>
      <c r="AC620" s="105"/>
    </row>
    <row r="621" spans="1:29" ht="15">
      <c r="A621" s="105"/>
      <c r="B621" s="105"/>
      <c r="C621" s="106"/>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220"/>
      <c r="AC621" s="105"/>
    </row>
    <row r="622" spans="1:29" ht="15">
      <c r="A622" s="105"/>
      <c r="B622" s="105"/>
      <c r="C622" s="106"/>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220"/>
      <c r="AC622" s="105"/>
    </row>
    <row r="623" spans="1:29" ht="15">
      <c r="A623" s="105"/>
      <c r="B623" s="105"/>
      <c r="C623" s="106"/>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220"/>
      <c r="AC623" s="105"/>
    </row>
    <row r="624" spans="1:29" ht="15">
      <c r="A624" s="105"/>
      <c r="B624" s="105"/>
      <c r="C624" s="106"/>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220"/>
      <c r="AC624" s="105"/>
    </row>
    <row r="625" spans="1:29" ht="15">
      <c r="A625" s="105"/>
      <c r="B625" s="105"/>
      <c r="C625" s="106"/>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220"/>
      <c r="AC625" s="105"/>
    </row>
    <row r="626" spans="1:29" ht="15">
      <c r="A626" s="105"/>
      <c r="B626" s="105"/>
      <c r="C626" s="106"/>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220"/>
      <c r="AC626" s="105"/>
    </row>
    <row r="627" spans="1:29" ht="15">
      <c r="A627" s="105"/>
      <c r="B627" s="105"/>
      <c r="C627" s="106"/>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220"/>
      <c r="AC627" s="105"/>
    </row>
    <row r="628" spans="1:29" ht="15">
      <c r="A628" s="105"/>
      <c r="B628" s="105"/>
      <c r="C628" s="106"/>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220"/>
      <c r="AC628" s="105"/>
    </row>
    <row r="629" spans="1:29" ht="15">
      <c r="A629" s="105"/>
      <c r="B629" s="105"/>
      <c r="C629" s="106"/>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220"/>
      <c r="AC629" s="105"/>
    </row>
    <row r="630" spans="1:29" ht="15">
      <c r="A630" s="105"/>
      <c r="B630" s="105"/>
      <c r="C630" s="106"/>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220"/>
      <c r="AC630" s="105"/>
    </row>
    <row r="631" spans="1:29" ht="15">
      <c r="A631" s="105"/>
      <c r="B631" s="105"/>
      <c r="C631" s="106"/>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220"/>
      <c r="AC631" s="105"/>
    </row>
    <row r="632" spans="1:29" ht="15">
      <c r="A632" s="105"/>
      <c r="B632" s="105"/>
      <c r="C632" s="106"/>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220"/>
      <c r="AC632" s="105"/>
    </row>
    <row r="633" spans="1:29" ht="15">
      <c r="A633" s="105"/>
      <c r="B633" s="105"/>
      <c r="C633" s="106"/>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220"/>
      <c r="AC633" s="105"/>
    </row>
    <row r="634" spans="1:29" ht="15">
      <c r="A634" s="105"/>
      <c r="B634" s="105"/>
      <c r="C634" s="106"/>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220"/>
      <c r="AC634" s="105"/>
    </row>
    <row r="635" spans="1:29" ht="15">
      <c r="A635" s="105"/>
      <c r="B635" s="105"/>
      <c r="C635" s="106"/>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220"/>
      <c r="AC635" s="105"/>
    </row>
    <row r="636" spans="1:29" ht="15">
      <c r="A636" s="105"/>
      <c r="B636" s="105"/>
      <c r="C636" s="106"/>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220"/>
      <c r="AC636" s="105"/>
    </row>
    <row r="637" spans="1:29" ht="15">
      <c r="A637" s="105"/>
      <c r="B637" s="105"/>
      <c r="C637" s="106"/>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220"/>
      <c r="AC637" s="105"/>
    </row>
    <row r="638" spans="1:29" ht="15">
      <c r="A638" s="105"/>
      <c r="B638" s="105"/>
      <c r="C638" s="106"/>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220"/>
      <c r="AC638" s="105"/>
    </row>
    <row r="639" spans="1:29" ht="15">
      <c r="A639" s="105"/>
      <c r="B639" s="105"/>
      <c r="C639" s="106"/>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220"/>
      <c r="AC639" s="105"/>
    </row>
    <row r="640" spans="1:29" ht="15">
      <c r="A640" s="105"/>
      <c r="B640" s="105"/>
      <c r="C640" s="106"/>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220"/>
      <c r="AC640" s="105"/>
    </row>
    <row r="641" spans="1:29" ht="15">
      <c r="A641" s="105"/>
      <c r="B641" s="105"/>
      <c r="C641" s="106"/>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220"/>
      <c r="AC641" s="105"/>
    </row>
    <row r="642" spans="1:29" ht="15">
      <c r="A642" s="105"/>
      <c r="B642" s="105"/>
      <c r="C642" s="106"/>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220"/>
      <c r="AC642" s="105"/>
    </row>
    <row r="643" spans="1:29" ht="15">
      <c r="A643" s="105"/>
      <c r="B643" s="105"/>
      <c r="C643" s="106"/>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220"/>
      <c r="AC643" s="105"/>
    </row>
    <row r="644" spans="1:29" ht="15">
      <c r="A644" s="105"/>
      <c r="B644" s="105"/>
      <c r="C644" s="106"/>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220"/>
      <c r="AC644" s="105"/>
    </row>
    <row r="645" spans="1:29" ht="15">
      <c r="A645" s="105"/>
      <c r="B645" s="105"/>
      <c r="C645" s="106"/>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220"/>
      <c r="AC645" s="105"/>
    </row>
    <row r="646" spans="1:29" ht="15">
      <c r="A646" s="105"/>
      <c r="B646" s="105"/>
      <c r="C646" s="106"/>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220"/>
      <c r="AC646" s="105"/>
    </row>
    <row r="647" spans="1:29" ht="15">
      <c r="A647" s="105"/>
      <c r="B647" s="105"/>
      <c r="C647" s="106"/>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220"/>
      <c r="AC647" s="105"/>
    </row>
    <row r="648" spans="1:29" ht="15">
      <c r="A648" s="105"/>
      <c r="B648" s="105"/>
      <c r="C648" s="106"/>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220"/>
      <c r="AC648" s="105"/>
    </row>
    <row r="649" spans="1:29" ht="15">
      <c r="A649" s="105"/>
      <c r="B649" s="105"/>
      <c r="C649" s="106"/>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220"/>
      <c r="AC649" s="105"/>
    </row>
    <row r="650" spans="1:29" ht="15">
      <c r="A650" s="105"/>
      <c r="B650" s="105"/>
      <c r="C650" s="106"/>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220"/>
      <c r="AC650" s="105"/>
    </row>
    <row r="651" spans="1:29" ht="15">
      <c r="A651" s="105"/>
      <c r="B651" s="105"/>
      <c r="C651" s="106"/>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220"/>
      <c r="AC651" s="105"/>
    </row>
    <row r="652" spans="1:29" ht="15">
      <c r="A652" s="105"/>
      <c r="B652" s="105"/>
      <c r="C652" s="106"/>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220"/>
      <c r="AC652" s="105"/>
    </row>
    <row r="653" spans="1:29" ht="15">
      <c r="A653" s="105"/>
      <c r="B653" s="105"/>
      <c r="C653" s="106"/>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220"/>
      <c r="AC653" s="105"/>
    </row>
    <row r="654" spans="1:29" ht="15">
      <c r="A654" s="105"/>
      <c r="B654" s="105"/>
      <c r="C654" s="106"/>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220"/>
      <c r="AC654" s="105"/>
    </row>
    <row r="655" spans="1:29" ht="15">
      <c r="A655" s="105"/>
      <c r="B655" s="105"/>
      <c r="C655" s="106"/>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220"/>
      <c r="AC655" s="105"/>
    </row>
    <row r="656" spans="1:29" ht="15">
      <c r="A656" s="105"/>
      <c r="B656" s="105"/>
      <c r="C656" s="106"/>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220"/>
      <c r="AC656" s="105"/>
    </row>
    <row r="657" spans="1:29" ht="15">
      <c r="A657" s="105"/>
      <c r="B657" s="105"/>
      <c r="C657" s="106"/>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220"/>
      <c r="AC657" s="105"/>
    </row>
    <row r="658" spans="1:29" ht="15">
      <c r="A658" s="105"/>
      <c r="B658" s="105"/>
      <c r="C658" s="106"/>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220"/>
      <c r="AC658" s="105"/>
    </row>
    <row r="659" spans="1:29" ht="15">
      <c r="A659" s="105"/>
      <c r="B659" s="105"/>
      <c r="C659" s="106"/>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220"/>
      <c r="AC659" s="105"/>
    </row>
    <row r="660" spans="1:29" ht="15">
      <c r="A660" s="105"/>
      <c r="B660" s="105"/>
      <c r="C660" s="106"/>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220"/>
      <c r="AC660" s="105"/>
    </row>
    <row r="661" spans="1:29" ht="15">
      <c r="A661" s="105"/>
      <c r="B661" s="105"/>
      <c r="C661" s="106"/>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220"/>
      <c r="AC661" s="105"/>
    </row>
    <row r="662" spans="1:29" ht="15">
      <c r="A662" s="105"/>
      <c r="B662" s="105"/>
      <c r="C662" s="106"/>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220"/>
      <c r="AC662" s="105"/>
    </row>
    <row r="663" spans="1:29" ht="15">
      <c r="A663" s="105"/>
      <c r="B663" s="105"/>
      <c r="C663" s="106"/>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220"/>
      <c r="AC663" s="105"/>
    </row>
    <row r="664" spans="1:29" ht="15">
      <c r="A664" s="105"/>
      <c r="B664" s="105"/>
      <c r="C664" s="106"/>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220"/>
      <c r="AC664" s="105"/>
    </row>
    <row r="665" spans="1:29" ht="15">
      <c r="A665" s="105"/>
      <c r="B665" s="105"/>
      <c r="C665" s="106"/>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220"/>
      <c r="AC665" s="105"/>
    </row>
    <row r="666" spans="1:29" ht="15">
      <c r="A666" s="105"/>
      <c r="B666" s="105"/>
      <c r="C666" s="106"/>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220"/>
      <c r="AC666" s="105"/>
    </row>
    <row r="667" spans="1:29" ht="15">
      <c r="A667" s="105"/>
      <c r="B667" s="105"/>
      <c r="C667" s="106"/>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220"/>
      <c r="AC667" s="105"/>
    </row>
    <row r="668" spans="1:29" ht="15">
      <c r="A668" s="105"/>
      <c r="B668" s="105"/>
      <c r="C668" s="106"/>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220"/>
      <c r="AC668" s="105"/>
    </row>
    <row r="669" spans="1:29" ht="15">
      <c r="A669" s="105"/>
      <c r="B669" s="105"/>
      <c r="C669" s="106"/>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220"/>
      <c r="AC669" s="105"/>
    </row>
    <row r="670" spans="1:29" ht="15">
      <c r="A670" s="105"/>
      <c r="B670" s="105"/>
      <c r="C670" s="106"/>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220"/>
      <c r="AC670" s="105"/>
    </row>
    <row r="671" spans="1:29" ht="15">
      <c r="A671" s="105"/>
      <c r="B671" s="105"/>
      <c r="C671" s="106"/>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220"/>
      <c r="AC671" s="105"/>
    </row>
    <row r="672" spans="1:29" ht="15">
      <c r="A672" s="105"/>
      <c r="B672" s="105"/>
      <c r="C672" s="106"/>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220"/>
      <c r="AC672" s="105"/>
    </row>
    <row r="673" spans="1:29" ht="15">
      <c r="A673" s="105"/>
      <c r="B673" s="105"/>
      <c r="C673" s="106"/>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220"/>
      <c r="AC673" s="105"/>
    </row>
    <row r="674" spans="1:29" ht="15">
      <c r="A674" s="105"/>
      <c r="B674" s="105"/>
      <c r="C674" s="106"/>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220"/>
      <c r="AC674" s="105"/>
    </row>
    <row r="675" spans="1:29" ht="15">
      <c r="A675" s="105"/>
      <c r="B675" s="105"/>
      <c r="C675" s="106"/>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220"/>
      <c r="AC675" s="105"/>
    </row>
    <row r="676" spans="1:29" ht="15">
      <c r="A676" s="105"/>
      <c r="B676" s="105"/>
      <c r="C676" s="106"/>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220"/>
      <c r="AC676" s="105"/>
    </row>
    <row r="677" spans="1:29" ht="15">
      <c r="A677" s="105"/>
      <c r="B677" s="105"/>
      <c r="C677" s="106"/>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220"/>
      <c r="AC677" s="105"/>
    </row>
    <row r="678" spans="1:29" ht="15">
      <c r="A678" s="105"/>
      <c r="B678" s="105"/>
      <c r="C678" s="106"/>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220"/>
      <c r="AC678" s="105"/>
    </row>
    <row r="679" spans="1:29" ht="15">
      <c r="A679" s="105"/>
      <c r="B679" s="105"/>
      <c r="C679" s="106"/>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220"/>
      <c r="AC679" s="105"/>
    </row>
    <row r="680" spans="1:29" ht="15">
      <c r="A680" s="105"/>
      <c r="B680" s="105"/>
      <c r="C680" s="106"/>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220"/>
      <c r="AC680" s="105"/>
    </row>
    <row r="681" spans="1:29" ht="15">
      <c r="A681" s="105"/>
      <c r="B681" s="105"/>
      <c r="C681" s="106"/>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220"/>
      <c r="AC681" s="105"/>
    </row>
    <row r="682" spans="1:29" ht="15">
      <c r="A682" s="105"/>
      <c r="B682" s="105"/>
      <c r="C682" s="106"/>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220"/>
      <c r="AC682" s="105"/>
    </row>
    <row r="683" spans="1:29" ht="15">
      <c r="A683" s="105"/>
      <c r="B683" s="105"/>
      <c r="C683" s="106"/>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220"/>
      <c r="AC683" s="105"/>
    </row>
    <row r="684" spans="1:29" ht="15">
      <c r="A684" s="105"/>
      <c r="B684" s="105"/>
      <c r="C684" s="106"/>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220"/>
      <c r="AC684" s="105"/>
    </row>
    <row r="685" spans="1:29" ht="15">
      <c r="A685" s="105"/>
      <c r="B685" s="105"/>
      <c r="C685" s="106"/>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220"/>
      <c r="AC685" s="105"/>
    </row>
    <row r="686" spans="1:29" ht="15">
      <c r="A686" s="105"/>
      <c r="B686" s="105"/>
      <c r="C686" s="106"/>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220"/>
      <c r="AC686" s="105"/>
    </row>
    <row r="687" spans="1:29" ht="15">
      <c r="A687" s="105"/>
      <c r="B687" s="105"/>
      <c r="C687" s="106"/>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220"/>
      <c r="AC687" s="105"/>
    </row>
    <row r="688" spans="1:29" ht="15">
      <c r="A688" s="105"/>
      <c r="B688" s="105"/>
      <c r="C688" s="106"/>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220"/>
      <c r="AC688" s="105"/>
    </row>
    <row r="689" spans="1:29" ht="15">
      <c r="A689" s="105"/>
      <c r="B689" s="105"/>
      <c r="C689" s="106"/>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220"/>
      <c r="AC689" s="105"/>
    </row>
    <row r="690" spans="1:29" ht="15">
      <c r="A690" s="105"/>
      <c r="B690" s="105"/>
      <c r="C690" s="106"/>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220"/>
      <c r="AC690" s="105"/>
    </row>
    <row r="691" spans="1:29" ht="15">
      <c r="A691" s="105"/>
      <c r="B691" s="105"/>
      <c r="C691" s="106"/>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220"/>
      <c r="AC691" s="105"/>
    </row>
    <row r="692" spans="1:29" ht="15">
      <c r="A692" s="105"/>
      <c r="B692" s="105"/>
      <c r="C692" s="106"/>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220"/>
      <c r="AC692" s="105"/>
    </row>
    <row r="693" spans="1:29" ht="15">
      <c r="A693" s="105"/>
      <c r="B693" s="105"/>
      <c r="C693" s="106"/>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220"/>
      <c r="AC693" s="105"/>
    </row>
    <row r="694" spans="1:29" ht="15">
      <c r="A694" s="105"/>
      <c r="B694" s="105"/>
      <c r="C694" s="106"/>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220"/>
      <c r="AC694" s="105"/>
    </row>
    <row r="695" spans="1:29" ht="15">
      <c r="A695" s="105"/>
      <c r="B695" s="105"/>
      <c r="C695" s="106"/>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220"/>
      <c r="AC695" s="105"/>
    </row>
    <row r="696" spans="1:29" ht="15">
      <c r="A696" s="105"/>
      <c r="B696" s="105"/>
      <c r="C696" s="106"/>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220"/>
      <c r="AC696" s="105"/>
    </row>
    <row r="697" spans="1:29" ht="15">
      <c r="A697" s="105"/>
      <c r="B697" s="105"/>
      <c r="C697" s="106"/>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220"/>
      <c r="AC697" s="105"/>
    </row>
    <row r="698" spans="1:29" ht="15">
      <c r="A698" s="105"/>
      <c r="B698" s="105"/>
      <c r="C698" s="106"/>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220"/>
      <c r="AC698" s="105"/>
    </row>
    <row r="699" spans="1:29" ht="15">
      <c r="A699" s="105"/>
      <c r="B699" s="105"/>
      <c r="C699" s="106"/>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220"/>
      <c r="AC699" s="105"/>
    </row>
    <row r="700" spans="1:29" ht="15">
      <c r="A700" s="105"/>
      <c r="B700" s="105"/>
      <c r="C700" s="106"/>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220"/>
      <c r="AC700" s="105"/>
    </row>
    <row r="701" spans="1:29" ht="15">
      <c r="A701" s="105"/>
      <c r="B701" s="105"/>
      <c r="C701" s="106"/>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220"/>
      <c r="AC701" s="105"/>
    </row>
    <row r="702" spans="1:29" ht="15">
      <c r="A702" s="105"/>
      <c r="B702" s="105"/>
      <c r="C702" s="106"/>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220"/>
      <c r="AC702" s="105"/>
    </row>
    <row r="703" spans="1:29" ht="15">
      <c r="A703" s="105"/>
      <c r="B703" s="105"/>
      <c r="C703" s="106"/>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220"/>
      <c r="AC703" s="105"/>
    </row>
    <row r="704" spans="1:29" ht="15">
      <c r="A704" s="105"/>
      <c r="B704" s="105"/>
      <c r="C704" s="106"/>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220"/>
      <c r="AC704" s="105"/>
    </row>
    <row r="705" spans="1:29" ht="15">
      <c r="A705" s="105"/>
      <c r="B705" s="105"/>
      <c r="C705" s="106"/>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220"/>
      <c r="AC705" s="105"/>
    </row>
    <row r="706" spans="1:29" ht="15">
      <c r="A706" s="105"/>
      <c r="B706" s="105"/>
      <c r="C706" s="106"/>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220"/>
      <c r="AC706" s="105"/>
    </row>
    <row r="707" spans="1:29" ht="15">
      <c r="A707" s="105"/>
      <c r="B707" s="105"/>
      <c r="C707" s="106"/>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220"/>
      <c r="AC707" s="105"/>
    </row>
    <row r="708" spans="1:29" ht="15">
      <c r="A708" s="105"/>
      <c r="B708" s="105"/>
      <c r="C708" s="106"/>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220"/>
      <c r="AC708" s="105"/>
    </row>
    <row r="709" spans="1:29" ht="15">
      <c r="A709" s="105"/>
      <c r="B709" s="105"/>
      <c r="C709" s="106"/>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220"/>
      <c r="AC709" s="105"/>
    </row>
    <row r="710" spans="1:29" ht="15">
      <c r="A710" s="105"/>
      <c r="B710" s="105"/>
      <c r="C710" s="106"/>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220"/>
      <c r="AC710" s="105"/>
    </row>
    <row r="711" spans="1:29" ht="15">
      <c r="A711" s="105"/>
      <c r="B711" s="105"/>
      <c r="C711" s="106"/>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220"/>
      <c r="AC711" s="105"/>
    </row>
    <row r="712" spans="1:29" ht="15">
      <c r="A712" s="105"/>
      <c r="B712" s="105"/>
      <c r="C712" s="106"/>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220"/>
      <c r="AC712" s="105"/>
    </row>
    <row r="713" spans="1:29" ht="15">
      <c r="A713" s="105"/>
      <c r="B713" s="105"/>
      <c r="C713" s="106"/>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220"/>
      <c r="AC713" s="105"/>
    </row>
    <row r="714" spans="1:29" ht="15">
      <c r="A714" s="105"/>
      <c r="B714" s="105"/>
      <c r="C714" s="106"/>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220"/>
      <c r="AC714" s="105"/>
    </row>
    <row r="715" spans="1:29" ht="15">
      <c r="A715" s="105"/>
      <c r="B715" s="105"/>
      <c r="C715" s="106"/>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220"/>
      <c r="AC715" s="105"/>
    </row>
    <row r="716" spans="1:29" ht="15">
      <c r="A716" s="105"/>
      <c r="B716" s="105"/>
      <c r="C716" s="106"/>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220"/>
      <c r="AC716" s="105"/>
    </row>
    <row r="717" spans="1:29" ht="15">
      <c r="A717" s="105"/>
      <c r="B717" s="105"/>
      <c r="C717" s="106"/>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220"/>
      <c r="AC717" s="105"/>
    </row>
    <row r="718" spans="1:29" ht="15">
      <c r="A718" s="105"/>
      <c r="B718" s="105"/>
      <c r="C718" s="106"/>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220"/>
      <c r="AC718" s="105"/>
    </row>
    <row r="719" spans="1:29" ht="15">
      <c r="A719" s="105"/>
      <c r="B719" s="105"/>
      <c r="C719" s="106"/>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220"/>
      <c r="AC719" s="105"/>
    </row>
    <row r="720" spans="1:29" ht="15">
      <c r="A720" s="105"/>
      <c r="B720" s="105"/>
      <c r="C720" s="106"/>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220"/>
      <c r="AC720" s="105"/>
    </row>
    <row r="721" spans="1:29" ht="15">
      <c r="A721" s="105"/>
      <c r="B721" s="105"/>
      <c r="C721" s="106"/>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220"/>
      <c r="AC721" s="105"/>
    </row>
    <row r="722" spans="1:29" ht="15">
      <c r="A722" s="105"/>
      <c r="B722" s="105"/>
      <c r="C722" s="106"/>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220"/>
      <c r="AC722" s="105"/>
    </row>
    <row r="723" spans="1:29" ht="15">
      <c r="A723" s="105"/>
      <c r="B723" s="105"/>
      <c r="C723" s="106"/>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220"/>
      <c r="AC723" s="105"/>
    </row>
    <row r="724" spans="1:29" ht="15">
      <c r="A724" s="105"/>
      <c r="B724" s="105"/>
      <c r="C724" s="106"/>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220"/>
      <c r="AC724" s="105"/>
    </row>
    <row r="725" spans="1:29" ht="15">
      <c r="A725" s="105"/>
      <c r="B725" s="105"/>
      <c r="C725" s="106"/>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220"/>
      <c r="AC725" s="105"/>
    </row>
    <row r="726" spans="1:29" ht="15">
      <c r="A726" s="105"/>
      <c r="B726" s="105"/>
      <c r="C726" s="106"/>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220"/>
      <c r="AC726" s="105"/>
    </row>
    <row r="727" spans="1:29" ht="15">
      <c r="A727" s="105"/>
      <c r="B727" s="105"/>
      <c r="C727" s="106"/>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220"/>
      <c r="AC727" s="105"/>
    </row>
    <row r="728" spans="1:29" ht="15">
      <c r="A728" s="105"/>
      <c r="B728" s="105"/>
      <c r="C728" s="106"/>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220"/>
      <c r="AC728" s="105"/>
    </row>
    <row r="729" spans="1:29" ht="15">
      <c r="A729" s="105"/>
      <c r="B729" s="105"/>
      <c r="C729" s="106"/>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220"/>
      <c r="AC729" s="105"/>
    </row>
    <row r="730" spans="1:29" ht="15">
      <c r="A730" s="105"/>
      <c r="B730" s="105"/>
      <c r="C730" s="106"/>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220"/>
      <c r="AC730" s="105"/>
    </row>
    <row r="731" spans="1:29" ht="15">
      <c r="A731" s="105"/>
      <c r="B731" s="105"/>
      <c r="C731" s="106"/>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220"/>
      <c r="AC731" s="105"/>
    </row>
    <row r="732" spans="1:29" ht="15">
      <c r="A732" s="105"/>
      <c r="B732" s="105"/>
      <c r="C732" s="106"/>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220"/>
      <c r="AC732" s="105"/>
    </row>
    <row r="733" spans="1:29" ht="15">
      <c r="A733" s="105"/>
      <c r="B733" s="105"/>
      <c r="C733" s="106"/>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220"/>
      <c r="AC733" s="105"/>
    </row>
    <row r="734" spans="1:29" ht="15">
      <c r="A734" s="105"/>
      <c r="B734" s="105"/>
      <c r="C734" s="106"/>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220"/>
      <c r="AC734" s="105"/>
    </row>
    <row r="735" spans="1:29" ht="15">
      <c r="A735" s="105"/>
      <c r="B735" s="105"/>
      <c r="C735" s="106"/>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220"/>
      <c r="AC735" s="105"/>
    </row>
    <row r="736" spans="1:29" ht="15">
      <c r="A736" s="105"/>
      <c r="B736" s="105"/>
      <c r="C736" s="106"/>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220"/>
      <c r="AC736" s="105"/>
    </row>
    <row r="737" spans="1:29" ht="15">
      <c r="A737" s="105"/>
      <c r="B737" s="105"/>
      <c r="C737" s="106"/>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220"/>
      <c r="AC737" s="105"/>
    </row>
    <row r="738" spans="1:29" ht="15">
      <c r="A738" s="105"/>
      <c r="B738" s="105"/>
      <c r="C738" s="106"/>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220"/>
      <c r="AC738" s="105"/>
    </row>
    <row r="739" spans="1:29" ht="15">
      <c r="A739" s="105"/>
      <c r="B739" s="105"/>
      <c r="C739" s="106"/>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220"/>
      <c r="AC739" s="105"/>
    </row>
    <row r="740" spans="1:29" ht="15">
      <c r="A740" s="105"/>
      <c r="B740" s="105"/>
      <c r="C740" s="106"/>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220"/>
      <c r="AC740" s="105"/>
    </row>
    <row r="741" spans="1:29" ht="15">
      <c r="A741" s="105"/>
      <c r="B741" s="105"/>
      <c r="C741" s="106"/>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220"/>
      <c r="AC741" s="105"/>
    </row>
    <row r="742" spans="1:29" ht="15">
      <c r="A742" s="105"/>
      <c r="B742" s="105"/>
      <c r="C742" s="106"/>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220"/>
      <c r="AC742" s="105"/>
    </row>
    <row r="743" spans="1:29" ht="15">
      <c r="A743" s="105"/>
      <c r="B743" s="105"/>
      <c r="C743" s="106"/>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220"/>
      <c r="AC743" s="105"/>
    </row>
    <row r="744" spans="1:29" ht="15">
      <c r="A744" s="105"/>
      <c r="B744" s="105"/>
      <c r="C744" s="106"/>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220"/>
      <c r="AC744" s="105"/>
    </row>
    <row r="745" spans="1:29" ht="15">
      <c r="A745" s="105"/>
      <c r="B745" s="105"/>
      <c r="C745" s="106"/>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220"/>
      <c r="AC745" s="105"/>
    </row>
    <row r="746" spans="1:29" ht="15">
      <c r="A746" s="105"/>
      <c r="B746" s="105"/>
      <c r="C746" s="106"/>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220"/>
      <c r="AC746" s="105"/>
    </row>
    <row r="747" spans="1:29" ht="15">
      <c r="A747" s="105"/>
      <c r="B747" s="105"/>
      <c r="C747" s="106"/>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220"/>
      <c r="AC747" s="105"/>
    </row>
    <row r="748" spans="1:29" ht="15">
      <c r="A748" s="105"/>
      <c r="B748" s="105"/>
      <c r="C748" s="106"/>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220"/>
      <c r="AC748" s="105"/>
    </row>
    <row r="749" spans="1:29" ht="15">
      <c r="A749" s="105"/>
      <c r="B749" s="105"/>
      <c r="C749" s="106"/>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220"/>
      <c r="AC749" s="105"/>
    </row>
    <row r="750" spans="1:29" ht="15">
      <c r="A750" s="105"/>
      <c r="B750" s="105"/>
      <c r="C750" s="106"/>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220"/>
      <c r="AC750" s="105"/>
    </row>
    <row r="751" spans="1:29" ht="15">
      <c r="A751" s="105"/>
      <c r="B751" s="105"/>
      <c r="C751" s="106"/>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220"/>
      <c r="AC751" s="105"/>
    </row>
    <row r="752" spans="1:29" ht="15">
      <c r="A752" s="105"/>
      <c r="B752" s="105"/>
      <c r="C752" s="106"/>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220"/>
      <c r="AC752" s="105"/>
    </row>
    <row r="753" spans="1:29" ht="15">
      <c r="A753" s="105"/>
      <c r="B753" s="105"/>
      <c r="C753" s="106"/>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220"/>
      <c r="AC753" s="105"/>
    </row>
    <row r="754" spans="1:29" ht="15">
      <c r="A754" s="105"/>
      <c r="B754" s="105"/>
      <c r="C754" s="106"/>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220"/>
      <c r="AC754" s="105"/>
    </row>
    <row r="755" spans="1:29" ht="15">
      <c r="A755" s="105"/>
      <c r="B755" s="105"/>
      <c r="C755" s="106"/>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220"/>
      <c r="AC755" s="105"/>
    </row>
    <row r="756" spans="1:29" ht="15">
      <c r="A756" s="105"/>
      <c r="B756" s="105"/>
      <c r="C756" s="106"/>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220"/>
      <c r="AC756" s="105"/>
    </row>
    <row r="757" spans="1:29" ht="15">
      <c r="A757" s="105"/>
      <c r="B757" s="105"/>
      <c r="C757" s="106"/>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220"/>
      <c r="AC757" s="105"/>
    </row>
    <row r="758" spans="1:29" ht="15">
      <c r="A758" s="105"/>
      <c r="B758" s="105"/>
      <c r="C758" s="106"/>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220"/>
      <c r="AC758" s="105"/>
    </row>
    <row r="759" spans="1:29" ht="15">
      <c r="A759" s="105"/>
      <c r="B759" s="105"/>
      <c r="C759" s="106"/>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220"/>
      <c r="AC759" s="105"/>
    </row>
    <row r="760" spans="1:29" ht="15">
      <c r="A760" s="105"/>
      <c r="B760" s="105"/>
      <c r="C760" s="106"/>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220"/>
      <c r="AC760" s="105"/>
    </row>
    <row r="761" spans="1:29" ht="15">
      <c r="A761" s="105"/>
      <c r="B761" s="105"/>
      <c r="C761" s="106"/>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220"/>
      <c r="AC761" s="105"/>
    </row>
    <row r="762" spans="1:29" ht="15">
      <c r="A762" s="105"/>
      <c r="B762" s="105"/>
      <c r="C762" s="106"/>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220"/>
      <c r="AC762" s="105"/>
    </row>
    <row r="763" spans="1:29" ht="15">
      <c r="A763" s="105"/>
      <c r="B763" s="105"/>
      <c r="C763" s="106"/>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220"/>
      <c r="AC763" s="105"/>
    </row>
    <row r="764" spans="1:29" ht="15">
      <c r="A764" s="105"/>
      <c r="B764" s="105"/>
      <c r="C764" s="106"/>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220"/>
      <c r="AC764" s="105"/>
    </row>
    <row r="765" spans="1:29" ht="15">
      <c r="A765" s="105"/>
      <c r="B765" s="105"/>
      <c r="C765" s="106"/>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220"/>
      <c r="AC765" s="105"/>
    </row>
    <row r="766" spans="1:29" ht="15">
      <c r="A766" s="105"/>
      <c r="B766" s="105"/>
      <c r="C766" s="106"/>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220"/>
      <c r="AC766" s="105"/>
    </row>
    <row r="767" spans="1:29" ht="15">
      <c r="A767" s="105"/>
      <c r="B767" s="105"/>
      <c r="C767" s="106"/>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220"/>
      <c r="AC767" s="105"/>
    </row>
    <row r="768" spans="1:29" ht="15">
      <c r="A768" s="105"/>
      <c r="B768" s="105"/>
      <c r="C768" s="106"/>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220"/>
      <c r="AC768" s="105"/>
    </row>
    <row r="769" spans="1:29" ht="15">
      <c r="A769" s="105"/>
      <c r="B769" s="105"/>
      <c r="C769" s="106"/>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220"/>
      <c r="AC769" s="105"/>
    </row>
    <row r="770" spans="1:29" ht="15">
      <c r="A770" s="105"/>
      <c r="B770" s="105"/>
      <c r="C770" s="106"/>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220"/>
      <c r="AC770" s="105"/>
    </row>
    <row r="771" spans="1:29" ht="15">
      <c r="A771" s="105"/>
      <c r="B771" s="105"/>
      <c r="C771" s="106"/>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220"/>
      <c r="AC771" s="105"/>
    </row>
    <row r="772" spans="1:29" ht="15">
      <c r="A772" s="105"/>
      <c r="B772" s="105"/>
      <c r="C772" s="106"/>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220"/>
      <c r="AC772" s="105"/>
    </row>
    <row r="773" spans="1:29" ht="15">
      <c r="A773" s="105"/>
      <c r="B773" s="105"/>
      <c r="C773" s="106"/>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220"/>
      <c r="AC773" s="105"/>
    </row>
    <row r="774" spans="1:29" ht="15">
      <c r="A774" s="105"/>
      <c r="B774" s="105"/>
      <c r="C774" s="106"/>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220"/>
      <c r="AC774" s="105"/>
    </row>
    <row r="775" spans="1:29" ht="15">
      <c r="A775" s="105"/>
      <c r="B775" s="105"/>
      <c r="C775" s="106"/>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220"/>
      <c r="AC775" s="105"/>
    </row>
    <row r="776" spans="1:29" ht="15">
      <c r="A776" s="105"/>
      <c r="B776" s="105"/>
      <c r="C776" s="106"/>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220"/>
      <c r="AC776" s="105"/>
    </row>
    <row r="777" spans="1:29" ht="15">
      <c r="A777" s="105"/>
      <c r="B777" s="105"/>
      <c r="C777" s="106"/>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220"/>
      <c r="AC777" s="105"/>
    </row>
    <row r="778" spans="1:29" ht="15">
      <c r="A778" s="105"/>
      <c r="B778" s="105"/>
      <c r="C778" s="106"/>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220"/>
      <c r="AC778" s="105"/>
    </row>
    <row r="779" spans="1:29" ht="15">
      <c r="A779" s="105"/>
      <c r="B779" s="105"/>
      <c r="C779" s="106"/>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220"/>
      <c r="AC779" s="105"/>
    </row>
    <row r="780" spans="1:29" ht="15">
      <c r="A780" s="105"/>
      <c r="B780" s="105"/>
      <c r="C780" s="106"/>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220"/>
      <c r="AC780" s="105"/>
    </row>
    <row r="781" spans="1:29" ht="15">
      <c r="A781" s="105"/>
      <c r="B781" s="105"/>
      <c r="C781" s="106"/>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220"/>
      <c r="AC781" s="105"/>
    </row>
    <row r="782" spans="1:29" ht="15">
      <c r="A782" s="105"/>
      <c r="B782" s="105"/>
      <c r="C782" s="106"/>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220"/>
      <c r="AC782" s="105"/>
    </row>
    <row r="783" spans="1:29" ht="15">
      <c r="A783" s="105"/>
      <c r="B783" s="105"/>
      <c r="C783" s="106"/>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220"/>
      <c r="AC783" s="105"/>
    </row>
    <row r="784" spans="1:29" ht="15">
      <c r="A784" s="105"/>
      <c r="B784" s="105"/>
      <c r="C784" s="106"/>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220"/>
      <c r="AC784" s="105"/>
    </row>
    <row r="785" spans="1:29" ht="15">
      <c r="A785" s="105"/>
      <c r="B785" s="105"/>
      <c r="C785" s="106"/>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220"/>
      <c r="AC785" s="105"/>
    </row>
    <row r="786" spans="1:29" ht="15">
      <c r="A786" s="105"/>
      <c r="B786" s="105"/>
      <c r="C786" s="106"/>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220"/>
      <c r="AC786" s="105"/>
    </row>
    <row r="787" spans="1:29" ht="15">
      <c r="A787" s="105"/>
      <c r="B787" s="105"/>
      <c r="C787" s="106"/>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220"/>
      <c r="AC787" s="105"/>
    </row>
    <row r="788" spans="1:29" ht="15">
      <c r="A788" s="105"/>
      <c r="B788" s="105"/>
      <c r="C788" s="106"/>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220"/>
      <c r="AC788" s="105"/>
    </row>
    <row r="789" spans="1:29" ht="15">
      <c r="A789" s="105"/>
      <c r="B789" s="105"/>
      <c r="C789" s="106"/>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220"/>
      <c r="AC789" s="105"/>
    </row>
    <row r="790" spans="1:29" ht="15">
      <c r="A790" s="105"/>
      <c r="B790" s="105"/>
      <c r="C790" s="106"/>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220"/>
      <c r="AC790" s="105"/>
    </row>
    <row r="791" spans="1:29" ht="15">
      <c r="A791" s="105"/>
      <c r="B791" s="105"/>
      <c r="C791" s="106"/>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220"/>
      <c r="AC791" s="105"/>
    </row>
    <row r="792" spans="1:29" ht="15">
      <c r="A792" s="105"/>
      <c r="B792" s="105"/>
      <c r="C792" s="106"/>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220"/>
      <c r="AC792" s="105"/>
    </row>
    <row r="793" spans="1:29" ht="15">
      <c r="A793" s="105"/>
      <c r="B793" s="105"/>
      <c r="C793" s="106"/>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220"/>
      <c r="AC793" s="105"/>
    </row>
    <row r="794" spans="1:29" ht="15">
      <c r="A794" s="105"/>
      <c r="B794" s="105"/>
      <c r="C794" s="106"/>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220"/>
      <c r="AC794" s="105"/>
    </row>
    <row r="795" spans="1:29" ht="15">
      <c r="A795" s="105"/>
      <c r="B795" s="105"/>
      <c r="C795" s="106"/>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220"/>
      <c r="AC795" s="105"/>
    </row>
    <row r="796" spans="1:29" ht="15">
      <c r="A796" s="105"/>
      <c r="B796" s="105"/>
      <c r="C796" s="106"/>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220"/>
      <c r="AC796" s="105"/>
    </row>
    <row r="797" spans="1:29" ht="15">
      <c r="A797" s="105"/>
      <c r="B797" s="105"/>
      <c r="C797" s="106"/>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220"/>
      <c r="AC797" s="105"/>
    </row>
    <row r="798" spans="1:29" ht="15">
      <c r="A798" s="105"/>
      <c r="B798" s="105"/>
      <c r="C798" s="106"/>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220"/>
      <c r="AC798" s="105"/>
    </row>
    <row r="799" spans="1:29" ht="15">
      <c r="A799" s="105"/>
      <c r="B799" s="105"/>
      <c r="C799" s="106"/>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220"/>
      <c r="AC799" s="105"/>
    </row>
    <row r="800" spans="1:29" ht="15">
      <c r="A800" s="105"/>
      <c r="B800" s="105"/>
      <c r="C800" s="106"/>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220"/>
      <c r="AC800" s="105"/>
    </row>
    <row r="801" spans="1:29" ht="15">
      <c r="A801" s="105"/>
      <c r="B801" s="105"/>
      <c r="C801" s="106"/>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220"/>
      <c r="AC801" s="105"/>
    </row>
    <row r="802" spans="1:29" ht="15">
      <c r="A802" s="105"/>
      <c r="B802" s="105"/>
      <c r="C802" s="106"/>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220"/>
      <c r="AC802" s="105"/>
    </row>
    <row r="803" spans="1:29" ht="15">
      <c r="A803" s="105"/>
      <c r="B803" s="105"/>
      <c r="C803" s="106"/>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220"/>
      <c r="AC803" s="105"/>
    </row>
    <row r="804" spans="1:29" ht="15">
      <c r="A804" s="105"/>
      <c r="B804" s="105"/>
      <c r="C804" s="106"/>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220"/>
      <c r="AC804" s="105"/>
    </row>
    <row r="805" spans="1:29" ht="15">
      <c r="A805" s="105"/>
      <c r="B805" s="105"/>
      <c r="C805" s="106"/>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220"/>
      <c r="AC805" s="105"/>
    </row>
    <row r="806" spans="1:29" ht="15">
      <c r="A806" s="105"/>
      <c r="B806" s="105"/>
      <c r="C806" s="106"/>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220"/>
      <c r="AC806" s="105"/>
    </row>
    <row r="807" spans="1:29" ht="15">
      <c r="A807" s="105"/>
      <c r="B807" s="105"/>
      <c r="C807" s="106"/>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220"/>
      <c r="AC807" s="105"/>
    </row>
    <row r="808" spans="1:29" ht="15">
      <c r="A808" s="105"/>
      <c r="B808" s="105"/>
      <c r="C808" s="106"/>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220"/>
      <c r="AC808" s="105"/>
    </row>
    <row r="809" spans="1:29" ht="15">
      <c r="A809" s="105"/>
      <c r="B809" s="105"/>
      <c r="C809" s="106"/>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220"/>
      <c r="AC809" s="105"/>
    </row>
    <row r="810" spans="1:29" ht="15">
      <c r="A810" s="105"/>
      <c r="B810" s="105"/>
      <c r="C810" s="106"/>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220"/>
      <c r="AC810" s="105"/>
    </row>
    <row r="811" spans="1:29" ht="15">
      <c r="A811" s="105"/>
      <c r="B811" s="105"/>
      <c r="C811" s="106"/>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220"/>
      <c r="AC811" s="105"/>
    </row>
    <row r="812" spans="1:29" ht="15">
      <c r="A812" s="105"/>
      <c r="B812" s="105"/>
      <c r="C812" s="106"/>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220"/>
      <c r="AC812" s="105"/>
    </row>
    <row r="813" spans="1:29" ht="15">
      <c r="A813" s="105"/>
      <c r="B813" s="105"/>
      <c r="C813" s="106"/>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220"/>
      <c r="AC813" s="105"/>
    </row>
    <row r="814" spans="1:29" ht="15">
      <c r="A814" s="105"/>
      <c r="B814" s="105"/>
      <c r="C814" s="106"/>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220"/>
      <c r="AC814" s="105"/>
    </row>
    <row r="815" spans="1:29" ht="15">
      <c r="A815" s="105"/>
      <c r="B815" s="105"/>
      <c r="C815" s="106"/>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220"/>
      <c r="AC815" s="105"/>
    </row>
    <row r="816" spans="1:29" ht="15">
      <c r="A816" s="105"/>
      <c r="B816" s="105"/>
      <c r="C816" s="106"/>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220"/>
      <c r="AC816" s="105"/>
    </row>
    <row r="817" spans="1:29" ht="15">
      <c r="A817" s="105"/>
      <c r="B817" s="105"/>
      <c r="C817" s="106"/>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220"/>
      <c r="AC817" s="105"/>
    </row>
    <row r="818" spans="1:29" ht="15">
      <c r="A818" s="105"/>
      <c r="B818" s="105"/>
      <c r="C818" s="106"/>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220"/>
      <c r="AC818" s="105"/>
    </row>
    <row r="819" spans="1:29" ht="15">
      <c r="A819" s="105"/>
      <c r="B819" s="105"/>
      <c r="C819" s="106"/>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220"/>
      <c r="AC819" s="105"/>
    </row>
    <row r="820" spans="1:29" ht="15">
      <c r="A820" s="105"/>
      <c r="B820" s="105"/>
      <c r="C820" s="106"/>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220"/>
      <c r="AC820" s="105"/>
    </row>
    <row r="821" spans="1:29" ht="15">
      <c r="A821" s="105"/>
      <c r="B821" s="105"/>
      <c r="C821" s="106"/>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220"/>
      <c r="AC821" s="105"/>
    </row>
    <row r="822" spans="1:29" ht="15">
      <c r="A822" s="105"/>
      <c r="B822" s="105"/>
      <c r="C822" s="106"/>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220"/>
      <c r="AC822" s="105"/>
    </row>
    <row r="823" spans="1:29" ht="15">
      <c r="A823" s="105"/>
      <c r="B823" s="105"/>
      <c r="C823" s="106"/>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220"/>
      <c r="AC823" s="105"/>
    </row>
    <row r="824" spans="1:29" ht="15">
      <c r="A824" s="105"/>
      <c r="B824" s="105"/>
      <c r="C824" s="106"/>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220"/>
      <c r="AC824" s="105"/>
    </row>
    <row r="825" spans="1:29" ht="15">
      <c r="A825" s="105"/>
      <c r="B825" s="105"/>
      <c r="C825" s="106"/>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220"/>
      <c r="AC825" s="105"/>
    </row>
    <row r="826" spans="1:29" ht="15">
      <c r="A826" s="105"/>
      <c r="B826" s="105"/>
      <c r="C826" s="106"/>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220"/>
      <c r="AC826" s="105"/>
    </row>
    <row r="827" spans="1:29" ht="15">
      <c r="A827" s="105"/>
      <c r="B827" s="105"/>
      <c r="C827" s="106"/>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220"/>
      <c r="AC827" s="105"/>
    </row>
    <row r="828" spans="1:29" ht="15">
      <c r="A828" s="105"/>
      <c r="B828" s="105"/>
      <c r="C828" s="106"/>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c r="AA828" s="105"/>
      <c r="AB828" s="220"/>
      <c r="AC828" s="105"/>
    </row>
    <row r="829" spans="1:29" ht="15">
      <c r="A829" s="105"/>
      <c r="B829" s="105"/>
      <c r="C829" s="106"/>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c r="AA829" s="105"/>
      <c r="AB829" s="220"/>
      <c r="AC829" s="105"/>
    </row>
    <row r="830" spans="1:29" ht="15">
      <c r="A830" s="105"/>
      <c r="B830" s="105"/>
      <c r="C830" s="106"/>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c r="AA830" s="105"/>
      <c r="AB830" s="220"/>
      <c r="AC830" s="105"/>
    </row>
    <row r="831" spans="1:29" ht="15">
      <c r="A831" s="105"/>
      <c r="B831" s="105"/>
      <c r="C831" s="106"/>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c r="AA831" s="105"/>
      <c r="AB831" s="220"/>
      <c r="AC831" s="105"/>
    </row>
    <row r="832" spans="1:29" ht="15">
      <c r="A832" s="105"/>
      <c r="B832" s="105"/>
      <c r="C832" s="106"/>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c r="AA832" s="105"/>
      <c r="AB832" s="220"/>
      <c r="AC832" s="105"/>
    </row>
    <row r="833" spans="1:29" ht="15">
      <c r="A833" s="105"/>
      <c r="B833" s="105"/>
      <c r="C833" s="106"/>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c r="AA833" s="105"/>
      <c r="AB833" s="220"/>
      <c r="AC833" s="105"/>
    </row>
    <row r="834" spans="1:29" ht="15">
      <c r="A834" s="105"/>
      <c r="B834" s="105"/>
      <c r="C834" s="106"/>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c r="AA834" s="105"/>
      <c r="AB834" s="220"/>
      <c r="AC834" s="105"/>
    </row>
    <row r="835" spans="1:29" ht="15">
      <c r="A835" s="105"/>
      <c r="B835" s="105"/>
      <c r="C835" s="106"/>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c r="AA835" s="105"/>
      <c r="AB835" s="220"/>
      <c r="AC835" s="105"/>
    </row>
    <row r="836" spans="1:29" ht="15">
      <c r="A836" s="105"/>
      <c r="B836" s="105"/>
      <c r="C836" s="106"/>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c r="AA836" s="105"/>
      <c r="AB836" s="220"/>
      <c r="AC836" s="105"/>
    </row>
    <row r="837" spans="1:29" ht="15">
      <c r="A837" s="105"/>
      <c r="B837" s="105"/>
      <c r="C837" s="106"/>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c r="AA837" s="105"/>
      <c r="AB837" s="220"/>
      <c r="AC837" s="105"/>
    </row>
    <row r="838" spans="1:29" ht="15">
      <c r="A838" s="105"/>
      <c r="B838" s="105"/>
      <c r="C838" s="106"/>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c r="AA838" s="105"/>
      <c r="AB838" s="220"/>
      <c r="AC838" s="105"/>
    </row>
    <row r="839" spans="1:29" ht="15">
      <c r="A839" s="105"/>
      <c r="B839" s="105"/>
      <c r="C839" s="106"/>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c r="AA839" s="105"/>
      <c r="AB839" s="220"/>
      <c r="AC839" s="105"/>
    </row>
    <row r="840" spans="1:29" ht="15">
      <c r="A840" s="105"/>
      <c r="B840" s="105"/>
      <c r="C840" s="106"/>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c r="AA840" s="105"/>
      <c r="AB840" s="220"/>
      <c r="AC840" s="105"/>
    </row>
    <row r="841" spans="1:29" ht="15">
      <c r="A841" s="105"/>
      <c r="B841" s="105"/>
      <c r="C841" s="106"/>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c r="AA841" s="105"/>
      <c r="AB841" s="220"/>
      <c r="AC841" s="105"/>
    </row>
    <row r="842" spans="1:29" ht="15">
      <c r="A842" s="105"/>
      <c r="B842" s="105"/>
      <c r="C842" s="106"/>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c r="AA842" s="105"/>
      <c r="AB842" s="220"/>
      <c r="AC842" s="105"/>
    </row>
    <row r="843" spans="1:29" ht="15">
      <c r="A843" s="105"/>
      <c r="B843" s="105"/>
      <c r="C843" s="106"/>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c r="AA843" s="105"/>
      <c r="AB843" s="220"/>
      <c r="AC843" s="105"/>
    </row>
    <row r="844" spans="1:29" ht="15">
      <c r="A844" s="105"/>
      <c r="B844" s="105"/>
      <c r="C844" s="106"/>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c r="AA844" s="105"/>
      <c r="AB844" s="220"/>
      <c r="AC844" s="105"/>
    </row>
    <row r="845" spans="1:29" ht="15">
      <c r="A845" s="105"/>
      <c r="B845" s="105"/>
      <c r="C845" s="106"/>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c r="AA845" s="105"/>
      <c r="AB845" s="220"/>
      <c r="AC845" s="105"/>
    </row>
    <row r="846" spans="1:29" ht="15">
      <c r="A846" s="105"/>
      <c r="B846" s="105"/>
      <c r="C846" s="106"/>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c r="AA846" s="105"/>
      <c r="AB846" s="220"/>
      <c r="AC846" s="105"/>
    </row>
    <row r="847" spans="1:29" ht="15">
      <c r="A847" s="105"/>
      <c r="B847" s="105"/>
      <c r="C847" s="106"/>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c r="AA847" s="105"/>
      <c r="AB847" s="220"/>
      <c r="AC847" s="105"/>
    </row>
    <row r="848" spans="1:29" ht="15">
      <c r="A848" s="105"/>
      <c r="B848" s="105"/>
      <c r="C848" s="106"/>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c r="AA848" s="105"/>
      <c r="AB848" s="220"/>
      <c r="AC848" s="105"/>
    </row>
    <row r="849" spans="1:29" ht="15">
      <c r="A849" s="105"/>
      <c r="B849" s="105"/>
      <c r="C849" s="106"/>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220"/>
      <c r="AC849" s="105"/>
    </row>
    <row r="850" spans="1:29" ht="15">
      <c r="A850" s="105"/>
      <c r="B850" s="105"/>
      <c r="C850" s="106"/>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c r="AA850" s="105"/>
      <c r="AB850" s="220"/>
      <c r="AC850" s="105"/>
    </row>
    <row r="851" spans="1:29" ht="15">
      <c r="A851" s="105"/>
      <c r="B851" s="105"/>
      <c r="C851" s="106"/>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c r="AA851" s="105"/>
      <c r="AB851" s="220"/>
      <c r="AC851" s="105"/>
    </row>
    <row r="852" spans="1:29" ht="15">
      <c r="A852" s="105"/>
      <c r="B852" s="105"/>
      <c r="C852" s="106"/>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c r="AA852" s="105"/>
      <c r="AB852" s="220"/>
      <c r="AC852" s="105"/>
    </row>
    <row r="853" spans="1:29" ht="15">
      <c r="A853" s="105"/>
      <c r="B853" s="105"/>
      <c r="C853" s="106"/>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c r="AA853" s="105"/>
      <c r="AB853" s="220"/>
      <c r="AC853" s="105"/>
    </row>
    <row r="854" spans="1:29" ht="15">
      <c r="A854" s="105"/>
      <c r="B854" s="105"/>
      <c r="C854" s="106"/>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c r="AA854" s="105"/>
      <c r="AB854" s="220"/>
      <c r="AC854" s="105"/>
    </row>
    <row r="855" spans="1:29" ht="15">
      <c r="A855" s="105"/>
      <c r="B855" s="105"/>
      <c r="C855" s="106"/>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c r="AA855" s="105"/>
      <c r="AB855" s="220"/>
      <c r="AC855" s="105"/>
    </row>
    <row r="856" spans="1:29" ht="15">
      <c r="A856" s="105"/>
      <c r="B856" s="105"/>
      <c r="C856" s="106"/>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c r="AA856" s="105"/>
      <c r="AB856" s="220"/>
      <c r="AC856" s="105"/>
    </row>
    <row r="857" spans="1:29" ht="15">
      <c r="A857" s="105"/>
      <c r="B857" s="105"/>
      <c r="C857" s="106"/>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c r="AA857" s="105"/>
      <c r="AB857" s="220"/>
      <c r="AC857" s="105"/>
    </row>
    <row r="858" spans="1:29" ht="15">
      <c r="A858" s="105"/>
      <c r="B858" s="105"/>
      <c r="C858" s="106"/>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c r="AA858" s="105"/>
      <c r="AB858" s="220"/>
      <c r="AC858" s="105"/>
    </row>
    <row r="859" spans="1:29" ht="15">
      <c r="A859" s="105"/>
      <c r="B859" s="105"/>
      <c r="C859" s="106"/>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c r="AA859" s="105"/>
      <c r="AB859" s="220"/>
      <c r="AC859" s="105"/>
    </row>
    <row r="860" spans="1:29" ht="15">
      <c r="A860" s="105"/>
      <c r="B860" s="105"/>
      <c r="C860" s="106"/>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c r="AA860" s="105"/>
      <c r="AB860" s="220"/>
      <c r="AC860" s="105"/>
    </row>
    <row r="861" spans="1:29" ht="15">
      <c r="A861" s="105"/>
      <c r="B861" s="105"/>
      <c r="C861" s="106"/>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c r="AA861" s="105"/>
      <c r="AB861" s="220"/>
      <c r="AC861" s="105"/>
    </row>
    <row r="862" spans="1:29" ht="15">
      <c r="A862" s="105"/>
      <c r="B862" s="105"/>
      <c r="C862" s="106"/>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c r="AA862" s="105"/>
      <c r="AB862" s="220"/>
      <c r="AC862" s="105"/>
    </row>
    <row r="863" spans="1:29" ht="15">
      <c r="A863" s="105"/>
      <c r="B863" s="105"/>
      <c r="C863" s="106"/>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c r="AA863" s="105"/>
      <c r="AB863" s="220"/>
      <c r="AC863" s="105"/>
    </row>
    <row r="864" spans="1:29" ht="15">
      <c r="A864" s="105"/>
      <c r="B864" s="105"/>
      <c r="C864" s="106"/>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c r="AA864" s="105"/>
      <c r="AB864" s="220"/>
      <c r="AC864" s="105"/>
    </row>
    <row r="865" spans="1:29" ht="15">
      <c r="A865" s="105"/>
      <c r="B865" s="105"/>
      <c r="C865" s="106"/>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c r="AA865" s="105"/>
      <c r="AB865" s="220"/>
      <c r="AC865" s="105"/>
    </row>
    <row r="866" spans="1:29" ht="15">
      <c r="A866" s="105"/>
      <c r="B866" s="105"/>
      <c r="C866" s="106"/>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c r="AA866" s="105"/>
      <c r="AB866" s="220"/>
      <c r="AC866" s="105"/>
    </row>
    <row r="867" spans="1:29" ht="15">
      <c r="A867" s="105"/>
      <c r="B867" s="105"/>
      <c r="C867" s="106"/>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c r="AA867" s="105"/>
      <c r="AB867" s="220"/>
      <c r="AC867" s="105"/>
    </row>
    <row r="868" spans="1:29" ht="15">
      <c r="A868" s="105"/>
      <c r="B868" s="105"/>
      <c r="C868" s="106"/>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c r="AA868" s="105"/>
      <c r="AB868" s="220"/>
      <c r="AC868" s="105"/>
    </row>
    <row r="869" spans="1:29" ht="15">
      <c r="A869" s="105"/>
      <c r="B869" s="105"/>
      <c r="C869" s="106"/>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c r="AA869" s="105"/>
      <c r="AB869" s="220"/>
      <c r="AC869" s="105"/>
    </row>
    <row r="870" spans="1:29" ht="15">
      <c r="A870" s="105"/>
      <c r="B870" s="105"/>
      <c r="C870" s="106"/>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c r="AA870" s="105"/>
      <c r="AB870" s="220"/>
      <c r="AC870" s="105"/>
    </row>
    <row r="871" spans="1:29" ht="15">
      <c r="A871" s="105"/>
      <c r="B871" s="105"/>
      <c r="C871" s="106"/>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c r="AA871" s="105"/>
      <c r="AB871" s="220"/>
      <c r="AC871" s="105"/>
    </row>
    <row r="872" spans="1:29" ht="15">
      <c r="A872" s="105"/>
      <c r="B872" s="105"/>
      <c r="C872" s="106"/>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c r="AA872" s="105"/>
      <c r="AB872" s="220"/>
      <c r="AC872" s="105"/>
    </row>
    <row r="873" spans="1:29" ht="15">
      <c r="A873" s="105"/>
      <c r="B873" s="105"/>
      <c r="C873" s="106"/>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c r="AA873" s="105"/>
      <c r="AB873" s="220"/>
      <c r="AC873" s="105"/>
    </row>
    <row r="874" spans="1:29" ht="15">
      <c r="A874" s="105"/>
      <c r="B874" s="105"/>
      <c r="C874" s="106"/>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c r="AA874" s="105"/>
      <c r="AB874" s="220"/>
      <c r="AC874" s="105"/>
    </row>
    <row r="875" spans="1:29" ht="15">
      <c r="A875" s="105"/>
      <c r="B875" s="105"/>
      <c r="C875" s="106"/>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c r="AA875" s="105"/>
      <c r="AB875" s="220"/>
      <c r="AC875" s="105"/>
    </row>
    <row r="876" spans="1:29" ht="15">
      <c r="A876" s="105"/>
      <c r="B876" s="105"/>
      <c r="C876" s="106"/>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c r="AA876" s="105"/>
      <c r="AB876" s="220"/>
      <c r="AC876" s="105"/>
    </row>
    <row r="877" spans="1:29" ht="15">
      <c r="A877" s="105"/>
      <c r="B877" s="105"/>
      <c r="C877" s="106"/>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c r="AA877" s="105"/>
      <c r="AB877" s="220"/>
      <c r="AC877" s="105"/>
    </row>
    <row r="878" spans="1:29" ht="15">
      <c r="A878" s="105"/>
      <c r="B878" s="105"/>
      <c r="C878" s="106"/>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c r="AA878" s="105"/>
      <c r="AB878" s="220"/>
      <c r="AC878" s="105"/>
    </row>
    <row r="879" spans="1:29" ht="15">
      <c r="A879" s="105"/>
      <c r="B879" s="105"/>
      <c r="C879" s="106"/>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c r="AA879" s="105"/>
      <c r="AB879" s="220"/>
      <c r="AC879" s="105"/>
    </row>
    <row r="880" spans="1:29" ht="15">
      <c r="A880" s="105"/>
      <c r="B880" s="105"/>
      <c r="C880" s="106"/>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c r="AA880" s="105"/>
      <c r="AB880" s="220"/>
      <c r="AC880" s="105"/>
    </row>
    <row r="881" spans="1:29" ht="15">
      <c r="A881" s="105"/>
      <c r="B881" s="105"/>
      <c r="C881" s="106"/>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c r="AA881" s="105"/>
      <c r="AB881" s="220"/>
      <c r="AC881" s="105"/>
    </row>
    <row r="882" spans="1:29" ht="15">
      <c r="A882" s="105"/>
      <c r="B882" s="105"/>
      <c r="C882" s="106"/>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c r="AA882" s="105"/>
      <c r="AB882" s="220"/>
      <c r="AC882" s="105"/>
    </row>
    <row r="883" spans="1:29" ht="15">
      <c r="A883" s="105"/>
      <c r="B883" s="105"/>
      <c r="C883" s="106"/>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c r="AA883" s="105"/>
      <c r="AB883" s="220"/>
      <c r="AC883" s="105"/>
    </row>
    <row r="884" spans="1:29" ht="15">
      <c r="A884" s="105"/>
      <c r="B884" s="105"/>
      <c r="C884" s="106"/>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c r="AA884" s="105"/>
      <c r="AB884" s="220"/>
      <c r="AC884" s="105"/>
    </row>
    <row r="885" spans="1:29" ht="15">
      <c r="A885" s="105"/>
      <c r="B885" s="105"/>
      <c r="C885" s="106"/>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c r="AA885" s="105"/>
      <c r="AB885" s="220"/>
      <c r="AC885" s="105"/>
    </row>
    <row r="886" spans="1:29" ht="15">
      <c r="A886" s="105"/>
      <c r="B886" s="105"/>
      <c r="C886" s="106"/>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c r="AA886" s="105"/>
      <c r="AB886" s="220"/>
      <c r="AC886" s="105"/>
    </row>
    <row r="887" spans="1:29" ht="15">
      <c r="A887" s="105"/>
      <c r="B887" s="105"/>
      <c r="C887" s="106"/>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c r="AA887" s="105"/>
      <c r="AB887" s="220"/>
      <c r="AC887" s="105"/>
    </row>
    <row r="888" spans="1:29" ht="15">
      <c r="A888" s="105"/>
      <c r="B888" s="105"/>
      <c r="C888" s="106"/>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c r="AA888" s="105"/>
      <c r="AB888" s="220"/>
      <c r="AC888" s="105"/>
    </row>
    <row r="889" spans="1:29" ht="15">
      <c r="A889" s="105"/>
      <c r="B889" s="105"/>
      <c r="C889" s="106"/>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c r="AA889" s="105"/>
      <c r="AB889" s="220"/>
      <c r="AC889" s="105"/>
    </row>
    <row r="890" spans="1:29" ht="15">
      <c r="A890" s="105"/>
      <c r="B890" s="105"/>
      <c r="C890" s="106"/>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c r="AA890" s="105"/>
      <c r="AB890" s="220"/>
      <c r="AC890" s="105"/>
    </row>
    <row r="891" spans="1:29" ht="15">
      <c r="A891" s="105"/>
      <c r="B891" s="105"/>
      <c r="C891" s="106"/>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c r="AA891" s="105"/>
      <c r="AB891" s="220"/>
      <c r="AC891" s="105"/>
    </row>
    <row r="892" spans="1:29" ht="15">
      <c r="A892" s="105"/>
      <c r="B892" s="105"/>
      <c r="C892" s="106"/>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c r="AA892" s="105"/>
      <c r="AB892" s="220"/>
      <c r="AC892" s="105"/>
    </row>
    <row r="893" spans="1:29" ht="15">
      <c r="A893" s="105"/>
      <c r="B893" s="105"/>
      <c r="C893" s="106"/>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c r="AA893" s="105"/>
      <c r="AB893" s="220"/>
      <c r="AC893" s="105"/>
    </row>
    <row r="894" spans="1:29" ht="15">
      <c r="A894" s="105"/>
      <c r="B894" s="105"/>
      <c r="C894" s="106"/>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c r="AA894" s="105"/>
      <c r="AB894" s="220"/>
      <c r="AC894" s="105"/>
    </row>
    <row r="895" spans="1:29" ht="15">
      <c r="A895" s="105"/>
      <c r="B895" s="105"/>
      <c r="C895" s="106"/>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c r="AA895" s="105"/>
      <c r="AB895" s="220"/>
      <c r="AC895" s="105"/>
    </row>
    <row r="896" spans="1:29" ht="15">
      <c r="A896" s="105"/>
      <c r="B896" s="105"/>
      <c r="C896" s="106"/>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c r="AA896" s="105"/>
      <c r="AB896" s="220"/>
      <c r="AC896" s="105"/>
    </row>
    <row r="897" spans="1:29" ht="15">
      <c r="A897" s="105"/>
      <c r="B897" s="105"/>
      <c r="C897" s="106"/>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c r="AA897" s="105"/>
      <c r="AB897" s="220"/>
      <c r="AC897" s="105"/>
    </row>
    <row r="898" spans="1:29" ht="15">
      <c r="A898" s="105"/>
      <c r="B898" s="105"/>
      <c r="C898" s="106"/>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c r="AA898" s="105"/>
      <c r="AB898" s="220"/>
      <c r="AC898" s="105"/>
    </row>
    <row r="899" spans="1:29" ht="15">
      <c r="A899" s="105"/>
      <c r="B899" s="105"/>
      <c r="C899" s="106"/>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c r="AA899" s="105"/>
      <c r="AB899" s="220"/>
      <c r="AC899" s="105"/>
    </row>
    <row r="900" spans="1:29" ht="15">
      <c r="A900" s="105"/>
      <c r="B900" s="105"/>
      <c r="C900" s="106"/>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c r="AA900" s="105"/>
      <c r="AB900" s="220"/>
      <c r="AC900" s="105"/>
    </row>
    <row r="901" spans="1:29" ht="15">
      <c r="A901" s="105"/>
      <c r="B901" s="105"/>
      <c r="C901" s="106"/>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c r="AA901" s="105"/>
      <c r="AB901" s="220"/>
      <c r="AC901" s="105"/>
    </row>
    <row r="902" spans="1:29" ht="15">
      <c r="A902" s="105"/>
      <c r="B902" s="105"/>
      <c r="C902" s="106"/>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c r="AA902" s="105"/>
      <c r="AB902" s="220"/>
      <c r="AC902" s="105"/>
    </row>
    <row r="903" spans="1:29" ht="15">
      <c r="A903" s="105"/>
      <c r="B903" s="105"/>
      <c r="C903" s="106"/>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c r="AA903" s="105"/>
      <c r="AB903" s="220"/>
      <c r="AC903" s="105"/>
    </row>
    <row r="904" spans="1:29" ht="15">
      <c r="A904" s="105"/>
      <c r="B904" s="105"/>
      <c r="C904" s="106"/>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c r="AA904" s="105"/>
      <c r="AB904" s="220"/>
      <c r="AC904" s="105"/>
    </row>
    <row r="905" spans="1:29" ht="15">
      <c r="A905" s="105"/>
      <c r="B905" s="105"/>
      <c r="C905" s="106"/>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c r="AA905" s="105"/>
      <c r="AB905" s="220"/>
      <c r="AC905" s="105"/>
    </row>
    <row r="906" spans="1:29" ht="15">
      <c r="A906" s="105"/>
      <c r="B906" s="105"/>
      <c r="C906" s="106"/>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c r="AA906" s="105"/>
      <c r="AB906" s="220"/>
      <c r="AC906" s="105"/>
    </row>
    <row r="907" spans="1:29" ht="15">
      <c r="A907" s="105"/>
      <c r="B907" s="105"/>
      <c r="C907" s="106"/>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c r="AA907" s="105"/>
      <c r="AB907" s="220"/>
      <c r="AC907" s="105"/>
    </row>
    <row r="908" spans="1:29" ht="15">
      <c r="A908" s="105"/>
      <c r="B908" s="105"/>
      <c r="C908" s="106"/>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c r="AA908" s="105"/>
      <c r="AB908" s="220"/>
      <c r="AC908" s="105"/>
    </row>
    <row r="909" spans="1:29" ht="15">
      <c r="A909" s="105"/>
      <c r="B909" s="105"/>
      <c r="C909" s="106"/>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c r="AA909" s="105"/>
      <c r="AB909" s="220"/>
      <c r="AC909" s="105"/>
    </row>
    <row r="910" spans="1:29" ht="15">
      <c r="A910" s="105"/>
      <c r="B910" s="105"/>
      <c r="C910" s="106"/>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c r="AA910" s="105"/>
      <c r="AB910" s="220"/>
      <c r="AC910" s="105"/>
    </row>
    <row r="911" spans="1:29" ht="15">
      <c r="A911" s="105"/>
      <c r="B911" s="105"/>
      <c r="C911" s="106"/>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c r="AA911" s="105"/>
      <c r="AB911" s="220"/>
      <c r="AC911" s="105"/>
    </row>
    <row r="912" spans="1:29" ht="15">
      <c r="A912" s="105"/>
      <c r="B912" s="105"/>
      <c r="C912" s="106"/>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c r="AA912" s="105"/>
      <c r="AB912" s="220"/>
      <c r="AC912" s="105"/>
    </row>
    <row r="913" spans="1:29" ht="15">
      <c r="A913" s="105"/>
      <c r="B913" s="105"/>
      <c r="C913" s="106"/>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c r="AA913" s="105"/>
      <c r="AB913" s="220"/>
      <c r="AC913" s="105"/>
    </row>
    <row r="914" spans="1:29" ht="15">
      <c r="A914" s="105"/>
      <c r="B914" s="105"/>
      <c r="C914" s="106"/>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c r="AA914" s="105"/>
      <c r="AB914" s="220"/>
      <c r="AC914" s="105"/>
    </row>
    <row r="915" spans="1:29" ht="15">
      <c r="A915" s="105"/>
      <c r="B915" s="105"/>
      <c r="C915" s="106"/>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c r="AA915" s="105"/>
      <c r="AB915" s="220"/>
      <c r="AC915" s="105"/>
    </row>
    <row r="916" spans="1:29" ht="15">
      <c r="A916" s="105"/>
      <c r="B916" s="105"/>
      <c r="C916" s="106"/>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c r="AA916" s="105"/>
      <c r="AB916" s="220"/>
      <c r="AC916" s="105"/>
    </row>
    <row r="917" spans="1:29" ht="15">
      <c r="A917" s="105"/>
      <c r="B917" s="105"/>
      <c r="C917" s="106"/>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c r="AA917" s="105"/>
      <c r="AB917" s="220"/>
      <c r="AC917" s="105"/>
    </row>
    <row r="918" spans="1:29" ht="15">
      <c r="A918" s="105"/>
      <c r="B918" s="105"/>
      <c r="C918" s="106"/>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c r="AA918" s="105"/>
      <c r="AB918" s="220"/>
      <c r="AC918" s="105"/>
    </row>
    <row r="919" spans="1:29" ht="15">
      <c r="A919" s="105"/>
      <c r="B919" s="105"/>
      <c r="C919" s="106"/>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c r="AA919" s="105"/>
      <c r="AB919" s="220"/>
      <c r="AC919" s="105"/>
    </row>
    <row r="920" spans="1:29" ht="15">
      <c r="A920" s="105"/>
      <c r="B920" s="105"/>
      <c r="C920" s="106"/>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c r="AA920" s="105"/>
      <c r="AB920" s="220"/>
      <c r="AC920" s="105"/>
    </row>
    <row r="921" spans="1:29" ht="15">
      <c r="A921" s="105"/>
      <c r="B921" s="105"/>
      <c r="C921" s="106"/>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c r="AA921" s="105"/>
      <c r="AB921" s="220"/>
      <c r="AC921" s="105"/>
    </row>
    <row r="922" spans="1:29" ht="15">
      <c r="A922" s="105"/>
      <c r="B922" s="105"/>
      <c r="C922" s="106"/>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c r="AA922" s="105"/>
      <c r="AB922" s="220"/>
      <c r="AC922" s="105"/>
    </row>
    <row r="923" spans="1:29" ht="15">
      <c r="A923" s="105"/>
      <c r="B923" s="105"/>
      <c r="C923" s="106"/>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c r="AA923" s="105"/>
      <c r="AB923" s="220"/>
      <c r="AC923" s="105"/>
    </row>
    <row r="924" spans="1:29" ht="15">
      <c r="A924" s="105"/>
      <c r="B924" s="105"/>
      <c r="C924" s="106"/>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c r="AA924" s="105"/>
      <c r="AB924" s="220"/>
      <c r="AC924" s="105"/>
    </row>
    <row r="925" spans="1:29" ht="15">
      <c r="A925" s="105"/>
      <c r="B925" s="105"/>
      <c r="C925" s="106"/>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c r="AA925" s="105"/>
      <c r="AB925" s="220"/>
      <c r="AC925" s="105"/>
    </row>
    <row r="926" spans="1:29" ht="15">
      <c r="A926" s="105"/>
      <c r="B926" s="105"/>
      <c r="C926" s="106"/>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c r="AA926" s="105"/>
      <c r="AB926" s="220"/>
      <c r="AC926" s="105"/>
    </row>
    <row r="927" spans="1:29" ht="15">
      <c r="A927" s="105"/>
      <c r="B927" s="105"/>
      <c r="C927" s="106"/>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c r="AA927" s="105"/>
      <c r="AB927" s="220"/>
      <c r="AC927" s="105"/>
    </row>
    <row r="928" spans="1:29" ht="15">
      <c r="A928" s="105"/>
      <c r="B928" s="105"/>
      <c r="C928" s="106"/>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c r="AA928" s="105"/>
      <c r="AB928" s="220"/>
      <c r="AC928" s="105"/>
    </row>
    <row r="929" spans="1:29" ht="15">
      <c r="A929" s="105"/>
      <c r="B929" s="105"/>
      <c r="C929" s="106"/>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c r="AA929" s="105"/>
      <c r="AB929" s="220"/>
      <c r="AC929" s="105"/>
    </row>
    <row r="930" spans="1:29" ht="15">
      <c r="A930" s="105"/>
      <c r="B930" s="105"/>
      <c r="C930" s="106"/>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c r="AA930" s="105"/>
      <c r="AB930" s="220"/>
      <c r="AC930" s="105"/>
    </row>
    <row r="931" spans="1:29" ht="15">
      <c r="A931" s="105"/>
      <c r="B931" s="105"/>
      <c r="C931" s="106"/>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c r="AA931" s="105"/>
      <c r="AB931" s="220"/>
      <c r="AC931" s="105"/>
    </row>
    <row r="932" spans="1:29" ht="15">
      <c r="A932" s="105"/>
      <c r="B932" s="105"/>
      <c r="C932" s="106"/>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c r="AA932" s="105"/>
      <c r="AB932" s="220"/>
      <c r="AC932" s="105"/>
    </row>
    <row r="933" spans="1:29" ht="15">
      <c r="A933" s="105"/>
      <c r="B933" s="105"/>
      <c r="C933" s="106"/>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c r="AA933" s="105"/>
      <c r="AB933" s="220"/>
      <c r="AC933" s="105"/>
    </row>
    <row r="934" spans="1:29" ht="15">
      <c r="A934" s="105"/>
      <c r="B934" s="105"/>
      <c r="C934" s="106"/>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c r="AA934" s="105"/>
      <c r="AB934" s="220"/>
      <c r="AC934" s="105"/>
    </row>
    <row r="935" spans="1:29" ht="15">
      <c r="A935" s="105"/>
      <c r="B935" s="105"/>
      <c r="C935" s="106"/>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c r="AA935" s="105"/>
      <c r="AB935" s="220"/>
      <c r="AC935" s="105"/>
    </row>
    <row r="936" spans="1:29" ht="15">
      <c r="A936" s="105"/>
      <c r="B936" s="105"/>
      <c r="C936" s="106"/>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c r="AA936" s="105"/>
      <c r="AB936" s="220"/>
      <c r="AC936" s="105"/>
    </row>
    <row r="937" spans="1:29" ht="15">
      <c r="A937" s="105"/>
      <c r="B937" s="105"/>
      <c r="C937" s="106"/>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c r="AA937" s="105"/>
      <c r="AB937" s="220"/>
      <c r="AC937" s="105"/>
    </row>
    <row r="938" spans="1:29" ht="15">
      <c r="A938" s="105"/>
      <c r="B938" s="105"/>
      <c r="C938" s="106"/>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c r="AA938" s="105"/>
      <c r="AB938" s="220"/>
      <c r="AC938" s="105"/>
    </row>
    <row r="939" spans="1:29" ht="15">
      <c r="A939" s="105"/>
      <c r="B939" s="105"/>
      <c r="C939" s="106"/>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c r="AA939" s="105"/>
      <c r="AB939" s="220"/>
      <c r="AC939" s="105"/>
    </row>
    <row r="940" spans="1:29" ht="15">
      <c r="A940" s="105"/>
      <c r="B940" s="105"/>
      <c r="C940" s="106"/>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c r="AA940" s="105"/>
      <c r="AB940" s="220"/>
      <c r="AC940" s="105"/>
    </row>
    <row r="941" spans="1:29" ht="15">
      <c r="A941" s="105"/>
      <c r="B941" s="105"/>
      <c r="C941" s="106"/>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c r="AA941" s="105"/>
      <c r="AB941" s="220"/>
      <c r="AC941" s="105"/>
    </row>
    <row r="942" spans="1:29" ht="15">
      <c r="A942" s="105"/>
      <c r="B942" s="105"/>
      <c r="C942" s="106"/>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c r="AA942" s="105"/>
      <c r="AB942" s="220"/>
      <c r="AC942" s="105"/>
    </row>
    <row r="943" spans="1:29" ht="15">
      <c r="A943" s="105"/>
      <c r="B943" s="105"/>
      <c r="C943" s="106"/>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c r="AA943" s="105"/>
      <c r="AB943" s="220"/>
      <c r="AC943" s="105"/>
    </row>
    <row r="944" spans="1:29" ht="15">
      <c r="A944" s="105"/>
      <c r="B944" s="105"/>
      <c r="C944" s="106"/>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c r="AA944" s="105"/>
      <c r="AB944" s="220"/>
      <c r="AC944" s="105"/>
    </row>
    <row r="945" spans="1:29" ht="15">
      <c r="A945" s="105"/>
      <c r="B945" s="105"/>
      <c r="C945" s="106"/>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c r="AA945" s="105"/>
      <c r="AB945" s="220"/>
      <c r="AC945" s="105"/>
    </row>
    <row r="946" spans="1:29" ht="15">
      <c r="A946" s="105"/>
      <c r="B946" s="105"/>
      <c r="C946" s="106"/>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c r="AA946" s="105"/>
      <c r="AB946" s="220"/>
      <c r="AC946" s="105"/>
    </row>
    <row r="947" spans="1:29" ht="15">
      <c r="A947" s="105"/>
      <c r="B947" s="105"/>
      <c r="C947" s="106"/>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c r="AA947" s="105"/>
      <c r="AB947" s="220"/>
      <c r="AC947" s="105"/>
    </row>
    <row r="948" spans="1:29" ht="15">
      <c r="A948" s="105"/>
      <c r="B948" s="105"/>
      <c r="C948" s="106"/>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c r="AA948" s="105"/>
      <c r="AB948" s="220"/>
      <c r="AC948" s="105"/>
    </row>
    <row r="949" spans="1:29" ht="15">
      <c r="A949" s="105"/>
      <c r="B949" s="105"/>
      <c r="C949" s="106"/>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c r="AA949" s="105"/>
      <c r="AB949" s="220"/>
      <c r="AC949" s="105"/>
    </row>
    <row r="950" spans="1:29" ht="15">
      <c r="A950" s="105"/>
      <c r="B950" s="105"/>
      <c r="C950" s="106"/>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c r="AA950" s="105"/>
      <c r="AB950" s="220"/>
      <c r="AC950" s="105"/>
    </row>
    <row r="951" spans="1:29" ht="15">
      <c r="A951" s="105"/>
      <c r="B951" s="105"/>
      <c r="C951" s="106"/>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c r="AA951" s="105"/>
      <c r="AB951" s="220"/>
      <c r="AC951" s="105"/>
    </row>
    <row r="952" spans="1:29" ht="15">
      <c r="A952" s="105"/>
      <c r="B952" s="105"/>
      <c r="C952" s="106"/>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c r="AA952" s="105"/>
      <c r="AB952" s="220"/>
      <c r="AC952" s="105"/>
    </row>
    <row r="953" spans="1:29" ht="15">
      <c r="A953" s="105"/>
      <c r="B953" s="105"/>
      <c r="C953" s="106"/>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c r="AA953" s="105"/>
      <c r="AB953" s="220"/>
      <c r="AC953" s="105"/>
    </row>
    <row r="954" spans="1:29" ht="15">
      <c r="A954" s="105"/>
      <c r="B954" s="105"/>
      <c r="C954" s="106"/>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c r="AA954" s="105"/>
      <c r="AB954" s="220"/>
      <c r="AC954" s="105"/>
    </row>
    <row r="955" spans="1:29" ht="15">
      <c r="A955" s="105"/>
      <c r="B955" s="105"/>
      <c r="C955" s="106"/>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c r="AA955" s="105"/>
      <c r="AB955" s="220"/>
      <c r="AC955" s="105"/>
    </row>
    <row r="956" spans="1:29" ht="15">
      <c r="A956" s="105"/>
      <c r="B956" s="105"/>
      <c r="C956" s="106"/>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c r="AA956" s="105"/>
      <c r="AB956" s="220"/>
      <c r="AC956" s="105"/>
    </row>
    <row r="957" spans="1:29" ht="15">
      <c r="A957" s="105"/>
      <c r="B957" s="105"/>
      <c r="C957" s="106"/>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c r="AA957" s="105"/>
      <c r="AB957" s="220"/>
      <c r="AC957" s="105"/>
    </row>
    <row r="958" spans="1:29" ht="15">
      <c r="A958" s="105"/>
      <c r="B958" s="105"/>
      <c r="C958" s="106"/>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c r="AA958" s="105"/>
      <c r="AB958" s="220"/>
      <c r="AC958" s="105"/>
    </row>
    <row r="959" spans="1:29" ht="15">
      <c r="A959" s="105"/>
      <c r="B959" s="105"/>
      <c r="C959" s="106"/>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c r="AA959" s="105"/>
      <c r="AB959" s="220"/>
      <c r="AC959" s="105"/>
    </row>
    <row r="960" spans="1:29" ht="15">
      <c r="A960" s="105"/>
      <c r="B960" s="105"/>
      <c r="C960" s="106"/>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c r="AA960" s="105"/>
      <c r="AB960" s="220"/>
      <c r="AC960" s="105"/>
    </row>
    <row r="961" spans="1:29" ht="15">
      <c r="A961" s="105"/>
      <c r="B961" s="105"/>
      <c r="C961" s="106"/>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c r="AA961" s="105"/>
      <c r="AB961" s="220"/>
      <c r="AC961" s="105"/>
    </row>
    <row r="962" spans="1:29" ht="15">
      <c r="A962" s="105"/>
      <c r="B962" s="105"/>
      <c r="C962" s="106"/>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c r="AA962" s="105"/>
      <c r="AB962" s="220"/>
      <c r="AC962" s="105"/>
    </row>
    <row r="963" spans="1:29" ht="15">
      <c r="A963" s="105"/>
      <c r="B963" s="105"/>
      <c r="C963" s="106"/>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c r="AA963" s="105"/>
      <c r="AB963" s="220"/>
      <c r="AC963" s="105"/>
    </row>
    <row r="964" spans="1:29" ht="15">
      <c r="A964" s="105"/>
      <c r="B964" s="105"/>
      <c r="C964" s="106"/>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c r="AA964" s="105"/>
      <c r="AB964" s="220"/>
      <c r="AC964" s="105"/>
    </row>
    <row r="965" spans="1:29" ht="15">
      <c r="A965" s="105"/>
      <c r="B965" s="105"/>
      <c r="C965" s="106"/>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c r="AA965" s="105"/>
      <c r="AB965" s="220"/>
      <c r="AC965" s="105"/>
    </row>
    <row r="966" spans="1:29" ht="15">
      <c r="A966" s="105"/>
      <c r="B966" s="105"/>
      <c r="C966" s="106"/>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c r="AA966" s="105"/>
      <c r="AB966" s="220"/>
      <c r="AC966" s="105"/>
    </row>
    <row r="967" spans="1:29" ht="15">
      <c r="A967" s="105"/>
      <c r="B967" s="105"/>
      <c r="C967" s="106"/>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c r="AA967" s="105"/>
      <c r="AB967" s="220"/>
      <c r="AC967" s="105"/>
    </row>
    <row r="968" spans="1:29" ht="15">
      <c r="A968" s="105"/>
      <c r="B968" s="105"/>
      <c r="C968" s="106"/>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c r="AA968" s="105"/>
      <c r="AB968" s="220"/>
      <c r="AC968" s="105"/>
    </row>
    <row r="969" spans="1:29" ht="15">
      <c r="A969" s="105"/>
      <c r="B969" s="105"/>
      <c r="C969" s="106"/>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c r="AA969" s="105"/>
      <c r="AB969" s="220"/>
      <c r="AC969" s="105"/>
    </row>
    <row r="970" spans="1:29" ht="15">
      <c r="A970" s="105"/>
      <c r="B970" s="105"/>
      <c r="C970" s="106"/>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c r="AA970" s="105"/>
      <c r="AB970" s="220"/>
      <c r="AC970" s="105"/>
    </row>
    <row r="971" spans="1:29" ht="15">
      <c r="A971" s="105"/>
      <c r="B971" s="105"/>
      <c r="C971" s="106"/>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c r="AA971" s="105"/>
      <c r="AB971" s="220"/>
      <c r="AC971" s="105"/>
    </row>
    <row r="972" spans="1:29" ht="15">
      <c r="A972" s="105"/>
      <c r="B972" s="105"/>
      <c r="C972" s="106"/>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c r="AA972" s="105"/>
      <c r="AB972" s="220"/>
      <c r="AC972" s="105"/>
    </row>
    <row r="973" spans="1:29" ht="15">
      <c r="A973" s="105"/>
      <c r="B973" s="105"/>
      <c r="C973" s="106"/>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c r="AA973" s="105"/>
      <c r="AB973" s="220"/>
      <c r="AC973" s="105"/>
    </row>
    <row r="974" spans="1:29" ht="15">
      <c r="A974" s="105"/>
      <c r="B974" s="105"/>
      <c r="C974" s="106"/>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c r="AA974" s="105"/>
      <c r="AB974" s="220"/>
      <c r="AC974" s="105"/>
    </row>
    <row r="975" spans="1:29" ht="15">
      <c r="A975" s="105"/>
      <c r="B975" s="105"/>
      <c r="C975" s="106"/>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c r="AA975" s="105"/>
      <c r="AB975" s="220"/>
      <c r="AC975" s="105"/>
    </row>
    <row r="976" spans="1:29" ht="15">
      <c r="A976" s="105"/>
      <c r="B976" s="105"/>
      <c r="C976" s="106"/>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c r="AA976" s="105"/>
      <c r="AB976" s="220"/>
      <c r="AC976" s="105"/>
    </row>
    <row r="977" spans="1:29" ht="15">
      <c r="A977" s="105"/>
      <c r="B977" s="105"/>
      <c r="C977" s="106"/>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c r="AA977" s="105"/>
      <c r="AB977" s="220"/>
      <c r="AC977" s="105"/>
    </row>
    <row r="978" spans="1:29" ht="15">
      <c r="A978" s="105"/>
      <c r="B978" s="105"/>
      <c r="C978" s="106"/>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c r="AA978" s="105"/>
      <c r="AB978" s="220"/>
      <c r="AC978" s="105"/>
    </row>
    <row r="979" spans="1:29" ht="15">
      <c r="A979" s="105"/>
      <c r="B979" s="105"/>
      <c r="C979" s="106"/>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c r="AA979" s="105"/>
      <c r="AB979" s="220"/>
      <c r="AC979" s="105"/>
    </row>
    <row r="980" spans="1:29" ht="15">
      <c r="A980" s="105"/>
      <c r="B980" s="105"/>
      <c r="C980" s="106"/>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c r="AA980" s="105"/>
      <c r="AB980" s="220"/>
      <c r="AC980" s="105"/>
    </row>
    <row r="981" spans="1:29" ht="15">
      <c r="A981" s="105"/>
      <c r="B981" s="105"/>
      <c r="C981" s="106"/>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c r="AA981" s="105"/>
      <c r="AB981" s="220"/>
      <c r="AC981" s="105"/>
    </row>
    <row r="982" spans="1:29" ht="15">
      <c r="A982" s="105"/>
      <c r="B982" s="105"/>
      <c r="C982" s="106"/>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c r="AA982" s="105"/>
      <c r="AB982" s="220"/>
      <c r="AC982" s="105"/>
    </row>
    <row r="983" spans="1:29" ht="15">
      <c r="A983" s="105"/>
      <c r="B983" s="105"/>
      <c r="C983" s="106"/>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c r="AA983" s="105"/>
      <c r="AB983" s="220"/>
      <c r="AC983" s="105"/>
    </row>
    <row r="984" spans="1:29" ht="15">
      <c r="A984" s="105"/>
      <c r="B984" s="105"/>
      <c r="C984" s="106"/>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c r="AA984" s="105"/>
      <c r="AB984" s="220"/>
      <c r="AC984" s="105"/>
    </row>
    <row r="985" spans="1:29" ht="15">
      <c r="A985" s="105"/>
      <c r="B985" s="105"/>
      <c r="C985" s="106"/>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c r="AA985" s="105"/>
      <c r="AB985" s="220"/>
      <c r="AC985" s="105"/>
    </row>
    <row r="986" spans="1:29" ht="15">
      <c r="A986" s="105"/>
      <c r="B986" s="105"/>
      <c r="C986" s="106"/>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c r="AA986" s="105"/>
      <c r="AB986" s="220"/>
      <c r="AC986" s="105"/>
    </row>
    <row r="987" spans="1:29" ht="15">
      <c r="A987" s="105"/>
      <c r="B987" s="105"/>
      <c r="C987" s="106"/>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c r="AA987" s="105"/>
      <c r="AB987" s="220"/>
      <c r="AC987" s="105"/>
    </row>
    <row r="988" spans="1:29" ht="15">
      <c r="A988" s="105"/>
      <c r="B988" s="105"/>
      <c r="C988" s="106"/>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c r="AA988" s="105"/>
      <c r="AB988" s="220"/>
      <c r="AC988" s="105"/>
    </row>
    <row r="989" spans="1:29" ht="15">
      <c r="A989" s="105"/>
      <c r="B989" s="105"/>
      <c r="C989" s="106"/>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c r="AA989" s="105"/>
      <c r="AB989" s="220"/>
      <c r="AC989" s="105"/>
    </row>
    <row r="990" spans="1:29" ht="15">
      <c r="A990" s="105"/>
      <c r="B990" s="105"/>
      <c r="C990" s="106"/>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c r="AA990" s="105"/>
      <c r="AB990" s="220"/>
      <c r="AC990" s="105"/>
    </row>
    <row r="991" spans="1:29" ht="15">
      <c r="A991" s="105"/>
      <c r="B991" s="105"/>
      <c r="C991" s="106"/>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c r="AA991" s="105"/>
      <c r="AB991" s="220"/>
      <c r="AC991" s="105"/>
    </row>
    <row r="992" spans="1:29" ht="15">
      <c r="A992" s="105"/>
      <c r="B992" s="105"/>
      <c r="C992" s="106"/>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c r="AA992" s="105"/>
      <c r="AB992" s="220"/>
      <c r="AC992" s="105"/>
    </row>
    <row r="993" spans="1:29" ht="15">
      <c r="A993" s="105"/>
      <c r="B993" s="105"/>
      <c r="C993" s="106"/>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c r="AA993" s="105"/>
      <c r="AB993" s="220"/>
      <c r="AC993" s="105"/>
    </row>
    <row r="994" spans="1:29" ht="15">
      <c r="A994" s="105"/>
      <c r="B994" s="105"/>
      <c r="C994" s="106"/>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c r="AA994" s="105"/>
      <c r="AB994" s="220"/>
      <c r="AC994" s="105"/>
    </row>
    <row r="995" spans="1:29" ht="15">
      <c r="A995" s="105"/>
      <c r="B995" s="105"/>
      <c r="C995" s="106"/>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c r="AA995" s="105"/>
      <c r="AB995" s="220"/>
      <c r="AC995" s="105"/>
    </row>
    <row r="996" spans="1:29" ht="15">
      <c r="A996" s="105"/>
      <c r="B996" s="105"/>
      <c r="C996" s="106"/>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c r="AA996" s="105"/>
      <c r="AB996" s="220"/>
      <c r="AC996" s="105"/>
    </row>
    <row r="997" spans="1:29" ht="15">
      <c r="A997" s="105"/>
      <c r="B997" s="105"/>
      <c r="C997" s="106"/>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c r="AA997" s="105"/>
      <c r="AB997" s="220"/>
      <c r="AC997" s="105"/>
    </row>
    <row r="998" spans="1:29" ht="15">
      <c r="A998" s="105"/>
      <c r="B998" s="105"/>
      <c r="C998" s="106"/>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c r="AA998" s="105"/>
      <c r="AB998" s="220"/>
      <c r="AC998" s="105"/>
    </row>
    <row r="999" spans="1:29" ht="15">
      <c r="A999" s="105"/>
      <c r="B999" s="105"/>
      <c r="C999" s="106"/>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c r="AA999" s="105"/>
      <c r="AB999" s="220"/>
      <c r="AC999" s="105"/>
    </row>
    <row r="1000" spans="1:29" ht="15">
      <c r="A1000" s="105"/>
      <c r="B1000" s="105"/>
      <c r="C1000" s="106"/>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c r="AA1000" s="105"/>
      <c r="AB1000" s="220"/>
      <c r="AC1000" s="105"/>
    </row>
    <row r="1001" spans="1:29" ht="15">
      <c r="A1001" s="105"/>
      <c r="B1001" s="105"/>
      <c r="C1001" s="106"/>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c r="AA1001" s="105"/>
      <c r="AB1001" s="220"/>
      <c r="AC1001" s="105"/>
    </row>
    <row r="1002" spans="1:29" ht="15">
      <c r="A1002" s="105"/>
      <c r="B1002" s="105"/>
      <c r="C1002" s="106"/>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c r="AA1002" s="105"/>
      <c r="AB1002" s="220"/>
      <c r="AC1002" s="105"/>
    </row>
    <row r="1003" spans="1:29" ht="15">
      <c r="A1003" s="105"/>
      <c r="B1003" s="105"/>
      <c r="C1003" s="106"/>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c r="AA1003" s="105"/>
      <c r="AB1003" s="220"/>
      <c r="AC1003" s="105"/>
    </row>
    <row r="1004" spans="1:29" ht="15">
      <c r="A1004" s="105"/>
      <c r="B1004" s="105"/>
      <c r="C1004" s="106"/>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c r="AA1004" s="105"/>
      <c r="AB1004" s="220"/>
      <c r="AC1004" s="105"/>
    </row>
    <row r="1005" spans="1:29" ht="15">
      <c r="A1005" s="105"/>
      <c r="B1005" s="105"/>
      <c r="C1005" s="106"/>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c r="AA1005" s="105"/>
      <c r="AB1005" s="220"/>
      <c r="AC1005" s="105"/>
    </row>
    <row r="1006" spans="1:29" ht="15">
      <c r="A1006" s="105"/>
      <c r="B1006" s="105"/>
      <c r="C1006" s="106"/>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c r="AA1006" s="105"/>
      <c r="AB1006" s="220"/>
      <c r="AC1006" s="105"/>
    </row>
    <row r="1007" spans="1:29" ht="15">
      <c r="A1007" s="105"/>
      <c r="B1007" s="105"/>
      <c r="C1007" s="106"/>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c r="AA1007" s="105"/>
      <c r="AB1007" s="220"/>
      <c r="AC1007" s="105"/>
    </row>
    <row r="1008" spans="1:29" ht="15">
      <c r="A1008" s="105"/>
      <c r="B1008" s="105"/>
      <c r="C1008" s="106"/>
      <c r="D1008" s="105"/>
      <c r="E1008" s="105"/>
      <c r="F1008" s="105"/>
      <c r="G1008" s="105"/>
      <c r="H1008" s="105"/>
      <c r="I1008" s="105"/>
      <c r="J1008" s="105"/>
      <c r="K1008" s="105"/>
      <c r="L1008" s="105"/>
      <c r="M1008" s="105"/>
      <c r="N1008" s="105"/>
      <c r="O1008" s="105"/>
      <c r="P1008" s="105"/>
      <c r="Q1008" s="105"/>
      <c r="R1008" s="105"/>
      <c r="S1008" s="105"/>
      <c r="T1008" s="105"/>
      <c r="U1008" s="105"/>
      <c r="V1008" s="105"/>
      <c r="W1008" s="105"/>
      <c r="X1008" s="105"/>
      <c r="Y1008" s="105"/>
      <c r="Z1008" s="105"/>
      <c r="AA1008" s="105"/>
      <c r="AB1008" s="220"/>
      <c r="AC1008" s="105"/>
    </row>
    <row r="1009" spans="1:29" ht="15">
      <c r="A1009" s="105"/>
      <c r="B1009" s="105"/>
      <c r="C1009" s="106"/>
      <c r="D1009" s="105"/>
      <c r="E1009" s="105"/>
      <c r="F1009" s="105"/>
      <c r="G1009" s="105"/>
      <c r="H1009" s="105"/>
      <c r="I1009" s="105"/>
      <c r="J1009" s="105"/>
      <c r="K1009" s="105"/>
      <c r="L1009" s="105"/>
      <c r="M1009" s="105"/>
      <c r="N1009" s="105"/>
      <c r="O1009" s="105"/>
      <c r="P1009" s="105"/>
      <c r="Q1009" s="105"/>
      <c r="R1009" s="105"/>
      <c r="S1009" s="105"/>
      <c r="T1009" s="105"/>
      <c r="U1009" s="105"/>
      <c r="V1009" s="105"/>
      <c r="W1009" s="105"/>
      <c r="X1009" s="105"/>
      <c r="Y1009" s="105"/>
      <c r="Z1009" s="105"/>
      <c r="AA1009" s="105"/>
      <c r="AB1009" s="220"/>
      <c r="AC1009" s="105"/>
    </row>
    <row r="1010" spans="1:29" ht="15">
      <c r="A1010" s="105"/>
      <c r="B1010" s="105"/>
      <c r="C1010" s="106"/>
      <c r="D1010" s="105"/>
      <c r="E1010" s="105"/>
      <c r="F1010" s="105"/>
      <c r="G1010" s="105"/>
      <c r="H1010" s="105"/>
      <c r="I1010" s="105"/>
      <c r="J1010" s="105"/>
      <c r="K1010" s="105"/>
      <c r="L1010" s="105"/>
      <c r="M1010" s="105"/>
      <c r="N1010" s="105"/>
      <c r="O1010" s="105"/>
      <c r="P1010" s="105"/>
      <c r="Q1010" s="105"/>
      <c r="R1010" s="105"/>
      <c r="S1010" s="105"/>
      <c r="T1010" s="105"/>
      <c r="U1010" s="105"/>
      <c r="V1010" s="105"/>
      <c r="W1010" s="105"/>
      <c r="X1010" s="105"/>
      <c r="Y1010" s="105"/>
      <c r="Z1010" s="105"/>
      <c r="AA1010" s="105"/>
      <c r="AB1010" s="220"/>
      <c r="AC1010" s="105"/>
    </row>
  </sheetData>
  <mergeCells count="727">
    <mergeCell ref="F146:J146"/>
    <mergeCell ref="F147:J147"/>
    <mergeCell ref="F148:J148"/>
    <mergeCell ref="F137:J137"/>
    <mergeCell ref="F138:J138"/>
    <mergeCell ref="F139:J139"/>
    <mergeCell ref="F140:J140"/>
    <mergeCell ref="F141:J141"/>
    <mergeCell ref="F142:J142"/>
    <mergeCell ref="F143:J143"/>
    <mergeCell ref="F126:J126"/>
    <mergeCell ref="L126:M126"/>
    <mergeCell ref="P126:R126"/>
    <mergeCell ref="S126:T126"/>
    <mergeCell ref="L127:M127"/>
    <mergeCell ref="P127:R127"/>
    <mergeCell ref="S127:T127"/>
    <mergeCell ref="P144:R144"/>
    <mergeCell ref="P145:R145"/>
    <mergeCell ref="F144:J144"/>
    <mergeCell ref="F145:J145"/>
    <mergeCell ref="F136:J136"/>
    <mergeCell ref="L136:M136"/>
    <mergeCell ref="P136:R136"/>
    <mergeCell ref="P138:R138"/>
    <mergeCell ref="P139:R139"/>
    <mergeCell ref="P140:R140"/>
    <mergeCell ref="P141:R141"/>
    <mergeCell ref="P142:R142"/>
    <mergeCell ref="P143:R143"/>
    <mergeCell ref="F128:J128"/>
    <mergeCell ref="L128:M128"/>
    <mergeCell ref="P128:R128"/>
    <mergeCell ref="S128:T128"/>
    <mergeCell ref="F129:J129"/>
    <mergeCell ref="L129:M129"/>
    <mergeCell ref="S136:T136"/>
    <mergeCell ref="P137:R137"/>
    <mergeCell ref="S137:T137"/>
    <mergeCell ref="F134:J134"/>
    <mergeCell ref="L134:M134"/>
    <mergeCell ref="P134:R134"/>
    <mergeCell ref="S134:T134"/>
    <mergeCell ref="L135:M135"/>
    <mergeCell ref="P135:R135"/>
    <mergeCell ref="S135:T135"/>
    <mergeCell ref="F135:J135"/>
    <mergeCell ref="F130:J130"/>
    <mergeCell ref="L130:M130"/>
    <mergeCell ref="P130:R130"/>
    <mergeCell ref="S130:T130"/>
    <mergeCell ref="L120:M120"/>
    <mergeCell ref="F133:J133"/>
    <mergeCell ref="L133:M133"/>
    <mergeCell ref="F121:J121"/>
    <mergeCell ref="L121:M121"/>
    <mergeCell ref="P121:R121"/>
    <mergeCell ref="S121:T121"/>
    <mergeCell ref="L123:M123"/>
    <mergeCell ref="P123:R123"/>
    <mergeCell ref="S123:T123"/>
    <mergeCell ref="F123:J123"/>
    <mergeCell ref="L131:M131"/>
    <mergeCell ref="P131:R131"/>
    <mergeCell ref="S131:T131"/>
    <mergeCell ref="P133:R133"/>
    <mergeCell ref="S133:T133"/>
    <mergeCell ref="F131:J131"/>
    <mergeCell ref="F132:J132"/>
    <mergeCell ref="L132:M132"/>
    <mergeCell ref="P132:R132"/>
    <mergeCell ref="S132:T132"/>
    <mergeCell ref="P129:R129"/>
    <mergeCell ref="S129:T129"/>
    <mergeCell ref="F127:J127"/>
    <mergeCell ref="S87:T87"/>
    <mergeCell ref="J87:L87"/>
    <mergeCell ref="M87:O87"/>
    <mergeCell ref="P88:R88"/>
    <mergeCell ref="P96:R96"/>
    <mergeCell ref="S96:T96"/>
    <mergeCell ref="M95:O95"/>
    <mergeCell ref="M96:O96"/>
    <mergeCell ref="F91:I91"/>
    <mergeCell ref="F92:I92"/>
    <mergeCell ref="F93:I93"/>
    <mergeCell ref="F94:I94"/>
    <mergeCell ref="F95:I95"/>
    <mergeCell ref="F96:I96"/>
    <mergeCell ref="J89:L89"/>
    <mergeCell ref="J90:L90"/>
    <mergeCell ref="S60:T60"/>
    <mergeCell ref="S92:T92"/>
    <mergeCell ref="P77:R77"/>
    <mergeCell ref="S79:T79"/>
    <mergeCell ref="C80:E80"/>
    <mergeCell ref="S80:T80"/>
    <mergeCell ref="C60:E60"/>
    <mergeCell ref="P60:R60"/>
    <mergeCell ref="P80:R80"/>
    <mergeCell ref="C79:E79"/>
    <mergeCell ref="P79:R79"/>
    <mergeCell ref="C82:E82"/>
    <mergeCell ref="P82:R82"/>
    <mergeCell ref="S82:T82"/>
    <mergeCell ref="F82:I82"/>
    <mergeCell ref="C84:E84"/>
    <mergeCell ref="S84:T84"/>
    <mergeCell ref="P81:R81"/>
    <mergeCell ref="S81:T81"/>
    <mergeCell ref="C81:E81"/>
    <mergeCell ref="C83:E83"/>
    <mergeCell ref="P83:R83"/>
    <mergeCell ref="S83:T83"/>
    <mergeCell ref="F83:I83"/>
    <mergeCell ref="C58:E58"/>
    <mergeCell ref="J57:L57"/>
    <mergeCell ref="C56:E56"/>
    <mergeCell ref="P56:R56"/>
    <mergeCell ref="S56:T56"/>
    <mergeCell ref="P57:R57"/>
    <mergeCell ref="P58:R58"/>
    <mergeCell ref="S58:T58"/>
    <mergeCell ref="P59:R59"/>
    <mergeCell ref="S59:T59"/>
    <mergeCell ref="M57:O57"/>
    <mergeCell ref="M58:O58"/>
    <mergeCell ref="M59:O59"/>
    <mergeCell ref="J58:L58"/>
    <mergeCell ref="J59:L59"/>
    <mergeCell ref="J56:L56"/>
    <mergeCell ref="M56:O56"/>
    <mergeCell ref="C90:E90"/>
    <mergeCell ref="P90:R90"/>
    <mergeCell ref="S90:T90"/>
    <mergeCell ref="F90:I90"/>
    <mergeCell ref="P89:R89"/>
    <mergeCell ref="S89:T89"/>
    <mergeCell ref="C89:E89"/>
    <mergeCell ref="S77:T77"/>
    <mergeCell ref="C77:E77"/>
    <mergeCell ref="C78:E78"/>
    <mergeCell ref="P78:R78"/>
    <mergeCell ref="S78:T78"/>
    <mergeCell ref="P86:R86"/>
    <mergeCell ref="S86:T86"/>
    <mergeCell ref="P84:R84"/>
    <mergeCell ref="P85:R85"/>
    <mergeCell ref="S85:T85"/>
    <mergeCell ref="C85:E85"/>
    <mergeCell ref="C86:E86"/>
    <mergeCell ref="F89:I89"/>
    <mergeCell ref="C88:E88"/>
    <mergeCell ref="S88:T88"/>
    <mergeCell ref="C87:E87"/>
    <mergeCell ref="P87:R87"/>
    <mergeCell ref="P74:R74"/>
    <mergeCell ref="S74:T74"/>
    <mergeCell ref="P72:R72"/>
    <mergeCell ref="S75:T75"/>
    <mergeCell ref="C76:E76"/>
    <mergeCell ref="S76:T76"/>
    <mergeCell ref="P73:R73"/>
    <mergeCell ref="S73:T73"/>
    <mergeCell ref="C73:E73"/>
    <mergeCell ref="C74:E74"/>
    <mergeCell ref="F76:I76"/>
    <mergeCell ref="J73:L73"/>
    <mergeCell ref="J74:L74"/>
    <mergeCell ref="M74:O74"/>
    <mergeCell ref="P76:R76"/>
    <mergeCell ref="C75:E75"/>
    <mergeCell ref="P75:R75"/>
    <mergeCell ref="F75:I75"/>
    <mergeCell ref="C70:E70"/>
    <mergeCell ref="P70:R70"/>
    <mergeCell ref="S70:T70"/>
    <mergeCell ref="C72:E72"/>
    <mergeCell ref="S72:T72"/>
    <mergeCell ref="P69:R69"/>
    <mergeCell ref="S69:T69"/>
    <mergeCell ref="C69:E69"/>
    <mergeCell ref="C71:E71"/>
    <mergeCell ref="P71:R71"/>
    <mergeCell ref="S71:T71"/>
    <mergeCell ref="J71:L71"/>
    <mergeCell ref="J72:L72"/>
    <mergeCell ref="S67:T67"/>
    <mergeCell ref="C68:E68"/>
    <mergeCell ref="S68:T68"/>
    <mergeCell ref="P66:R66"/>
    <mergeCell ref="S66:T66"/>
    <mergeCell ref="F67:I67"/>
    <mergeCell ref="F68:I68"/>
    <mergeCell ref="J67:L67"/>
    <mergeCell ref="P68:R68"/>
    <mergeCell ref="C67:E67"/>
    <mergeCell ref="P67:R67"/>
    <mergeCell ref="J68:L68"/>
    <mergeCell ref="M67:O67"/>
    <mergeCell ref="M68:O68"/>
    <mergeCell ref="S50:T50"/>
    <mergeCell ref="C51:E51"/>
    <mergeCell ref="C52:E52"/>
    <mergeCell ref="C53:E53"/>
    <mergeCell ref="P53:R53"/>
    <mergeCell ref="F52:I52"/>
    <mergeCell ref="F53:I53"/>
    <mergeCell ref="S61:T61"/>
    <mergeCell ref="C62:E62"/>
    <mergeCell ref="S62:T62"/>
    <mergeCell ref="P52:R52"/>
    <mergeCell ref="S52:T52"/>
    <mergeCell ref="P62:R62"/>
    <mergeCell ref="C61:E61"/>
    <mergeCell ref="P61:R61"/>
    <mergeCell ref="M62:O62"/>
    <mergeCell ref="S54:T54"/>
    <mergeCell ref="C55:E55"/>
    <mergeCell ref="C59:E59"/>
    <mergeCell ref="P55:R55"/>
    <mergeCell ref="C54:E54"/>
    <mergeCell ref="P54:R54"/>
    <mergeCell ref="C57:E57"/>
    <mergeCell ref="S57:T57"/>
    <mergeCell ref="S46:T46"/>
    <mergeCell ref="C47:E47"/>
    <mergeCell ref="S47:T47"/>
    <mergeCell ref="S55:T55"/>
    <mergeCell ref="F50:I50"/>
    <mergeCell ref="F51:I51"/>
    <mergeCell ref="P45:R45"/>
    <mergeCell ref="S45:T45"/>
    <mergeCell ref="P47:R47"/>
    <mergeCell ref="C46:E46"/>
    <mergeCell ref="P46:R46"/>
    <mergeCell ref="C48:E48"/>
    <mergeCell ref="C49:E49"/>
    <mergeCell ref="P49:R49"/>
    <mergeCell ref="J49:L49"/>
    <mergeCell ref="M49:O49"/>
    <mergeCell ref="S51:T51"/>
    <mergeCell ref="P48:R48"/>
    <mergeCell ref="S48:T48"/>
    <mergeCell ref="S49:T49"/>
    <mergeCell ref="S53:T53"/>
    <mergeCell ref="P51:R51"/>
    <mergeCell ref="C50:E50"/>
    <mergeCell ref="P50:R50"/>
    <mergeCell ref="C44:E44"/>
    <mergeCell ref="C45:E45"/>
    <mergeCell ref="C24:E24"/>
    <mergeCell ref="C25:E25"/>
    <mergeCell ref="S42:T42"/>
    <mergeCell ref="C43:E43"/>
    <mergeCell ref="S43:T43"/>
    <mergeCell ref="P44:R44"/>
    <mergeCell ref="S44:T44"/>
    <mergeCell ref="P43:R43"/>
    <mergeCell ref="C42:E42"/>
    <mergeCell ref="P42:R42"/>
    <mergeCell ref="F42:I42"/>
    <mergeCell ref="F43:I43"/>
    <mergeCell ref="P29:R29"/>
    <mergeCell ref="S29:T29"/>
    <mergeCell ref="P28:R28"/>
    <mergeCell ref="S28:T28"/>
    <mergeCell ref="M29:O29"/>
    <mergeCell ref="C28:E28"/>
    <mergeCell ref="C29:E29"/>
    <mergeCell ref="P27:R27"/>
    <mergeCell ref="S27:T27"/>
    <mergeCell ref="C41:E41"/>
    <mergeCell ref="P24:R24"/>
    <mergeCell ref="S24:T24"/>
    <mergeCell ref="P26:R26"/>
    <mergeCell ref="P25:R25"/>
    <mergeCell ref="C22:E22"/>
    <mergeCell ref="C23:E23"/>
    <mergeCell ref="F22:I22"/>
    <mergeCell ref="F23:I23"/>
    <mergeCell ref="S23:T23"/>
    <mergeCell ref="P41:R41"/>
    <mergeCell ref="S41:T41"/>
    <mergeCell ref="F41:I41"/>
    <mergeCell ref="J41:L41"/>
    <mergeCell ref="M41:O41"/>
    <mergeCell ref="P40:R40"/>
    <mergeCell ref="S40:T40"/>
    <mergeCell ref="C40:E40"/>
    <mergeCell ref="J40:L40"/>
    <mergeCell ref="M40:O40"/>
    <mergeCell ref="S38:T38"/>
    <mergeCell ref="C39:E39"/>
    <mergeCell ref="S39:T39"/>
    <mergeCell ref="P36:R36"/>
    <mergeCell ref="S36:T36"/>
    <mergeCell ref="P39:R39"/>
    <mergeCell ref="C38:E38"/>
    <mergeCell ref="P38:R38"/>
    <mergeCell ref="M38:O38"/>
    <mergeCell ref="M39:O39"/>
    <mergeCell ref="S37:T37"/>
    <mergeCell ref="J38:L38"/>
    <mergeCell ref="J39:L39"/>
    <mergeCell ref="P35:R35"/>
    <mergeCell ref="C34:E34"/>
    <mergeCell ref="P34:R34"/>
    <mergeCell ref="S34:T34"/>
    <mergeCell ref="C35:E35"/>
    <mergeCell ref="C36:E36"/>
    <mergeCell ref="C37:E37"/>
    <mergeCell ref="P37:R37"/>
    <mergeCell ref="C33:E33"/>
    <mergeCell ref="P33:R33"/>
    <mergeCell ref="M36:O36"/>
    <mergeCell ref="M37:O37"/>
    <mergeCell ref="J36:L36"/>
    <mergeCell ref="J37:L37"/>
    <mergeCell ref="F32:I32"/>
    <mergeCell ref="F33:I33"/>
    <mergeCell ref="S35:T35"/>
    <mergeCell ref="P32:R32"/>
    <mergeCell ref="S32:T32"/>
    <mergeCell ref="S33:T33"/>
    <mergeCell ref="F34:I34"/>
    <mergeCell ref="A1:T4"/>
    <mergeCell ref="E6:F6"/>
    <mergeCell ref="L6:M6"/>
    <mergeCell ref="L7:M7"/>
    <mergeCell ref="R7:T7"/>
    <mergeCell ref="P10:T11"/>
    <mergeCell ref="S18:T18"/>
    <mergeCell ref="C15:E15"/>
    <mergeCell ref="P15:R15"/>
    <mergeCell ref="S15:T15"/>
    <mergeCell ref="C16:E16"/>
    <mergeCell ref="S16:T16"/>
    <mergeCell ref="B14:T14"/>
    <mergeCell ref="P16:R16"/>
    <mergeCell ref="P17:R17"/>
    <mergeCell ref="S17:T17"/>
    <mergeCell ref="C17:E17"/>
    <mergeCell ref="C18:E18"/>
    <mergeCell ref="P18:R18"/>
    <mergeCell ref="F124:J124"/>
    <mergeCell ref="L124:M124"/>
    <mergeCell ref="P124:R124"/>
    <mergeCell ref="S124:T124"/>
    <mergeCell ref="F125:J125"/>
    <mergeCell ref="L125:M125"/>
    <mergeCell ref="P125:R125"/>
    <mergeCell ref="S125:T125"/>
    <mergeCell ref="C32:E32"/>
    <mergeCell ref="S118:T118"/>
    <mergeCell ref="M115:O115"/>
    <mergeCell ref="C111:E111"/>
    <mergeCell ref="S111:T111"/>
    <mergeCell ref="F122:J122"/>
    <mergeCell ref="L122:M122"/>
    <mergeCell ref="P122:R122"/>
    <mergeCell ref="S122:T122"/>
    <mergeCell ref="C114:E114"/>
    <mergeCell ref="S119:T119"/>
    <mergeCell ref="P120:R120"/>
    <mergeCell ref="S120:T120"/>
    <mergeCell ref="P115:R115"/>
    <mergeCell ref="F12:I13"/>
    <mergeCell ref="J12:L13"/>
    <mergeCell ref="M12:O13"/>
    <mergeCell ref="H10:M10"/>
    <mergeCell ref="H11:M11"/>
    <mergeCell ref="N10:O11"/>
    <mergeCell ref="F29:I29"/>
    <mergeCell ref="J30:L30"/>
    <mergeCell ref="M31:O31"/>
    <mergeCell ref="M20:O20"/>
    <mergeCell ref="M21:O21"/>
    <mergeCell ref="M22:O22"/>
    <mergeCell ref="M23:O23"/>
    <mergeCell ref="M24:O24"/>
    <mergeCell ref="M25:O25"/>
    <mergeCell ref="M30:O30"/>
    <mergeCell ref="S31:T31"/>
    <mergeCell ref="C27:E27"/>
    <mergeCell ref="F30:I30"/>
    <mergeCell ref="F31:I31"/>
    <mergeCell ref="S19:T19"/>
    <mergeCell ref="P31:R31"/>
    <mergeCell ref="C30:E30"/>
    <mergeCell ref="P30:R30"/>
    <mergeCell ref="S30:T30"/>
    <mergeCell ref="C31:E31"/>
    <mergeCell ref="C19:E19"/>
    <mergeCell ref="P19:R19"/>
    <mergeCell ref="C20:E20"/>
    <mergeCell ref="P20:R20"/>
    <mergeCell ref="S20:T20"/>
    <mergeCell ref="C21:E21"/>
    <mergeCell ref="S21:T21"/>
    <mergeCell ref="S25:T25"/>
    <mergeCell ref="C26:E26"/>
    <mergeCell ref="S26:T26"/>
    <mergeCell ref="P21:R21"/>
    <mergeCell ref="P22:R22"/>
    <mergeCell ref="S22:T22"/>
    <mergeCell ref="P23:R23"/>
    <mergeCell ref="F116:J116"/>
    <mergeCell ref="L116:M116"/>
    <mergeCell ref="S116:T116"/>
    <mergeCell ref="L117:M117"/>
    <mergeCell ref="S117:T117"/>
    <mergeCell ref="F117:J117"/>
    <mergeCell ref="F118:J118"/>
    <mergeCell ref="L118:M118"/>
    <mergeCell ref="F119:J119"/>
    <mergeCell ref="L119:M119"/>
    <mergeCell ref="F120:J120"/>
    <mergeCell ref="S108:T108"/>
    <mergeCell ref="S109:T109"/>
    <mergeCell ref="P111:R111"/>
    <mergeCell ref="F110:I110"/>
    <mergeCell ref="P114:R114"/>
    <mergeCell ref="S114:T114"/>
    <mergeCell ref="C115:E115"/>
    <mergeCell ref="P116:R116"/>
    <mergeCell ref="P117:R117"/>
    <mergeCell ref="C110:E110"/>
    <mergeCell ref="P110:R110"/>
    <mergeCell ref="S110:T110"/>
    <mergeCell ref="J110:L110"/>
    <mergeCell ref="C108:E108"/>
    <mergeCell ref="C109:E109"/>
    <mergeCell ref="P109:R109"/>
    <mergeCell ref="F108:I108"/>
    <mergeCell ref="F109:I109"/>
    <mergeCell ref="J108:L108"/>
    <mergeCell ref="J109:L109"/>
    <mergeCell ref="P119:R119"/>
    <mergeCell ref="P108:R108"/>
    <mergeCell ref="P118:R118"/>
    <mergeCell ref="S115:T115"/>
    <mergeCell ref="C97:E97"/>
    <mergeCell ref="F97:I97"/>
    <mergeCell ref="F98:I98"/>
    <mergeCell ref="F99:I99"/>
    <mergeCell ref="S105:T105"/>
    <mergeCell ref="P103:R103"/>
    <mergeCell ref="C102:E102"/>
    <mergeCell ref="P102:R102"/>
    <mergeCell ref="S102:T102"/>
    <mergeCell ref="C103:E103"/>
    <mergeCell ref="S103:T103"/>
    <mergeCell ref="C104:E104"/>
    <mergeCell ref="C105:E105"/>
    <mergeCell ref="P105:R105"/>
    <mergeCell ref="S106:T106"/>
    <mergeCell ref="C107:E107"/>
    <mergeCell ref="S107:T107"/>
    <mergeCell ref="P104:R104"/>
    <mergeCell ref="S104:T104"/>
    <mergeCell ref="P107:R107"/>
    <mergeCell ref="C106:E106"/>
    <mergeCell ref="P106:R106"/>
    <mergeCell ref="F107:I107"/>
    <mergeCell ref="P100:R100"/>
    <mergeCell ref="S100:T100"/>
    <mergeCell ref="C100:E100"/>
    <mergeCell ref="C101:E101"/>
    <mergeCell ref="P101:R101"/>
    <mergeCell ref="S101:T101"/>
    <mergeCell ref="F100:I100"/>
    <mergeCell ref="P97:R97"/>
    <mergeCell ref="S97:T97"/>
    <mergeCell ref="C99:E99"/>
    <mergeCell ref="S99:T99"/>
    <mergeCell ref="M97:O97"/>
    <mergeCell ref="M98:O98"/>
    <mergeCell ref="M99:O99"/>
    <mergeCell ref="M100:O100"/>
    <mergeCell ref="M101:O101"/>
    <mergeCell ref="P99:R99"/>
    <mergeCell ref="C98:E98"/>
    <mergeCell ref="P98:R98"/>
    <mergeCell ref="S98:T98"/>
    <mergeCell ref="C113:E113"/>
    <mergeCell ref="P113:R113"/>
    <mergeCell ref="S113:T113"/>
    <mergeCell ref="S91:T91"/>
    <mergeCell ref="C92:E92"/>
    <mergeCell ref="P112:R112"/>
    <mergeCell ref="S112:T112"/>
    <mergeCell ref="C112:E112"/>
    <mergeCell ref="C96:E96"/>
    <mergeCell ref="P92:R92"/>
    <mergeCell ref="C91:E91"/>
    <mergeCell ref="P91:R91"/>
    <mergeCell ref="C94:E94"/>
    <mergeCell ref="S94:T94"/>
    <mergeCell ref="C95:E95"/>
    <mergeCell ref="J94:L94"/>
    <mergeCell ref="J95:L95"/>
    <mergeCell ref="M94:O94"/>
    <mergeCell ref="C93:E93"/>
    <mergeCell ref="P93:R93"/>
    <mergeCell ref="S93:T93"/>
    <mergeCell ref="P94:R94"/>
    <mergeCell ref="P95:R95"/>
    <mergeCell ref="S95:T95"/>
    <mergeCell ref="B9:T9"/>
    <mergeCell ref="E7:H7"/>
    <mergeCell ref="F10:G10"/>
    <mergeCell ref="F11:G11"/>
    <mergeCell ref="F24:I24"/>
    <mergeCell ref="F25:I25"/>
    <mergeCell ref="F26:I26"/>
    <mergeCell ref="F27:I27"/>
    <mergeCell ref="F28:I28"/>
    <mergeCell ref="F15:I15"/>
    <mergeCell ref="F16:I16"/>
    <mergeCell ref="F17:I17"/>
    <mergeCell ref="F18:I18"/>
    <mergeCell ref="F19:I19"/>
    <mergeCell ref="F20:I20"/>
    <mergeCell ref="F21:I21"/>
    <mergeCell ref="J23:L23"/>
    <mergeCell ref="J24:L24"/>
    <mergeCell ref="M26:O26"/>
    <mergeCell ref="M27:O27"/>
    <mergeCell ref="M28:O28"/>
    <mergeCell ref="B10:E13"/>
    <mergeCell ref="P12:R13"/>
    <mergeCell ref="S12:T13"/>
    <mergeCell ref="F44:I44"/>
    <mergeCell ref="F45:I45"/>
    <mergeCell ref="F46:I46"/>
    <mergeCell ref="F47:I47"/>
    <mergeCell ref="F48:I48"/>
    <mergeCell ref="F49:I49"/>
    <mergeCell ref="F35:I35"/>
    <mergeCell ref="F36:I36"/>
    <mergeCell ref="F37:I37"/>
    <mergeCell ref="F38:I38"/>
    <mergeCell ref="F39:I39"/>
    <mergeCell ref="F40:I40"/>
    <mergeCell ref="F60:I60"/>
    <mergeCell ref="F61:I61"/>
    <mergeCell ref="F62:I62"/>
    <mergeCell ref="F63:I63"/>
    <mergeCell ref="F64:I64"/>
    <mergeCell ref="F66:I66"/>
    <mergeCell ref="J66:L66"/>
    <mergeCell ref="B65:T65"/>
    <mergeCell ref="F54:I54"/>
    <mergeCell ref="F55:I55"/>
    <mergeCell ref="F56:I56"/>
    <mergeCell ref="F57:I57"/>
    <mergeCell ref="F58:I58"/>
    <mergeCell ref="F59:I59"/>
    <mergeCell ref="C64:E64"/>
    <mergeCell ref="P64:R64"/>
    <mergeCell ref="S64:T64"/>
    <mergeCell ref="M64:O64"/>
    <mergeCell ref="P63:R63"/>
    <mergeCell ref="S63:T63"/>
    <mergeCell ref="C63:E63"/>
    <mergeCell ref="M63:O63"/>
    <mergeCell ref="C66:E66"/>
    <mergeCell ref="M66:O66"/>
    <mergeCell ref="F77:I77"/>
    <mergeCell ref="F78:I78"/>
    <mergeCell ref="F79:I79"/>
    <mergeCell ref="F80:I80"/>
    <mergeCell ref="F81:I81"/>
    <mergeCell ref="F69:I69"/>
    <mergeCell ref="F70:I70"/>
    <mergeCell ref="F71:I71"/>
    <mergeCell ref="F72:I72"/>
    <mergeCell ref="F73:I73"/>
    <mergeCell ref="F74:I74"/>
    <mergeCell ref="F111:I111"/>
    <mergeCell ref="F112:I112"/>
    <mergeCell ref="F113:I113"/>
    <mergeCell ref="F114:I114"/>
    <mergeCell ref="F115:I115"/>
    <mergeCell ref="F101:I101"/>
    <mergeCell ref="F102:I102"/>
    <mergeCell ref="F103:I103"/>
    <mergeCell ref="F104:I104"/>
    <mergeCell ref="F105:I105"/>
    <mergeCell ref="F106:I106"/>
    <mergeCell ref="F84:I84"/>
    <mergeCell ref="F85:I85"/>
    <mergeCell ref="F86:I86"/>
    <mergeCell ref="F87:I87"/>
    <mergeCell ref="F88:I88"/>
    <mergeCell ref="J15:L15"/>
    <mergeCell ref="J16:L16"/>
    <mergeCell ref="J17:L17"/>
    <mergeCell ref="J18:L18"/>
    <mergeCell ref="J19:L19"/>
    <mergeCell ref="J20:L20"/>
    <mergeCell ref="J64:L64"/>
    <mergeCell ref="J31:L31"/>
    <mergeCell ref="J21:L21"/>
    <mergeCell ref="J22:L22"/>
    <mergeCell ref="J32:L32"/>
    <mergeCell ref="J33:L33"/>
    <mergeCell ref="J34:L34"/>
    <mergeCell ref="J35:L35"/>
    <mergeCell ref="J25:L25"/>
    <mergeCell ref="J26:L26"/>
    <mergeCell ref="J27:L27"/>
    <mergeCell ref="J28:L28"/>
    <mergeCell ref="J29:L29"/>
    <mergeCell ref="J50:L50"/>
    <mergeCell ref="M42:O42"/>
    <mergeCell ref="M43:O43"/>
    <mergeCell ref="M44:O44"/>
    <mergeCell ref="M45:O45"/>
    <mergeCell ref="M46:O46"/>
    <mergeCell ref="M47:O47"/>
    <mergeCell ref="J53:L53"/>
    <mergeCell ref="J54:L54"/>
    <mergeCell ref="J55:L55"/>
    <mergeCell ref="J42:L42"/>
    <mergeCell ref="J43:L43"/>
    <mergeCell ref="J44:L44"/>
    <mergeCell ref="J45:L45"/>
    <mergeCell ref="J46:L46"/>
    <mergeCell ref="J47:L47"/>
    <mergeCell ref="J48:L48"/>
    <mergeCell ref="J114:L114"/>
    <mergeCell ref="J61:L61"/>
    <mergeCell ref="J112:L112"/>
    <mergeCell ref="J113:L113"/>
    <mergeCell ref="J93:L93"/>
    <mergeCell ref="J81:L81"/>
    <mergeCell ref="J82:L82"/>
    <mergeCell ref="J83:L83"/>
    <mergeCell ref="J84:L84"/>
    <mergeCell ref="J85:L85"/>
    <mergeCell ref="J86:L86"/>
    <mergeCell ref="J91:L91"/>
    <mergeCell ref="J92:L92"/>
    <mergeCell ref="J111:L111"/>
    <mergeCell ref="J75:L75"/>
    <mergeCell ref="J76:L76"/>
    <mergeCell ref="J115:L115"/>
    <mergeCell ref="M15:O15"/>
    <mergeCell ref="M16:O16"/>
    <mergeCell ref="M17:O17"/>
    <mergeCell ref="M18:O18"/>
    <mergeCell ref="M19:O19"/>
    <mergeCell ref="J102:L102"/>
    <mergeCell ref="J103:L103"/>
    <mergeCell ref="J104:L104"/>
    <mergeCell ref="J105:L105"/>
    <mergeCell ref="J106:L106"/>
    <mergeCell ref="J107:L107"/>
    <mergeCell ref="J96:L96"/>
    <mergeCell ref="J97:L97"/>
    <mergeCell ref="J98:L98"/>
    <mergeCell ref="J99:L99"/>
    <mergeCell ref="J100:L100"/>
    <mergeCell ref="J101:L101"/>
    <mergeCell ref="J88:L88"/>
    <mergeCell ref="M60:O60"/>
    <mergeCell ref="M61:O61"/>
    <mergeCell ref="J51:L51"/>
    <mergeCell ref="J52:L52"/>
    <mergeCell ref="J60:L60"/>
    <mergeCell ref="J77:L77"/>
    <mergeCell ref="J78:L78"/>
    <mergeCell ref="J79:L79"/>
    <mergeCell ref="J80:L80"/>
    <mergeCell ref="J69:L69"/>
    <mergeCell ref="J70:L70"/>
    <mergeCell ref="J62:L62"/>
    <mergeCell ref="J63:L63"/>
    <mergeCell ref="M32:O32"/>
    <mergeCell ref="M33:O33"/>
    <mergeCell ref="M34:O34"/>
    <mergeCell ref="M35:O35"/>
    <mergeCell ref="M69:O69"/>
    <mergeCell ref="M70:O70"/>
    <mergeCell ref="M71:O71"/>
    <mergeCell ref="M72:O72"/>
    <mergeCell ref="M73:O73"/>
    <mergeCell ref="M50:O50"/>
    <mergeCell ref="M51:O51"/>
    <mergeCell ref="M52:O52"/>
    <mergeCell ref="M53:O53"/>
    <mergeCell ref="M54:O54"/>
    <mergeCell ref="M55:O55"/>
    <mergeCell ref="M48:O48"/>
    <mergeCell ref="M81:O81"/>
    <mergeCell ref="M82:O82"/>
    <mergeCell ref="M83:O83"/>
    <mergeCell ref="M84:O84"/>
    <mergeCell ref="M85:O85"/>
    <mergeCell ref="M86:O86"/>
    <mergeCell ref="M75:O75"/>
    <mergeCell ref="M76:O76"/>
    <mergeCell ref="M77:O77"/>
    <mergeCell ref="M78:O78"/>
    <mergeCell ref="M79:O79"/>
    <mergeCell ref="M80:O80"/>
    <mergeCell ref="M102:O102"/>
    <mergeCell ref="M88:O88"/>
    <mergeCell ref="M89:O89"/>
    <mergeCell ref="M90:O90"/>
    <mergeCell ref="M91:O91"/>
    <mergeCell ref="M92:O92"/>
    <mergeCell ref="M93:O93"/>
    <mergeCell ref="M109:O109"/>
    <mergeCell ref="M110:O110"/>
    <mergeCell ref="M111:O111"/>
    <mergeCell ref="M112:O112"/>
    <mergeCell ref="M113:O113"/>
    <mergeCell ref="M114:O114"/>
    <mergeCell ref="M103:O103"/>
    <mergeCell ref="M104:O104"/>
    <mergeCell ref="M105:O105"/>
    <mergeCell ref="M106:O106"/>
    <mergeCell ref="M107:O107"/>
    <mergeCell ref="M108:O10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sqref="A1:P4"/>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550" t="s">
        <v>30</v>
      </c>
      <c r="B1" s="550"/>
      <c r="C1" s="550"/>
      <c r="D1" s="550"/>
      <c r="E1" s="550"/>
      <c r="F1" s="550"/>
      <c r="G1" s="550"/>
      <c r="H1" s="550"/>
      <c r="I1" s="550"/>
      <c r="J1" s="550"/>
      <c r="K1" s="550"/>
      <c r="L1" s="550"/>
      <c r="M1" s="550"/>
      <c r="N1" s="550"/>
      <c r="O1" s="550"/>
      <c r="P1" s="550"/>
      <c r="Q1" s="2"/>
      <c r="R1" s="2"/>
      <c r="S1" s="2"/>
      <c r="T1" s="2"/>
      <c r="U1" s="2"/>
      <c r="V1" s="2"/>
      <c r="W1" s="2"/>
      <c r="X1" s="2"/>
    </row>
    <row r="2" spans="1:24" ht="13.2">
      <c r="A2" s="550"/>
      <c r="B2" s="550"/>
      <c r="C2" s="550"/>
      <c r="D2" s="550"/>
      <c r="E2" s="550"/>
      <c r="F2" s="550"/>
      <c r="G2" s="550"/>
      <c r="H2" s="550"/>
      <c r="I2" s="550"/>
      <c r="J2" s="550"/>
      <c r="K2" s="550"/>
      <c r="L2" s="550"/>
      <c r="M2" s="550"/>
      <c r="N2" s="550"/>
      <c r="O2" s="550"/>
      <c r="P2" s="550"/>
      <c r="Q2" s="2"/>
      <c r="R2" s="2"/>
      <c r="S2" s="2"/>
      <c r="T2" s="2"/>
      <c r="U2" s="2"/>
      <c r="V2" s="2"/>
      <c r="W2" s="2"/>
      <c r="X2" s="2"/>
    </row>
    <row r="3" spans="1:24" ht="13.2">
      <c r="A3" s="550"/>
      <c r="B3" s="550"/>
      <c r="C3" s="550"/>
      <c r="D3" s="550"/>
      <c r="E3" s="550"/>
      <c r="F3" s="550"/>
      <c r="G3" s="550"/>
      <c r="H3" s="550"/>
      <c r="I3" s="550"/>
      <c r="J3" s="550"/>
      <c r="K3" s="550"/>
      <c r="L3" s="550"/>
      <c r="M3" s="550"/>
      <c r="N3" s="550"/>
      <c r="O3" s="550"/>
      <c r="P3" s="550"/>
      <c r="Q3" s="2"/>
      <c r="R3" s="2"/>
      <c r="S3" s="2"/>
      <c r="T3" s="2"/>
      <c r="U3" s="2"/>
      <c r="V3" s="2"/>
      <c r="W3" s="2"/>
      <c r="X3" s="2"/>
    </row>
    <row r="4" spans="1:24" ht="13.8" thickBot="1">
      <c r="A4" s="550"/>
      <c r="B4" s="550"/>
      <c r="C4" s="550"/>
      <c r="D4" s="550"/>
      <c r="E4" s="550"/>
      <c r="F4" s="550"/>
      <c r="G4" s="550"/>
      <c r="H4" s="550"/>
      <c r="I4" s="550"/>
      <c r="J4" s="550"/>
      <c r="K4" s="550"/>
      <c r="L4" s="550"/>
      <c r="M4" s="550"/>
      <c r="N4" s="550"/>
      <c r="O4" s="550"/>
      <c r="P4" s="550"/>
      <c r="Q4" s="3"/>
      <c r="R4" s="3"/>
      <c r="S4" s="3"/>
      <c r="T4" s="3"/>
      <c r="U4" s="3"/>
      <c r="V4" s="3"/>
      <c r="W4" s="3"/>
      <c r="X4" s="3"/>
    </row>
    <row r="5" spans="1:24" ht="13.8" thickBot="1">
      <c r="A5" s="3"/>
      <c r="B5" s="15"/>
      <c r="C5" s="53"/>
      <c r="D5" s="202" t="s">
        <v>3</v>
      </c>
      <c r="E5" s="536">
        <f>'INPUT DATA'!F10</f>
        <v>0</v>
      </c>
      <c r="F5" s="537"/>
      <c r="G5" s="202"/>
      <c r="H5" s="202" t="s">
        <v>6</v>
      </c>
      <c r="I5" s="536">
        <f>'INPUT DATA'!F11</f>
        <v>0</v>
      </c>
      <c r="J5" s="552"/>
      <c r="K5" s="553"/>
      <c r="L5" s="130"/>
      <c r="M5" s="130"/>
      <c r="N5" s="130"/>
      <c r="O5" s="130"/>
      <c r="P5" s="3"/>
      <c r="Q5" s="3"/>
      <c r="R5" s="3"/>
      <c r="S5" s="3"/>
      <c r="T5" s="3"/>
      <c r="U5" s="3"/>
      <c r="V5" s="3"/>
      <c r="W5" s="3"/>
      <c r="X5" s="3"/>
    </row>
    <row r="6" spans="1:24" ht="4.2" customHeight="1" thickBot="1">
      <c r="A6" s="3"/>
      <c r="B6" s="15"/>
      <c r="C6" s="54"/>
      <c r="D6" s="202"/>
      <c r="E6" s="551"/>
      <c r="F6" s="551"/>
      <c r="G6" s="551"/>
      <c r="H6" s="202"/>
      <c r="I6" s="554"/>
      <c r="J6" s="554"/>
      <c r="K6" s="198"/>
      <c r="L6" s="556"/>
      <c r="M6" s="557"/>
      <c r="N6" s="555"/>
      <c r="O6" s="555"/>
      <c r="P6" s="131"/>
      <c r="Q6" s="3"/>
      <c r="R6" s="3"/>
      <c r="S6" s="3"/>
      <c r="T6" s="3"/>
      <c r="U6" s="3"/>
      <c r="V6" s="3"/>
      <c r="W6" s="3"/>
      <c r="X6" s="3"/>
    </row>
    <row r="7" spans="1:24" ht="13.8" thickBot="1">
      <c r="A7" s="3"/>
      <c r="B7" s="15"/>
      <c r="C7" s="17"/>
      <c r="D7" s="202" t="s">
        <v>7</v>
      </c>
      <c r="E7" s="536">
        <f>'INPUT DATA'!F16</f>
        <v>0</v>
      </c>
      <c r="F7" s="552"/>
      <c r="G7" s="553"/>
      <c r="H7" s="202" t="s">
        <v>8</v>
      </c>
      <c r="I7" s="558">
        <f>'INPUT DATA'!F15</f>
        <v>0</v>
      </c>
      <c r="J7" s="537"/>
      <c r="K7" s="198"/>
      <c r="L7" s="556" t="s">
        <v>10</v>
      </c>
      <c r="M7" s="557"/>
      <c r="N7" s="536">
        <f>'INPUT DATA'!F18</f>
        <v>0</v>
      </c>
      <c r="O7" s="553"/>
      <c r="P7" s="3"/>
      <c r="Q7" s="3"/>
      <c r="R7" s="3"/>
      <c r="S7" s="3"/>
      <c r="T7" s="3"/>
      <c r="U7" s="3"/>
      <c r="V7" s="3"/>
      <c r="W7" s="3"/>
      <c r="X7" s="3"/>
    </row>
    <row r="8" spans="1:24" s="128" customFormat="1" ht="13.8" thickBot="1">
      <c r="A8" s="129"/>
      <c r="B8" s="15"/>
      <c r="C8" s="22"/>
      <c r="D8" s="202"/>
      <c r="E8" s="199"/>
      <c r="F8" s="199"/>
      <c r="G8" s="199"/>
      <c r="H8" s="202"/>
      <c r="I8" s="201"/>
      <c r="J8" s="201"/>
      <c r="K8" s="198"/>
      <c r="L8" s="203"/>
      <c r="M8" s="202"/>
      <c r="N8" s="200"/>
      <c r="O8" s="200"/>
      <c r="P8" s="129"/>
      <c r="Q8" s="129"/>
      <c r="R8" s="129"/>
      <c r="S8" s="129"/>
      <c r="T8" s="129"/>
      <c r="U8" s="129"/>
      <c r="V8" s="129"/>
      <c r="W8" s="129"/>
      <c r="X8" s="129"/>
    </row>
    <row r="9" spans="1:24" ht="13.8" thickBot="1">
      <c r="A9" s="3"/>
      <c r="B9" s="326"/>
      <c r="C9" s="327"/>
      <c r="D9" s="327"/>
      <c r="E9" s="327"/>
      <c r="F9" s="327"/>
      <c r="G9" s="327"/>
      <c r="H9" s="327"/>
      <c r="I9" s="327"/>
      <c r="J9" s="327"/>
      <c r="K9" s="327"/>
      <c r="L9" s="327"/>
      <c r="M9" s="327"/>
      <c r="N9" s="327"/>
      <c r="O9" s="327"/>
      <c r="P9" s="328"/>
      <c r="Q9" s="3"/>
      <c r="R9" s="3"/>
      <c r="S9" s="3"/>
      <c r="T9" s="3"/>
      <c r="U9" s="3"/>
      <c r="V9" s="3"/>
      <c r="W9" s="3"/>
      <c r="X9" s="3"/>
    </row>
    <row r="10" spans="1:24" ht="13.8" thickBot="1">
      <c r="A10" s="2"/>
      <c r="B10" s="544" t="s">
        <v>21</v>
      </c>
      <c r="C10" s="545"/>
      <c r="D10" s="545"/>
      <c r="E10" s="546"/>
      <c r="F10" s="204" t="s">
        <v>16</v>
      </c>
      <c r="G10" s="530">
        <f>'INPUT DATA'!F27</f>
        <v>0</v>
      </c>
      <c r="H10" s="531"/>
      <c r="I10" s="531"/>
      <c r="J10" s="531"/>
      <c r="K10" s="532" t="s">
        <v>18</v>
      </c>
      <c r="L10" s="538">
        <f>'INPUT DATA'!F26</f>
        <v>0</v>
      </c>
      <c r="M10" s="539"/>
      <c r="N10" s="539"/>
      <c r="O10" s="539"/>
      <c r="P10" s="540"/>
      <c r="Q10" s="2"/>
      <c r="R10" s="2"/>
      <c r="S10" s="2"/>
      <c r="T10" s="2"/>
      <c r="U10" s="2"/>
      <c r="V10" s="2"/>
      <c r="W10" s="2"/>
      <c r="X10" s="2"/>
    </row>
    <row r="11" spans="1:24" ht="13.8" thickBot="1">
      <c r="A11" s="2"/>
      <c r="B11" s="547"/>
      <c r="C11" s="288"/>
      <c r="D11" s="288"/>
      <c r="E11" s="548"/>
      <c r="F11" s="55" t="s">
        <v>20</v>
      </c>
      <c r="G11" s="534">
        <f>'INPUT DATA'!F28</f>
        <v>0</v>
      </c>
      <c r="H11" s="535"/>
      <c r="I11" s="535"/>
      <c r="J11" s="535"/>
      <c r="K11" s="533"/>
      <c r="L11" s="541"/>
      <c r="M11" s="542"/>
      <c r="N11" s="542"/>
      <c r="O11" s="542"/>
      <c r="P11" s="543"/>
      <c r="Q11" s="2"/>
      <c r="R11" s="2"/>
      <c r="S11" s="2"/>
      <c r="T11" s="2"/>
      <c r="U11" s="2"/>
      <c r="V11" s="2"/>
      <c r="W11" s="2"/>
      <c r="X11" s="2"/>
    </row>
    <row r="12" spans="1:24" ht="15.6">
      <c r="A12" s="3"/>
      <c r="B12" s="523"/>
      <c r="C12" s="524"/>
      <c r="D12" s="524"/>
      <c r="E12" s="549"/>
      <c r="F12" s="56" t="s">
        <v>31</v>
      </c>
      <c r="G12" s="56" t="s">
        <v>32</v>
      </c>
      <c r="H12" s="56" t="s">
        <v>33</v>
      </c>
      <c r="I12" s="56" t="s">
        <v>34</v>
      </c>
      <c r="J12" s="56" t="s">
        <v>35</v>
      </c>
      <c r="K12" s="56" t="s">
        <v>36</v>
      </c>
      <c r="L12" s="35" t="s">
        <v>37</v>
      </c>
      <c r="M12" s="35" t="s">
        <v>38</v>
      </c>
      <c r="N12" s="56" t="s">
        <v>39</v>
      </c>
      <c r="O12" s="56" t="s">
        <v>40</v>
      </c>
      <c r="P12" s="56" t="s">
        <v>41</v>
      </c>
      <c r="Q12" s="3"/>
      <c r="R12" s="3"/>
      <c r="S12" s="3"/>
      <c r="T12" s="3"/>
      <c r="U12" s="3"/>
      <c r="V12" s="3"/>
      <c r="W12" s="3"/>
      <c r="X12" s="3"/>
    </row>
    <row r="13" spans="1:24" ht="13.2">
      <c r="A13" s="3"/>
      <c r="B13" s="529" t="s">
        <v>11</v>
      </c>
      <c r="C13" s="302"/>
      <c r="D13" s="302"/>
      <c r="E13" s="302"/>
      <c r="F13" s="302"/>
      <c r="G13" s="302"/>
      <c r="H13" s="302"/>
      <c r="I13" s="302"/>
      <c r="J13" s="302"/>
      <c r="K13" s="302"/>
      <c r="L13" s="302"/>
      <c r="M13" s="302"/>
      <c r="N13" s="302"/>
      <c r="O13" s="302"/>
      <c r="P13" s="303"/>
      <c r="Q13" s="3"/>
      <c r="R13" s="3"/>
      <c r="S13" s="3"/>
      <c r="T13" s="3"/>
      <c r="U13" s="3"/>
      <c r="V13" s="3"/>
      <c r="W13" s="3"/>
      <c r="X13" s="3"/>
    </row>
    <row r="14" spans="1:24" ht="13.8">
      <c r="A14" s="3"/>
      <c r="B14" s="58">
        <v>1</v>
      </c>
      <c r="C14" s="525" t="str">
        <f>IF('INPUT DATA'!L11="","",'INPUT DATA'!L11)</f>
        <v/>
      </c>
      <c r="D14" s="526"/>
      <c r="E14" s="527"/>
      <c r="F14" s="59"/>
      <c r="G14" s="60"/>
      <c r="H14" s="60"/>
      <c r="I14" s="60"/>
      <c r="J14" s="60"/>
      <c r="K14" s="60"/>
      <c r="L14" s="60"/>
      <c r="M14" s="60"/>
      <c r="N14" s="60"/>
      <c r="O14" s="60"/>
      <c r="P14" s="61"/>
      <c r="Q14" s="3"/>
      <c r="R14" s="3"/>
      <c r="S14" s="3"/>
      <c r="T14" s="3"/>
      <c r="U14" s="3"/>
      <c r="V14" s="3"/>
      <c r="W14" s="3"/>
      <c r="X14" s="3"/>
    </row>
    <row r="15" spans="1:24" ht="13.8">
      <c r="A15" s="3"/>
      <c r="B15" s="62">
        <v>2</v>
      </c>
      <c r="C15" s="525" t="str">
        <f>IF('INPUT DATA'!L12="","",'INPUT DATA'!L12)</f>
        <v/>
      </c>
      <c r="D15" s="526"/>
      <c r="E15" s="527"/>
      <c r="F15" s="63"/>
      <c r="G15" s="64"/>
      <c r="H15" s="64"/>
      <c r="I15" s="64"/>
      <c r="J15" s="64"/>
      <c r="K15" s="64"/>
      <c r="L15" s="64"/>
      <c r="M15" s="64"/>
      <c r="N15" s="64"/>
      <c r="O15" s="64"/>
      <c r="P15" s="65"/>
      <c r="Q15" s="3"/>
      <c r="R15" s="3"/>
      <c r="S15" s="3"/>
      <c r="T15" s="3"/>
      <c r="U15" s="3"/>
      <c r="V15" s="3"/>
      <c r="W15" s="3"/>
      <c r="X15" s="3"/>
    </row>
    <row r="16" spans="1:24" ht="13.8">
      <c r="A16" s="3"/>
      <c r="B16" s="62">
        <v>3</v>
      </c>
      <c r="C16" s="525" t="str">
        <f>IF('INPUT DATA'!L13="","",'INPUT DATA'!L13)</f>
        <v/>
      </c>
      <c r="D16" s="526"/>
      <c r="E16" s="527"/>
      <c r="F16" s="64"/>
      <c r="G16" s="64"/>
      <c r="H16" s="64"/>
      <c r="I16" s="64"/>
      <c r="J16" s="64"/>
      <c r="K16" s="64"/>
      <c r="L16" s="64"/>
      <c r="M16" s="64"/>
      <c r="N16" s="64"/>
      <c r="O16" s="64"/>
      <c r="P16" s="65"/>
      <c r="Q16" s="3"/>
      <c r="R16" s="3"/>
      <c r="S16" s="3"/>
      <c r="T16" s="3"/>
      <c r="U16" s="3"/>
      <c r="V16" s="3"/>
      <c r="W16" s="3"/>
      <c r="X16" s="3"/>
    </row>
    <row r="17" spans="1:24" ht="13.8">
      <c r="A17" s="3"/>
      <c r="B17" s="62">
        <v>4</v>
      </c>
      <c r="C17" s="525" t="str">
        <f>IF('INPUT DATA'!L14="","",'INPUT DATA'!L14)</f>
        <v/>
      </c>
      <c r="D17" s="526"/>
      <c r="E17" s="527"/>
      <c r="F17" s="63"/>
      <c r="G17" s="64"/>
      <c r="H17" s="64"/>
      <c r="I17" s="64"/>
      <c r="J17" s="64"/>
      <c r="K17" s="64"/>
      <c r="L17" s="64"/>
      <c r="M17" s="64"/>
      <c r="N17" s="64"/>
      <c r="O17" s="64"/>
      <c r="P17" s="66"/>
      <c r="Q17" s="3"/>
      <c r="R17" s="3"/>
      <c r="S17" s="3"/>
      <c r="T17" s="3"/>
      <c r="U17" s="3"/>
      <c r="V17" s="3"/>
      <c r="W17" s="3"/>
      <c r="X17" s="3"/>
    </row>
    <row r="18" spans="1:24" ht="13.8">
      <c r="A18" s="3"/>
      <c r="B18" s="62">
        <v>5</v>
      </c>
      <c r="C18" s="525" t="str">
        <f>IF('INPUT DATA'!L15="","",'INPUT DATA'!L15)</f>
        <v/>
      </c>
      <c r="D18" s="526"/>
      <c r="E18" s="527"/>
      <c r="F18" s="63"/>
      <c r="G18" s="64"/>
      <c r="H18" s="64"/>
      <c r="I18" s="64"/>
      <c r="J18" s="64"/>
      <c r="K18" s="64"/>
      <c r="L18" s="64"/>
      <c r="M18" s="64"/>
      <c r="N18" s="64"/>
      <c r="O18" s="64"/>
      <c r="P18" s="66"/>
      <c r="Q18" s="3"/>
      <c r="R18" s="3"/>
      <c r="S18" s="3"/>
      <c r="T18" s="3"/>
      <c r="U18" s="3"/>
      <c r="V18" s="3"/>
      <c r="W18" s="3"/>
      <c r="X18" s="3"/>
    </row>
    <row r="19" spans="1:24" ht="13.8">
      <c r="A19" s="3"/>
      <c r="B19" s="62">
        <v>6</v>
      </c>
      <c r="C19" s="525" t="str">
        <f>IF('INPUT DATA'!L16="","",'INPUT DATA'!L16)</f>
        <v/>
      </c>
      <c r="D19" s="526"/>
      <c r="E19" s="527"/>
      <c r="F19" s="63"/>
      <c r="G19" s="64"/>
      <c r="H19" s="64"/>
      <c r="I19" s="64"/>
      <c r="J19" s="64"/>
      <c r="K19" s="64"/>
      <c r="L19" s="64"/>
      <c r="M19" s="64"/>
      <c r="N19" s="64"/>
      <c r="O19" s="64"/>
      <c r="P19" s="66"/>
      <c r="Q19" s="3"/>
      <c r="R19" s="3"/>
      <c r="S19" s="3"/>
      <c r="T19" s="3"/>
      <c r="U19" s="3"/>
      <c r="V19" s="3"/>
      <c r="W19" s="3"/>
      <c r="X19" s="3"/>
    </row>
    <row r="20" spans="1:24" ht="13.8">
      <c r="A20" s="3"/>
      <c r="B20" s="62">
        <v>7</v>
      </c>
      <c r="C20" s="525" t="str">
        <f>IF('INPUT DATA'!L17="","",'INPUT DATA'!L17)</f>
        <v/>
      </c>
      <c r="D20" s="526"/>
      <c r="E20" s="527"/>
      <c r="F20" s="63"/>
      <c r="G20" s="64"/>
      <c r="H20" s="64"/>
      <c r="I20" s="64"/>
      <c r="J20" s="64"/>
      <c r="K20" s="64"/>
      <c r="L20" s="64"/>
      <c r="M20" s="64"/>
      <c r="N20" s="64"/>
      <c r="O20" s="64"/>
      <c r="P20" s="66"/>
      <c r="Q20" s="3"/>
      <c r="R20" s="3"/>
      <c r="S20" s="3"/>
      <c r="T20" s="3"/>
      <c r="U20" s="3"/>
      <c r="V20" s="3"/>
      <c r="W20" s="3"/>
      <c r="X20" s="3"/>
    </row>
    <row r="21" spans="1:24" ht="13.8">
      <c r="A21" s="3"/>
      <c r="B21" s="62">
        <v>8</v>
      </c>
      <c r="C21" s="525" t="str">
        <f>IF('INPUT DATA'!L18="","",'INPUT DATA'!L18)</f>
        <v/>
      </c>
      <c r="D21" s="526"/>
      <c r="E21" s="527"/>
      <c r="F21" s="63"/>
      <c r="G21" s="64"/>
      <c r="H21" s="64"/>
      <c r="I21" s="64"/>
      <c r="J21" s="64"/>
      <c r="K21" s="64"/>
      <c r="L21" s="64"/>
      <c r="M21" s="64"/>
      <c r="N21" s="64"/>
      <c r="O21" s="64"/>
      <c r="P21" s="66"/>
      <c r="Q21" s="3"/>
      <c r="R21" s="3"/>
      <c r="S21" s="3"/>
      <c r="T21" s="3"/>
      <c r="U21" s="3"/>
      <c r="V21" s="3"/>
      <c r="W21" s="3"/>
      <c r="X21" s="3"/>
    </row>
    <row r="22" spans="1:24" ht="13.8">
      <c r="A22" s="3"/>
      <c r="B22" s="62">
        <v>9</v>
      </c>
      <c r="C22" s="525" t="str">
        <f>IF('INPUT DATA'!L19="","",'INPUT DATA'!L19)</f>
        <v/>
      </c>
      <c r="D22" s="526"/>
      <c r="E22" s="527"/>
      <c r="F22" s="63"/>
      <c r="G22" s="64"/>
      <c r="H22" s="64"/>
      <c r="I22" s="64"/>
      <c r="J22" s="64"/>
      <c r="K22" s="64"/>
      <c r="L22" s="64"/>
      <c r="M22" s="64"/>
      <c r="N22" s="64"/>
      <c r="O22" s="64"/>
      <c r="P22" s="66"/>
      <c r="Q22" s="3"/>
      <c r="R22" s="3"/>
      <c r="S22" s="3"/>
      <c r="T22" s="3"/>
      <c r="U22" s="3"/>
      <c r="V22" s="3"/>
      <c r="W22" s="3"/>
      <c r="X22" s="3"/>
    </row>
    <row r="23" spans="1:24" ht="13.8">
      <c r="A23" s="3"/>
      <c r="B23" s="62">
        <v>10</v>
      </c>
      <c r="C23" s="525" t="str">
        <f>IF('INPUT DATA'!L20="","",'INPUT DATA'!L20)</f>
        <v/>
      </c>
      <c r="D23" s="526"/>
      <c r="E23" s="527"/>
      <c r="F23" s="63"/>
      <c r="G23" s="64"/>
      <c r="H23" s="64"/>
      <c r="I23" s="64"/>
      <c r="J23" s="64"/>
      <c r="K23" s="64"/>
      <c r="L23" s="64"/>
      <c r="M23" s="64"/>
      <c r="N23" s="64"/>
      <c r="O23" s="64"/>
      <c r="P23" s="66"/>
      <c r="Q23" s="3"/>
      <c r="R23" s="3"/>
      <c r="S23" s="3"/>
      <c r="T23" s="3"/>
      <c r="U23" s="3"/>
      <c r="V23" s="3"/>
      <c r="W23" s="3"/>
      <c r="X23" s="3"/>
    </row>
    <row r="24" spans="1:24" ht="13.8">
      <c r="A24" s="3"/>
      <c r="B24" s="62">
        <v>11</v>
      </c>
      <c r="C24" s="525" t="str">
        <f>IF('INPUT DATA'!L21="","",'INPUT DATA'!L21)</f>
        <v/>
      </c>
      <c r="D24" s="526"/>
      <c r="E24" s="527"/>
      <c r="F24" s="63"/>
      <c r="G24" s="64"/>
      <c r="H24" s="64"/>
      <c r="I24" s="64"/>
      <c r="J24" s="64"/>
      <c r="K24" s="64"/>
      <c r="L24" s="64"/>
      <c r="M24" s="64"/>
      <c r="N24" s="64"/>
      <c r="O24" s="64"/>
      <c r="P24" s="66"/>
      <c r="Q24" s="3"/>
      <c r="R24" s="3"/>
      <c r="S24" s="3"/>
      <c r="T24" s="3"/>
      <c r="U24" s="3"/>
      <c r="V24" s="3"/>
      <c r="W24" s="3"/>
      <c r="X24" s="3"/>
    </row>
    <row r="25" spans="1:24" ht="13.8">
      <c r="A25" s="3"/>
      <c r="B25" s="62">
        <v>12</v>
      </c>
      <c r="C25" s="525" t="str">
        <f>IF('INPUT DATA'!L22="","",'INPUT DATA'!L22)</f>
        <v/>
      </c>
      <c r="D25" s="526"/>
      <c r="E25" s="527"/>
      <c r="F25" s="63"/>
      <c r="G25" s="64"/>
      <c r="H25" s="64"/>
      <c r="I25" s="64"/>
      <c r="J25" s="64"/>
      <c r="K25" s="64"/>
      <c r="L25" s="64"/>
      <c r="M25" s="64"/>
      <c r="N25" s="64"/>
      <c r="O25" s="64"/>
      <c r="P25" s="66"/>
      <c r="Q25" s="3"/>
      <c r="R25" s="3"/>
      <c r="S25" s="3"/>
      <c r="T25" s="3"/>
      <c r="U25" s="3"/>
      <c r="V25" s="3"/>
      <c r="W25" s="3"/>
      <c r="X25" s="3"/>
    </row>
    <row r="26" spans="1:24" ht="13.8">
      <c r="A26" s="3"/>
      <c r="B26" s="62">
        <v>13</v>
      </c>
      <c r="C26" s="525" t="str">
        <f>IF('INPUT DATA'!L23="","",'INPUT DATA'!L23)</f>
        <v/>
      </c>
      <c r="D26" s="526"/>
      <c r="E26" s="527"/>
      <c r="F26" s="63"/>
      <c r="G26" s="64"/>
      <c r="H26" s="64"/>
      <c r="I26" s="64"/>
      <c r="J26" s="64"/>
      <c r="K26" s="64"/>
      <c r="L26" s="64"/>
      <c r="M26" s="64"/>
      <c r="N26" s="64"/>
      <c r="O26" s="64"/>
      <c r="P26" s="66"/>
      <c r="Q26" s="3"/>
      <c r="R26" s="3"/>
      <c r="S26" s="3"/>
      <c r="T26" s="3"/>
      <c r="U26" s="3"/>
      <c r="V26" s="3"/>
      <c r="W26" s="3"/>
      <c r="X26" s="3"/>
    </row>
    <row r="27" spans="1:24" ht="13.8">
      <c r="A27" s="3"/>
      <c r="B27" s="62">
        <v>14</v>
      </c>
      <c r="C27" s="525" t="str">
        <f>IF('INPUT DATA'!L24="","",'INPUT DATA'!L24)</f>
        <v/>
      </c>
      <c r="D27" s="526"/>
      <c r="E27" s="527"/>
      <c r="F27" s="63"/>
      <c r="G27" s="64"/>
      <c r="H27" s="64"/>
      <c r="I27" s="64"/>
      <c r="J27" s="64"/>
      <c r="K27" s="64"/>
      <c r="L27" s="64"/>
      <c r="M27" s="64"/>
      <c r="N27" s="64"/>
      <c r="O27" s="64"/>
      <c r="P27" s="66"/>
      <c r="Q27" s="3"/>
      <c r="R27" s="3"/>
      <c r="S27" s="3"/>
      <c r="T27" s="3"/>
      <c r="U27" s="3"/>
      <c r="V27" s="3"/>
      <c r="W27" s="3"/>
      <c r="X27" s="3"/>
    </row>
    <row r="28" spans="1:24" ht="13.8">
      <c r="A28" s="3"/>
      <c r="B28" s="62">
        <v>15</v>
      </c>
      <c r="C28" s="525" t="str">
        <f>IF('INPUT DATA'!L25="","",'INPUT DATA'!L25)</f>
        <v/>
      </c>
      <c r="D28" s="526"/>
      <c r="E28" s="527"/>
      <c r="F28" s="63"/>
      <c r="G28" s="64"/>
      <c r="H28" s="64"/>
      <c r="I28" s="64"/>
      <c r="J28" s="64"/>
      <c r="K28" s="64"/>
      <c r="L28" s="64"/>
      <c r="M28" s="64"/>
      <c r="N28" s="64"/>
      <c r="O28" s="64"/>
      <c r="P28" s="66"/>
      <c r="Q28" s="3"/>
      <c r="R28" s="3"/>
      <c r="S28" s="3"/>
      <c r="T28" s="3"/>
      <c r="U28" s="3"/>
      <c r="V28" s="3"/>
      <c r="W28" s="3"/>
      <c r="X28" s="3"/>
    </row>
    <row r="29" spans="1:24" ht="13.8">
      <c r="A29" s="3"/>
      <c r="B29" s="62">
        <v>16</v>
      </c>
      <c r="C29" s="525" t="str">
        <f>IF('INPUT DATA'!L26="","",'INPUT DATA'!L26)</f>
        <v/>
      </c>
      <c r="D29" s="526"/>
      <c r="E29" s="527"/>
      <c r="F29" s="63"/>
      <c r="G29" s="64"/>
      <c r="H29" s="64"/>
      <c r="I29" s="64"/>
      <c r="J29" s="64"/>
      <c r="K29" s="64"/>
      <c r="L29" s="64"/>
      <c r="M29" s="64"/>
      <c r="N29" s="64"/>
      <c r="O29" s="64"/>
      <c r="P29" s="66"/>
      <c r="Q29" s="3"/>
      <c r="R29" s="3"/>
      <c r="S29" s="3"/>
      <c r="T29" s="3"/>
      <c r="U29" s="3"/>
      <c r="V29" s="3"/>
      <c r="W29" s="3"/>
      <c r="X29" s="3"/>
    </row>
    <row r="30" spans="1:24" ht="13.8">
      <c r="A30" s="3"/>
      <c r="B30" s="62">
        <v>17</v>
      </c>
      <c r="C30" s="525" t="str">
        <f>IF('INPUT DATA'!L27="","",'INPUT DATA'!L27)</f>
        <v/>
      </c>
      <c r="D30" s="526"/>
      <c r="E30" s="527"/>
      <c r="F30" s="63"/>
      <c r="G30" s="64"/>
      <c r="H30" s="64"/>
      <c r="I30" s="64"/>
      <c r="J30" s="64"/>
      <c r="K30" s="64"/>
      <c r="L30" s="64"/>
      <c r="M30" s="64"/>
      <c r="N30" s="64"/>
      <c r="O30" s="64"/>
      <c r="P30" s="66"/>
      <c r="Q30" s="3"/>
      <c r="R30" s="3"/>
      <c r="S30" s="3"/>
      <c r="T30" s="3"/>
      <c r="U30" s="3"/>
      <c r="V30" s="3"/>
      <c r="W30" s="3"/>
      <c r="X30" s="3"/>
    </row>
    <row r="31" spans="1:24" ht="13.8">
      <c r="A31" s="3"/>
      <c r="B31" s="62">
        <v>18</v>
      </c>
      <c r="C31" s="525" t="str">
        <f>IF('INPUT DATA'!L28="","",'INPUT DATA'!L28)</f>
        <v/>
      </c>
      <c r="D31" s="526"/>
      <c r="E31" s="527"/>
      <c r="F31" s="63"/>
      <c r="G31" s="64"/>
      <c r="H31" s="64"/>
      <c r="I31" s="64"/>
      <c r="J31" s="64"/>
      <c r="K31" s="64"/>
      <c r="L31" s="64"/>
      <c r="M31" s="64"/>
      <c r="N31" s="64"/>
      <c r="O31" s="64"/>
      <c r="P31" s="66"/>
      <c r="Q31" s="3"/>
      <c r="R31" s="3"/>
      <c r="S31" s="3"/>
      <c r="T31" s="3"/>
      <c r="U31" s="3"/>
      <c r="V31" s="3"/>
      <c r="W31" s="3"/>
      <c r="X31" s="3"/>
    </row>
    <row r="32" spans="1:24" ht="13.8">
      <c r="A32" s="3"/>
      <c r="B32" s="62">
        <v>19</v>
      </c>
      <c r="C32" s="525" t="str">
        <f>IF('INPUT DATA'!L29="","",'INPUT DATA'!L29)</f>
        <v/>
      </c>
      <c r="D32" s="526"/>
      <c r="E32" s="527"/>
      <c r="F32" s="63"/>
      <c r="G32" s="64"/>
      <c r="H32" s="64"/>
      <c r="I32" s="64"/>
      <c r="J32" s="64"/>
      <c r="K32" s="64"/>
      <c r="L32" s="64"/>
      <c r="M32" s="64"/>
      <c r="N32" s="64"/>
      <c r="O32" s="64"/>
      <c r="P32" s="66"/>
      <c r="Q32" s="3"/>
      <c r="R32" s="3"/>
      <c r="S32" s="3"/>
      <c r="T32" s="3"/>
      <c r="U32" s="3"/>
      <c r="V32" s="3"/>
      <c r="W32" s="3"/>
      <c r="X32" s="3"/>
    </row>
    <row r="33" spans="1:24" ht="13.8">
      <c r="A33" s="3"/>
      <c r="B33" s="67">
        <v>20</v>
      </c>
      <c r="C33" s="525" t="str">
        <f>IF('INPUT DATA'!L30="","",'INPUT DATA'!L30)</f>
        <v/>
      </c>
      <c r="D33" s="526"/>
      <c r="E33" s="527"/>
      <c r="F33" s="63"/>
      <c r="G33" s="64"/>
      <c r="H33" s="64"/>
      <c r="I33" s="64"/>
      <c r="J33" s="64"/>
      <c r="K33" s="64"/>
      <c r="L33" s="64"/>
      <c r="M33" s="64"/>
      <c r="N33" s="64"/>
      <c r="O33" s="64"/>
      <c r="P33" s="66"/>
      <c r="Q33" s="3"/>
      <c r="R33" s="3"/>
      <c r="S33" s="3"/>
      <c r="T33" s="3"/>
      <c r="U33" s="3"/>
      <c r="V33" s="3"/>
      <c r="W33" s="3"/>
      <c r="X33" s="3"/>
    </row>
    <row r="34" spans="1:24" ht="13.8">
      <c r="A34" s="3"/>
      <c r="B34" s="68">
        <v>21</v>
      </c>
      <c r="C34" s="525" t="str">
        <f>IF('INPUT DATA'!L31="","",'INPUT DATA'!L31)</f>
        <v/>
      </c>
      <c r="D34" s="526"/>
      <c r="E34" s="527"/>
      <c r="F34" s="63"/>
      <c r="G34" s="64"/>
      <c r="H34" s="64"/>
      <c r="I34" s="64"/>
      <c r="J34" s="64"/>
      <c r="K34" s="64"/>
      <c r="L34" s="64"/>
      <c r="M34" s="64"/>
      <c r="N34" s="64"/>
      <c r="O34" s="64"/>
      <c r="P34" s="66"/>
      <c r="Q34" s="3"/>
      <c r="R34" s="3"/>
      <c r="S34" s="3"/>
      <c r="T34" s="3"/>
      <c r="U34" s="3"/>
      <c r="V34" s="3"/>
      <c r="W34" s="3"/>
      <c r="X34" s="3"/>
    </row>
    <row r="35" spans="1:24" ht="13.8">
      <c r="A35" s="3"/>
      <c r="B35" s="68">
        <v>22</v>
      </c>
      <c r="C35" s="525" t="str">
        <f>IF('INPUT DATA'!L32="","",'INPUT DATA'!L32)</f>
        <v/>
      </c>
      <c r="D35" s="526"/>
      <c r="E35" s="527"/>
      <c r="F35" s="63"/>
      <c r="G35" s="64"/>
      <c r="H35" s="64"/>
      <c r="I35" s="64"/>
      <c r="J35" s="64"/>
      <c r="K35" s="64"/>
      <c r="L35" s="64"/>
      <c r="M35" s="64"/>
      <c r="N35" s="64"/>
      <c r="O35" s="64"/>
      <c r="P35" s="66"/>
      <c r="Q35" s="3"/>
      <c r="R35" s="3"/>
      <c r="S35" s="3"/>
      <c r="T35" s="3"/>
      <c r="U35" s="3"/>
      <c r="V35" s="3"/>
      <c r="W35" s="3"/>
      <c r="X35" s="3"/>
    </row>
    <row r="36" spans="1:24" ht="13.8">
      <c r="A36" s="3"/>
      <c r="B36" s="68">
        <v>23</v>
      </c>
      <c r="C36" s="525" t="str">
        <f>IF('INPUT DATA'!L33="","",'INPUT DATA'!L33)</f>
        <v/>
      </c>
      <c r="D36" s="526"/>
      <c r="E36" s="527"/>
      <c r="F36" s="63"/>
      <c r="G36" s="64"/>
      <c r="H36" s="64"/>
      <c r="I36" s="64"/>
      <c r="J36" s="64"/>
      <c r="K36" s="64"/>
      <c r="L36" s="64"/>
      <c r="M36" s="64"/>
      <c r="N36" s="64"/>
      <c r="O36" s="64"/>
      <c r="P36" s="66"/>
      <c r="Q36" s="3"/>
      <c r="R36" s="3"/>
      <c r="S36" s="3"/>
      <c r="T36" s="3"/>
      <c r="U36" s="3"/>
      <c r="V36" s="3"/>
      <c r="W36" s="3"/>
      <c r="X36" s="3"/>
    </row>
    <row r="37" spans="1:24" ht="13.8">
      <c r="A37" s="3"/>
      <c r="B37" s="68">
        <v>24</v>
      </c>
      <c r="C37" s="525" t="str">
        <f>IF('INPUT DATA'!L34="","",'INPUT DATA'!L34)</f>
        <v/>
      </c>
      <c r="D37" s="526"/>
      <c r="E37" s="527"/>
      <c r="F37" s="63"/>
      <c r="G37" s="64"/>
      <c r="H37" s="64"/>
      <c r="I37" s="64"/>
      <c r="J37" s="64"/>
      <c r="K37" s="64"/>
      <c r="L37" s="64"/>
      <c r="M37" s="64"/>
      <c r="N37" s="64"/>
      <c r="O37" s="64"/>
      <c r="P37" s="66"/>
      <c r="Q37" s="3"/>
      <c r="R37" s="3"/>
      <c r="S37" s="3"/>
      <c r="T37" s="3"/>
      <c r="U37" s="3"/>
      <c r="V37" s="3"/>
      <c r="W37" s="3"/>
      <c r="X37" s="3"/>
    </row>
    <row r="38" spans="1:24" ht="13.8">
      <c r="A38" s="3"/>
      <c r="B38" s="68">
        <v>25</v>
      </c>
      <c r="C38" s="525" t="str">
        <f>IF('INPUT DATA'!L35="","",'INPUT DATA'!L35)</f>
        <v/>
      </c>
      <c r="D38" s="526"/>
      <c r="E38" s="527"/>
      <c r="F38" s="63"/>
      <c r="G38" s="64"/>
      <c r="H38" s="64"/>
      <c r="I38" s="64"/>
      <c r="J38" s="64"/>
      <c r="K38" s="64"/>
      <c r="L38" s="64"/>
      <c r="M38" s="64"/>
      <c r="N38" s="64"/>
      <c r="O38" s="64"/>
      <c r="P38" s="66"/>
      <c r="Q38" s="3"/>
      <c r="R38" s="3"/>
      <c r="S38" s="3"/>
      <c r="T38" s="3"/>
      <c r="U38" s="3"/>
      <c r="V38" s="3"/>
      <c r="W38" s="3"/>
      <c r="X38" s="3"/>
    </row>
    <row r="39" spans="1:24" ht="13.8">
      <c r="A39" s="3"/>
      <c r="B39" s="68">
        <v>26</v>
      </c>
      <c r="C39" s="525" t="str">
        <f>IF('INPUT DATA'!L36="","",'INPUT DATA'!L36)</f>
        <v/>
      </c>
      <c r="D39" s="526"/>
      <c r="E39" s="527"/>
      <c r="F39" s="63"/>
      <c r="G39" s="64"/>
      <c r="H39" s="64"/>
      <c r="I39" s="64"/>
      <c r="J39" s="64"/>
      <c r="K39" s="64"/>
      <c r="L39" s="64"/>
      <c r="M39" s="64"/>
      <c r="N39" s="64"/>
      <c r="O39" s="64"/>
      <c r="P39" s="66"/>
      <c r="Q39" s="3"/>
      <c r="R39" s="3"/>
      <c r="S39" s="3"/>
      <c r="T39" s="3"/>
      <c r="U39" s="3"/>
      <c r="V39" s="3"/>
      <c r="W39" s="3"/>
      <c r="X39" s="3"/>
    </row>
    <row r="40" spans="1:24" ht="13.8">
      <c r="A40" s="3"/>
      <c r="B40" s="68">
        <v>27</v>
      </c>
      <c r="C40" s="525" t="str">
        <f>IF('INPUT DATA'!L37="","",'INPUT DATA'!L37)</f>
        <v/>
      </c>
      <c r="D40" s="526"/>
      <c r="E40" s="527"/>
      <c r="F40" s="63"/>
      <c r="G40" s="64"/>
      <c r="H40" s="64"/>
      <c r="I40" s="64"/>
      <c r="J40" s="64"/>
      <c r="K40" s="64"/>
      <c r="L40" s="64"/>
      <c r="M40" s="64"/>
      <c r="N40" s="64"/>
      <c r="O40" s="64"/>
      <c r="P40" s="66"/>
      <c r="Q40" s="3"/>
      <c r="R40" s="3"/>
      <c r="S40" s="3"/>
      <c r="T40" s="3"/>
      <c r="U40" s="3"/>
      <c r="V40" s="3"/>
      <c r="W40" s="3"/>
      <c r="X40" s="3"/>
    </row>
    <row r="41" spans="1:24" ht="13.8">
      <c r="A41" s="3"/>
      <c r="B41" s="68">
        <v>28</v>
      </c>
      <c r="C41" s="525" t="str">
        <f>IF('INPUT DATA'!L38="","",'INPUT DATA'!L38)</f>
        <v/>
      </c>
      <c r="D41" s="526"/>
      <c r="E41" s="527"/>
      <c r="F41" s="63"/>
      <c r="G41" s="64"/>
      <c r="H41" s="64"/>
      <c r="I41" s="64"/>
      <c r="J41" s="64"/>
      <c r="K41" s="64"/>
      <c r="L41" s="64"/>
      <c r="M41" s="64"/>
      <c r="N41" s="64"/>
      <c r="O41" s="64"/>
      <c r="P41" s="66"/>
      <c r="Q41" s="3"/>
      <c r="R41" s="3"/>
      <c r="S41" s="3"/>
      <c r="T41" s="3"/>
      <c r="U41" s="3"/>
      <c r="V41" s="3"/>
      <c r="W41" s="3"/>
      <c r="X41" s="3"/>
    </row>
    <row r="42" spans="1:24" ht="13.8">
      <c r="A42" s="3"/>
      <c r="B42" s="68">
        <v>29</v>
      </c>
      <c r="C42" s="525" t="str">
        <f>IF('INPUT DATA'!L39="","",'INPUT DATA'!L39)</f>
        <v/>
      </c>
      <c r="D42" s="526"/>
      <c r="E42" s="527"/>
      <c r="F42" s="63"/>
      <c r="G42" s="64"/>
      <c r="H42" s="64"/>
      <c r="I42" s="64"/>
      <c r="J42" s="64"/>
      <c r="K42" s="64"/>
      <c r="L42" s="64"/>
      <c r="M42" s="64"/>
      <c r="N42" s="64"/>
      <c r="O42" s="64"/>
      <c r="P42" s="66"/>
      <c r="Q42" s="3"/>
      <c r="R42" s="3"/>
      <c r="S42" s="3"/>
      <c r="T42" s="3"/>
      <c r="U42" s="3"/>
      <c r="V42" s="3"/>
      <c r="W42" s="3"/>
      <c r="X42" s="3"/>
    </row>
    <row r="43" spans="1:24" ht="13.8">
      <c r="A43" s="3"/>
      <c r="B43" s="68">
        <v>30</v>
      </c>
      <c r="C43" s="525" t="str">
        <f>IF('INPUT DATA'!L40="","",'INPUT DATA'!L40)</f>
        <v/>
      </c>
      <c r="D43" s="526"/>
      <c r="E43" s="527"/>
      <c r="F43" s="63"/>
      <c r="G43" s="64"/>
      <c r="H43" s="64"/>
      <c r="I43" s="64"/>
      <c r="J43" s="64"/>
      <c r="K43" s="64"/>
      <c r="L43" s="64"/>
      <c r="M43" s="64"/>
      <c r="N43" s="64"/>
      <c r="O43" s="64"/>
      <c r="P43" s="66"/>
      <c r="Q43" s="3"/>
      <c r="R43" s="3"/>
      <c r="S43" s="3"/>
      <c r="T43" s="3"/>
      <c r="U43" s="3"/>
      <c r="V43" s="3"/>
      <c r="W43" s="3"/>
      <c r="X43" s="3"/>
    </row>
    <row r="44" spans="1:24" ht="13.8">
      <c r="A44" s="3"/>
      <c r="B44" s="68">
        <v>31</v>
      </c>
      <c r="C44" s="525" t="str">
        <f>IF('INPUT DATA'!L41="","",'INPUT DATA'!L41)</f>
        <v/>
      </c>
      <c r="D44" s="526"/>
      <c r="E44" s="527"/>
      <c r="F44" s="63"/>
      <c r="G44" s="64"/>
      <c r="H44" s="64"/>
      <c r="I44" s="64"/>
      <c r="J44" s="64"/>
      <c r="K44" s="64"/>
      <c r="L44" s="64"/>
      <c r="M44" s="64"/>
      <c r="N44" s="64"/>
      <c r="O44" s="64"/>
      <c r="P44" s="66"/>
      <c r="Q44" s="3"/>
      <c r="R44" s="3"/>
      <c r="S44" s="3"/>
      <c r="T44" s="3"/>
      <c r="U44" s="3"/>
      <c r="V44" s="3"/>
      <c r="W44" s="3"/>
      <c r="X44" s="3"/>
    </row>
    <row r="45" spans="1:24" ht="13.8">
      <c r="A45" s="3"/>
      <c r="B45" s="68">
        <v>32</v>
      </c>
      <c r="C45" s="525" t="str">
        <f>IF('INPUT DATA'!L42="","",'INPUT DATA'!L42)</f>
        <v/>
      </c>
      <c r="D45" s="526"/>
      <c r="E45" s="527"/>
      <c r="F45" s="63"/>
      <c r="G45" s="64"/>
      <c r="H45" s="64"/>
      <c r="I45" s="64"/>
      <c r="J45" s="64"/>
      <c r="K45" s="64"/>
      <c r="L45" s="64"/>
      <c r="M45" s="64"/>
      <c r="N45" s="64"/>
      <c r="O45" s="64"/>
      <c r="P45" s="66"/>
      <c r="Q45" s="3"/>
      <c r="R45" s="3"/>
      <c r="S45" s="3"/>
      <c r="T45" s="3"/>
      <c r="U45" s="3"/>
      <c r="V45" s="3"/>
      <c r="W45" s="3"/>
      <c r="X45" s="3"/>
    </row>
    <row r="46" spans="1:24" ht="13.8">
      <c r="A46" s="3"/>
      <c r="B46" s="68">
        <v>33</v>
      </c>
      <c r="C46" s="525" t="str">
        <f>IF('INPUT DATA'!L43="","",'INPUT DATA'!L43)</f>
        <v/>
      </c>
      <c r="D46" s="526"/>
      <c r="E46" s="527"/>
      <c r="F46" s="63"/>
      <c r="G46" s="64"/>
      <c r="H46" s="64"/>
      <c r="I46" s="64"/>
      <c r="J46" s="64"/>
      <c r="K46" s="64"/>
      <c r="L46" s="64"/>
      <c r="M46" s="64"/>
      <c r="N46" s="64"/>
      <c r="O46" s="64"/>
      <c r="P46" s="66"/>
      <c r="Q46" s="3"/>
      <c r="R46" s="3"/>
      <c r="S46" s="3"/>
      <c r="T46" s="3"/>
      <c r="U46" s="3"/>
      <c r="V46" s="3"/>
      <c r="W46" s="3"/>
      <c r="X46" s="3"/>
    </row>
    <row r="47" spans="1:24" ht="13.8">
      <c r="A47" s="3"/>
      <c r="B47" s="68">
        <v>34</v>
      </c>
      <c r="C47" s="525" t="str">
        <f>IF('INPUT DATA'!L44="","",'INPUT DATA'!L44)</f>
        <v/>
      </c>
      <c r="D47" s="526"/>
      <c r="E47" s="527"/>
      <c r="F47" s="63"/>
      <c r="G47" s="64"/>
      <c r="H47" s="64"/>
      <c r="I47" s="64"/>
      <c r="J47" s="64"/>
      <c r="K47" s="64"/>
      <c r="L47" s="64"/>
      <c r="M47" s="64"/>
      <c r="N47" s="64"/>
      <c r="O47" s="64"/>
      <c r="P47" s="66"/>
      <c r="Q47" s="3"/>
      <c r="R47" s="3"/>
      <c r="S47" s="3"/>
      <c r="T47" s="3"/>
      <c r="U47" s="3"/>
      <c r="V47" s="3"/>
      <c r="W47" s="3"/>
      <c r="X47" s="3"/>
    </row>
    <row r="48" spans="1:24" ht="13.8">
      <c r="A48" s="3"/>
      <c r="B48" s="68">
        <v>35</v>
      </c>
      <c r="C48" s="525" t="str">
        <f>IF('INPUT DATA'!L45="","",'INPUT DATA'!L45)</f>
        <v/>
      </c>
      <c r="D48" s="526"/>
      <c r="E48" s="527"/>
      <c r="F48" s="63"/>
      <c r="G48" s="64"/>
      <c r="H48" s="64"/>
      <c r="I48" s="64"/>
      <c r="J48" s="64"/>
      <c r="K48" s="64"/>
      <c r="L48" s="64"/>
      <c r="M48" s="64"/>
      <c r="N48" s="64"/>
      <c r="O48" s="64"/>
      <c r="P48" s="66"/>
      <c r="Q48" s="3"/>
      <c r="R48" s="3"/>
      <c r="S48" s="3"/>
      <c r="T48" s="3"/>
      <c r="U48" s="3"/>
      <c r="V48" s="3"/>
      <c r="W48" s="3"/>
      <c r="X48" s="3"/>
    </row>
    <row r="49" spans="1:24" ht="13.8">
      <c r="A49" s="3"/>
      <c r="B49" s="68">
        <v>36</v>
      </c>
      <c r="C49" s="525" t="str">
        <f>IF('INPUT DATA'!L46="","",'INPUT DATA'!L46)</f>
        <v/>
      </c>
      <c r="D49" s="526"/>
      <c r="E49" s="527"/>
      <c r="F49" s="63"/>
      <c r="G49" s="64"/>
      <c r="H49" s="64"/>
      <c r="I49" s="64"/>
      <c r="J49" s="64"/>
      <c r="K49" s="64"/>
      <c r="L49" s="64"/>
      <c r="M49" s="64"/>
      <c r="N49" s="64"/>
      <c r="O49" s="64"/>
      <c r="P49" s="66"/>
      <c r="Q49" s="3"/>
      <c r="R49" s="3"/>
      <c r="S49" s="3"/>
      <c r="T49" s="3"/>
      <c r="U49" s="3"/>
      <c r="V49" s="3"/>
      <c r="W49" s="3"/>
      <c r="X49" s="3"/>
    </row>
    <row r="50" spans="1:24" ht="13.8">
      <c r="A50" s="3"/>
      <c r="B50" s="68">
        <v>37</v>
      </c>
      <c r="C50" s="525" t="str">
        <f>IF('INPUT DATA'!L47="","",'INPUT DATA'!L47)</f>
        <v/>
      </c>
      <c r="D50" s="526"/>
      <c r="E50" s="527"/>
      <c r="F50" s="63"/>
      <c r="G50" s="64"/>
      <c r="H50" s="64"/>
      <c r="I50" s="64"/>
      <c r="J50" s="64"/>
      <c r="K50" s="64"/>
      <c r="L50" s="64"/>
      <c r="M50" s="64"/>
      <c r="N50" s="64"/>
      <c r="O50" s="64"/>
      <c r="P50" s="66"/>
      <c r="Q50" s="3"/>
      <c r="R50" s="3"/>
      <c r="S50" s="3"/>
      <c r="T50" s="3"/>
      <c r="U50" s="3"/>
      <c r="V50" s="3"/>
      <c r="W50" s="3"/>
      <c r="X50" s="3"/>
    </row>
    <row r="51" spans="1:24" ht="13.8">
      <c r="A51" s="3"/>
      <c r="B51" s="68">
        <v>38</v>
      </c>
      <c r="C51" s="525" t="str">
        <f>IF('INPUT DATA'!L48="","",'INPUT DATA'!L48)</f>
        <v/>
      </c>
      <c r="D51" s="526"/>
      <c r="E51" s="527"/>
      <c r="F51" s="63"/>
      <c r="G51" s="64"/>
      <c r="H51" s="64"/>
      <c r="I51" s="64"/>
      <c r="J51" s="64"/>
      <c r="K51" s="64"/>
      <c r="L51" s="64"/>
      <c r="M51" s="64"/>
      <c r="N51" s="64"/>
      <c r="O51" s="64"/>
      <c r="P51" s="66"/>
      <c r="Q51" s="3"/>
      <c r="R51" s="3"/>
      <c r="S51" s="3"/>
      <c r="T51" s="3"/>
      <c r="U51" s="3"/>
      <c r="V51" s="3"/>
      <c r="W51" s="3"/>
      <c r="X51" s="3"/>
    </row>
    <row r="52" spans="1:24" ht="13.8">
      <c r="A52" s="3"/>
      <c r="B52" s="68">
        <v>39</v>
      </c>
      <c r="C52" s="525" t="str">
        <f>IF('INPUT DATA'!L49="","",'INPUT DATA'!L49)</f>
        <v/>
      </c>
      <c r="D52" s="526"/>
      <c r="E52" s="527"/>
      <c r="F52" s="63"/>
      <c r="G52" s="64"/>
      <c r="H52" s="64"/>
      <c r="I52" s="64"/>
      <c r="J52" s="64"/>
      <c r="K52" s="64"/>
      <c r="L52" s="64"/>
      <c r="M52" s="64"/>
      <c r="N52" s="64"/>
      <c r="O52" s="64"/>
      <c r="P52" s="66"/>
      <c r="Q52" s="3"/>
      <c r="R52" s="3"/>
      <c r="S52" s="3"/>
      <c r="T52" s="3"/>
      <c r="U52" s="3"/>
      <c r="V52" s="3"/>
      <c r="W52" s="3"/>
      <c r="X52" s="3"/>
    </row>
    <row r="53" spans="1:24" ht="13.8">
      <c r="A53" s="3"/>
      <c r="B53" s="68">
        <v>40</v>
      </c>
      <c r="C53" s="525" t="str">
        <f>IF('INPUT DATA'!L50="","",'INPUT DATA'!L50)</f>
        <v/>
      </c>
      <c r="D53" s="526"/>
      <c r="E53" s="527"/>
      <c r="F53" s="63"/>
      <c r="G53" s="64"/>
      <c r="H53" s="64"/>
      <c r="I53" s="64"/>
      <c r="J53" s="64"/>
      <c r="K53" s="64"/>
      <c r="L53" s="64"/>
      <c r="M53" s="64"/>
      <c r="N53" s="64"/>
      <c r="O53" s="64"/>
      <c r="P53" s="66"/>
      <c r="Q53" s="3"/>
      <c r="R53" s="3"/>
      <c r="S53" s="3"/>
      <c r="T53" s="3"/>
      <c r="U53" s="3"/>
      <c r="V53" s="3"/>
      <c r="W53" s="3"/>
      <c r="X53" s="3"/>
    </row>
    <row r="54" spans="1:24" ht="13.8">
      <c r="A54" s="3"/>
      <c r="B54" s="68">
        <v>41</v>
      </c>
      <c r="C54" s="525" t="str">
        <f>IF('INPUT DATA'!L51="","",'INPUT DATA'!L51)</f>
        <v/>
      </c>
      <c r="D54" s="526"/>
      <c r="E54" s="527"/>
      <c r="F54" s="63"/>
      <c r="G54" s="64"/>
      <c r="H54" s="64"/>
      <c r="I54" s="64"/>
      <c r="J54" s="64"/>
      <c r="K54" s="64"/>
      <c r="L54" s="64"/>
      <c r="M54" s="64"/>
      <c r="N54" s="64"/>
      <c r="O54" s="64"/>
      <c r="P54" s="66"/>
      <c r="Q54" s="3"/>
      <c r="R54" s="3"/>
      <c r="S54" s="3"/>
      <c r="T54" s="3"/>
      <c r="U54" s="3"/>
      <c r="V54" s="3"/>
      <c r="W54" s="3"/>
      <c r="X54" s="3"/>
    </row>
    <row r="55" spans="1:24" ht="13.8">
      <c r="A55" s="3"/>
      <c r="B55" s="68">
        <v>42</v>
      </c>
      <c r="C55" s="525" t="str">
        <f>IF('INPUT DATA'!L52="","",'INPUT DATA'!L52)</f>
        <v/>
      </c>
      <c r="D55" s="526"/>
      <c r="E55" s="527"/>
      <c r="F55" s="63"/>
      <c r="G55" s="64"/>
      <c r="H55" s="64"/>
      <c r="I55" s="64"/>
      <c r="J55" s="64"/>
      <c r="K55" s="64"/>
      <c r="L55" s="64"/>
      <c r="M55" s="64"/>
      <c r="N55" s="64"/>
      <c r="O55" s="64"/>
      <c r="P55" s="66"/>
      <c r="Q55" s="3"/>
      <c r="R55" s="3"/>
      <c r="S55" s="3"/>
      <c r="T55" s="3"/>
      <c r="U55" s="3"/>
      <c r="V55" s="3"/>
      <c r="W55" s="3"/>
      <c r="X55" s="3"/>
    </row>
    <row r="56" spans="1:24" ht="13.8">
      <c r="A56" s="3"/>
      <c r="B56" s="68">
        <v>43</v>
      </c>
      <c r="C56" s="525" t="str">
        <f>IF('INPUT DATA'!L53="","",'INPUT DATA'!L53)</f>
        <v/>
      </c>
      <c r="D56" s="526"/>
      <c r="E56" s="527"/>
      <c r="F56" s="63"/>
      <c r="G56" s="64"/>
      <c r="H56" s="64"/>
      <c r="I56" s="64"/>
      <c r="J56" s="64"/>
      <c r="K56" s="64"/>
      <c r="L56" s="64"/>
      <c r="M56" s="64"/>
      <c r="N56" s="64"/>
      <c r="O56" s="64"/>
      <c r="P56" s="66"/>
      <c r="Q56" s="3"/>
      <c r="R56" s="3"/>
      <c r="S56" s="3"/>
      <c r="T56" s="3"/>
      <c r="U56" s="3"/>
      <c r="V56" s="3"/>
      <c r="W56" s="3"/>
      <c r="X56" s="3"/>
    </row>
    <row r="57" spans="1:24" ht="13.8">
      <c r="A57" s="3"/>
      <c r="B57" s="68">
        <v>44</v>
      </c>
      <c r="C57" s="525" t="str">
        <f>IF('INPUT DATA'!L54="","",'INPUT DATA'!L54)</f>
        <v/>
      </c>
      <c r="D57" s="526"/>
      <c r="E57" s="527"/>
      <c r="F57" s="63"/>
      <c r="G57" s="64"/>
      <c r="H57" s="64"/>
      <c r="I57" s="64"/>
      <c r="J57" s="64"/>
      <c r="K57" s="64"/>
      <c r="L57" s="64"/>
      <c r="M57" s="64"/>
      <c r="N57" s="64"/>
      <c r="O57" s="64"/>
      <c r="P57" s="66"/>
      <c r="Q57" s="3"/>
      <c r="R57" s="3"/>
      <c r="S57" s="3"/>
      <c r="T57" s="3"/>
      <c r="U57" s="3"/>
      <c r="V57" s="3"/>
      <c r="W57" s="3"/>
      <c r="X57" s="3"/>
    </row>
    <row r="58" spans="1:24" ht="13.8">
      <c r="A58" s="3"/>
      <c r="B58" s="68">
        <v>45</v>
      </c>
      <c r="C58" s="525" t="str">
        <f>IF('INPUT DATA'!L55="","",'INPUT DATA'!L55)</f>
        <v/>
      </c>
      <c r="D58" s="526"/>
      <c r="E58" s="527"/>
      <c r="F58" s="63"/>
      <c r="G58" s="64"/>
      <c r="H58" s="64"/>
      <c r="I58" s="64"/>
      <c r="J58" s="64"/>
      <c r="K58" s="64"/>
      <c r="L58" s="64"/>
      <c r="M58" s="64"/>
      <c r="N58" s="64"/>
      <c r="O58" s="64"/>
      <c r="P58" s="66"/>
      <c r="Q58" s="3"/>
      <c r="R58" s="3"/>
      <c r="S58" s="3"/>
      <c r="T58" s="3"/>
      <c r="U58" s="3"/>
      <c r="V58" s="3"/>
      <c r="W58" s="3"/>
      <c r="X58" s="3"/>
    </row>
    <row r="59" spans="1:24" ht="13.8">
      <c r="A59" s="3"/>
      <c r="B59" s="68">
        <v>46</v>
      </c>
      <c r="C59" s="525" t="str">
        <f>IF('INPUT DATA'!L56="","",'INPUT DATA'!L56)</f>
        <v/>
      </c>
      <c r="D59" s="526"/>
      <c r="E59" s="527"/>
      <c r="F59" s="63"/>
      <c r="G59" s="64"/>
      <c r="H59" s="64"/>
      <c r="I59" s="64"/>
      <c r="J59" s="64"/>
      <c r="K59" s="64"/>
      <c r="L59" s="64"/>
      <c r="M59" s="64"/>
      <c r="N59" s="64"/>
      <c r="O59" s="64"/>
      <c r="P59" s="66"/>
      <c r="Q59" s="3"/>
      <c r="R59" s="3"/>
      <c r="S59" s="3"/>
      <c r="T59" s="3"/>
      <c r="U59" s="3"/>
      <c r="V59" s="3"/>
      <c r="W59" s="3"/>
      <c r="X59" s="3"/>
    </row>
    <row r="60" spans="1:24" ht="13.8">
      <c r="A60" s="3"/>
      <c r="B60" s="68">
        <v>47</v>
      </c>
      <c r="C60" s="525" t="str">
        <f>IF('INPUT DATA'!L57="","",'INPUT DATA'!L57)</f>
        <v/>
      </c>
      <c r="D60" s="526"/>
      <c r="E60" s="527"/>
      <c r="F60" s="63"/>
      <c r="G60" s="64"/>
      <c r="H60" s="64"/>
      <c r="I60" s="64"/>
      <c r="J60" s="64"/>
      <c r="K60" s="64"/>
      <c r="L60" s="64"/>
      <c r="M60" s="64"/>
      <c r="N60" s="64"/>
      <c r="O60" s="64"/>
      <c r="P60" s="66"/>
      <c r="Q60" s="3"/>
      <c r="R60" s="3"/>
      <c r="S60" s="3"/>
      <c r="T60" s="3"/>
      <c r="U60" s="3"/>
      <c r="V60" s="3"/>
      <c r="W60" s="3"/>
      <c r="X60" s="3"/>
    </row>
    <row r="61" spans="1:24" ht="13.8">
      <c r="A61" s="3"/>
      <c r="B61" s="68">
        <v>48</v>
      </c>
      <c r="C61" s="525" t="str">
        <f>IF('INPUT DATA'!L58="","",'INPUT DATA'!L58)</f>
        <v/>
      </c>
      <c r="D61" s="526"/>
      <c r="E61" s="527"/>
      <c r="F61" s="63"/>
      <c r="G61" s="64"/>
      <c r="H61" s="64"/>
      <c r="I61" s="64"/>
      <c r="J61" s="64"/>
      <c r="K61" s="64"/>
      <c r="L61" s="64"/>
      <c r="M61" s="64"/>
      <c r="N61" s="64"/>
      <c r="O61" s="64"/>
      <c r="P61" s="66"/>
      <c r="Q61" s="3"/>
      <c r="R61" s="3"/>
      <c r="S61" s="3"/>
      <c r="T61" s="3"/>
      <c r="U61" s="3"/>
      <c r="V61" s="3"/>
      <c r="W61" s="3"/>
      <c r="X61" s="3"/>
    </row>
    <row r="62" spans="1:24" ht="13.8">
      <c r="A62" s="3"/>
      <c r="B62" s="68">
        <v>49</v>
      </c>
      <c r="C62" s="525" t="str">
        <f>IF('INPUT DATA'!L59="","",'INPUT DATA'!L59)</f>
        <v/>
      </c>
      <c r="D62" s="526"/>
      <c r="E62" s="527"/>
      <c r="F62" s="63"/>
      <c r="G62" s="64"/>
      <c r="H62" s="64"/>
      <c r="I62" s="64"/>
      <c r="J62" s="64"/>
      <c r="K62" s="64"/>
      <c r="L62" s="64"/>
      <c r="M62" s="64"/>
      <c r="N62" s="64"/>
      <c r="O62" s="64"/>
      <c r="P62" s="66"/>
      <c r="Q62" s="3"/>
      <c r="R62" s="3"/>
      <c r="S62" s="3"/>
      <c r="T62" s="3"/>
      <c r="U62" s="3"/>
      <c r="V62" s="3"/>
      <c r="W62" s="3"/>
      <c r="X62" s="3"/>
    </row>
    <row r="63" spans="1:24" ht="13.8">
      <c r="A63" s="3"/>
      <c r="B63" s="68">
        <v>50</v>
      </c>
      <c r="C63" s="525" t="str">
        <f>IF('INPUT DATA'!L60="","",'INPUT DATA'!L60)</f>
        <v/>
      </c>
      <c r="D63" s="526"/>
      <c r="E63" s="527"/>
      <c r="F63" s="69"/>
      <c r="G63" s="70"/>
      <c r="H63" s="70"/>
      <c r="I63" s="70"/>
      <c r="J63" s="70"/>
      <c r="K63" s="70"/>
      <c r="L63" s="70"/>
      <c r="M63" s="70"/>
      <c r="N63" s="70"/>
      <c r="O63" s="70"/>
      <c r="P63" s="71"/>
      <c r="Q63" s="3"/>
      <c r="R63" s="3"/>
      <c r="S63" s="3"/>
      <c r="T63" s="3"/>
      <c r="U63" s="3"/>
      <c r="V63" s="3"/>
      <c r="W63" s="3"/>
      <c r="X63" s="3"/>
    </row>
    <row r="64" spans="1:24" ht="13.2">
      <c r="A64" s="3"/>
      <c r="B64" s="57" t="s">
        <v>14</v>
      </c>
      <c r="C64" s="72"/>
      <c r="D64" s="72"/>
      <c r="E64" s="528"/>
      <c r="F64" s="302"/>
      <c r="G64" s="302"/>
      <c r="H64" s="302"/>
      <c r="I64" s="302"/>
      <c r="J64" s="302"/>
      <c r="K64" s="302"/>
      <c r="L64" s="302"/>
      <c r="M64" s="302"/>
      <c r="N64" s="302"/>
      <c r="O64" s="302"/>
      <c r="P64" s="303"/>
      <c r="Q64" s="3"/>
      <c r="R64" s="3"/>
      <c r="S64" s="3"/>
      <c r="T64" s="3"/>
      <c r="U64" s="3"/>
      <c r="V64" s="3"/>
      <c r="W64" s="3"/>
      <c r="X64" s="3"/>
    </row>
    <row r="65" spans="1:24" ht="13.8">
      <c r="A65" s="3"/>
      <c r="B65" s="58">
        <v>1</v>
      </c>
      <c r="C65" s="525" t="str">
        <f>IF('INPUT DATA'!Q11="","",'INPUT DATA'!Q11)</f>
        <v/>
      </c>
      <c r="D65" s="526"/>
      <c r="E65" s="527"/>
      <c r="F65" s="64"/>
      <c r="G65" s="64"/>
      <c r="H65" s="64"/>
      <c r="I65" s="64"/>
      <c r="J65" s="64"/>
      <c r="K65" s="64"/>
      <c r="L65" s="64"/>
      <c r="M65" s="64"/>
      <c r="N65" s="64"/>
      <c r="O65" s="64"/>
      <c r="P65" s="65"/>
      <c r="Q65" s="3"/>
      <c r="R65" s="3"/>
      <c r="S65" s="3"/>
      <c r="T65" s="3"/>
      <c r="U65" s="3"/>
      <c r="V65" s="3"/>
      <c r="W65" s="3"/>
      <c r="X65" s="3"/>
    </row>
    <row r="66" spans="1:24" ht="13.8">
      <c r="A66" s="3"/>
      <c r="B66" s="62">
        <v>2</v>
      </c>
      <c r="C66" s="525" t="str">
        <f>IF('INPUT DATA'!Q12="","",'INPUT DATA'!Q12)</f>
        <v/>
      </c>
      <c r="D66" s="526"/>
      <c r="E66" s="527"/>
      <c r="F66" s="64"/>
      <c r="G66" s="64"/>
      <c r="H66" s="64"/>
      <c r="I66" s="64"/>
      <c r="J66" s="64"/>
      <c r="K66" s="64"/>
      <c r="L66" s="64"/>
      <c r="M66" s="64"/>
      <c r="N66" s="64"/>
      <c r="O66" s="64"/>
      <c r="P66" s="65"/>
      <c r="Q66" s="3"/>
      <c r="R66" s="3"/>
      <c r="S66" s="3"/>
      <c r="T66" s="3"/>
      <c r="U66" s="3"/>
      <c r="V66" s="3"/>
      <c r="W66" s="3"/>
      <c r="X66" s="3"/>
    </row>
    <row r="67" spans="1:24" ht="13.8">
      <c r="A67" s="3"/>
      <c r="B67" s="62">
        <v>3</v>
      </c>
      <c r="C67" s="525" t="str">
        <f>IF('INPUT DATA'!Q13="","",'INPUT DATA'!Q13)</f>
        <v/>
      </c>
      <c r="D67" s="526"/>
      <c r="E67" s="527"/>
      <c r="F67" s="64"/>
      <c r="G67" s="64"/>
      <c r="H67" s="64"/>
      <c r="I67" s="64"/>
      <c r="J67" s="64"/>
      <c r="K67" s="64"/>
      <c r="L67" s="64"/>
      <c r="M67" s="64"/>
      <c r="N67" s="64"/>
      <c r="O67" s="64"/>
      <c r="P67" s="65"/>
      <c r="Q67" s="3"/>
      <c r="R67" s="3"/>
      <c r="S67" s="3"/>
      <c r="T67" s="3"/>
      <c r="U67" s="3"/>
      <c r="V67" s="3"/>
      <c r="W67" s="3"/>
      <c r="X67" s="3"/>
    </row>
    <row r="68" spans="1:24" ht="13.8">
      <c r="A68" s="3"/>
      <c r="B68" s="62">
        <v>4</v>
      </c>
      <c r="C68" s="525" t="str">
        <f>IF('INPUT DATA'!Q14="","",'INPUT DATA'!Q14)</f>
        <v/>
      </c>
      <c r="D68" s="526"/>
      <c r="E68" s="527"/>
      <c r="F68" s="63"/>
      <c r="G68" s="64"/>
      <c r="H68" s="64"/>
      <c r="I68" s="64"/>
      <c r="J68" s="64"/>
      <c r="K68" s="64"/>
      <c r="L68" s="64"/>
      <c r="M68" s="64"/>
      <c r="N68" s="64"/>
      <c r="O68" s="64"/>
      <c r="P68" s="66"/>
      <c r="Q68" s="3"/>
      <c r="R68" s="3"/>
      <c r="S68" s="3"/>
      <c r="T68" s="3"/>
      <c r="U68" s="3"/>
      <c r="V68" s="3"/>
      <c r="W68" s="3"/>
      <c r="X68" s="3"/>
    </row>
    <row r="69" spans="1:24" ht="13.8">
      <c r="A69" s="3"/>
      <c r="B69" s="62">
        <v>5</v>
      </c>
      <c r="C69" s="525" t="str">
        <f>IF('INPUT DATA'!Q15="","",'INPUT DATA'!Q15)</f>
        <v/>
      </c>
      <c r="D69" s="526"/>
      <c r="E69" s="527"/>
      <c r="F69" s="63"/>
      <c r="G69" s="64"/>
      <c r="H69" s="64"/>
      <c r="I69" s="64"/>
      <c r="J69" s="64"/>
      <c r="K69" s="64"/>
      <c r="L69" s="64"/>
      <c r="M69" s="64"/>
      <c r="N69" s="64"/>
      <c r="O69" s="64"/>
      <c r="P69" s="66"/>
      <c r="Q69" s="3"/>
      <c r="R69" s="3"/>
      <c r="S69" s="3"/>
      <c r="T69" s="3"/>
      <c r="U69" s="3"/>
      <c r="V69" s="3"/>
      <c r="W69" s="3"/>
      <c r="X69" s="3"/>
    </row>
    <row r="70" spans="1:24" ht="13.8">
      <c r="A70" s="3"/>
      <c r="B70" s="62">
        <v>6</v>
      </c>
      <c r="C70" s="525" t="str">
        <f>IF('INPUT DATA'!Q16="","",'INPUT DATA'!Q16)</f>
        <v/>
      </c>
      <c r="D70" s="526"/>
      <c r="E70" s="527"/>
      <c r="F70" s="63"/>
      <c r="G70" s="64"/>
      <c r="H70" s="64"/>
      <c r="I70" s="64"/>
      <c r="J70" s="64"/>
      <c r="K70" s="64"/>
      <c r="L70" s="64"/>
      <c r="M70" s="64"/>
      <c r="N70" s="64"/>
      <c r="O70" s="64"/>
      <c r="P70" s="66"/>
      <c r="Q70" s="3"/>
      <c r="R70" s="3"/>
      <c r="S70" s="3"/>
      <c r="T70" s="3"/>
      <c r="U70" s="3"/>
      <c r="V70" s="3"/>
      <c r="W70" s="3"/>
      <c r="X70" s="3"/>
    </row>
    <row r="71" spans="1:24" ht="13.8">
      <c r="A71" s="3"/>
      <c r="B71" s="62">
        <v>7</v>
      </c>
      <c r="C71" s="525" t="str">
        <f>IF('INPUT DATA'!Q17="","",'INPUT DATA'!Q17)</f>
        <v/>
      </c>
      <c r="D71" s="526"/>
      <c r="E71" s="527"/>
      <c r="F71" s="63"/>
      <c r="G71" s="64"/>
      <c r="H71" s="64"/>
      <c r="I71" s="64"/>
      <c r="J71" s="64"/>
      <c r="K71" s="64"/>
      <c r="L71" s="64"/>
      <c r="M71" s="64"/>
      <c r="N71" s="64"/>
      <c r="O71" s="64"/>
      <c r="P71" s="66"/>
      <c r="Q71" s="3"/>
      <c r="R71" s="3"/>
      <c r="S71" s="3"/>
      <c r="T71" s="3"/>
      <c r="U71" s="3"/>
      <c r="V71" s="3"/>
      <c r="W71" s="3"/>
      <c r="X71" s="3"/>
    </row>
    <row r="72" spans="1:24" ht="13.8">
      <c r="A72" s="3"/>
      <c r="B72" s="62">
        <v>8</v>
      </c>
      <c r="C72" s="525" t="str">
        <f>IF('INPUT DATA'!Q18="","",'INPUT DATA'!Q18)</f>
        <v/>
      </c>
      <c r="D72" s="526"/>
      <c r="E72" s="527"/>
      <c r="F72" s="63"/>
      <c r="G72" s="64"/>
      <c r="H72" s="64"/>
      <c r="I72" s="64"/>
      <c r="J72" s="64"/>
      <c r="K72" s="64"/>
      <c r="L72" s="64"/>
      <c r="M72" s="64"/>
      <c r="N72" s="64"/>
      <c r="O72" s="64"/>
      <c r="P72" s="66"/>
      <c r="Q72" s="3"/>
      <c r="R72" s="3"/>
      <c r="S72" s="3"/>
      <c r="T72" s="3"/>
      <c r="U72" s="3"/>
      <c r="V72" s="3"/>
      <c r="W72" s="3"/>
      <c r="X72" s="3"/>
    </row>
    <row r="73" spans="1:24" ht="13.8">
      <c r="A73" s="3"/>
      <c r="B73" s="62">
        <v>9</v>
      </c>
      <c r="C73" s="525" t="str">
        <f>IF('INPUT DATA'!Q19="","",'INPUT DATA'!Q19)</f>
        <v/>
      </c>
      <c r="D73" s="526"/>
      <c r="E73" s="527"/>
      <c r="F73" s="63"/>
      <c r="G73" s="64"/>
      <c r="H73" s="64"/>
      <c r="I73" s="64"/>
      <c r="J73" s="64"/>
      <c r="K73" s="64"/>
      <c r="L73" s="64"/>
      <c r="M73" s="64"/>
      <c r="N73" s="64"/>
      <c r="O73" s="64"/>
      <c r="P73" s="66"/>
      <c r="Q73" s="3"/>
      <c r="R73" s="3"/>
      <c r="S73" s="3"/>
      <c r="T73" s="3"/>
      <c r="U73" s="3"/>
      <c r="V73" s="3"/>
      <c r="W73" s="3"/>
      <c r="X73" s="3"/>
    </row>
    <row r="74" spans="1:24" ht="13.8">
      <c r="A74" s="3"/>
      <c r="B74" s="62">
        <v>10</v>
      </c>
      <c r="C74" s="525" t="str">
        <f>IF('INPUT DATA'!Q20="","",'INPUT DATA'!Q20)</f>
        <v/>
      </c>
      <c r="D74" s="526"/>
      <c r="E74" s="527"/>
      <c r="F74" s="63"/>
      <c r="G74" s="64"/>
      <c r="H74" s="64"/>
      <c r="I74" s="64"/>
      <c r="J74" s="64"/>
      <c r="K74" s="64"/>
      <c r="L74" s="64"/>
      <c r="M74" s="64"/>
      <c r="N74" s="64"/>
      <c r="O74" s="64"/>
      <c r="P74" s="66"/>
      <c r="Q74" s="3"/>
      <c r="R74" s="3"/>
      <c r="S74" s="3"/>
      <c r="T74" s="3"/>
      <c r="U74" s="3"/>
      <c r="V74" s="3"/>
      <c r="W74" s="3"/>
      <c r="X74" s="3"/>
    </row>
    <row r="75" spans="1:24" ht="13.8">
      <c r="A75" s="3"/>
      <c r="B75" s="62">
        <v>11</v>
      </c>
      <c r="C75" s="525" t="str">
        <f>IF('INPUT DATA'!Q21="","",'INPUT DATA'!Q21)</f>
        <v/>
      </c>
      <c r="D75" s="526"/>
      <c r="E75" s="527"/>
      <c r="F75" s="63"/>
      <c r="G75" s="64"/>
      <c r="H75" s="64"/>
      <c r="I75" s="64"/>
      <c r="J75" s="64"/>
      <c r="K75" s="64"/>
      <c r="L75" s="64"/>
      <c r="M75" s="64"/>
      <c r="N75" s="64"/>
      <c r="O75" s="64"/>
      <c r="P75" s="66"/>
      <c r="Q75" s="3"/>
      <c r="R75" s="3"/>
      <c r="S75" s="3"/>
      <c r="T75" s="3"/>
      <c r="U75" s="3"/>
      <c r="V75" s="3"/>
      <c r="W75" s="3"/>
      <c r="X75" s="3"/>
    </row>
    <row r="76" spans="1:24" ht="13.8">
      <c r="A76" s="3"/>
      <c r="B76" s="62">
        <v>12</v>
      </c>
      <c r="C76" s="525" t="str">
        <f>IF('INPUT DATA'!Q22="","",'INPUT DATA'!Q22)</f>
        <v/>
      </c>
      <c r="D76" s="526"/>
      <c r="E76" s="527"/>
      <c r="F76" s="63"/>
      <c r="G76" s="64"/>
      <c r="H76" s="64"/>
      <c r="I76" s="64"/>
      <c r="J76" s="64"/>
      <c r="K76" s="64"/>
      <c r="L76" s="64"/>
      <c r="M76" s="64"/>
      <c r="N76" s="64"/>
      <c r="O76" s="64"/>
      <c r="P76" s="66"/>
      <c r="Q76" s="3"/>
      <c r="R76" s="3"/>
      <c r="S76" s="3"/>
      <c r="T76" s="3"/>
      <c r="U76" s="3"/>
      <c r="V76" s="3"/>
      <c r="W76" s="3"/>
      <c r="X76" s="3"/>
    </row>
    <row r="77" spans="1:24" ht="13.8">
      <c r="A77" s="3"/>
      <c r="B77" s="62">
        <v>13</v>
      </c>
      <c r="C77" s="525" t="str">
        <f>IF('INPUT DATA'!Q23="","",'INPUT DATA'!Q23)</f>
        <v/>
      </c>
      <c r="D77" s="526"/>
      <c r="E77" s="527"/>
      <c r="F77" s="63"/>
      <c r="G77" s="64"/>
      <c r="H77" s="64"/>
      <c r="I77" s="64"/>
      <c r="J77" s="64"/>
      <c r="K77" s="64"/>
      <c r="L77" s="64"/>
      <c r="M77" s="64"/>
      <c r="N77" s="64"/>
      <c r="O77" s="64"/>
      <c r="P77" s="66"/>
      <c r="Q77" s="3"/>
      <c r="R77" s="3"/>
      <c r="S77" s="3"/>
      <c r="T77" s="3"/>
      <c r="U77" s="3"/>
      <c r="V77" s="3"/>
      <c r="W77" s="3"/>
      <c r="X77" s="3"/>
    </row>
    <row r="78" spans="1:24" ht="13.8">
      <c r="A78" s="3"/>
      <c r="B78" s="62">
        <v>14</v>
      </c>
      <c r="C78" s="525" t="str">
        <f>IF('INPUT DATA'!Q24="","",'INPUT DATA'!Q24)</f>
        <v/>
      </c>
      <c r="D78" s="526"/>
      <c r="E78" s="527"/>
      <c r="F78" s="63"/>
      <c r="G78" s="64"/>
      <c r="H78" s="64"/>
      <c r="I78" s="64"/>
      <c r="J78" s="64"/>
      <c r="K78" s="64"/>
      <c r="L78" s="64"/>
      <c r="M78" s="64"/>
      <c r="N78" s="64"/>
      <c r="O78" s="64"/>
      <c r="P78" s="66"/>
      <c r="Q78" s="3"/>
      <c r="R78" s="3"/>
      <c r="S78" s="3"/>
      <c r="T78" s="3"/>
      <c r="U78" s="3"/>
      <c r="V78" s="3"/>
      <c r="W78" s="3"/>
      <c r="X78" s="3"/>
    </row>
    <row r="79" spans="1:24" ht="13.8">
      <c r="A79" s="3"/>
      <c r="B79" s="62">
        <v>15</v>
      </c>
      <c r="C79" s="525" t="str">
        <f>IF('INPUT DATA'!Q25="","",'INPUT DATA'!Q25)</f>
        <v/>
      </c>
      <c r="D79" s="526"/>
      <c r="E79" s="527"/>
      <c r="F79" s="63"/>
      <c r="G79" s="64"/>
      <c r="H79" s="64"/>
      <c r="I79" s="64"/>
      <c r="J79" s="64"/>
      <c r="K79" s="64"/>
      <c r="L79" s="64"/>
      <c r="M79" s="64"/>
      <c r="N79" s="64"/>
      <c r="O79" s="64"/>
      <c r="P79" s="66"/>
      <c r="Q79" s="3"/>
      <c r="R79" s="3"/>
      <c r="S79" s="3"/>
      <c r="T79" s="3"/>
      <c r="U79" s="3"/>
      <c r="V79" s="3"/>
      <c r="W79" s="3"/>
      <c r="X79" s="3"/>
    </row>
    <row r="80" spans="1:24" ht="13.8">
      <c r="A80" s="3"/>
      <c r="B80" s="62">
        <v>16</v>
      </c>
      <c r="C80" s="525" t="str">
        <f>IF('INPUT DATA'!Q26="","",'INPUT DATA'!Q26)</f>
        <v/>
      </c>
      <c r="D80" s="526"/>
      <c r="E80" s="527"/>
      <c r="F80" s="63"/>
      <c r="G80" s="64"/>
      <c r="H80" s="64"/>
      <c r="I80" s="64"/>
      <c r="J80" s="64"/>
      <c r="K80" s="64"/>
      <c r="L80" s="64"/>
      <c r="M80" s="64"/>
      <c r="N80" s="64"/>
      <c r="O80" s="64"/>
      <c r="P80" s="66"/>
      <c r="Q80" s="3"/>
      <c r="R80" s="3"/>
      <c r="S80" s="3"/>
      <c r="T80" s="3"/>
      <c r="U80" s="3"/>
      <c r="V80" s="3"/>
      <c r="W80" s="3"/>
      <c r="X80" s="3"/>
    </row>
    <row r="81" spans="1:24" ht="13.8">
      <c r="A81" s="3"/>
      <c r="B81" s="62">
        <v>17</v>
      </c>
      <c r="C81" s="525" t="str">
        <f>IF('INPUT DATA'!Q27="","",'INPUT DATA'!Q27)</f>
        <v/>
      </c>
      <c r="D81" s="526"/>
      <c r="E81" s="527"/>
      <c r="F81" s="63"/>
      <c r="G81" s="64"/>
      <c r="H81" s="64"/>
      <c r="I81" s="64"/>
      <c r="J81" s="64"/>
      <c r="K81" s="64"/>
      <c r="L81" s="64"/>
      <c r="M81" s="64"/>
      <c r="N81" s="64"/>
      <c r="O81" s="64"/>
      <c r="P81" s="66"/>
      <c r="Q81" s="3"/>
      <c r="R81" s="3"/>
      <c r="S81" s="3"/>
      <c r="T81" s="3"/>
      <c r="U81" s="3"/>
      <c r="V81" s="3"/>
      <c r="W81" s="3"/>
      <c r="X81" s="3"/>
    </row>
    <row r="82" spans="1:24" ht="13.8">
      <c r="A82" s="3"/>
      <c r="B82" s="62">
        <v>18</v>
      </c>
      <c r="C82" s="525" t="str">
        <f>IF('INPUT DATA'!Q28="","",'INPUT DATA'!Q28)</f>
        <v/>
      </c>
      <c r="D82" s="526"/>
      <c r="E82" s="527"/>
      <c r="F82" s="63"/>
      <c r="G82" s="64"/>
      <c r="H82" s="64"/>
      <c r="I82" s="64"/>
      <c r="J82" s="64"/>
      <c r="K82" s="64"/>
      <c r="L82" s="64"/>
      <c r="M82" s="64"/>
      <c r="N82" s="64"/>
      <c r="O82" s="64"/>
      <c r="P82" s="66"/>
      <c r="Q82" s="3"/>
      <c r="R82" s="3"/>
      <c r="S82" s="3"/>
      <c r="T82" s="3"/>
      <c r="U82" s="3"/>
      <c r="V82" s="3"/>
      <c r="W82" s="3"/>
      <c r="X82" s="3"/>
    </row>
    <row r="83" spans="1:24" ht="13.8">
      <c r="A83" s="3"/>
      <c r="B83" s="62">
        <v>19</v>
      </c>
      <c r="C83" s="525" t="str">
        <f>IF('INPUT DATA'!Q29="","",'INPUT DATA'!Q29)</f>
        <v/>
      </c>
      <c r="D83" s="526"/>
      <c r="E83" s="527"/>
      <c r="F83" s="63"/>
      <c r="G83" s="64"/>
      <c r="H83" s="64"/>
      <c r="I83" s="64"/>
      <c r="J83" s="64"/>
      <c r="K83" s="64"/>
      <c r="L83" s="64"/>
      <c r="M83" s="64"/>
      <c r="N83" s="64"/>
      <c r="O83" s="64"/>
      <c r="P83" s="66"/>
      <c r="Q83" s="3"/>
      <c r="R83" s="3"/>
      <c r="S83" s="3"/>
      <c r="T83" s="3"/>
      <c r="U83" s="3"/>
      <c r="V83" s="3"/>
      <c r="W83" s="3"/>
      <c r="X83" s="3"/>
    </row>
    <row r="84" spans="1:24" ht="13.8">
      <c r="A84" s="3"/>
      <c r="B84" s="67">
        <v>20</v>
      </c>
      <c r="C84" s="525" t="str">
        <f>IF('INPUT DATA'!Q30="","",'INPUT DATA'!Q30)</f>
        <v/>
      </c>
      <c r="D84" s="526"/>
      <c r="E84" s="527"/>
      <c r="F84" s="63"/>
      <c r="G84" s="64"/>
      <c r="H84" s="64"/>
      <c r="I84" s="64"/>
      <c r="J84" s="64"/>
      <c r="K84" s="64"/>
      <c r="L84" s="64"/>
      <c r="M84" s="64"/>
      <c r="N84" s="64"/>
      <c r="O84" s="64"/>
      <c r="P84" s="66"/>
      <c r="Q84" s="3"/>
      <c r="R84" s="3"/>
      <c r="S84" s="3"/>
      <c r="T84" s="3"/>
      <c r="U84" s="3"/>
      <c r="V84" s="3"/>
      <c r="W84" s="3"/>
      <c r="X84" s="3"/>
    </row>
    <row r="85" spans="1:24" ht="13.8">
      <c r="A85" s="3"/>
      <c r="B85" s="68">
        <v>21</v>
      </c>
      <c r="C85" s="525" t="str">
        <f>IF('INPUT DATA'!Q31="","",'INPUT DATA'!Q31)</f>
        <v/>
      </c>
      <c r="D85" s="526"/>
      <c r="E85" s="527"/>
      <c r="F85" s="63"/>
      <c r="G85" s="64"/>
      <c r="H85" s="64"/>
      <c r="I85" s="64"/>
      <c r="J85" s="64"/>
      <c r="K85" s="64"/>
      <c r="L85" s="64"/>
      <c r="M85" s="64"/>
      <c r="N85" s="64"/>
      <c r="O85" s="64"/>
      <c r="P85" s="66"/>
      <c r="Q85" s="3"/>
      <c r="R85" s="3"/>
      <c r="S85" s="3"/>
      <c r="T85" s="3"/>
      <c r="U85" s="3"/>
      <c r="V85" s="3"/>
      <c r="W85" s="3"/>
      <c r="X85" s="3"/>
    </row>
    <row r="86" spans="1:24" ht="13.8">
      <c r="A86" s="3"/>
      <c r="B86" s="68">
        <v>22</v>
      </c>
      <c r="C86" s="525" t="str">
        <f>IF('INPUT DATA'!Q32="","",'INPUT DATA'!Q32)</f>
        <v/>
      </c>
      <c r="D86" s="526"/>
      <c r="E86" s="527"/>
      <c r="F86" s="63"/>
      <c r="G86" s="64"/>
      <c r="H86" s="64"/>
      <c r="I86" s="64"/>
      <c r="J86" s="64"/>
      <c r="K86" s="64"/>
      <c r="L86" s="64"/>
      <c r="M86" s="64"/>
      <c r="N86" s="64"/>
      <c r="O86" s="64"/>
      <c r="P86" s="66"/>
      <c r="Q86" s="3"/>
      <c r="R86" s="3"/>
      <c r="S86" s="3"/>
      <c r="T86" s="3"/>
      <c r="U86" s="3"/>
      <c r="V86" s="3"/>
      <c r="W86" s="3"/>
      <c r="X86" s="3"/>
    </row>
    <row r="87" spans="1:24" ht="13.8">
      <c r="A87" s="3"/>
      <c r="B87" s="68">
        <v>23</v>
      </c>
      <c r="C87" s="525" t="str">
        <f>IF('INPUT DATA'!Q33="","",'INPUT DATA'!Q33)</f>
        <v/>
      </c>
      <c r="D87" s="526"/>
      <c r="E87" s="527"/>
      <c r="F87" s="63"/>
      <c r="G87" s="64"/>
      <c r="H87" s="64"/>
      <c r="I87" s="64"/>
      <c r="J87" s="64"/>
      <c r="K87" s="64"/>
      <c r="L87" s="64"/>
      <c r="M87" s="64"/>
      <c r="N87" s="64"/>
      <c r="O87" s="64"/>
      <c r="P87" s="66"/>
      <c r="Q87" s="3"/>
      <c r="R87" s="3"/>
      <c r="S87" s="3"/>
      <c r="T87" s="3"/>
      <c r="U87" s="3"/>
      <c r="V87" s="3"/>
      <c r="W87" s="3"/>
      <c r="X87" s="3"/>
    </row>
    <row r="88" spans="1:24" ht="13.8">
      <c r="A88" s="3"/>
      <c r="B88" s="68">
        <v>24</v>
      </c>
      <c r="C88" s="525" t="str">
        <f>IF('INPUT DATA'!Q34="","",'INPUT DATA'!Q34)</f>
        <v/>
      </c>
      <c r="D88" s="526"/>
      <c r="E88" s="527"/>
      <c r="F88" s="63"/>
      <c r="G88" s="64"/>
      <c r="H88" s="64"/>
      <c r="I88" s="64"/>
      <c r="J88" s="64"/>
      <c r="K88" s="64"/>
      <c r="L88" s="64"/>
      <c r="M88" s="64"/>
      <c r="N88" s="64"/>
      <c r="O88" s="64"/>
      <c r="P88" s="66"/>
      <c r="Q88" s="3"/>
      <c r="R88" s="3"/>
      <c r="S88" s="3"/>
      <c r="T88" s="3"/>
      <c r="U88" s="3"/>
      <c r="V88" s="3"/>
      <c r="W88" s="3"/>
      <c r="X88" s="3"/>
    </row>
    <row r="89" spans="1:24" ht="13.8">
      <c r="A89" s="3"/>
      <c r="B89" s="68">
        <v>25</v>
      </c>
      <c r="C89" s="525" t="str">
        <f>IF('INPUT DATA'!Q35="","",'INPUT DATA'!Q35)</f>
        <v/>
      </c>
      <c r="D89" s="526"/>
      <c r="E89" s="527"/>
      <c r="F89" s="63"/>
      <c r="G89" s="64"/>
      <c r="H89" s="64"/>
      <c r="I89" s="64"/>
      <c r="J89" s="64"/>
      <c r="K89" s="64"/>
      <c r="L89" s="64"/>
      <c r="M89" s="64"/>
      <c r="N89" s="64"/>
      <c r="O89" s="64"/>
      <c r="P89" s="66"/>
      <c r="Q89" s="3"/>
      <c r="R89" s="3"/>
      <c r="S89" s="3"/>
      <c r="T89" s="3"/>
      <c r="U89" s="3"/>
      <c r="V89" s="3"/>
      <c r="W89" s="3"/>
      <c r="X89" s="3"/>
    </row>
    <row r="90" spans="1:24" ht="13.8">
      <c r="A90" s="3"/>
      <c r="B90" s="68">
        <v>26</v>
      </c>
      <c r="C90" s="525" t="str">
        <f>IF('INPUT DATA'!Q36="","",'INPUT DATA'!Q36)</f>
        <v/>
      </c>
      <c r="D90" s="526"/>
      <c r="E90" s="527"/>
      <c r="F90" s="63"/>
      <c r="G90" s="64"/>
      <c r="H90" s="64"/>
      <c r="I90" s="64"/>
      <c r="J90" s="64"/>
      <c r="K90" s="64"/>
      <c r="L90" s="64"/>
      <c r="M90" s="64"/>
      <c r="N90" s="64"/>
      <c r="O90" s="64"/>
      <c r="P90" s="66"/>
      <c r="Q90" s="3"/>
      <c r="R90" s="3"/>
      <c r="S90" s="3"/>
      <c r="T90" s="3"/>
      <c r="U90" s="3"/>
      <c r="V90" s="3"/>
      <c r="W90" s="3"/>
      <c r="X90" s="3"/>
    </row>
    <row r="91" spans="1:24" ht="13.8">
      <c r="A91" s="3"/>
      <c r="B91" s="68">
        <v>27</v>
      </c>
      <c r="C91" s="525" t="str">
        <f>IF('INPUT DATA'!Q37="","",'INPUT DATA'!Q37)</f>
        <v/>
      </c>
      <c r="D91" s="526"/>
      <c r="E91" s="527"/>
      <c r="F91" s="63"/>
      <c r="G91" s="64"/>
      <c r="H91" s="64"/>
      <c r="I91" s="64"/>
      <c r="J91" s="64"/>
      <c r="K91" s="64"/>
      <c r="L91" s="64"/>
      <c r="M91" s="64"/>
      <c r="N91" s="64"/>
      <c r="O91" s="64"/>
      <c r="P91" s="66"/>
      <c r="Q91" s="3"/>
      <c r="R91" s="3"/>
      <c r="S91" s="3"/>
      <c r="T91" s="3"/>
      <c r="U91" s="3"/>
      <c r="V91" s="3"/>
      <c r="W91" s="3"/>
      <c r="X91" s="3"/>
    </row>
    <row r="92" spans="1:24" ht="13.8">
      <c r="A92" s="3"/>
      <c r="B92" s="68">
        <v>28</v>
      </c>
      <c r="C92" s="525" t="str">
        <f>IF('INPUT DATA'!Q38="","",'INPUT DATA'!Q38)</f>
        <v/>
      </c>
      <c r="D92" s="526"/>
      <c r="E92" s="527"/>
      <c r="F92" s="63"/>
      <c r="G92" s="64"/>
      <c r="H92" s="64"/>
      <c r="I92" s="64"/>
      <c r="J92" s="64"/>
      <c r="K92" s="64"/>
      <c r="L92" s="64"/>
      <c r="M92" s="64"/>
      <c r="N92" s="64"/>
      <c r="O92" s="64"/>
      <c r="P92" s="66"/>
      <c r="Q92" s="3"/>
      <c r="R92" s="3"/>
      <c r="S92" s="3"/>
      <c r="T92" s="3"/>
      <c r="U92" s="3"/>
      <c r="V92" s="3"/>
      <c r="W92" s="3"/>
      <c r="X92" s="3"/>
    </row>
    <row r="93" spans="1:24" ht="13.8">
      <c r="A93" s="3"/>
      <c r="B93" s="68">
        <v>29</v>
      </c>
      <c r="C93" s="525" t="str">
        <f>IF('INPUT DATA'!Q39="","",'INPUT DATA'!Q39)</f>
        <v/>
      </c>
      <c r="D93" s="526"/>
      <c r="E93" s="527"/>
      <c r="F93" s="63"/>
      <c r="G93" s="64"/>
      <c r="H93" s="64"/>
      <c r="I93" s="64"/>
      <c r="J93" s="64"/>
      <c r="K93" s="64"/>
      <c r="L93" s="64"/>
      <c r="M93" s="64"/>
      <c r="N93" s="64"/>
      <c r="O93" s="64"/>
      <c r="P93" s="66"/>
      <c r="Q93" s="3"/>
      <c r="R93" s="3"/>
      <c r="S93" s="3"/>
      <c r="T93" s="3"/>
      <c r="U93" s="3"/>
      <c r="V93" s="3"/>
      <c r="W93" s="3"/>
      <c r="X93" s="3"/>
    </row>
    <row r="94" spans="1:24" ht="13.8">
      <c r="A94" s="3"/>
      <c r="B94" s="68">
        <v>30</v>
      </c>
      <c r="C94" s="525" t="str">
        <f>IF('INPUT DATA'!Q40="","",'INPUT DATA'!Q40)</f>
        <v/>
      </c>
      <c r="D94" s="526"/>
      <c r="E94" s="527"/>
      <c r="F94" s="63"/>
      <c r="G94" s="64"/>
      <c r="H94" s="64"/>
      <c r="I94" s="64"/>
      <c r="J94" s="64"/>
      <c r="K94" s="64"/>
      <c r="L94" s="64"/>
      <c r="M94" s="64"/>
      <c r="N94" s="64"/>
      <c r="O94" s="64"/>
      <c r="P94" s="66"/>
      <c r="Q94" s="3"/>
      <c r="R94" s="3"/>
      <c r="S94" s="3"/>
      <c r="T94" s="3"/>
      <c r="U94" s="3"/>
      <c r="V94" s="3"/>
      <c r="W94" s="3"/>
      <c r="X94" s="3"/>
    </row>
    <row r="95" spans="1:24" ht="13.8">
      <c r="A95" s="3"/>
      <c r="B95" s="68">
        <v>31</v>
      </c>
      <c r="C95" s="525" t="str">
        <f>IF('INPUT DATA'!Q41="","",'INPUT DATA'!Q41)</f>
        <v/>
      </c>
      <c r="D95" s="526"/>
      <c r="E95" s="527"/>
      <c r="F95" s="63"/>
      <c r="G95" s="64"/>
      <c r="H95" s="64"/>
      <c r="I95" s="64"/>
      <c r="J95" s="64"/>
      <c r="K95" s="64"/>
      <c r="L95" s="64"/>
      <c r="M95" s="64"/>
      <c r="N95" s="64"/>
      <c r="O95" s="64"/>
      <c r="P95" s="66"/>
      <c r="Q95" s="3"/>
      <c r="R95" s="3"/>
      <c r="S95" s="3"/>
      <c r="T95" s="3"/>
      <c r="U95" s="3"/>
      <c r="V95" s="3"/>
      <c r="W95" s="3"/>
      <c r="X95" s="3"/>
    </row>
    <row r="96" spans="1:24" ht="13.8">
      <c r="A96" s="3"/>
      <c r="B96" s="68">
        <v>32</v>
      </c>
      <c r="C96" s="525" t="str">
        <f>IF('INPUT DATA'!Q42="","",'INPUT DATA'!Q42)</f>
        <v/>
      </c>
      <c r="D96" s="526"/>
      <c r="E96" s="527"/>
      <c r="F96" s="63"/>
      <c r="G96" s="64"/>
      <c r="H96" s="64"/>
      <c r="I96" s="64"/>
      <c r="J96" s="64"/>
      <c r="K96" s="64"/>
      <c r="L96" s="64"/>
      <c r="M96" s="64"/>
      <c r="N96" s="64"/>
      <c r="O96" s="64"/>
      <c r="P96" s="66"/>
      <c r="Q96" s="3"/>
      <c r="R96" s="3"/>
      <c r="S96" s="3"/>
      <c r="T96" s="3"/>
      <c r="U96" s="3"/>
      <c r="V96" s="3"/>
      <c r="W96" s="3"/>
      <c r="X96" s="3"/>
    </row>
    <row r="97" spans="1:24" ht="13.8">
      <c r="A97" s="3"/>
      <c r="B97" s="68">
        <v>33</v>
      </c>
      <c r="C97" s="525" t="str">
        <f>IF('INPUT DATA'!Q43="","",'INPUT DATA'!Q43)</f>
        <v/>
      </c>
      <c r="D97" s="526"/>
      <c r="E97" s="527"/>
      <c r="F97" s="63"/>
      <c r="G97" s="64"/>
      <c r="H97" s="64"/>
      <c r="I97" s="64"/>
      <c r="J97" s="64"/>
      <c r="K97" s="64"/>
      <c r="L97" s="64"/>
      <c r="M97" s="64"/>
      <c r="N97" s="64"/>
      <c r="O97" s="64"/>
      <c r="P97" s="66"/>
      <c r="Q97" s="3"/>
      <c r="R97" s="3"/>
      <c r="S97" s="3"/>
      <c r="T97" s="3"/>
      <c r="U97" s="3"/>
      <c r="V97" s="3"/>
      <c r="W97" s="3"/>
      <c r="X97" s="3"/>
    </row>
    <row r="98" spans="1:24" ht="13.8">
      <c r="A98" s="3"/>
      <c r="B98" s="68">
        <v>34</v>
      </c>
      <c r="C98" s="525" t="str">
        <f>IF('INPUT DATA'!Q44="","",'INPUT DATA'!Q44)</f>
        <v/>
      </c>
      <c r="D98" s="526"/>
      <c r="E98" s="527"/>
      <c r="F98" s="63"/>
      <c r="G98" s="64"/>
      <c r="H98" s="64"/>
      <c r="I98" s="64"/>
      <c r="J98" s="64"/>
      <c r="K98" s="64"/>
      <c r="L98" s="64"/>
      <c r="M98" s="64"/>
      <c r="N98" s="64"/>
      <c r="O98" s="64"/>
      <c r="P98" s="66"/>
      <c r="Q98" s="3"/>
      <c r="R98" s="3"/>
      <c r="S98" s="3"/>
      <c r="T98" s="3"/>
      <c r="U98" s="3"/>
      <c r="V98" s="3"/>
      <c r="W98" s="3"/>
      <c r="X98" s="3"/>
    </row>
    <row r="99" spans="1:24" ht="13.8">
      <c r="A99" s="3"/>
      <c r="B99" s="68">
        <v>35</v>
      </c>
      <c r="C99" s="525" t="str">
        <f>IF('INPUT DATA'!Q45="","",'INPUT DATA'!Q45)</f>
        <v/>
      </c>
      <c r="D99" s="526"/>
      <c r="E99" s="527"/>
      <c r="F99" s="63"/>
      <c r="G99" s="64"/>
      <c r="H99" s="64"/>
      <c r="I99" s="64"/>
      <c r="J99" s="64"/>
      <c r="K99" s="64"/>
      <c r="L99" s="64"/>
      <c r="M99" s="64"/>
      <c r="N99" s="64"/>
      <c r="O99" s="64"/>
      <c r="P99" s="66"/>
      <c r="Q99" s="3"/>
      <c r="R99" s="3"/>
      <c r="S99" s="3"/>
      <c r="T99" s="3"/>
      <c r="U99" s="3"/>
      <c r="V99" s="3"/>
      <c r="W99" s="3"/>
      <c r="X99" s="3"/>
    </row>
    <row r="100" spans="1:24" ht="13.8">
      <c r="A100" s="3"/>
      <c r="B100" s="68">
        <v>36</v>
      </c>
      <c r="C100" s="525" t="str">
        <f>IF('INPUT DATA'!Q46="","",'INPUT DATA'!Q46)</f>
        <v/>
      </c>
      <c r="D100" s="526"/>
      <c r="E100" s="527"/>
      <c r="F100" s="63"/>
      <c r="G100" s="64"/>
      <c r="H100" s="64"/>
      <c r="I100" s="64"/>
      <c r="J100" s="64"/>
      <c r="K100" s="64"/>
      <c r="L100" s="64"/>
      <c r="M100" s="64"/>
      <c r="N100" s="64"/>
      <c r="O100" s="64"/>
      <c r="P100" s="66"/>
      <c r="Q100" s="3"/>
      <c r="R100" s="3"/>
      <c r="S100" s="3"/>
      <c r="T100" s="3"/>
      <c r="U100" s="3"/>
      <c r="V100" s="3"/>
      <c r="W100" s="3"/>
      <c r="X100" s="3"/>
    </row>
    <row r="101" spans="1:24" ht="13.8">
      <c r="A101" s="3"/>
      <c r="B101" s="68">
        <v>37</v>
      </c>
      <c r="C101" s="525" t="str">
        <f>IF('INPUT DATA'!Q47="","",'INPUT DATA'!Q47)</f>
        <v/>
      </c>
      <c r="D101" s="526"/>
      <c r="E101" s="527"/>
      <c r="F101" s="63"/>
      <c r="G101" s="64"/>
      <c r="H101" s="64"/>
      <c r="I101" s="64"/>
      <c r="J101" s="64"/>
      <c r="K101" s="64"/>
      <c r="L101" s="64"/>
      <c r="M101" s="64"/>
      <c r="N101" s="64"/>
      <c r="O101" s="64"/>
      <c r="P101" s="66"/>
      <c r="Q101" s="3"/>
      <c r="R101" s="3"/>
      <c r="S101" s="3"/>
      <c r="T101" s="3"/>
      <c r="U101" s="3"/>
      <c r="V101" s="3"/>
      <c r="W101" s="3"/>
      <c r="X101" s="3"/>
    </row>
    <row r="102" spans="1:24" ht="13.8">
      <c r="A102" s="3"/>
      <c r="B102" s="68">
        <v>38</v>
      </c>
      <c r="C102" s="525" t="str">
        <f>IF('INPUT DATA'!Q48="","",'INPUT DATA'!Q48)</f>
        <v/>
      </c>
      <c r="D102" s="526"/>
      <c r="E102" s="527"/>
      <c r="F102" s="63"/>
      <c r="G102" s="64"/>
      <c r="H102" s="64"/>
      <c r="I102" s="64"/>
      <c r="J102" s="64"/>
      <c r="K102" s="64"/>
      <c r="L102" s="64"/>
      <c r="M102" s="64"/>
      <c r="N102" s="64"/>
      <c r="O102" s="64"/>
      <c r="P102" s="66"/>
      <c r="Q102" s="3"/>
      <c r="R102" s="3"/>
      <c r="S102" s="3"/>
      <c r="T102" s="3"/>
      <c r="U102" s="3"/>
      <c r="V102" s="3"/>
      <c r="W102" s="3"/>
      <c r="X102" s="3"/>
    </row>
    <row r="103" spans="1:24" ht="13.8">
      <c r="A103" s="3"/>
      <c r="B103" s="68">
        <v>39</v>
      </c>
      <c r="C103" s="525" t="str">
        <f>IF('INPUT DATA'!Q49="","",'INPUT DATA'!Q49)</f>
        <v/>
      </c>
      <c r="D103" s="526"/>
      <c r="E103" s="527"/>
      <c r="F103" s="63"/>
      <c r="G103" s="64"/>
      <c r="H103" s="64"/>
      <c r="I103" s="64"/>
      <c r="J103" s="64"/>
      <c r="K103" s="64"/>
      <c r="L103" s="64"/>
      <c r="M103" s="64"/>
      <c r="N103" s="64"/>
      <c r="O103" s="64"/>
      <c r="P103" s="66"/>
      <c r="Q103" s="3"/>
      <c r="R103" s="3"/>
      <c r="S103" s="3"/>
      <c r="T103" s="3"/>
      <c r="U103" s="3"/>
      <c r="V103" s="3"/>
      <c r="W103" s="3"/>
      <c r="X103" s="3"/>
    </row>
    <row r="104" spans="1:24" ht="13.8">
      <c r="A104" s="3"/>
      <c r="B104" s="68">
        <v>40</v>
      </c>
      <c r="C104" s="525" t="str">
        <f>IF('INPUT DATA'!Q50="","",'INPUT DATA'!Q50)</f>
        <v/>
      </c>
      <c r="D104" s="526"/>
      <c r="E104" s="527"/>
      <c r="F104" s="63"/>
      <c r="G104" s="64"/>
      <c r="H104" s="64"/>
      <c r="I104" s="64"/>
      <c r="J104" s="64"/>
      <c r="K104" s="64"/>
      <c r="L104" s="64"/>
      <c r="M104" s="64"/>
      <c r="N104" s="64"/>
      <c r="O104" s="64"/>
      <c r="P104" s="66"/>
      <c r="Q104" s="3"/>
      <c r="R104" s="3"/>
      <c r="S104" s="3"/>
      <c r="T104" s="3"/>
      <c r="U104" s="3"/>
      <c r="V104" s="3"/>
      <c r="W104" s="3"/>
      <c r="X104" s="3"/>
    </row>
    <row r="105" spans="1:24" ht="13.8">
      <c r="A105" s="3"/>
      <c r="B105" s="68">
        <v>41</v>
      </c>
      <c r="C105" s="525" t="str">
        <f>IF('INPUT DATA'!Q51="","",'INPUT DATA'!Q51)</f>
        <v/>
      </c>
      <c r="D105" s="526"/>
      <c r="E105" s="527"/>
      <c r="F105" s="63"/>
      <c r="G105" s="64"/>
      <c r="H105" s="64"/>
      <c r="I105" s="64"/>
      <c r="J105" s="64"/>
      <c r="K105" s="64"/>
      <c r="L105" s="64"/>
      <c r="M105" s="64"/>
      <c r="N105" s="64"/>
      <c r="O105" s="64"/>
      <c r="P105" s="66"/>
      <c r="Q105" s="3"/>
      <c r="R105" s="3"/>
      <c r="S105" s="3"/>
      <c r="T105" s="3"/>
      <c r="U105" s="3"/>
      <c r="V105" s="3"/>
      <c r="W105" s="3"/>
      <c r="X105" s="3"/>
    </row>
    <row r="106" spans="1:24" ht="13.8">
      <c r="A106" s="3"/>
      <c r="B106" s="68">
        <v>42</v>
      </c>
      <c r="C106" s="525" t="str">
        <f>IF('INPUT DATA'!Q52="","",'INPUT DATA'!Q52)</f>
        <v/>
      </c>
      <c r="D106" s="526"/>
      <c r="E106" s="527"/>
      <c r="F106" s="63"/>
      <c r="G106" s="64"/>
      <c r="H106" s="64"/>
      <c r="I106" s="64"/>
      <c r="J106" s="64"/>
      <c r="K106" s="64"/>
      <c r="L106" s="64"/>
      <c r="M106" s="64"/>
      <c r="N106" s="64"/>
      <c r="O106" s="64"/>
      <c r="P106" s="66"/>
      <c r="Q106" s="3"/>
      <c r="R106" s="3"/>
      <c r="S106" s="3"/>
      <c r="T106" s="3"/>
      <c r="U106" s="3"/>
      <c r="V106" s="3"/>
      <c r="W106" s="3"/>
      <c r="X106" s="3"/>
    </row>
    <row r="107" spans="1:24" ht="13.8">
      <c r="A107" s="3"/>
      <c r="B107" s="68">
        <v>43</v>
      </c>
      <c r="C107" s="525" t="str">
        <f>IF('INPUT DATA'!Q53="","",'INPUT DATA'!Q53)</f>
        <v/>
      </c>
      <c r="D107" s="526"/>
      <c r="E107" s="527"/>
      <c r="F107" s="63"/>
      <c r="G107" s="64"/>
      <c r="H107" s="64"/>
      <c r="I107" s="64"/>
      <c r="J107" s="64"/>
      <c r="K107" s="64"/>
      <c r="L107" s="64"/>
      <c r="M107" s="64"/>
      <c r="N107" s="64"/>
      <c r="O107" s="64"/>
      <c r="P107" s="66"/>
      <c r="Q107" s="3"/>
      <c r="R107" s="3"/>
      <c r="S107" s="3"/>
      <c r="T107" s="3"/>
      <c r="U107" s="3"/>
      <c r="V107" s="3"/>
      <c r="W107" s="3"/>
      <c r="X107" s="3"/>
    </row>
    <row r="108" spans="1:24" ht="13.8">
      <c r="A108" s="3"/>
      <c r="B108" s="68">
        <v>44</v>
      </c>
      <c r="C108" s="525" t="str">
        <f>IF('INPUT DATA'!Q54="","",'INPUT DATA'!Q54)</f>
        <v/>
      </c>
      <c r="D108" s="526"/>
      <c r="E108" s="527"/>
      <c r="F108" s="63"/>
      <c r="G108" s="64"/>
      <c r="H108" s="64"/>
      <c r="I108" s="64"/>
      <c r="J108" s="64"/>
      <c r="K108" s="64"/>
      <c r="L108" s="64"/>
      <c r="M108" s="64"/>
      <c r="N108" s="64"/>
      <c r="O108" s="64"/>
      <c r="P108" s="66"/>
      <c r="Q108" s="3"/>
      <c r="R108" s="3"/>
      <c r="S108" s="3"/>
      <c r="T108" s="3"/>
      <c r="U108" s="3"/>
      <c r="V108" s="3"/>
      <c r="W108" s="3"/>
      <c r="X108" s="3"/>
    </row>
    <row r="109" spans="1:24" ht="13.8">
      <c r="A109" s="3"/>
      <c r="B109" s="68">
        <v>45</v>
      </c>
      <c r="C109" s="525" t="str">
        <f>IF('INPUT DATA'!Q55="","",'INPUT DATA'!Q55)</f>
        <v/>
      </c>
      <c r="D109" s="526"/>
      <c r="E109" s="527"/>
      <c r="F109" s="63"/>
      <c r="G109" s="64"/>
      <c r="H109" s="64"/>
      <c r="I109" s="64"/>
      <c r="J109" s="64"/>
      <c r="K109" s="64"/>
      <c r="L109" s="64"/>
      <c r="M109" s="64"/>
      <c r="N109" s="64"/>
      <c r="O109" s="64"/>
      <c r="P109" s="66"/>
      <c r="Q109" s="3"/>
      <c r="R109" s="3"/>
      <c r="S109" s="3"/>
      <c r="T109" s="3"/>
      <c r="U109" s="3"/>
      <c r="V109" s="3"/>
      <c r="W109" s="3"/>
      <c r="X109" s="3"/>
    </row>
    <row r="110" spans="1:24" ht="13.8">
      <c r="A110" s="3"/>
      <c r="B110" s="68">
        <v>46</v>
      </c>
      <c r="C110" s="525" t="str">
        <f>IF('INPUT DATA'!Q56="","",'INPUT DATA'!Q56)</f>
        <v/>
      </c>
      <c r="D110" s="526"/>
      <c r="E110" s="527"/>
      <c r="F110" s="63"/>
      <c r="G110" s="64"/>
      <c r="H110" s="64"/>
      <c r="I110" s="64"/>
      <c r="J110" s="64"/>
      <c r="K110" s="64"/>
      <c r="L110" s="64"/>
      <c r="M110" s="64"/>
      <c r="N110" s="64"/>
      <c r="O110" s="64"/>
      <c r="P110" s="66"/>
      <c r="Q110" s="3"/>
      <c r="R110" s="3"/>
      <c r="S110" s="3"/>
      <c r="T110" s="3"/>
      <c r="U110" s="3"/>
      <c r="V110" s="3"/>
      <c r="W110" s="3"/>
      <c r="X110" s="3"/>
    </row>
    <row r="111" spans="1:24" ht="13.8">
      <c r="A111" s="3"/>
      <c r="B111" s="68">
        <v>47</v>
      </c>
      <c r="C111" s="525" t="str">
        <f>IF('INPUT DATA'!Q57="","",'INPUT DATA'!Q57)</f>
        <v/>
      </c>
      <c r="D111" s="526"/>
      <c r="E111" s="527"/>
      <c r="F111" s="63"/>
      <c r="G111" s="64"/>
      <c r="H111" s="64"/>
      <c r="I111" s="64"/>
      <c r="J111" s="64"/>
      <c r="K111" s="64"/>
      <c r="L111" s="64"/>
      <c r="M111" s="64"/>
      <c r="N111" s="64"/>
      <c r="O111" s="64"/>
      <c r="P111" s="66"/>
      <c r="Q111" s="3"/>
      <c r="R111" s="3"/>
      <c r="S111" s="3"/>
      <c r="T111" s="3"/>
      <c r="U111" s="3"/>
      <c r="V111" s="3"/>
      <c r="W111" s="3"/>
      <c r="X111" s="3"/>
    </row>
    <row r="112" spans="1:24" ht="13.8">
      <c r="A112" s="3"/>
      <c r="B112" s="68">
        <v>48</v>
      </c>
      <c r="C112" s="525" t="str">
        <f>IF('INPUT DATA'!Q58="","",'INPUT DATA'!Q58)</f>
        <v/>
      </c>
      <c r="D112" s="526"/>
      <c r="E112" s="527"/>
      <c r="F112" s="63"/>
      <c r="G112" s="64"/>
      <c r="H112" s="64"/>
      <c r="I112" s="64"/>
      <c r="J112" s="64"/>
      <c r="K112" s="64"/>
      <c r="L112" s="64"/>
      <c r="M112" s="64"/>
      <c r="N112" s="64"/>
      <c r="O112" s="64"/>
      <c r="P112" s="66"/>
      <c r="Q112" s="3"/>
      <c r="R112" s="3"/>
      <c r="S112" s="3"/>
      <c r="T112" s="3"/>
      <c r="U112" s="3"/>
      <c r="V112" s="3"/>
      <c r="W112" s="3"/>
      <c r="X112" s="3"/>
    </row>
    <row r="113" spans="1:24" ht="13.8">
      <c r="A113" s="3"/>
      <c r="B113" s="68">
        <v>49</v>
      </c>
      <c r="C113" s="525" t="str">
        <f>IF('INPUT DATA'!Q59="","",'INPUT DATA'!Q59)</f>
        <v/>
      </c>
      <c r="D113" s="526"/>
      <c r="E113" s="527"/>
      <c r="F113" s="63"/>
      <c r="G113" s="64"/>
      <c r="H113" s="64"/>
      <c r="I113" s="64"/>
      <c r="J113" s="64"/>
      <c r="K113" s="64"/>
      <c r="L113" s="64"/>
      <c r="M113" s="64"/>
      <c r="N113" s="64"/>
      <c r="O113" s="64"/>
      <c r="P113" s="66"/>
      <c r="Q113" s="3"/>
      <c r="R113" s="3"/>
      <c r="S113" s="3"/>
      <c r="T113" s="3"/>
      <c r="U113" s="3"/>
      <c r="V113" s="3"/>
      <c r="W113" s="3"/>
      <c r="X113" s="3"/>
    </row>
    <row r="114" spans="1:24" ht="14.4" thickBot="1">
      <c r="A114" s="3"/>
      <c r="B114" s="74">
        <v>50</v>
      </c>
      <c r="C114" s="518" t="str">
        <f>IF('INPUT DATA'!Q60="","",'INPUT DATA'!Q60)</f>
        <v/>
      </c>
      <c r="D114" s="519"/>
      <c r="E114" s="520"/>
      <c r="F114" s="75"/>
      <c r="G114" s="76"/>
      <c r="H114" s="76"/>
      <c r="I114" s="76"/>
      <c r="J114" s="76"/>
      <c r="K114" s="76"/>
      <c r="L114" s="76"/>
      <c r="M114" s="76"/>
      <c r="N114" s="76"/>
      <c r="O114" s="76"/>
      <c r="P114" s="71"/>
      <c r="Q114" s="3"/>
      <c r="R114" s="3"/>
      <c r="S114" s="3"/>
      <c r="T114" s="3"/>
      <c r="U114" s="3"/>
      <c r="V114" s="3"/>
      <c r="W114" s="3"/>
      <c r="X114" s="3"/>
    </row>
    <row r="115" spans="1:24" ht="13.8" thickBot="1">
      <c r="A115" s="3"/>
      <c r="B115" s="3"/>
      <c r="C115" s="2"/>
      <c r="D115" s="3"/>
      <c r="E115" s="3"/>
      <c r="F115" s="517"/>
      <c r="G115" s="288"/>
      <c r="H115" s="517"/>
      <c r="I115" s="288"/>
      <c r="J115" s="3"/>
      <c r="K115" s="3"/>
      <c r="L115" s="517"/>
      <c r="M115" s="288"/>
      <c r="N115" s="3"/>
      <c r="O115" s="3"/>
      <c r="P115" s="3"/>
      <c r="Q115" s="3"/>
      <c r="R115" s="3"/>
      <c r="S115" s="3"/>
      <c r="T115" s="3"/>
      <c r="U115" s="3"/>
      <c r="V115" s="3"/>
      <c r="W115" s="3"/>
      <c r="X115" s="3"/>
    </row>
    <row r="116" spans="1:24" ht="13.8">
      <c r="A116" s="3"/>
      <c r="B116" s="521" t="s">
        <v>67</v>
      </c>
      <c r="C116" s="522"/>
      <c r="D116" s="522"/>
      <c r="E116" s="56" t="s">
        <v>69</v>
      </c>
      <c r="F116" s="56" t="s">
        <v>31</v>
      </c>
      <c r="G116" s="56" t="s">
        <v>32</v>
      </c>
      <c r="H116" s="56" t="s">
        <v>33</v>
      </c>
      <c r="I116" s="56" t="s">
        <v>34</v>
      </c>
      <c r="J116" s="56" t="s">
        <v>35</v>
      </c>
      <c r="K116" s="56" t="s">
        <v>36</v>
      </c>
      <c r="L116" s="56" t="s">
        <v>37</v>
      </c>
      <c r="M116" s="56" t="s">
        <v>38</v>
      </c>
      <c r="N116" s="56" t="s">
        <v>39</v>
      </c>
      <c r="O116" s="56" t="s">
        <v>40</v>
      </c>
      <c r="P116" s="56" t="s">
        <v>71</v>
      </c>
      <c r="Q116" s="3"/>
      <c r="R116" s="3"/>
      <c r="S116" s="3"/>
      <c r="T116" s="3"/>
      <c r="U116" s="3"/>
      <c r="V116" s="3"/>
      <c r="W116" s="3"/>
      <c r="X116" s="3"/>
    </row>
    <row r="117" spans="1:24" ht="16.8">
      <c r="A117" s="3"/>
      <c r="B117" s="523"/>
      <c r="C117" s="524"/>
      <c r="D117" s="524"/>
      <c r="E117" s="216">
        <f>SUM(F117:P117)</f>
        <v>201</v>
      </c>
      <c r="F117" s="56">
        <v>20</v>
      </c>
      <c r="G117" s="56">
        <v>20</v>
      </c>
      <c r="H117" s="56">
        <v>20</v>
      </c>
      <c r="I117" s="56">
        <v>20</v>
      </c>
      <c r="J117" s="56">
        <v>20</v>
      </c>
      <c r="K117" s="56">
        <v>20</v>
      </c>
      <c r="L117" s="56">
        <v>20</v>
      </c>
      <c r="M117" s="56">
        <v>18</v>
      </c>
      <c r="N117" s="56">
        <v>18</v>
      </c>
      <c r="O117" s="56">
        <v>20</v>
      </c>
      <c r="P117" s="77">
        <v>5</v>
      </c>
      <c r="Q117" s="3"/>
      <c r="R117" s="3"/>
      <c r="S117" s="3"/>
      <c r="T117" s="3"/>
      <c r="U117" s="3"/>
      <c r="V117" s="3"/>
      <c r="W117" s="3"/>
      <c r="X117" s="3"/>
    </row>
    <row r="118" spans="1:24" ht="13.2">
      <c r="A118" s="3"/>
      <c r="B118" s="3"/>
      <c r="C118" s="2"/>
      <c r="D118" s="3"/>
      <c r="E118" s="3"/>
      <c r="F118" s="517"/>
      <c r="G118" s="288"/>
      <c r="H118" s="517"/>
      <c r="I118" s="288"/>
      <c r="J118" s="3"/>
      <c r="K118" s="3"/>
      <c r="L118" s="517"/>
      <c r="M118" s="288"/>
      <c r="N118" s="3"/>
      <c r="O118" s="3"/>
      <c r="P118" s="3"/>
      <c r="Q118" s="3"/>
      <c r="R118" s="3"/>
      <c r="S118" s="3"/>
      <c r="T118" s="3"/>
      <c r="U118" s="3"/>
      <c r="V118" s="3"/>
      <c r="W118" s="3"/>
      <c r="X118" s="3"/>
    </row>
    <row r="119" spans="1:24" ht="13.2">
      <c r="A119" s="3"/>
      <c r="B119" s="3"/>
      <c r="C119" s="2"/>
      <c r="D119" s="3"/>
      <c r="E119" s="3"/>
      <c r="F119" s="517"/>
      <c r="G119" s="288"/>
      <c r="H119" s="517"/>
      <c r="I119" s="288"/>
      <c r="J119" s="3"/>
      <c r="K119" s="3"/>
      <c r="L119" s="517"/>
      <c r="M119" s="288"/>
      <c r="N119" s="3"/>
      <c r="O119" s="3"/>
      <c r="P119" s="3"/>
      <c r="Q119" s="3"/>
      <c r="R119" s="3"/>
      <c r="S119" s="3"/>
      <c r="T119" s="3"/>
      <c r="U119" s="3"/>
      <c r="V119" s="3"/>
      <c r="W119" s="3"/>
      <c r="X119" s="3"/>
    </row>
    <row r="120" spans="1:24" ht="13.2">
      <c r="A120" s="3"/>
      <c r="B120" s="3"/>
      <c r="C120" s="2"/>
      <c r="D120" s="3"/>
      <c r="E120" s="3"/>
      <c r="F120" s="517"/>
      <c r="G120" s="288"/>
      <c r="H120" s="517"/>
      <c r="I120" s="288"/>
      <c r="J120" s="3"/>
      <c r="K120" s="3"/>
      <c r="L120" s="517"/>
      <c r="M120" s="288"/>
      <c r="N120" s="3"/>
      <c r="O120" s="3"/>
      <c r="P120" s="3"/>
      <c r="Q120" s="3"/>
      <c r="R120" s="3"/>
      <c r="S120" s="3"/>
      <c r="T120" s="3"/>
      <c r="U120" s="3"/>
      <c r="V120" s="3"/>
      <c r="W120" s="3"/>
      <c r="X120" s="3"/>
    </row>
    <row r="121" spans="1:24" ht="13.2">
      <c r="A121" s="3"/>
      <c r="B121" s="3"/>
      <c r="C121" s="2"/>
      <c r="D121" s="3"/>
      <c r="E121" s="3"/>
      <c r="F121" s="517"/>
      <c r="G121" s="288"/>
      <c r="H121" s="517"/>
      <c r="I121" s="288"/>
      <c r="J121" s="3"/>
      <c r="K121" s="3"/>
      <c r="L121" s="517"/>
      <c r="M121" s="288"/>
      <c r="N121" s="3"/>
      <c r="O121" s="3"/>
      <c r="P121" s="3"/>
      <c r="Q121" s="3"/>
      <c r="R121" s="3"/>
      <c r="S121" s="3"/>
      <c r="T121" s="3"/>
      <c r="U121" s="3"/>
      <c r="V121" s="3"/>
      <c r="W121" s="3"/>
      <c r="X121" s="3"/>
    </row>
    <row r="122" spans="1:24" ht="13.2">
      <c r="A122" s="3"/>
      <c r="B122" s="3"/>
      <c r="C122" s="2"/>
      <c r="D122" s="3"/>
      <c r="E122" s="3"/>
      <c r="F122" s="517"/>
      <c r="G122" s="288"/>
      <c r="H122" s="517"/>
      <c r="I122" s="288"/>
      <c r="J122" s="3"/>
      <c r="K122" s="3"/>
      <c r="L122" s="517"/>
      <c r="M122" s="288"/>
      <c r="N122" s="3"/>
      <c r="O122" s="3"/>
      <c r="P122" s="3"/>
      <c r="Q122" s="3"/>
      <c r="R122" s="3"/>
      <c r="S122" s="3"/>
      <c r="T122" s="3"/>
      <c r="U122" s="3"/>
      <c r="V122" s="3"/>
      <c r="W122" s="3"/>
      <c r="X122" s="3"/>
    </row>
    <row r="123" spans="1:24" ht="13.2">
      <c r="A123" s="3"/>
      <c r="B123" s="3"/>
      <c r="C123" s="2"/>
      <c r="D123" s="3"/>
      <c r="E123" s="3"/>
      <c r="F123" s="517"/>
      <c r="G123" s="288"/>
      <c r="H123" s="517"/>
      <c r="I123" s="288"/>
      <c r="J123" s="3"/>
      <c r="K123" s="3"/>
      <c r="L123" s="517"/>
      <c r="M123" s="288"/>
      <c r="N123" s="3"/>
      <c r="O123" s="3"/>
      <c r="P123" s="3"/>
      <c r="Q123" s="3"/>
      <c r="R123" s="3"/>
      <c r="S123" s="3"/>
      <c r="T123" s="3"/>
      <c r="U123" s="3"/>
      <c r="V123" s="3"/>
      <c r="W123" s="3"/>
      <c r="X123" s="3"/>
    </row>
    <row r="124" spans="1:24" ht="13.2">
      <c r="A124" s="3"/>
      <c r="B124" s="3"/>
      <c r="C124" s="2"/>
      <c r="D124" s="3"/>
      <c r="E124" s="3"/>
      <c r="F124" s="517"/>
      <c r="G124" s="288"/>
      <c r="H124" s="517"/>
      <c r="I124" s="288"/>
      <c r="J124" s="3"/>
      <c r="K124" s="3"/>
      <c r="L124" s="517"/>
      <c r="M124" s="288"/>
      <c r="N124" s="3"/>
      <c r="O124" s="3"/>
      <c r="P124" s="3"/>
      <c r="Q124" s="3"/>
      <c r="R124" s="3"/>
      <c r="S124" s="3"/>
      <c r="T124" s="3"/>
      <c r="U124" s="3"/>
      <c r="V124" s="3"/>
      <c r="W124" s="3"/>
      <c r="X124" s="3"/>
    </row>
    <row r="125" spans="1:24" ht="13.2">
      <c r="A125" s="3"/>
      <c r="B125" s="3"/>
      <c r="C125" s="2"/>
      <c r="D125" s="3"/>
      <c r="E125" s="3"/>
      <c r="F125" s="517"/>
      <c r="G125" s="288"/>
      <c r="H125" s="517"/>
      <c r="I125" s="288"/>
      <c r="J125" s="3"/>
      <c r="K125" s="3"/>
      <c r="L125" s="517"/>
      <c r="M125" s="288"/>
      <c r="N125" s="3"/>
      <c r="O125" s="3"/>
      <c r="P125" s="3"/>
      <c r="Q125" s="3"/>
      <c r="R125" s="3"/>
      <c r="S125" s="3"/>
      <c r="T125" s="3"/>
      <c r="U125" s="3"/>
      <c r="V125" s="3"/>
      <c r="W125" s="3"/>
      <c r="X125" s="3"/>
    </row>
    <row r="126" spans="1:24" ht="13.2">
      <c r="A126" s="3"/>
      <c r="B126" s="3"/>
      <c r="C126" s="2"/>
      <c r="D126" s="3"/>
      <c r="E126" s="3"/>
      <c r="F126" s="517"/>
      <c r="G126" s="288"/>
      <c r="H126" s="517"/>
      <c r="I126" s="288"/>
      <c r="J126" s="3"/>
      <c r="K126" s="3"/>
      <c r="L126" s="517"/>
      <c r="M126" s="288"/>
      <c r="N126" s="3"/>
      <c r="O126" s="3"/>
      <c r="P126" s="3"/>
      <c r="Q126" s="3"/>
      <c r="R126" s="3"/>
      <c r="S126" s="3"/>
      <c r="T126" s="3"/>
      <c r="U126" s="3"/>
      <c r="V126" s="3"/>
      <c r="W126" s="3"/>
      <c r="X126" s="3"/>
    </row>
    <row r="127" spans="1:24" ht="13.2">
      <c r="A127" s="3"/>
      <c r="B127" s="3"/>
      <c r="C127" s="2"/>
      <c r="D127" s="3"/>
      <c r="E127" s="3"/>
      <c r="F127" s="517"/>
      <c r="G127" s="288"/>
      <c r="H127" s="517"/>
      <c r="I127" s="288"/>
      <c r="J127" s="3"/>
      <c r="K127" s="3"/>
      <c r="L127" s="517"/>
      <c r="M127" s="288"/>
      <c r="N127" s="3"/>
      <c r="O127" s="3"/>
      <c r="P127" s="3"/>
      <c r="Q127" s="3"/>
      <c r="R127" s="3"/>
      <c r="S127" s="3"/>
      <c r="T127" s="3"/>
      <c r="U127" s="3"/>
      <c r="V127" s="3"/>
      <c r="W127" s="3"/>
      <c r="X127" s="3"/>
    </row>
    <row r="128" spans="1:24" ht="13.2">
      <c r="A128" s="3"/>
      <c r="B128" s="3"/>
      <c r="C128" s="2"/>
      <c r="D128" s="3"/>
      <c r="E128" s="3"/>
      <c r="F128" s="517"/>
      <c r="G128" s="288"/>
      <c r="H128" s="517"/>
      <c r="I128" s="288"/>
      <c r="J128" s="3"/>
      <c r="K128" s="3"/>
      <c r="L128" s="517"/>
      <c r="M128" s="288"/>
      <c r="N128" s="3"/>
      <c r="O128" s="3"/>
      <c r="P128" s="3"/>
      <c r="Q128" s="3"/>
      <c r="R128" s="3"/>
      <c r="S128" s="3"/>
      <c r="T128" s="3"/>
      <c r="U128" s="3"/>
      <c r="V128" s="3"/>
      <c r="W128" s="3"/>
      <c r="X128" s="3"/>
    </row>
    <row r="129" spans="1:24" ht="13.2">
      <c r="A129" s="3"/>
      <c r="B129" s="3"/>
      <c r="C129" s="2"/>
      <c r="D129" s="3"/>
      <c r="E129" s="3"/>
      <c r="F129" s="517"/>
      <c r="G129" s="288"/>
      <c r="H129" s="517"/>
      <c r="I129" s="288"/>
      <c r="J129" s="3"/>
      <c r="K129" s="3"/>
      <c r="L129" s="517"/>
      <c r="M129" s="288"/>
      <c r="N129" s="3"/>
      <c r="O129" s="3"/>
      <c r="P129" s="3"/>
      <c r="Q129" s="3"/>
      <c r="R129" s="3"/>
      <c r="S129" s="3"/>
      <c r="T129" s="3"/>
      <c r="U129" s="3"/>
      <c r="V129" s="3"/>
      <c r="W129" s="3"/>
      <c r="X129" s="3"/>
    </row>
    <row r="130" spans="1:24" ht="13.2">
      <c r="A130" s="3"/>
      <c r="B130" s="3"/>
      <c r="C130" s="2"/>
      <c r="D130" s="3"/>
      <c r="E130" s="3"/>
      <c r="F130" s="517"/>
      <c r="G130" s="288"/>
      <c r="H130" s="517"/>
      <c r="I130" s="288"/>
      <c r="J130" s="3"/>
      <c r="K130" s="3"/>
      <c r="L130" s="517"/>
      <c r="M130" s="288"/>
      <c r="N130" s="3"/>
      <c r="O130" s="3"/>
      <c r="P130" s="3"/>
      <c r="Q130" s="3"/>
      <c r="R130" s="3"/>
      <c r="S130" s="3"/>
      <c r="T130" s="3"/>
      <c r="U130" s="3"/>
      <c r="V130" s="3"/>
      <c r="W130" s="3"/>
      <c r="X130" s="3"/>
    </row>
    <row r="131" spans="1:24" ht="13.2">
      <c r="A131" s="3"/>
      <c r="B131" s="3"/>
      <c r="C131" s="2"/>
      <c r="D131" s="3"/>
      <c r="E131" s="3"/>
      <c r="F131" s="517"/>
      <c r="G131" s="288"/>
      <c r="H131" s="517"/>
      <c r="I131" s="288"/>
      <c r="J131" s="3"/>
      <c r="K131" s="3"/>
      <c r="L131" s="517"/>
      <c r="M131" s="288"/>
      <c r="N131" s="3"/>
      <c r="O131" s="3"/>
      <c r="P131" s="3"/>
      <c r="Q131" s="3"/>
      <c r="R131" s="3"/>
      <c r="S131" s="3"/>
      <c r="T131" s="3"/>
      <c r="U131" s="3"/>
      <c r="V131" s="3"/>
      <c r="W131" s="3"/>
      <c r="X131" s="3"/>
    </row>
    <row r="132" spans="1:24" ht="13.2">
      <c r="A132" s="3"/>
      <c r="B132" s="3"/>
      <c r="C132" s="2"/>
      <c r="D132" s="3"/>
      <c r="E132" s="3"/>
      <c r="F132" s="517"/>
      <c r="G132" s="288"/>
      <c r="H132" s="517"/>
      <c r="I132" s="288"/>
      <c r="J132" s="3"/>
      <c r="K132" s="3"/>
      <c r="L132" s="517"/>
      <c r="M132" s="288"/>
      <c r="N132" s="3"/>
      <c r="O132" s="3"/>
      <c r="P132" s="3"/>
      <c r="Q132" s="3"/>
      <c r="R132" s="3"/>
      <c r="S132" s="3"/>
      <c r="T132" s="3"/>
      <c r="U132" s="3"/>
      <c r="V132" s="3"/>
      <c r="W132" s="3"/>
      <c r="X132" s="3"/>
    </row>
    <row r="133" spans="1:24" ht="13.2">
      <c r="A133" s="3"/>
      <c r="B133" s="3"/>
      <c r="C133" s="2"/>
      <c r="D133" s="3"/>
      <c r="E133" s="3"/>
      <c r="F133" s="517"/>
      <c r="G133" s="288"/>
      <c r="H133" s="517"/>
      <c r="I133" s="288"/>
      <c r="J133" s="3"/>
      <c r="K133" s="3"/>
      <c r="L133" s="517"/>
      <c r="M133" s="288"/>
      <c r="N133" s="3"/>
      <c r="O133" s="3"/>
      <c r="P133" s="3"/>
      <c r="Q133" s="3"/>
      <c r="R133" s="3"/>
      <c r="S133" s="3"/>
      <c r="T133" s="3"/>
      <c r="U133" s="3"/>
      <c r="V133" s="3"/>
      <c r="W133" s="3"/>
      <c r="X133" s="3"/>
    </row>
    <row r="134" spans="1:24" ht="13.2">
      <c r="A134" s="3"/>
      <c r="B134" s="3"/>
      <c r="C134" s="2"/>
      <c r="D134" s="3"/>
      <c r="E134" s="3"/>
      <c r="F134" s="517"/>
      <c r="G134" s="288"/>
      <c r="H134" s="517"/>
      <c r="I134" s="288"/>
      <c r="J134" s="3"/>
      <c r="K134" s="3"/>
      <c r="L134" s="517"/>
      <c r="M134" s="288"/>
      <c r="N134" s="3"/>
      <c r="O134" s="3"/>
      <c r="P134" s="3"/>
      <c r="Q134" s="3"/>
      <c r="R134" s="3"/>
      <c r="S134" s="3"/>
      <c r="T134" s="3"/>
      <c r="U134" s="3"/>
      <c r="V134" s="3"/>
      <c r="W134" s="3"/>
      <c r="X134" s="3"/>
    </row>
    <row r="135" spans="1:24" ht="13.2">
      <c r="A135" s="3"/>
      <c r="B135" s="3"/>
      <c r="C135" s="2"/>
      <c r="D135" s="3"/>
      <c r="E135" s="3"/>
      <c r="F135" s="517"/>
      <c r="G135" s="288"/>
      <c r="H135" s="3"/>
      <c r="I135" s="3"/>
      <c r="J135" s="3"/>
      <c r="K135" s="3"/>
      <c r="L135" s="517"/>
      <c r="M135" s="288"/>
      <c r="N135" s="3"/>
      <c r="O135" s="3"/>
      <c r="P135" s="3"/>
      <c r="Q135" s="3"/>
      <c r="R135" s="3"/>
      <c r="S135" s="3"/>
      <c r="T135" s="3"/>
      <c r="U135" s="3"/>
      <c r="V135" s="3"/>
      <c r="W135" s="3"/>
      <c r="X135" s="3"/>
    </row>
    <row r="136" spans="1:24" ht="13.2">
      <c r="A136" s="3"/>
      <c r="B136" s="3"/>
      <c r="C136" s="2"/>
      <c r="D136" s="3"/>
      <c r="E136" s="3"/>
      <c r="F136" s="517"/>
      <c r="G136" s="288"/>
      <c r="H136" s="3"/>
      <c r="I136" s="3"/>
      <c r="J136" s="3"/>
      <c r="K136" s="3"/>
      <c r="L136" s="517"/>
      <c r="M136" s="288"/>
      <c r="N136" s="3"/>
      <c r="O136" s="3"/>
      <c r="P136" s="3"/>
      <c r="Q136" s="3"/>
      <c r="R136" s="3"/>
      <c r="S136" s="3"/>
      <c r="T136" s="3"/>
      <c r="U136" s="3"/>
      <c r="V136" s="3"/>
      <c r="W136" s="3"/>
      <c r="X136" s="3"/>
    </row>
    <row r="137" spans="1:24" ht="13.2">
      <c r="A137" s="3"/>
      <c r="B137" s="3"/>
      <c r="C137" s="2"/>
      <c r="D137" s="3"/>
      <c r="E137" s="3"/>
      <c r="F137" s="517"/>
      <c r="G137" s="288"/>
      <c r="H137" s="3"/>
      <c r="I137" s="3"/>
      <c r="J137" s="3"/>
      <c r="K137" s="3"/>
      <c r="L137" s="517"/>
      <c r="M137" s="288"/>
      <c r="N137" s="3"/>
      <c r="O137" s="3"/>
      <c r="P137" s="3"/>
      <c r="Q137" s="3"/>
      <c r="R137" s="3"/>
      <c r="S137" s="3"/>
      <c r="T137" s="3"/>
      <c r="U137" s="3"/>
      <c r="V137" s="3"/>
      <c r="W137" s="3"/>
      <c r="X137" s="3"/>
    </row>
    <row r="138" spans="1:24" ht="13.2">
      <c r="A138" s="3"/>
      <c r="B138" s="3"/>
      <c r="C138" s="2"/>
      <c r="D138" s="3"/>
      <c r="E138" s="3"/>
      <c r="F138" s="517"/>
      <c r="G138" s="288"/>
      <c r="H138" s="3"/>
      <c r="I138" s="3"/>
      <c r="J138" s="3"/>
      <c r="K138" s="3"/>
      <c r="L138" s="517"/>
      <c r="M138" s="288"/>
      <c r="N138" s="3"/>
      <c r="O138" s="3"/>
      <c r="P138" s="3"/>
      <c r="Q138" s="3"/>
      <c r="R138" s="3"/>
      <c r="S138" s="3"/>
      <c r="T138" s="3"/>
      <c r="U138" s="3"/>
      <c r="V138" s="3"/>
      <c r="W138" s="3"/>
      <c r="X138" s="3"/>
    </row>
    <row r="139" spans="1:24" ht="13.2">
      <c r="A139" s="3"/>
      <c r="B139" s="3"/>
      <c r="C139" s="2"/>
      <c r="D139" s="3"/>
      <c r="E139" s="3"/>
      <c r="F139" s="517"/>
      <c r="G139" s="288"/>
      <c r="H139" s="3"/>
      <c r="I139" s="3"/>
      <c r="J139" s="3"/>
      <c r="K139" s="3"/>
      <c r="L139" s="517"/>
      <c r="M139" s="288"/>
      <c r="N139" s="3"/>
      <c r="O139" s="3"/>
      <c r="P139" s="3"/>
      <c r="Q139" s="3"/>
      <c r="R139" s="3"/>
      <c r="S139" s="3"/>
      <c r="T139" s="3"/>
      <c r="U139" s="3"/>
      <c r="V139" s="3"/>
      <c r="W139" s="3"/>
      <c r="X139" s="3"/>
    </row>
    <row r="140" spans="1:24" ht="13.2">
      <c r="A140" s="3"/>
      <c r="B140" s="3"/>
      <c r="C140" s="2"/>
      <c r="D140" s="3"/>
      <c r="E140" s="3"/>
      <c r="F140" s="517"/>
      <c r="G140" s="288"/>
      <c r="H140" s="3"/>
      <c r="I140" s="3"/>
      <c r="J140" s="3"/>
      <c r="K140" s="3"/>
      <c r="L140" s="517"/>
      <c r="M140" s="288"/>
      <c r="N140" s="3"/>
      <c r="O140" s="3"/>
      <c r="P140" s="3"/>
      <c r="Q140" s="3"/>
      <c r="R140" s="3"/>
      <c r="S140" s="3"/>
      <c r="T140" s="3"/>
      <c r="U140" s="3"/>
      <c r="V140" s="3"/>
      <c r="W140" s="3"/>
      <c r="X140" s="3"/>
    </row>
    <row r="141" spans="1:24" ht="13.2">
      <c r="A141" s="3"/>
      <c r="B141" s="3"/>
      <c r="C141" s="2"/>
      <c r="D141" s="3"/>
      <c r="E141" s="3"/>
      <c r="F141" s="517"/>
      <c r="G141" s="288"/>
      <c r="H141" s="3"/>
      <c r="I141" s="3"/>
      <c r="J141" s="3"/>
      <c r="K141" s="3"/>
      <c r="L141" s="517"/>
      <c r="M141" s="288"/>
      <c r="N141" s="3"/>
      <c r="O141" s="3"/>
      <c r="P141" s="3"/>
      <c r="Q141" s="3"/>
      <c r="R141" s="3"/>
      <c r="S141" s="3"/>
      <c r="T141" s="3"/>
      <c r="U141" s="3"/>
      <c r="V141" s="3"/>
      <c r="W141" s="3"/>
      <c r="X141" s="3"/>
    </row>
    <row r="142" spans="1:24" ht="13.2">
      <c r="A142" s="3"/>
      <c r="B142" s="3"/>
      <c r="C142" s="2"/>
      <c r="D142" s="3"/>
      <c r="E142" s="3"/>
      <c r="F142" s="517"/>
      <c r="G142" s="288"/>
      <c r="H142" s="3"/>
      <c r="I142" s="3"/>
      <c r="J142" s="3"/>
      <c r="K142" s="3"/>
      <c r="L142" s="517"/>
      <c r="M142" s="288"/>
      <c r="N142" s="3"/>
      <c r="O142" s="3"/>
      <c r="P142" s="3"/>
      <c r="Q142" s="3"/>
      <c r="R142" s="3"/>
      <c r="S142" s="3"/>
      <c r="T142" s="3"/>
      <c r="U142" s="3"/>
      <c r="V142" s="3"/>
      <c r="W142" s="3"/>
      <c r="X142" s="3"/>
    </row>
    <row r="143" spans="1:24" ht="13.2">
      <c r="A143" s="3"/>
      <c r="B143" s="3"/>
      <c r="C143" s="2"/>
      <c r="D143" s="3"/>
      <c r="E143" s="3"/>
      <c r="F143" s="517"/>
      <c r="G143" s="288"/>
      <c r="H143" s="3"/>
      <c r="I143" s="3"/>
      <c r="J143" s="3"/>
      <c r="K143" s="3"/>
      <c r="L143" s="517"/>
      <c r="M143" s="288"/>
      <c r="N143" s="3"/>
      <c r="O143" s="3"/>
      <c r="P143" s="3"/>
      <c r="Q143" s="3"/>
      <c r="R143" s="3"/>
      <c r="S143" s="3"/>
      <c r="T143" s="3"/>
      <c r="U143" s="3"/>
      <c r="V143" s="3"/>
      <c r="W143" s="3"/>
      <c r="X143" s="3"/>
    </row>
    <row r="144" spans="1:24" ht="13.2">
      <c r="A144" s="3"/>
      <c r="B144" s="3"/>
      <c r="C144" s="2"/>
      <c r="D144" s="3"/>
      <c r="E144" s="3"/>
      <c r="F144" s="517"/>
      <c r="G144" s="288"/>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517"/>
      <c r="G145" s="288"/>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517"/>
      <c r="G146" s="288"/>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 ref="B13:P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F142:G142"/>
    <mergeCell ref="F143:G143"/>
    <mergeCell ref="F144:G144"/>
    <mergeCell ref="F145:G145"/>
    <mergeCell ref="F146:G146"/>
    <mergeCell ref="F135:G135"/>
    <mergeCell ref="F136:G136"/>
    <mergeCell ref="F137:G137"/>
    <mergeCell ref="F138:G138"/>
    <mergeCell ref="F139:G139"/>
    <mergeCell ref="F140:G140"/>
    <mergeCell ref="F141:G141"/>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22:G122"/>
    <mergeCell ref="H122:I122"/>
    <mergeCell ref="L122:M122"/>
    <mergeCell ref="L128:M128"/>
    <mergeCell ref="L129:M129"/>
    <mergeCell ref="F123:G123"/>
    <mergeCell ref="H123:I123"/>
    <mergeCell ref="F124:G124"/>
    <mergeCell ref="H124:I124"/>
    <mergeCell ref="L123:M123"/>
    <mergeCell ref="L124:M124"/>
    <mergeCell ref="L125:M125"/>
    <mergeCell ref="L126:M126"/>
    <mergeCell ref="L127:M12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3"/>
  <sheetViews>
    <sheetView zoomScale="85" zoomScaleNormal="85" zoomScalePageLayoutView="55" workbookViewId="0">
      <selection activeCell="R5" sqref="R5:AB8"/>
    </sheetView>
  </sheetViews>
  <sheetFormatPr defaultColWidth="12.6640625" defaultRowHeight="15.75" customHeight="1"/>
  <cols>
    <col min="1" max="1" width="3.88671875" style="134" customWidth="1"/>
    <col min="2" max="2" width="10.88671875" style="134" customWidth="1"/>
    <col min="3" max="3" width="6.33203125" style="134" customWidth="1"/>
    <col min="4" max="4" width="1.88671875" style="134" customWidth="1"/>
    <col min="5" max="5" width="18.33203125" style="134" customWidth="1"/>
    <col min="6" max="6" width="9.21875" style="134" customWidth="1"/>
    <col min="7" max="7" width="8.44140625" style="134" customWidth="1"/>
    <col min="8" max="9" width="9.109375" style="134" customWidth="1"/>
    <col min="10" max="10" width="10" style="134" customWidth="1"/>
    <col min="11" max="11" width="15.109375" style="134" customWidth="1"/>
    <col min="12" max="16" width="3.88671875" style="134" customWidth="1"/>
    <col min="17" max="17" width="14.77734375" style="134" customWidth="1"/>
    <col min="18" max="28" width="6.44140625" style="134" customWidth="1"/>
    <col min="29" max="29" width="12.6640625" style="134"/>
    <col min="30" max="30" width="3.88671875" style="134" customWidth="1"/>
    <col min="31" max="16384" width="12.6640625" style="134"/>
  </cols>
  <sheetData>
    <row r="1" spans="1:32" ht="15">
      <c r="A1" s="133"/>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row>
    <row r="2" spans="1:32" ht="15">
      <c r="A2" s="135"/>
      <c r="B2" s="136"/>
      <c r="C2" s="136"/>
      <c r="D2" s="136"/>
      <c r="E2" s="136"/>
      <c r="F2" s="136"/>
      <c r="G2" s="136"/>
      <c r="H2" s="136"/>
      <c r="I2" s="136"/>
      <c r="J2" s="136"/>
      <c r="K2" s="136"/>
      <c r="L2" s="137"/>
      <c r="M2" s="138"/>
      <c r="N2" s="138"/>
      <c r="O2" s="133"/>
      <c r="P2" s="135"/>
      <c r="Q2" s="136"/>
      <c r="R2" s="136"/>
      <c r="S2" s="136"/>
      <c r="T2" s="136"/>
      <c r="U2" s="136"/>
      <c r="V2" s="136"/>
      <c r="W2" s="136"/>
      <c r="X2" s="136"/>
      <c r="Y2" s="136"/>
      <c r="Z2" s="136"/>
      <c r="AA2" s="136"/>
      <c r="AB2" s="136"/>
      <c r="AC2" s="136"/>
      <c r="AD2" s="137"/>
      <c r="AE2" s="133"/>
      <c r="AF2" s="133"/>
    </row>
    <row r="3" spans="1:32" ht="15.6">
      <c r="A3" s="139"/>
      <c r="B3" s="140"/>
      <c r="C3" s="140"/>
      <c r="D3" s="140"/>
      <c r="E3" s="140"/>
      <c r="F3" s="140"/>
      <c r="G3" s="140"/>
      <c r="H3" s="140"/>
      <c r="I3" s="140"/>
      <c r="J3" s="140"/>
      <c r="K3" s="140"/>
      <c r="L3" s="141"/>
      <c r="M3" s="142"/>
      <c r="N3" s="142"/>
      <c r="O3" s="140"/>
      <c r="P3" s="143"/>
      <c r="Q3" s="140"/>
      <c r="R3" s="140"/>
      <c r="S3" s="140"/>
      <c r="T3" s="133"/>
      <c r="U3" s="133"/>
      <c r="V3" s="133"/>
      <c r="W3" s="133"/>
      <c r="X3" s="133"/>
      <c r="Y3" s="133"/>
      <c r="Z3" s="133"/>
      <c r="AA3" s="133"/>
      <c r="AB3" s="133"/>
      <c r="AC3" s="133"/>
      <c r="AD3" s="144"/>
      <c r="AE3" s="133"/>
      <c r="AF3" s="133"/>
    </row>
    <row r="4" spans="1:32" ht="15.6">
      <c r="A4" s="145"/>
      <c r="B4" s="598" t="s">
        <v>42</v>
      </c>
      <c r="C4" s="597"/>
      <c r="D4" s="597"/>
      <c r="E4" s="597"/>
      <c r="F4" s="597"/>
      <c r="G4" s="597"/>
      <c r="H4" s="597"/>
      <c r="I4" s="597"/>
      <c r="J4" s="597"/>
      <c r="K4" s="597"/>
      <c r="L4" s="147"/>
      <c r="M4" s="148"/>
      <c r="N4" s="148"/>
      <c r="O4" s="149"/>
      <c r="P4" s="150"/>
      <c r="Q4" s="151" t="s">
        <v>43</v>
      </c>
      <c r="R4" s="151" t="s">
        <v>44</v>
      </c>
      <c r="S4" s="151" t="s">
        <v>45</v>
      </c>
      <c r="T4" s="151" t="s">
        <v>46</v>
      </c>
      <c r="U4" s="151" t="s">
        <v>47</v>
      </c>
      <c r="V4" s="151" t="s">
        <v>48</v>
      </c>
      <c r="W4" s="151" t="s">
        <v>49</v>
      </c>
      <c r="X4" s="151" t="s">
        <v>50</v>
      </c>
      <c r="Y4" s="151" t="s">
        <v>51</v>
      </c>
      <c r="Z4" s="151" t="s">
        <v>52</v>
      </c>
      <c r="AA4" s="151" t="s">
        <v>53</v>
      </c>
      <c r="AB4" s="151" t="s">
        <v>54</v>
      </c>
      <c r="AC4" s="151" t="s">
        <v>55</v>
      </c>
      <c r="AD4" s="144"/>
      <c r="AE4" s="133"/>
      <c r="AF4" s="133"/>
    </row>
    <row r="5" spans="1:32" ht="15.6">
      <c r="A5" s="145"/>
      <c r="B5" s="598" t="s">
        <v>56</v>
      </c>
      <c r="C5" s="597"/>
      <c r="D5" s="597"/>
      <c r="E5" s="597"/>
      <c r="F5" s="597"/>
      <c r="G5" s="597"/>
      <c r="H5" s="597"/>
      <c r="I5" s="597"/>
      <c r="J5" s="597"/>
      <c r="K5" s="597"/>
      <c r="L5" s="147"/>
      <c r="M5" s="148"/>
      <c r="N5" s="148"/>
      <c r="O5" s="133"/>
      <c r="P5" s="152"/>
      <c r="Q5" s="592" t="s">
        <v>57</v>
      </c>
      <c r="R5" s="599"/>
      <c r="S5" s="599"/>
      <c r="T5" s="599"/>
      <c r="U5" s="599"/>
      <c r="V5" s="599"/>
      <c r="W5" s="599"/>
      <c r="X5" s="599"/>
      <c r="Y5" s="599"/>
      <c r="Z5" s="599"/>
      <c r="AA5" s="599"/>
      <c r="AB5" s="599"/>
      <c r="AC5" s="590">
        <f>SUM(R5:AB6)</f>
        <v>0</v>
      </c>
      <c r="AD5" s="144"/>
      <c r="AE5" s="133"/>
      <c r="AF5" s="133"/>
    </row>
    <row r="6" spans="1:32" ht="15.6">
      <c r="A6" s="153"/>
      <c r="B6" s="133"/>
      <c r="C6" s="149"/>
      <c r="D6" s="149"/>
      <c r="E6" s="149"/>
      <c r="F6" s="149"/>
      <c r="G6" s="149"/>
      <c r="H6" s="149"/>
      <c r="I6" s="149"/>
      <c r="J6" s="149"/>
      <c r="K6" s="149"/>
      <c r="L6" s="144"/>
      <c r="M6" s="138"/>
      <c r="N6" s="138"/>
      <c r="O6" s="149"/>
      <c r="P6" s="150"/>
      <c r="Q6" s="593"/>
      <c r="R6" s="593"/>
      <c r="S6" s="593"/>
      <c r="T6" s="593"/>
      <c r="U6" s="593"/>
      <c r="V6" s="593"/>
      <c r="W6" s="593"/>
      <c r="X6" s="593"/>
      <c r="Y6" s="593"/>
      <c r="Z6" s="593"/>
      <c r="AA6" s="593"/>
      <c r="AB6" s="593"/>
      <c r="AC6" s="591"/>
      <c r="AD6" s="144"/>
      <c r="AE6" s="133"/>
      <c r="AF6" s="133"/>
    </row>
    <row r="7" spans="1:32" ht="15.6">
      <c r="A7" s="145"/>
      <c r="B7" s="600" t="e">
        <f>#REF!</f>
        <v>#REF!</v>
      </c>
      <c r="C7" s="601"/>
      <c r="D7" s="601"/>
      <c r="E7" s="601"/>
      <c r="F7" s="601"/>
      <c r="G7" s="601"/>
      <c r="H7" s="601"/>
      <c r="I7" s="601"/>
      <c r="J7" s="601"/>
      <c r="K7" s="601"/>
      <c r="L7" s="147"/>
      <c r="M7" s="148"/>
      <c r="N7" s="148"/>
      <c r="O7" s="149"/>
      <c r="P7" s="150"/>
      <c r="Q7" s="592" t="s">
        <v>58</v>
      </c>
      <c r="R7" s="594"/>
      <c r="S7" s="594"/>
      <c r="T7" s="594"/>
      <c r="U7" s="594"/>
      <c r="V7" s="594"/>
      <c r="W7" s="594"/>
      <c r="X7" s="594"/>
      <c r="Y7" s="594"/>
      <c r="Z7" s="594"/>
      <c r="AA7" s="594"/>
      <c r="AB7" s="594"/>
      <c r="AC7" s="590">
        <f>SUM(R7:AB8)</f>
        <v>0</v>
      </c>
      <c r="AD7" s="144"/>
      <c r="AE7" s="133"/>
      <c r="AF7" s="133"/>
    </row>
    <row r="8" spans="1:32" ht="15.6">
      <c r="A8" s="154"/>
      <c r="B8" s="620" t="e">
        <f>#REF!</f>
        <v>#REF!</v>
      </c>
      <c r="C8" s="601"/>
      <c r="D8" s="601"/>
      <c r="E8" s="601"/>
      <c r="F8" s="601"/>
      <c r="G8" s="601"/>
      <c r="H8" s="601"/>
      <c r="I8" s="601"/>
      <c r="J8" s="601"/>
      <c r="K8" s="601"/>
      <c r="L8" s="147"/>
      <c r="M8" s="148"/>
      <c r="N8" s="148"/>
      <c r="O8" s="149"/>
      <c r="P8" s="150"/>
      <c r="Q8" s="593"/>
      <c r="R8" s="595"/>
      <c r="S8" s="595"/>
      <c r="T8" s="595"/>
      <c r="U8" s="595"/>
      <c r="V8" s="595"/>
      <c r="W8" s="595"/>
      <c r="X8" s="595"/>
      <c r="Y8" s="595"/>
      <c r="Z8" s="595"/>
      <c r="AA8" s="595"/>
      <c r="AB8" s="595"/>
      <c r="AC8" s="591"/>
      <c r="AD8" s="144"/>
      <c r="AE8" s="133"/>
      <c r="AF8" s="133"/>
    </row>
    <row r="9" spans="1:32" ht="15.6">
      <c r="A9" s="145"/>
      <c r="B9" s="610" t="s">
        <v>114</v>
      </c>
      <c r="C9" s="612"/>
      <c r="D9" s="612"/>
      <c r="E9" s="612"/>
      <c r="F9" s="612"/>
      <c r="G9" s="612"/>
      <c r="H9" s="612"/>
      <c r="I9" s="612"/>
      <c r="J9" s="612"/>
      <c r="K9" s="612"/>
      <c r="L9" s="147"/>
      <c r="M9" s="148"/>
      <c r="N9" s="148"/>
      <c r="O9" s="149"/>
      <c r="P9" s="150"/>
      <c r="Q9" s="592" t="s">
        <v>59</v>
      </c>
      <c r="R9" s="594">
        <f>ABS(R5-R7)</f>
        <v>0</v>
      </c>
      <c r="S9" s="594">
        <f t="shared" ref="S9:AC9" si="0">ABS(S5-S7)</f>
        <v>0</v>
      </c>
      <c r="T9" s="594">
        <f t="shared" si="0"/>
        <v>0</v>
      </c>
      <c r="U9" s="594">
        <f t="shared" si="0"/>
        <v>0</v>
      </c>
      <c r="V9" s="594">
        <f t="shared" si="0"/>
        <v>0</v>
      </c>
      <c r="W9" s="594">
        <f t="shared" si="0"/>
        <v>0</v>
      </c>
      <c r="X9" s="594">
        <f t="shared" si="0"/>
        <v>0</v>
      </c>
      <c r="Y9" s="594">
        <f t="shared" si="0"/>
        <v>0</v>
      </c>
      <c r="Z9" s="594">
        <f t="shared" si="0"/>
        <v>0</v>
      </c>
      <c r="AA9" s="594">
        <f t="shared" si="0"/>
        <v>0</v>
      </c>
      <c r="AB9" s="594">
        <f t="shared" si="0"/>
        <v>0</v>
      </c>
      <c r="AC9" s="590">
        <f t="shared" si="0"/>
        <v>0</v>
      </c>
      <c r="AD9" s="144"/>
      <c r="AE9" s="133"/>
      <c r="AF9" s="133"/>
    </row>
    <row r="10" spans="1:32" ht="15.6">
      <c r="A10" s="145"/>
      <c r="B10" s="628" t="e">
        <f>#REF!</f>
        <v>#REF!</v>
      </c>
      <c r="C10" s="628"/>
      <c r="D10" s="628"/>
      <c r="E10" s="628"/>
      <c r="F10" s="628"/>
      <c r="G10" s="628"/>
      <c r="H10" s="628"/>
      <c r="I10" s="628"/>
      <c r="J10" s="628"/>
      <c r="K10" s="628"/>
      <c r="L10" s="147"/>
      <c r="M10" s="148"/>
      <c r="N10" s="148"/>
      <c r="O10" s="149"/>
      <c r="P10" s="150"/>
      <c r="Q10" s="593"/>
      <c r="R10" s="595"/>
      <c r="S10" s="595"/>
      <c r="T10" s="595"/>
      <c r="U10" s="595"/>
      <c r="V10" s="595"/>
      <c r="W10" s="595"/>
      <c r="X10" s="595"/>
      <c r="Y10" s="595"/>
      <c r="Z10" s="595"/>
      <c r="AA10" s="595"/>
      <c r="AB10" s="595"/>
      <c r="AC10" s="591"/>
      <c r="AD10" s="144"/>
      <c r="AE10" s="133"/>
      <c r="AF10" s="133"/>
    </row>
    <row r="11" spans="1:32" ht="4.2" customHeight="1">
      <c r="A11" s="145"/>
      <c r="B11" s="149"/>
      <c r="C11" s="149"/>
      <c r="D11" s="149"/>
      <c r="E11" s="149"/>
      <c r="F11" s="149"/>
      <c r="G11" s="149"/>
      <c r="H11" s="149"/>
      <c r="I11" s="149"/>
      <c r="J11" s="149"/>
      <c r="K11" s="149"/>
      <c r="L11" s="141"/>
      <c r="M11" s="142"/>
      <c r="N11" s="142"/>
      <c r="O11" s="140"/>
      <c r="P11" s="143"/>
      <c r="Q11" s="140"/>
      <c r="R11" s="140"/>
      <c r="S11" s="140"/>
      <c r="T11" s="133"/>
      <c r="U11" s="133"/>
      <c r="V11" s="133"/>
      <c r="W11" s="133"/>
      <c r="X11" s="133"/>
      <c r="Y11" s="133"/>
      <c r="Z11" s="133"/>
      <c r="AA11" s="133"/>
      <c r="AB11" s="133"/>
      <c r="AC11" s="133"/>
      <c r="AD11" s="144"/>
      <c r="AE11" s="133"/>
      <c r="AF11" s="133"/>
    </row>
    <row r="12" spans="1:32" ht="15.6">
      <c r="A12" s="153"/>
      <c r="B12" s="626" t="s">
        <v>1</v>
      </c>
      <c r="C12" s="627"/>
      <c r="D12" s="627"/>
      <c r="E12" s="627"/>
      <c r="F12" s="627"/>
      <c r="G12" s="627"/>
      <c r="H12" s="627"/>
      <c r="I12" s="627"/>
      <c r="J12" s="627"/>
      <c r="K12" s="627"/>
      <c r="L12" s="155"/>
      <c r="M12" s="156"/>
      <c r="N12" s="156"/>
      <c r="O12" s="157"/>
      <c r="P12" s="158"/>
      <c r="Q12" s="157"/>
      <c r="R12" s="149"/>
      <c r="S12" s="149"/>
      <c r="T12" s="133"/>
      <c r="U12" s="133"/>
      <c r="V12" s="133"/>
      <c r="W12" s="133"/>
      <c r="X12" s="133"/>
      <c r="Y12" s="133"/>
      <c r="Z12" s="133"/>
      <c r="AA12" s="133"/>
      <c r="AB12" s="133"/>
      <c r="AC12" s="133"/>
      <c r="AD12" s="144"/>
      <c r="AE12" s="133"/>
      <c r="AF12" s="133"/>
    </row>
    <row r="13" spans="1:32" ht="4.2" customHeight="1">
      <c r="A13" s="139"/>
      <c r="B13" s="140"/>
      <c r="C13" s="140"/>
      <c r="D13" s="140"/>
      <c r="E13" s="140"/>
      <c r="F13" s="140"/>
      <c r="G13" s="140"/>
      <c r="H13" s="140"/>
      <c r="I13" s="140"/>
      <c r="J13" s="140"/>
      <c r="K13" s="140"/>
      <c r="L13" s="141"/>
      <c r="M13" s="142"/>
      <c r="N13" s="142"/>
      <c r="O13" s="140"/>
      <c r="P13" s="143"/>
      <c r="Q13" s="140"/>
      <c r="R13" s="140"/>
      <c r="S13" s="140"/>
      <c r="T13" s="133"/>
      <c r="U13" s="133"/>
      <c r="V13" s="133"/>
      <c r="W13" s="133"/>
      <c r="X13" s="133"/>
      <c r="Y13" s="133"/>
      <c r="Z13" s="133"/>
      <c r="AA13" s="133"/>
      <c r="AB13" s="133"/>
      <c r="AC13" s="133"/>
      <c r="AD13" s="144"/>
      <c r="AE13" s="133"/>
      <c r="AF13" s="133"/>
    </row>
    <row r="14" spans="1:32" ht="15.6">
      <c r="A14" s="154"/>
      <c r="B14" s="596" t="s">
        <v>60</v>
      </c>
      <c r="C14" s="597"/>
      <c r="D14" s="597"/>
      <c r="E14" s="597"/>
      <c r="F14" s="597"/>
      <c r="G14" s="597"/>
      <c r="H14" s="597"/>
      <c r="I14" s="597"/>
      <c r="J14" s="597"/>
      <c r="K14" s="597"/>
      <c r="L14" s="159"/>
      <c r="M14" s="160"/>
      <c r="N14" s="160"/>
      <c r="O14" s="161"/>
      <c r="P14" s="162"/>
      <c r="Q14" s="596" t="s">
        <v>61</v>
      </c>
      <c r="R14" s="597"/>
      <c r="S14" s="597"/>
      <c r="T14" s="597"/>
      <c r="U14" s="597"/>
      <c r="V14" s="597"/>
      <c r="W14" s="597"/>
      <c r="X14" s="597"/>
      <c r="Y14" s="597"/>
      <c r="Z14" s="597"/>
      <c r="AA14" s="597"/>
      <c r="AB14" s="597"/>
      <c r="AC14" s="597"/>
      <c r="AD14" s="144"/>
      <c r="AE14" s="133"/>
      <c r="AF14" s="133"/>
    </row>
    <row r="15" spans="1:32" ht="15.6">
      <c r="A15" s="145"/>
      <c r="B15" s="612" t="s">
        <v>113</v>
      </c>
      <c r="C15" s="612"/>
      <c r="D15" s="612"/>
      <c r="E15" s="612"/>
      <c r="F15" s="612"/>
      <c r="G15" s="612"/>
      <c r="H15" s="612"/>
      <c r="I15" s="612"/>
      <c r="J15" s="612"/>
      <c r="K15" s="612"/>
      <c r="L15" s="155"/>
      <c r="M15" s="156"/>
      <c r="N15" s="156"/>
      <c r="O15" s="149"/>
      <c r="P15" s="150"/>
      <c r="Q15" s="602" t="s">
        <v>62</v>
      </c>
      <c r="R15" s="603"/>
      <c r="S15" s="603"/>
      <c r="T15" s="603"/>
      <c r="U15" s="603"/>
      <c r="V15" s="603"/>
      <c r="W15" s="603"/>
      <c r="X15" s="603"/>
      <c r="Y15" s="603"/>
      <c r="Z15" s="603"/>
      <c r="AA15" s="603"/>
      <c r="AB15" s="603"/>
      <c r="AC15" s="604"/>
      <c r="AD15" s="144"/>
      <c r="AE15" s="133"/>
      <c r="AF15" s="133"/>
    </row>
    <row r="16" spans="1:32" ht="15.6">
      <c r="A16" s="139"/>
      <c r="B16" s="140"/>
      <c r="C16" s="140"/>
      <c r="D16" s="140"/>
      <c r="E16" s="140"/>
      <c r="F16" s="140"/>
      <c r="G16" s="140"/>
      <c r="H16" s="140"/>
      <c r="I16" s="140"/>
      <c r="J16" s="140"/>
      <c r="K16" s="140"/>
      <c r="L16" s="141"/>
      <c r="M16" s="142"/>
      <c r="N16" s="142"/>
      <c r="O16" s="149"/>
      <c r="P16" s="150"/>
      <c r="Q16" s="605"/>
      <c r="R16" s="597"/>
      <c r="S16" s="597"/>
      <c r="T16" s="597"/>
      <c r="U16" s="597"/>
      <c r="V16" s="597"/>
      <c r="W16" s="597"/>
      <c r="X16" s="597"/>
      <c r="Y16" s="597"/>
      <c r="Z16" s="597"/>
      <c r="AA16" s="597"/>
      <c r="AB16" s="597"/>
      <c r="AC16" s="606"/>
      <c r="AD16" s="144"/>
      <c r="AE16" s="133"/>
      <c r="AF16" s="133"/>
    </row>
    <row r="17" spans="1:32" ht="15.6">
      <c r="A17" s="163"/>
      <c r="B17" s="157" t="s">
        <v>63</v>
      </c>
      <c r="C17" s="622"/>
      <c r="D17" s="623"/>
      <c r="E17" s="624"/>
      <c r="F17" s="624"/>
      <c r="G17" s="624"/>
      <c r="H17" s="164" t="s">
        <v>115</v>
      </c>
      <c r="I17" s="165" t="e">
        <f>VLOOKUP(C17,'TERM 1 SUMMARY'!C15:R115,7,0)</f>
        <v>#N/A</v>
      </c>
      <c r="J17" s="157" t="s">
        <v>64</v>
      </c>
      <c r="K17" s="165" t="e">
        <f>VLOOKUP(C17,'TERM 1 SUMMARY'!C15:R115,8,0)</f>
        <v>#N/A</v>
      </c>
      <c r="L17" s="166"/>
      <c r="M17" s="167"/>
      <c r="N17" s="167"/>
      <c r="O17" s="149"/>
      <c r="P17" s="150"/>
      <c r="Q17" s="605"/>
      <c r="R17" s="597"/>
      <c r="S17" s="597"/>
      <c r="T17" s="597"/>
      <c r="U17" s="597"/>
      <c r="V17" s="597"/>
      <c r="W17" s="597"/>
      <c r="X17" s="597"/>
      <c r="Y17" s="597"/>
      <c r="Z17" s="597"/>
      <c r="AA17" s="597"/>
      <c r="AB17" s="597"/>
      <c r="AC17" s="606"/>
      <c r="AD17" s="144"/>
      <c r="AE17" s="133"/>
      <c r="AF17" s="133"/>
    </row>
    <row r="18" spans="1:32" ht="15.6">
      <c r="A18" s="163"/>
      <c r="B18" s="157" t="s">
        <v>65</v>
      </c>
      <c r="C18" s="621" t="e">
        <f>VLOOKUP(C17,'TERM 1 SUMMARY'!C15:R115,4,0)</f>
        <v>#N/A</v>
      </c>
      <c r="D18" s="621"/>
      <c r="E18" s="621"/>
      <c r="F18" s="168"/>
      <c r="G18" s="169"/>
      <c r="H18" s="170" t="s">
        <v>116</v>
      </c>
      <c r="I18" s="165">
        <f>'TERM 1 SUMMARY'!G9</f>
        <v>0</v>
      </c>
      <c r="J18" s="157" t="s">
        <v>66</v>
      </c>
      <c r="K18" s="165">
        <f>'TERM 1 SUMMARY'!G10</f>
        <v>0</v>
      </c>
      <c r="L18" s="144"/>
      <c r="M18" s="138"/>
      <c r="N18" s="138"/>
      <c r="O18" s="149"/>
      <c r="P18" s="150"/>
      <c r="Q18" s="607"/>
      <c r="R18" s="608"/>
      <c r="S18" s="608"/>
      <c r="T18" s="608"/>
      <c r="U18" s="608"/>
      <c r="V18" s="608"/>
      <c r="W18" s="608"/>
      <c r="X18" s="608"/>
      <c r="Y18" s="608"/>
      <c r="Z18" s="608"/>
      <c r="AA18" s="608"/>
      <c r="AB18" s="608"/>
      <c r="AC18" s="609"/>
      <c r="AD18" s="144"/>
      <c r="AE18" s="133"/>
      <c r="AF18" s="133"/>
    </row>
    <row r="19" spans="1:32" ht="15.6">
      <c r="A19" s="171"/>
      <c r="B19" s="172" t="s">
        <v>68</v>
      </c>
      <c r="C19" s="172"/>
      <c r="D19" s="172"/>
      <c r="E19" s="564">
        <f>'INPUT DATA'!F28</f>
        <v>0</v>
      </c>
      <c r="F19" s="564"/>
      <c r="G19" s="133"/>
      <c r="H19" s="133"/>
      <c r="I19" s="133"/>
      <c r="J19" s="133"/>
      <c r="K19" s="133"/>
      <c r="L19" s="144"/>
      <c r="M19" s="138"/>
      <c r="N19" s="138"/>
      <c r="O19" s="172"/>
      <c r="P19" s="174"/>
      <c r="Q19" s="602" t="s">
        <v>70</v>
      </c>
      <c r="R19" s="603"/>
      <c r="S19" s="603"/>
      <c r="T19" s="603"/>
      <c r="U19" s="603"/>
      <c r="V19" s="603"/>
      <c r="W19" s="603"/>
      <c r="X19" s="603"/>
      <c r="Y19" s="603"/>
      <c r="Z19" s="603"/>
      <c r="AA19" s="603"/>
      <c r="AB19" s="603"/>
      <c r="AC19" s="604"/>
      <c r="AD19" s="144"/>
      <c r="AE19" s="133"/>
      <c r="AF19" s="133"/>
    </row>
    <row r="20" spans="1:32" ht="15.6">
      <c r="A20" s="139"/>
      <c r="B20" s="140"/>
      <c r="C20" s="140"/>
      <c r="D20" s="140"/>
      <c r="E20" s="140"/>
      <c r="F20" s="140"/>
      <c r="G20" s="140"/>
      <c r="H20" s="140"/>
      <c r="I20" s="140"/>
      <c r="J20" s="140"/>
      <c r="K20" s="140"/>
      <c r="L20" s="141"/>
      <c r="M20" s="142"/>
      <c r="N20" s="142"/>
      <c r="O20" s="140"/>
      <c r="P20" s="143"/>
      <c r="Q20" s="605"/>
      <c r="R20" s="597"/>
      <c r="S20" s="597"/>
      <c r="T20" s="597"/>
      <c r="U20" s="597"/>
      <c r="V20" s="597"/>
      <c r="W20" s="597"/>
      <c r="X20" s="597"/>
      <c r="Y20" s="597"/>
      <c r="Z20" s="597"/>
      <c r="AA20" s="597"/>
      <c r="AB20" s="597"/>
      <c r="AC20" s="606"/>
      <c r="AD20" s="144"/>
      <c r="AE20" s="133"/>
      <c r="AF20" s="133"/>
    </row>
    <row r="21" spans="1:32" ht="15.6">
      <c r="A21" s="175"/>
      <c r="B21" s="625" t="s">
        <v>72</v>
      </c>
      <c r="C21" s="597"/>
      <c r="E21" s="176"/>
      <c r="F21" s="176"/>
      <c r="G21" s="176"/>
      <c r="H21" s="176"/>
      <c r="I21" s="176"/>
      <c r="J21" s="176"/>
      <c r="K21" s="176"/>
      <c r="L21" s="177"/>
      <c r="M21" s="178"/>
      <c r="N21" s="178"/>
      <c r="O21" s="176"/>
      <c r="P21" s="179"/>
      <c r="Q21" s="605"/>
      <c r="R21" s="597"/>
      <c r="S21" s="597"/>
      <c r="T21" s="597"/>
      <c r="U21" s="597"/>
      <c r="V21" s="597"/>
      <c r="W21" s="597"/>
      <c r="X21" s="597"/>
      <c r="Y21" s="597"/>
      <c r="Z21" s="597"/>
      <c r="AA21" s="597"/>
      <c r="AB21" s="597"/>
      <c r="AC21" s="606"/>
      <c r="AD21" s="144"/>
      <c r="AE21" s="133"/>
      <c r="AF21" s="133"/>
    </row>
    <row r="22" spans="1:32" ht="15.6">
      <c r="A22" s="139"/>
      <c r="B22" s="140"/>
      <c r="C22" s="172" t="s">
        <v>73</v>
      </c>
      <c r="D22" s="172"/>
      <c r="E22" s="140"/>
      <c r="F22" s="140"/>
      <c r="G22" s="140"/>
      <c r="H22" s="140"/>
      <c r="I22" s="140"/>
      <c r="J22" s="140"/>
      <c r="K22" s="140"/>
      <c r="L22" s="141"/>
      <c r="M22" s="142"/>
      <c r="N22" s="142"/>
      <c r="O22" s="140"/>
      <c r="P22" s="143"/>
      <c r="Q22" s="607"/>
      <c r="R22" s="608"/>
      <c r="S22" s="608"/>
      <c r="T22" s="608"/>
      <c r="U22" s="608"/>
      <c r="V22" s="608"/>
      <c r="W22" s="608"/>
      <c r="X22" s="608"/>
      <c r="Y22" s="608"/>
      <c r="Z22" s="608"/>
      <c r="AA22" s="608"/>
      <c r="AB22" s="608"/>
      <c r="AC22" s="609"/>
      <c r="AD22" s="144"/>
      <c r="AE22" s="133"/>
      <c r="AF22" s="133"/>
    </row>
    <row r="23" spans="1:32" ht="15.6">
      <c r="A23" s="171"/>
      <c r="B23" s="172" t="s">
        <v>74</v>
      </c>
      <c r="F23" s="140"/>
      <c r="G23" s="140"/>
      <c r="H23" s="140"/>
      <c r="I23" s="140"/>
      <c r="J23" s="140"/>
      <c r="K23" s="140"/>
      <c r="L23" s="141"/>
      <c r="M23" s="142"/>
      <c r="N23" s="142"/>
      <c r="O23" s="140"/>
      <c r="P23" s="143"/>
      <c r="Q23" s="602" t="s">
        <v>75</v>
      </c>
      <c r="R23" s="603"/>
      <c r="S23" s="603"/>
      <c r="T23" s="603"/>
      <c r="U23" s="603"/>
      <c r="V23" s="603"/>
      <c r="W23" s="603"/>
      <c r="X23" s="603"/>
      <c r="Y23" s="603"/>
      <c r="Z23" s="603"/>
      <c r="AA23" s="603"/>
      <c r="AB23" s="603"/>
      <c r="AC23" s="604"/>
      <c r="AD23" s="144"/>
      <c r="AE23" s="133"/>
      <c r="AF23" s="133"/>
    </row>
    <row r="24" spans="1:32" ht="15.6">
      <c r="A24" s="139"/>
      <c r="B24" s="140"/>
      <c r="C24" s="172" t="s">
        <v>76</v>
      </c>
      <c r="D24" s="172"/>
      <c r="E24" s="140"/>
      <c r="F24" s="140"/>
      <c r="G24" s="140"/>
      <c r="H24" s="140"/>
      <c r="I24" s="140"/>
      <c r="J24" s="140"/>
      <c r="K24" s="140"/>
      <c r="L24" s="141"/>
      <c r="M24" s="142"/>
      <c r="N24" s="142"/>
      <c r="O24" s="140"/>
      <c r="P24" s="143"/>
      <c r="Q24" s="605"/>
      <c r="R24" s="597"/>
      <c r="S24" s="597"/>
      <c r="T24" s="597"/>
      <c r="U24" s="597"/>
      <c r="V24" s="597"/>
      <c r="W24" s="597"/>
      <c r="X24" s="597"/>
      <c r="Y24" s="597"/>
      <c r="Z24" s="597"/>
      <c r="AA24" s="597"/>
      <c r="AB24" s="597"/>
      <c r="AC24" s="606"/>
      <c r="AD24" s="144"/>
      <c r="AE24" s="133"/>
      <c r="AF24" s="133"/>
    </row>
    <row r="25" spans="1:32" ht="15.6">
      <c r="A25" s="171"/>
      <c r="B25" s="172" t="s">
        <v>77</v>
      </c>
      <c r="C25" s="140"/>
      <c r="D25" s="140"/>
      <c r="E25" s="140"/>
      <c r="F25" s="140"/>
      <c r="G25" s="140"/>
      <c r="H25" s="140"/>
      <c r="I25" s="140"/>
      <c r="J25" s="140"/>
      <c r="K25" s="140"/>
      <c r="L25" s="141"/>
      <c r="M25" s="142"/>
      <c r="N25" s="142"/>
      <c r="O25" s="140"/>
      <c r="P25" s="143"/>
      <c r="Q25" s="605"/>
      <c r="R25" s="597"/>
      <c r="S25" s="597"/>
      <c r="T25" s="597"/>
      <c r="U25" s="597"/>
      <c r="V25" s="597"/>
      <c r="W25" s="597"/>
      <c r="X25" s="597"/>
      <c r="Y25" s="597"/>
      <c r="Z25" s="597"/>
      <c r="AA25" s="597"/>
      <c r="AB25" s="597"/>
      <c r="AC25" s="606"/>
      <c r="AD25" s="144"/>
      <c r="AE25" s="133"/>
      <c r="AF25" s="133"/>
    </row>
    <row r="26" spans="1:32" ht="15">
      <c r="A26" s="153"/>
      <c r="B26" s="133"/>
      <c r="C26" s="133"/>
      <c r="D26" s="133"/>
      <c r="E26" s="133"/>
      <c r="F26" s="133"/>
      <c r="G26" s="133"/>
      <c r="H26" s="133"/>
      <c r="I26" s="133"/>
      <c r="J26" s="133"/>
      <c r="K26" s="133"/>
      <c r="L26" s="144"/>
      <c r="M26" s="138"/>
      <c r="N26" s="138"/>
      <c r="O26" s="133"/>
      <c r="P26" s="152"/>
      <c r="Q26" s="607"/>
      <c r="R26" s="608"/>
      <c r="S26" s="608"/>
      <c r="T26" s="608"/>
      <c r="U26" s="608"/>
      <c r="V26" s="608"/>
      <c r="W26" s="608"/>
      <c r="X26" s="608"/>
      <c r="Y26" s="608"/>
      <c r="Z26" s="608"/>
      <c r="AA26" s="608"/>
      <c r="AB26" s="608"/>
      <c r="AC26" s="609"/>
      <c r="AD26" s="144"/>
      <c r="AE26" s="133"/>
      <c r="AF26" s="133"/>
    </row>
    <row r="27" spans="1:32" ht="15.6">
      <c r="A27" s="154"/>
      <c r="B27" s="569">
        <f>'INPUT DATA'!F19</f>
        <v>0</v>
      </c>
      <c r="C27" s="569"/>
      <c r="D27" s="569"/>
      <c r="E27" s="569"/>
      <c r="F27" s="569"/>
      <c r="G27" s="146"/>
      <c r="H27" s="589">
        <f>'INPUT DATA'!F26</f>
        <v>0</v>
      </c>
      <c r="I27" s="589"/>
      <c r="J27" s="589"/>
      <c r="K27" s="589"/>
      <c r="L27" s="159"/>
      <c r="M27" s="160"/>
      <c r="N27" s="160"/>
      <c r="O27" s="161"/>
      <c r="P27" s="162"/>
      <c r="Q27" s="161"/>
      <c r="R27" s="161"/>
      <c r="S27" s="133"/>
      <c r="T27" s="133"/>
      <c r="U27" s="133"/>
      <c r="V27" s="133"/>
      <c r="W27" s="133"/>
      <c r="X27" s="133"/>
      <c r="Y27" s="133"/>
      <c r="Z27" s="133"/>
      <c r="AA27" s="133"/>
      <c r="AB27" s="133"/>
      <c r="AC27" s="133"/>
      <c r="AD27" s="144"/>
      <c r="AE27" s="133"/>
      <c r="AF27" s="133"/>
    </row>
    <row r="28" spans="1:32" ht="15.6">
      <c r="A28" s="153"/>
      <c r="B28" s="570" t="s">
        <v>2</v>
      </c>
      <c r="C28" s="570"/>
      <c r="D28" s="570"/>
      <c r="E28" s="570"/>
      <c r="F28" s="570"/>
      <c r="G28" s="215"/>
      <c r="H28" s="570" t="s">
        <v>4</v>
      </c>
      <c r="I28" s="570"/>
      <c r="J28" s="570"/>
      <c r="K28" s="570"/>
      <c r="L28" s="144"/>
      <c r="M28" s="138"/>
      <c r="N28" s="138"/>
      <c r="O28" s="133"/>
      <c r="P28" s="152"/>
      <c r="Q28" s="617" t="s">
        <v>79</v>
      </c>
      <c r="R28" s="597"/>
      <c r="S28" s="597"/>
      <c r="T28" s="597"/>
      <c r="U28" s="597"/>
      <c r="V28" s="597"/>
      <c r="W28" s="597"/>
      <c r="X28" s="597"/>
      <c r="Y28" s="597"/>
      <c r="Z28" s="597"/>
      <c r="AA28" s="597"/>
      <c r="AB28" s="597"/>
      <c r="AC28" s="597"/>
      <c r="AD28" s="144"/>
      <c r="AE28" s="133"/>
      <c r="AF28" s="133"/>
    </row>
    <row r="29" spans="1:32" ht="25.5" customHeight="1">
      <c r="A29" s="180"/>
      <c r="B29" s="580" t="s">
        <v>78</v>
      </c>
      <c r="C29" s="580"/>
      <c r="D29" s="580"/>
      <c r="E29" s="580"/>
      <c r="F29" s="580"/>
      <c r="G29" s="580"/>
      <c r="H29" s="580"/>
      <c r="I29" s="580"/>
      <c r="J29" s="580"/>
      <c r="K29" s="580"/>
      <c r="L29" s="181"/>
      <c r="M29" s="182"/>
      <c r="N29" s="182"/>
      <c r="O29" s="183"/>
      <c r="P29" s="184"/>
      <c r="Q29" s="140"/>
      <c r="R29" s="616" t="s">
        <v>62</v>
      </c>
      <c r="S29" s="597"/>
      <c r="T29" s="185"/>
      <c r="U29" s="185"/>
      <c r="V29" s="185"/>
      <c r="W29" s="185"/>
      <c r="X29" s="185"/>
      <c r="Y29" s="185"/>
      <c r="Z29" s="185"/>
      <c r="AA29" s="185"/>
      <c r="AB29" s="185"/>
      <c r="AC29" s="133"/>
      <c r="AD29" s="144"/>
      <c r="AE29" s="133"/>
      <c r="AF29" s="133"/>
    </row>
    <row r="30" spans="1:32" ht="25.5" customHeight="1">
      <c r="A30" s="180"/>
      <c r="B30" s="565" t="s">
        <v>24</v>
      </c>
      <c r="C30" s="565"/>
      <c r="D30" s="565"/>
      <c r="E30" s="565"/>
      <c r="F30" s="559" t="s">
        <v>80</v>
      </c>
      <c r="G30" s="559"/>
      <c r="H30" s="559"/>
      <c r="I30" s="560" t="s">
        <v>25</v>
      </c>
      <c r="J30" s="565" t="s">
        <v>81</v>
      </c>
      <c r="K30" s="565"/>
      <c r="L30" s="181"/>
      <c r="M30" s="182"/>
      <c r="N30" s="182"/>
      <c r="O30" s="183"/>
      <c r="P30" s="184"/>
      <c r="Q30" s="140"/>
      <c r="R30" s="616" t="s">
        <v>70</v>
      </c>
      <c r="S30" s="597"/>
      <c r="T30" s="185"/>
      <c r="U30" s="185"/>
      <c r="V30" s="185"/>
      <c r="W30" s="185"/>
      <c r="X30" s="185"/>
      <c r="Y30" s="185"/>
      <c r="Z30" s="185"/>
      <c r="AA30" s="185"/>
      <c r="AB30" s="185"/>
      <c r="AC30" s="133"/>
      <c r="AD30" s="144"/>
      <c r="AE30" s="133"/>
      <c r="AF30" s="133"/>
    </row>
    <row r="31" spans="1:32" ht="25.5" customHeight="1">
      <c r="A31" s="175"/>
      <c r="B31" s="565"/>
      <c r="C31" s="565"/>
      <c r="D31" s="565"/>
      <c r="E31" s="565"/>
      <c r="F31" s="237" t="s">
        <v>82</v>
      </c>
      <c r="G31" s="237" t="s">
        <v>83</v>
      </c>
      <c r="H31" s="237" t="s">
        <v>84</v>
      </c>
      <c r="I31" s="560"/>
      <c r="J31" s="565"/>
      <c r="K31" s="565"/>
      <c r="L31" s="141"/>
      <c r="M31" s="142"/>
      <c r="N31" s="142"/>
      <c r="O31" s="140"/>
      <c r="P31" s="143"/>
      <c r="Q31" s="140"/>
      <c r="R31" s="616" t="s">
        <v>75</v>
      </c>
      <c r="S31" s="597"/>
      <c r="T31" s="185"/>
      <c r="U31" s="185"/>
      <c r="V31" s="185"/>
      <c r="W31" s="185"/>
      <c r="X31" s="185"/>
      <c r="Y31" s="185"/>
      <c r="Z31" s="185"/>
      <c r="AA31" s="185"/>
      <c r="AB31" s="185"/>
      <c r="AC31" s="133"/>
      <c r="AD31" s="144"/>
      <c r="AE31" s="133"/>
      <c r="AF31" s="133"/>
    </row>
    <row r="32" spans="1:32" ht="25.5" customHeight="1">
      <c r="A32" s="186"/>
      <c r="B32" s="584" t="s">
        <v>126</v>
      </c>
      <c r="C32" s="585"/>
      <c r="D32" s="585"/>
      <c r="E32" s="585"/>
      <c r="F32" s="585"/>
      <c r="G32" s="585"/>
      <c r="H32" s="585"/>
      <c r="I32" s="585"/>
      <c r="J32" s="585"/>
      <c r="K32" s="586"/>
      <c r="L32" s="141"/>
      <c r="M32" s="142"/>
      <c r="N32" s="142"/>
      <c r="O32" s="140"/>
      <c r="P32" s="143"/>
      <c r="Q32" s="140"/>
      <c r="AC32" s="133"/>
      <c r="AD32" s="144"/>
      <c r="AE32" s="133"/>
      <c r="AF32" s="133"/>
    </row>
    <row r="33" spans="1:32" ht="31.8" customHeight="1">
      <c r="A33" s="186"/>
      <c r="B33" s="571" t="s">
        <v>128</v>
      </c>
      <c r="C33" s="572"/>
      <c r="D33" s="572"/>
      <c r="E33" s="573"/>
      <c r="F33" s="246"/>
      <c r="G33" s="246"/>
      <c r="H33" s="246"/>
      <c r="I33" s="247"/>
      <c r="J33" s="577"/>
      <c r="K33" s="577"/>
      <c r="L33" s="141"/>
      <c r="M33" s="142"/>
      <c r="N33" s="142"/>
      <c r="O33" s="140"/>
      <c r="P33" s="143"/>
      <c r="Q33" s="617" t="s">
        <v>85</v>
      </c>
      <c r="R33" s="597"/>
      <c r="S33" s="597"/>
      <c r="T33" s="597"/>
      <c r="U33" s="597"/>
      <c r="V33" s="597"/>
      <c r="W33" s="597"/>
      <c r="X33" s="597"/>
      <c r="Y33" s="597"/>
      <c r="Z33" s="597"/>
      <c r="AA33" s="597"/>
      <c r="AB33" s="597"/>
      <c r="AC33" s="597"/>
      <c r="AD33" s="144"/>
      <c r="AE33" s="133"/>
      <c r="AF33" s="133"/>
    </row>
    <row r="34" spans="1:32" ht="25.5" customHeight="1">
      <c r="A34" s="186"/>
      <c r="B34" s="574" t="s">
        <v>129</v>
      </c>
      <c r="C34" s="575"/>
      <c r="D34" s="575"/>
      <c r="E34" s="576"/>
      <c r="F34" s="246" t="str">
        <f>IF('TERM 1 SUMMARY'!R15="","",VLOOKUP(C17,'TERM 1 SUMMARY'!C15:R115,9,0))</f>
        <v/>
      </c>
      <c r="G34" s="246" t="str">
        <f>IF('TERM 2 SUMMARY'!R15="","",VLOOKUP(C17,'TERM 2 SUMMARY'!C15:R115,9,0))</f>
        <v/>
      </c>
      <c r="H34" s="246" t="str">
        <f>IF('TERM 3 SUMMARY'!R15="","",VLOOKUP(C17,'TERM 3 SUMMARY'!C15:R115,9,0))</f>
        <v/>
      </c>
      <c r="I34" s="247"/>
      <c r="J34" s="577"/>
      <c r="K34" s="577"/>
      <c r="L34" s="141"/>
      <c r="M34" s="142"/>
      <c r="N34" s="142"/>
      <c r="O34" s="140"/>
      <c r="P34" s="143"/>
      <c r="Q34" s="172" t="s">
        <v>86</v>
      </c>
      <c r="R34" s="140"/>
      <c r="S34" s="140"/>
      <c r="T34" s="140"/>
      <c r="U34" s="140"/>
      <c r="V34" s="140"/>
      <c r="W34" s="140"/>
      <c r="X34" s="140"/>
      <c r="Y34" s="140"/>
      <c r="Z34" s="140"/>
      <c r="AA34" s="140"/>
      <c r="AB34" s="140"/>
      <c r="AC34" s="140"/>
      <c r="AD34" s="144"/>
      <c r="AE34" s="133"/>
      <c r="AF34" s="133"/>
    </row>
    <row r="35" spans="1:32" ht="25.5" customHeight="1">
      <c r="A35" s="186"/>
      <c r="B35" s="574" t="s">
        <v>130</v>
      </c>
      <c r="C35" s="575"/>
      <c r="D35" s="575"/>
      <c r="E35" s="576"/>
      <c r="F35" s="246" t="str">
        <f>IF('TERM 1 SUMMARY'!R15="","",VLOOKUP(C17,'TERM 1 SUMMARY'!C15:R115,10,0))</f>
        <v/>
      </c>
      <c r="G35" s="246" t="str">
        <f>IF('TERM 2 SUMMARY'!R15="","",VLOOKUP(C17,'TERM 2 SUMMARY'!C15:R115,10,0))</f>
        <v/>
      </c>
      <c r="H35" s="246" t="str">
        <f>IF('TERM 3 SUMMARY'!R15="","",VLOOKUP(C17,'TERM 3 SUMMARY'!C15:R115,10,0))</f>
        <v/>
      </c>
      <c r="I35" s="247"/>
      <c r="J35" s="577"/>
      <c r="K35" s="577"/>
      <c r="L35" s="141"/>
      <c r="M35" s="142"/>
      <c r="N35" s="142"/>
      <c r="O35" s="140"/>
      <c r="P35" s="143"/>
      <c r="Q35" s="172" t="s">
        <v>87</v>
      </c>
      <c r="R35" s="140"/>
      <c r="S35" s="140"/>
      <c r="T35" s="140"/>
      <c r="U35" s="140"/>
      <c r="V35" s="140"/>
      <c r="W35" s="140"/>
      <c r="X35" s="140"/>
      <c r="Y35" s="140"/>
      <c r="Z35" s="140"/>
      <c r="AA35" s="140"/>
      <c r="AB35" s="140"/>
      <c r="AC35" s="140"/>
      <c r="AD35" s="144"/>
      <c r="AE35" s="217" t="str">
        <f>IF(COUNT(F31:H31)=0,"",ROUND((F31+G31+H31)/3,0))</f>
        <v/>
      </c>
      <c r="AF35" s="133"/>
    </row>
    <row r="36" spans="1:32" ht="25.5" customHeight="1">
      <c r="A36" s="186"/>
      <c r="B36" s="571" t="s">
        <v>127</v>
      </c>
      <c r="C36" s="572"/>
      <c r="D36" s="572"/>
      <c r="E36" s="573"/>
      <c r="F36" s="246" t="str">
        <f>IF('TERM 1 SUMMARY'!R15="","",VLOOKUP(C17,'TERM 1 SUMMARY'!C15:R115,11,0))</f>
        <v/>
      </c>
      <c r="G36" s="246" t="str">
        <f>IF('TERM 2 SUMMARY'!R15="","",VLOOKUP(C17,'TERM 2 SUMMARY'!C15:R115,11,0))</f>
        <v/>
      </c>
      <c r="H36" s="246" t="str">
        <f>IF('TERM 3 SUMMARY'!R15="","",VLOOKUP(C17,'TERM 3 SUMMARY'!C15:R115,11,0))</f>
        <v/>
      </c>
      <c r="I36" s="247"/>
      <c r="J36" s="577"/>
      <c r="K36" s="577"/>
      <c r="L36" s="141"/>
      <c r="M36" s="142"/>
      <c r="N36" s="142"/>
      <c r="O36" s="140"/>
      <c r="P36" s="143"/>
      <c r="Q36" s="140"/>
      <c r="R36" s="140"/>
      <c r="S36" s="140"/>
      <c r="T36" s="140"/>
      <c r="U36" s="140"/>
      <c r="V36" s="140"/>
      <c r="W36" s="140"/>
      <c r="X36" s="140"/>
      <c r="Y36" s="140"/>
      <c r="Z36" s="140"/>
      <c r="AA36" s="140"/>
      <c r="AB36" s="140"/>
      <c r="AC36" s="140"/>
      <c r="AD36" s="144"/>
      <c r="AE36" s="133"/>
      <c r="AF36" s="133"/>
    </row>
    <row r="37" spans="1:32" ht="25.5" customHeight="1">
      <c r="A37" s="186"/>
      <c r="B37" s="571" t="s">
        <v>131</v>
      </c>
      <c r="C37" s="572"/>
      <c r="D37" s="572"/>
      <c r="E37" s="573"/>
      <c r="F37" s="246" t="str">
        <f>IF('TERM 1 SUMMARY'!R15="","",VLOOKUP(C17,'TERM 1 SUMMARY'!C15:R115,12,0))</f>
        <v/>
      </c>
      <c r="G37" s="246" t="str">
        <f>IF('TERM 2 SUMMARY'!R15="","",VLOOKUP(C17,'TERM 2 SUMMARY'!C15:R115,12,0))</f>
        <v/>
      </c>
      <c r="H37" s="246" t="str">
        <f>IF('TERM 3 SUMMARY'!R15="","",VLOOKUP(C17,'TERM 3 SUMMARY'!C15:R115,12,0))</f>
        <v/>
      </c>
      <c r="I37" s="247"/>
      <c r="J37" s="577"/>
      <c r="K37" s="577"/>
      <c r="L37" s="141"/>
      <c r="M37" s="142"/>
      <c r="N37" s="142"/>
      <c r="O37" s="140"/>
      <c r="P37" s="143"/>
      <c r="Q37" s="172" t="s">
        <v>88</v>
      </c>
      <c r="R37" s="140"/>
      <c r="S37" s="173"/>
      <c r="T37" s="173"/>
      <c r="U37" s="140"/>
      <c r="V37" s="140"/>
      <c r="W37" s="140"/>
      <c r="X37" s="140"/>
      <c r="Y37" s="140"/>
      <c r="Z37" s="140"/>
      <c r="AA37" s="140"/>
      <c r="AB37" s="140"/>
      <c r="AC37" s="140"/>
      <c r="AD37" s="144"/>
      <c r="AE37" s="133"/>
      <c r="AF37" s="133"/>
    </row>
    <row r="38" spans="1:32" ht="25.5" customHeight="1">
      <c r="A38" s="186"/>
      <c r="B38" s="571" t="s">
        <v>132</v>
      </c>
      <c r="C38" s="572"/>
      <c r="D38" s="572"/>
      <c r="E38" s="573"/>
      <c r="F38" s="246" t="str">
        <f>IF('TERM 1 SUMMARY'!R15="","",VLOOKUP(C17,'TERM 1 SUMMARY'!C15:R115,13,0))</f>
        <v/>
      </c>
      <c r="G38" s="238" t="str">
        <f>IF('TERM 2 SUMMARY'!R15="","",VLOOKUP(C17,'TERM 2 SUMMARY'!C15:R115,13,0))</f>
        <v/>
      </c>
      <c r="H38" s="238" t="str">
        <f>IF('TERM 3 SUMMARY'!R15="","",VLOOKUP(C17,'TERM 3 SUMMARY'!C15:R115,13,0))</f>
        <v/>
      </c>
      <c r="I38" s="247"/>
      <c r="J38" s="577"/>
      <c r="K38" s="577"/>
      <c r="L38" s="141"/>
      <c r="M38" s="142"/>
      <c r="N38" s="142"/>
      <c r="O38" s="140"/>
      <c r="P38" s="143"/>
      <c r="Q38" s="172" t="s">
        <v>89</v>
      </c>
      <c r="R38" s="140"/>
      <c r="S38" s="140"/>
      <c r="T38" s="140"/>
      <c r="U38" s="173"/>
      <c r="V38" s="173"/>
      <c r="W38" s="173"/>
      <c r="X38" s="187"/>
      <c r="Y38" s="142"/>
      <c r="Z38" s="142"/>
      <c r="AA38" s="142"/>
      <c r="AB38" s="142"/>
      <c r="AC38" s="140"/>
      <c r="AD38" s="144"/>
      <c r="AE38" s="133"/>
      <c r="AF38" s="133"/>
    </row>
    <row r="39" spans="1:32" ht="32.4" customHeight="1">
      <c r="A39" s="188"/>
      <c r="B39" s="578" t="s">
        <v>133</v>
      </c>
      <c r="C39" s="579"/>
      <c r="D39" s="579"/>
      <c r="E39" s="579"/>
      <c r="F39" s="246" t="str">
        <f>IF('TERM 1 SUMMARY'!R15="","",VLOOKUP(C17,'TERM 1 SUMMARY'!C15:R115,14,0))</f>
        <v/>
      </c>
      <c r="G39" s="248" t="str">
        <f>IF('TERM 2 SUMMARY'!R15="","",VLOOKUP(C17,'TERM 2 SUMMARY'!C15:R115,14,0))</f>
        <v/>
      </c>
      <c r="H39" s="248" t="str">
        <f>IF('TERM 3 SUMMARY'!R15="","",VLOOKUP(C17,'TERM 3 SUMMARY'!C15:R115,14,0))</f>
        <v/>
      </c>
      <c r="I39" s="247"/>
      <c r="J39" s="577"/>
      <c r="K39" s="577"/>
      <c r="L39" s="144"/>
      <c r="M39" s="138"/>
      <c r="N39" s="138"/>
      <c r="O39" s="133"/>
      <c r="P39" s="152"/>
      <c r="Q39" s="172"/>
      <c r="R39" s="140"/>
      <c r="S39" s="140"/>
      <c r="T39" s="140"/>
      <c r="U39" s="140"/>
      <c r="V39" s="140"/>
      <c r="W39" s="140"/>
      <c r="X39" s="569">
        <f>'INPUT DATA'!F26</f>
        <v>0</v>
      </c>
      <c r="Y39" s="569"/>
      <c r="Z39" s="569"/>
      <c r="AA39" s="569"/>
      <c r="AB39" s="569"/>
      <c r="AC39" s="569"/>
      <c r="AD39" s="144"/>
      <c r="AE39" s="133"/>
      <c r="AF39" s="133"/>
    </row>
    <row r="40" spans="1:32" ht="25.5" customHeight="1">
      <c r="A40" s="188"/>
      <c r="B40" s="581" t="s">
        <v>134</v>
      </c>
      <c r="C40" s="582"/>
      <c r="D40" s="582"/>
      <c r="E40" s="582"/>
      <c r="F40" s="582"/>
      <c r="G40" s="582"/>
      <c r="H40" s="582"/>
      <c r="I40" s="582"/>
      <c r="J40" s="582"/>
      <c r="K40" s="583"/>
      <c r="L40" s="144"/>
      <c r="M40" s="138"/>
      <c r="N40" s="138"/>
      <c r="O40" s="133"/>
      <c r="P40" s="152"/>
      <c r="Q40" s="172" t="s">
        <v>90</v>
      </c>
      <c r="R40" s="618"/>
      <c r="S40" s="619"/>
      <c r="T40" s="619"/>
      <c r="U40" s="619"/>
      <c r="V40" s="140"/>
      <c r="W40" s="140"/>
      <c r="X40" s="613" t="s">
        <v>4</v>
      </c>
      <c r="Y40" s="613"/>
      <c r="Z40" s="613"/>
      <c r="AA40" s="613"/>
      <c r="AB40" s="613"/>
      <c r="AC40" s="613"/>
      <c r="AD40" s="144"/>
      <c r="AE40" s="133"/>
      <c r="AF40" s="133"/>
    </row>
    <row r="41" spans="1:32" ht="25.5" customHeight="1">
      <c r="A41" s="189"/>
      <c r="B41" s="587" t="s">
        <v>144</v>
      </c>
      <c r="C41" s="588"/>
      <c r="D41" s="588"/>
      <c r="E41" s="588"/>
      <c r="F41" s="239" t="str">
        <f>IF('TERM 1 SUMMARY'!R15="","",VLOOKUP(C17,'TERM 1 SUMMARY'!C15:R115,15,0))</f>
        <v/>
      </c>
      <c r="G41" s="239" t="str">
        <f>IF('TERM 2 SUMMARY'!R15="","",VLOOKUP(C17,'TERM 2 SUMMARY'!C15:R115,15,0))</f>
        <v/>
      </c>
      <c r="H41" s="239" t="str">
        <f>IF('TERM 3 SUMMARY'!R15="","",VLOOKUP(C17,'TERM 3 SUMMARY'!C15:R115,15,0))</f>
        <v/>
      </c>
      <c r="I41" s="247"/>
      <c r="J41" s="629"/>
      <c r="K41" s="629"/>
      <c r="L41" s="144"/>
      <c r="M41" s="138"/>
      <c r="N41" s="138"/>
      <c r="O41" s="133"/>
      <c r="P41" s="152"/>
      <c r="Q41" s="611">
        <f>'INPUT DATA'!F19</f>
        <v>0</v>
      </c>
      <c r="R41" s="611"/>
      <c r="S41" s="611"/>
      <c r="T41" s="611"/>
      <c r="U41" s="611"/>
      <c r="V41" s="611"/>
      <c r="W41" s="140"/>
      <c r="X41" s="614"/>
      <c r="Y41" s="615"/>
      <c r="Z41" s="615"/>
      <c r="AA41" s="615"/>
      <c r="AB41" s="615"/>
      <c r="AC41" s="615"/>
      <c r="AD41" s="144"/>
      <c r="AE41" s="133"/>
      <c r="AF41" s="133"/>
    </row>
    <row r="42" spans="1:32" ht="25.5" customHeight="1">
      <c r="A42" s="186"/>
      <c r="B42" s="561"/>
      <c r="C42" s="561"/>
      <c r="D42" s="561"/>
      <c r="E42" s="561"/>
      <c r="F42" s="268"/>
      <c r="G42" s="265"/>
      <c r="H42" s="268"/>
      <c r="I42" s="267"/>
      <c r="J42" s="562"/>
      <c r="K42" s="562"/>
      <c r="L42" s="144"/>
      <c r="M42" s="138"/>
      <c r="N42" s="138"/>
      <c r="O42" s="133"/>
      <c r="P42" s="152"/>
      <c r="Q42" s="589"/>
      <c r="R42" s="589"/>
      <c r="S42" s="589"/>
      <c r="T42" s="589"/>
      <c r="U42" s="589"/>
      <c r="V42" s="589"/>
      <c r="X42" s="612"/>
      <c r="Y42" s="612"/>
      <c r="Z42" s="612"/>
      <c r="AA42" s="612"/>
      <c r="AB42" s="612"/>
      <c r="AC42" s="612"/>
      <c r="AD42" s="144"/>
      <c r="AE42" s="133"/>
      <c r="AF42" s="133"/>
    </row>
    <row r="43" spans="1:32" ht="25.5" customHeight="1">
      <c r="A43" s="190"/>
      <c r="B43" s="566" t="s">
        <v>91</v>
      </c>
      <c r="C43" s="566"/>
      <c r="D43" s="566"/>
      <c r="E43" s="566"/>
      <c r="F43" s="566"/>
      <c r="G43" s="566"/>
      <c r="H43" s="566"/>
      <c r="I43" s="244"/>
      <c r="J43" s="563"/>
      <c r="K43" s="563"/>
      <c r="L43" s="144"/>
      <c r="M43" s="138"/>
      <c r="N43" s="138"/>
      <c r="O43" s="133"/>
      <c r="P43" s="152"/>
      <c r="Q43" s="610" t="s">
        <v>122</v>
      </c>
      <c r="R43" s="610"/>
      <c r="S43" s="610"/>
      <c r="T43" s="610"/>
      <c r="U43" s="610"/>
      <c r="V43" s="610"/>
      <c r="W43" s="140"/>
      <c r="X43" s="610"/>
      <c r="Y43" s="612"/>
      <c r="Z43" s="612"/>
      <c r="AA43" s="612"/>
      <c r="AB43" s="612"/>
      <c r="AC43" s="612"/>
      <c r="AD43" s="144"/>
      <c r="AE43" s="133"/>
      <c r="AF43" s="133"/>
    </row>
    <row r="44" spans="1:32" s="234" customFormat="1" ht="25.5" customHeight="1">
      <c r="A44" s="190"/>
      <c r="B44" s="568"/>
      <c r="C44" s="568"/>
      <c r="D44" s="568"/>
      <c r="E44" s="568"/>
      <c r="F44" s="568"/>
      <c r="G44" s="568"/>
      <c r="H44" s="568"/>
      <c r="I44" s="266"/>
      <c r="J44" s="567"/>
      <c r="K44" s="567"/>
      <c r="L44" s="245"/>
      <c r="M44" s="138"/>
      <c r="N44" s="138"/>
      <c r="O44" s="133"/>
      <c r="P44" s="153"/>
      <c r="Q44" s="235"/>
      <c r="R44" s="235"/>
      <c r="S44" s="235"/>
      <c r="T44" s="235"/>
      <c r="U44" s="235"/>
      <c r="V44" s="235"/>
      <c r="W44" s="140"/>
      <c r="X44" s="235"/>
      <c r="Y44" s="236"/>
      <c r="Z44" s="236"/>
      <c r="AA44" s="236"/>
      <c r="AB44" s="236"/>
      <c r="AC44" s="236"/>
      <c r="AD44" s="245"/>
      <c r="AE44" s="133"/>
      <c r="AF44" s="133"/>
    </row>
    <row r="45" spans="1:32" ht="15.6">
      <c r="A45" s="139"/>
      <c r="B45" s="142"/>
      <c r="C45" s="142"/>
      <c r="D45" s="142"/>
      <c r="E45" s="142"/>
      <c r="F45" s="138"/>
      <c r="G45" s="138"/>
      <c r="H45" s="138"/>
      <c r="I45" s="138"/>
      <c r="J45" s="138"/>
      <c r="K45" s="138"/>
      <c r="L45" s="144"/>
      <c r="M45" s="138"/>
      <c r="N45" s="138"/>
      <c r="O45" s="133"/>
      <c r="P45" s="152"/>
      <c r="Q45" s="617" t="s">
        <v>93</v>
      </c>
      <c r="R45" s="597"/>
      <c r="S45" s="597"/>
      <c r="T45" s="597"/>
      <c r="U45" s="597"/>
      <c r="V45" s="597"/>
      <c r="W45" s="597"/>
      <c r="X45" s="597"/>
      <c r="Y45" s="597"/>
      <c r="Z45" s="597"/>
      <c r="AA45" s="597"/>
      <c r="AB45" s="597"/>
      <c r="AC45" s="597"/>
      <c r="AD45" s="144"/>
      <c r="AE45" s="133"/>
      <c r="AF45" s="133"/>
    </row>
    <row r="46" spans="1:32" ht="15.6">
      <c r="A46" s="139"/>
      <c r="B46" s="630" t="s">
        <v>92</v>
      </c>
      <c r="C46" s="597"/>
      <c r="D46" s="597"/>
      <c r="E46" s="597"/>
      <c r="F46" s="596"/>
      <c r="G46" s="597"/>
      <c r="H46" s="161"/>
      <c r="I46" s="596"/>
      <c r="J46" s="597"/>
      <c r="L46" s="191"/>
      <c r="M46" s="192"/>
      <c r="N46" s="192"/>
      <c r="O46" s="133"/>
      <c r="P46" s="152"/>
      <c r="AD46" s="144"/>
      <c r="AE46" s="133"/>
      <c r="AF46" s="133"/>
    </row>
    <row r="47" spans="1:32" ht="15.6">
      <c r="A47" s="139"/>
      <c r="B47" s="140"/>
      <c r="C47" s="596" t="s">
        <v>94</v>
      </c>
      <c r="D47" s="596"/>
      <c r="E47" s="597"/>
      <c r="F47" s="596" t="s">
        <v>95</v>
      </c>
      <c r="G47" s="597"/>
      <c r="H47" s="149"/>
      <c r="I47" s="596" t="s">
        <v>81</v>
      </c>
      <c r="J47" s="597"/>
      <c r="L47" s="191"/>
      <c r="M47" s="192"/>
      <c r="N47" s="192"/>
      <c r="O47" s="133"/>
      <c r="P47" s="152"/>
      <c r="Q47" s="172" t="s">
        <v>96</v>
      </c>
      <c r="R47" s="173"/>
      <c r="S47" s="173"/>
      <c r="T47" s="173"/>
      <c r="U47" s="173"/>
      <c r="V47" s="173"/>
      <c r="W47" s="173"/>
      <c r="X47" s="172" t="s">
        <v>97</v>
      </c>
      <c r="Y47" s="173"/>
      <c r="Z47" s="173"/>
      <c r="AA47" s="173"/>
      <c r="AB47" s="173"/>
      <c r="AD47" s="144"/>
      <c r="AE47" s="133"/>
      <c r="AF47" s="133"/>
    </row>
    <row r="48" spans="1:32" ht="15.6">
      <c r="A48" s="139"/>
      <c r="B48" s="140"/>
      <c r="C48" s="598" t="s">
        <v>98</v>
      </c>
      <c r="D48" s="598"/>
      <c r="E48" s="598"/>
      <c r="F48" s="598" t="s">
        <v>99</v>
      </c>
      <c r="G48" s="598"/>
      <c r="H48" s="149"/>
      <c r="I48" s="598" t="s">
        <v>100</v>
      </c>
      <c r="J48" s="598"/>
      <c r="L48" s="191"/>
      <c r="M48" s="192"/>
      <c r="N48" s="192"/>
      <c r="O48" s="133"/>
      <c r="P48" s="152"/>
      <c r="AC48" s="140"/>
      <c r="AD48" s="144"/>
      <c r="AE48" s="133"/>
      <c r="AF48" s="133"/>
    </row>
    <row r="49" spans="1:32" ht="15.6">
      <c r="A49" s="139"/>
      <c r="B49" s="140"/>
      <c r="C49" s="598" t="s">
        <v>101</v>
      </c>
      <c r="D49" s="598"/>
      <c r="E49" s="598"/>
      <c r="F49" s="598" t="s">
        <v>102</v>
      </c>
      <c r="G49" s="598"/>
      <c r="H49" s="149"/>
      <c r="I49" s="598" t="s">
        <v>100</v>
      </c>
      <c r="J49" s="598"/>
      <c r="L49" s="191"/>
      <c r="M49" s="192"/>
      <c r="N49" s="192"/>
      <c r="O49" s="133"/>
      <c r="P49" s="152"/>
      <c r="Q49" s="140"/>
      <c r="R49" s="140"/>
      <c r="S49" s="140"/>
      <c r="T49" s="140"/>
      <c r="U49" s="140"/>
      <c r="V49" s="140"/>
      <c r="W49" s="140"/>
      <c r="X49" s="140"/>
      <c r="Y49" s="140"/>
      <c r="Z49" s="140"/>
      <c r="AA49" s="140"/>
      <c r="AB49" s="140"/>
      <c r="AC49" s="140"/>
      <c r="AD49" s="144"/>
      <c r="AE49" s="133"/>
      <c r="AF49" s="133"/>
    </row>
    <row r="50" spans="1:32" ht="15.6">
      <c r="A50" s="139"/>
      <c r="B50" s="140"/>
      <c r="C50" s="598" t="s">
        <v>103</v>
      </c>
      <c r="D50" s="598"/>
      <c r="E50" s="598"/>
      <c r="F50" s="598" t="s">
        <v>104</v>
      </c>
      <c r="G50" s="598"/>
      <c r="H50" s="149"/>
      <c r="I50" s="598" t="s">
        <v>100</v>
      </c>
      <c r="J50" s="598"/>
      <c r="L50" s="191"/>
      <c r="M50" s="192"/>
      <c r="N50" s="192"/>
      <c r="O50" s="133"/>
      <c r="P50" s="152"/>
      <c r="Q50" s="569">
        <f>'INPUT DATA'!F19</f>
        <v>0</v>
      </c>
      <c r="R50" s="569"/>
      <c r="S50" s="569"/>
      <c r="T50" s="569"/>
      <c r="U50" s="569"/>
      <c r="V50" s="569"/>
      <c r="W50" s="140"/>
      <c r="X50" s="140"/>
      <c r="Y50" s="140"/>
      <c r="Z50" s="140"/>
      <c r="AA50" s="140"/>
      <c r="AB50" s="140"/>
      <c r="AC50" s="140"/>
      <c r="AD50" s="144"/>
      <c r="AE50" s="133"/>
      <c r="AF50" s="133"/>
    </row>
    <row r="51" spans="1:32" ht="15.6">
      <c r="A51" s="139"/>
      <c r="B51" s="140"/>
      <c r="C51" s="598" t="s">
        <v>105</v>
      </c>
      <c r="D51" s="598"/>
      <c r="E51" s="598"/>
      <c r="F51" s="598" t="s">
        <v>106</v>
      </c>
      <c r="G51" s="598"/>
      <c r="H51" s="149"/>
      <c r="I51" s="598" t="s">
        <v>107</v>
      </c>
      <c r="J51" s="598"/>
      <c r="L51" s="191"/>
      <c r="M51" s="192"/>
      <c r="N51" s="192"/>
      <c r="O51" s="133"/>
      <c r="P51" s="152"/>
      <c r="Q51" s="612" t="s">
        <v>2</v>
      </c>
      <c r="R51" s="612"/>
      <c r="S51" s="612"/>
      <c r="T51" s="612"/>
      <c r="U51" s="612"/>
      <c r="V51" s="612"/>
      <c r="W51" s="140"/>
      <c r="X51" s="140"/>
      <c r="Y51" s="140"/>
      <c r="Z51" s="140"/>
      <c r="AA51" s="140"/>
      <c r="AB51" s="140"/>
      <c r="AC51" s="140"/>
      <c r="AD51" s="144"/>
      <c r="AE51" s="133"/>
      <c r="AF51" s="133"/>
    </row>
    <row r="52" spans="1:32" ht="15.6">
      <c r="A52" s="153"/>
      <c r="B52" s="133"/>
      <c r="C52" s="598" t="s">
        <v>108</v>
      </c>
      <c r="D52" s="598"/>
      <c r="E52" s="598"/>
      <c r="F52" s="598" t="s">
        <v>109</v>
      </c>
      <c r="G52" s="598"/>
      <c r="H52" s="133"/>
      <c r="I52" s="598" t="s">
        <v>107</v>
      </c>
      <c r="J52" s="598"/>
      <c r="K52" s="133"/>
      <c r="L52" s="144"/>
      <c r="M52" s="138"/>
      <c r="N52" s="138"/>
      <c r="O52" s="133"/>
      <c r="P52" s="152"/>
      <c r="Q52" s="140"/>
      <c r="R52" s="140"/>
      <c r="S52" s="140"/>
      <c r="T52" s="140"/>
      <c r="U52" s="140"/>
      <c r="V52" s="140"/>
      <c r="W52" s="140"/>
      <c r="X52" s="140"/>
      <c r="Y52" s="140"/>
      <c r="Z52" s="140"/>
      <c r="AA52" s="140"/>
      <c r="AB52" s="140"/>
      <c r="AC52" s="140"/>
      <c r="AD52" s="144"/>
      <c r="AE52" s="133"/>
      <c r="AF52" s="133"/>
    </row>
    <row r="53" spans="1:32" ht="15">
      <c r="A53" s="193"/>
      <c r="B53" s="194"/>
      <c r="C53" s="194"/>
      <c r="D53" s="195"/>
      <c r="E53" s="194"/>
      <c r="F53" s="194"/>
      <c r="G53" s="194"/>
      <c r="H53" s="194"/>
      <c r="I53" s="194"/>
      <c r="J53" s="194"/>
      <c r="K53" s="194"/>
      <c r="L53" s="196"/>
      <c r="M53" s="138"/>
      <c r="N53" s="138"/>
      <c r="O53" s="133"/>
      <c r="P53" s="197"/>
      <c r="Q53" s="194"/>
      <c r="R53" s="194"/>
      <c r="S53" s="194"/>
      <c r="T53" s="194"/>
      <c r="U53" s="194"/>
      <c r="V53" s="194"/>
      <c r="W53" s="194"/>
      <c r="X53" s="194"/>
      <c r="Y53" s="194"/>
      <c r="Z53" s="194"/>
      <c r="AA53" s="194"/>
      <c r="AB53" s="194"/>
      <c r="AC53" s="194"/>
      <c r="AD53" s="196"/>
      <c r="AE53" s="133"/>
      <c r="AF53" s="133"/>
    </row>
    <row r="54" spans="1:32" ht="15">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row>
    <row r="55" spans="1:32" ht="1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row>
    <row r="56" spans="1:32" ht="15">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row>
    <row r="57" spans="1:32" ht="15">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row>
    <row r="58" spans="1:32" ht="15">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row>
    <row r="59" spans="1:32" ht="15">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row>
    <row r="60" spans="1:32" ht="15">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row>
    <row r="61" spans="1:32" ht="15">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row>
    <row r="62" spans="1:32" ht="15">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row>
    <row r="63" spans="1:32" ht="15">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row>
    <row r="64" spans="1:32" ht="15">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row>
    <row r="65" spans="1:32" ht="1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row>
    <row r="66" spans="1:32" ht="15">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row>
    <row r="67" spans="1:32" ht="15">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row>
    <row r="68" spans="1:32" ht="15">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row>
    <row r="69" spans="1:32" ht="15">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row>
    <row r="70" spans="1:32" ht="15">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row>
    <row r="71" spans="1:32" ht="15">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row>
    <row r="72" spans="1:32" ht="15">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row>
    <row r="73" spans="1:32" ht="15">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row>
    <row r="74" spans="1:32" ht="15">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row>
    <row r="75" spans="1:32" ht="1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row>
    <row r="76" spans="1:32" ht="15">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row>
    <row r="77" spans="1:32" ht="15">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row>
    <row r="78" spans="1:32" ht="15">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row>
    <row r="79" spans="1:32" ht="15">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row>
    <row r="80" spans="1:32" ht="15">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row>
    <row r="81" spans="1:32" ht="15">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row>
    <row r="82" spans="1:32" ht="15">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row>
    <row r="83" spans="1:32" ht="15">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row>
    <row r="84" spans="1:32" ht="15">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row>
    <row r="85" spans="1:32" ht="1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row>
    <row r="86" spans="1:32" ht="15">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row>
    <row r="87" spans="1:32" ht="15">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row>
    <row r="88" spans="1:32" ht="15">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row>
    <row r="89" spans="1:32" ht="15">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row>
    <row r="90" spans="1:32" ht="15">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row>
    <row r="91" spans="1:32" ht="15">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row>
    <row r="92" spans="1:32" ht="15">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row>
    <row r="93" spans="1:32" ht="15">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row>
    <row r="94" spans="1:32" ht="15">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row>
    <row r="95" spans="1:32" ht="1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row>
    <row r="96" spans="1:32" ht="15">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row>
    <row r="97" spans="1:32" ht="15">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row>
    <row r="98" spans="1:32" ht="15">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row>
    <row r="99" spans="1:32" ht="15">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row>
    <row r="100" spans="1:32" ht="15">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row>
    <row r="101" spans="1:32" ht="15">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row>
    <row r="102" spans="1:32" ht="15">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row>
    <row r="103" spans="1:32" ht="15">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row>
    <row r="104" spans="1:32" ht="15">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row>
    <row r="105" spans="1:32" ht="1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row>
    <row r="106" spans="1:32" ht="15">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row>
    <row r="107" spans="1:32" ht="15">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row>
    <row r="108" spans="1:32" ht="15">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row>
    <row r="109" spans="1:32" ht="15">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row>
    <row r="110" spans="1:32" ht="15">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row>
    <row r="111" spans="1:32" ht="15">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row>
    <row r="112" spans="1:32" ht="15">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row>
    <row r="113" spans="1:32" ht="15">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row>
    <row r="114" spans="1:32" ht="15">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row>
    <row r="115" spans="1:32" ht="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row>
    <row r="116" spans="1:32" ht="15">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row>
    <row r="117" spans="1:32" ht="15">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row>
    <row r="118" spans="1:32" ht="15">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row>
    <row r="119" spans="1:32" ht="15">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row>
    <row r="120" spans="1:32" ht="15">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row>
    <row r="121" spans="1:32" ht="15">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row>
    <row r="122" spans="1:32" ht="15">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row>
    <row r="123" spans="1:32" ht="15">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row>
    <row r="124" spans="1:32" ht="15">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row>
    <row r="125" spans="1:32" ht="1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row>
    <row r="126" spans="1:32" ht="15">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row>
    <row r="127" spans="1:32" ht="15">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c r="AE127" s="133"/>
      <c r="AF127" s="133"/>
    </row>
    <row r="128" spans="1:32" ht="15">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row>
    <row r="129" spans="1:32" ht="15">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c r="AE129" s="133"/>
      <c r="AF129" s="133"/>
    </row>
    <row r="130" spans="1:32" ht="15">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row>
    <row r="131" spans="1:32" ht="15">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c r="AE131" s="133"/>
      <c r="AF131" s="133"/>
    </row>
    <row r="132" spans="1:32" ht="15">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row>
    <row r="133" spans="1:32" ht="15">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c r="AE133" s="133"/>
      <c r="AF133" s="133"/>
    </row>
    <row r="134" spans="1:32" ht="15">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row>
    <row r="135" spans="1:32" ht="1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c r="AC135" s="133"/>
      <c r="AD135" s="133"/>
      <c r="AE135" s="133"/>
      <c r="AF135" s="133"/>
    </row>
    <row r="136" spans="1:32" ht="15">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row>
    <row r="137" spans="1:32" ht="15">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row>
    <row r="138" spans="1:32" ht="15">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row>
    <row r="139" spans="1:32" ht="15">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row>
    <row r="140" spans="1:32" ht="15">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row>
    <row r="141" spans="1:32" ht="15">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row>
    <row r="142" spans="1:32" ht="15">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row>
    <row r="143" spans="1:32" ht="15">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row>
    <row r="144" spans="1:32" ht="15">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row>
    <row r="145" spans="1:32" ht="1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row>
    <row r="146" spans="1:32" ht="15">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row>
    <row r="147" spans="1:32" ht="15">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row>
    <row r="148" spans="1:32" ht="15">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row>
    <row r="149" spans="1:32" ht="15">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row>
    <row r="150" spans="1:32" ht="15">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row>
    <row r="151" spans="1:32" ht="15">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row>
    <row r="152" spans="1:32" ht="15">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row>
    <row r="153" spans="1:32" ht="15">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row>
    <row r="154" spans="1:32" ht="15">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row>
    <row r="155" spans="1:32" ht="1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row>
    <row r="156" spans="1:32" ht="15">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row>
    <row r="157" spans="1:32" ht="15">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row>
    <row r="158" spans="1:32" ht="15">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row>
    <row r="159" spans="1:32" ht="15">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row>
    <row r="160" spans="1:32" ht="15">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row>
    <row r="161" spans="1:32" ht="15">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row>
    <row r="162" spans="1:32" ht="15">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row>
    <row r="163" spans="1:32" ht="15">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row>
    <row r="164" spans="1:32" ht="15">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row>
    <row r="165" spans="1:32" ht="1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row>
    <row r="166" spans="1:32" ht="15">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row>
    <row r="167" spans="1:32" ht="15">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row>
    <row r="168" spans="1:32" ht="15">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row>
    <row r="169" spans="1:32" ht="15">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row>
    <row r="170" spans="1:32" ht="15">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row>
    <row r="171" spans="1:32" ht="15">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row>
    <row r="172" spans="1:32" ht="15">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row>
    <row r="173" spans="1:32" ht="15">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row>
    <row r="174" spans="1:32" ht="15">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row>
    <row r="175" spans="1:32" ht="1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row>
    <row r="176" spans="1:32" ht="15">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row>
    <row r="177" spans="1:32" ht="15">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row>
    <row r="178" spans="1:32" ht="15">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row>
    <row r="179" spans="1:32" ht="15">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row>
    <row r="180" spans="1:32" ht="15">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row>
    <row r="181" spans="1:32" ht="15">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row>
    <row r="182" spans="1:32" ht="15">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row>
    <row r="183" spans="1:32" ht="15">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row>
    <row r="184" spans="1:32" ht="15">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row>
    <row r="185" spans="1:32" ht="1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row>
    <row r="186" spans="1:32" ht="15">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row>
    <row r="187" spans="1:32" ht="15">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row>
    <row r="188" spans="1:32" ht="15">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row>
    <row r="189" spans="1:32" ht="15">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c r="AE189" s="133"/>
      <c r="AF189" s="133"/>
    </row>
    <row r="190" spans="1:32" ht="15">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row>
    <row r="191" spans="1:32" ht="15">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row>
    <row r="192" spans="1:32" ht="15">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row>
    <row r="193" spans="1:32" ht="15">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row>
    <row r="194" spans="1:32" ht="15">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row>
    <row r="195" spans="1:32" ht="1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row>
    <row r="196" spans="1:32" ht="15">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row>
    <row r="197" spans="1:32" ht="15">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row>
    <row r="198" spans="1:32" ht="15">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row>
    <row r="199" spans="1:32" ht="15">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row>
    <row r="200" spans="1:32" ht="15">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row>
    <row r="201" spans="1:32" ht="15">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row>
    <row r="202" spans="1:32" ht="15">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row>
    <row r="203" spans="1:32" ht="15">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row>
    <row r="204" spans="1:32" ht="15">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row>
    <row r="205" spans="1:32" ht="1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row>
    <row r="206" spans="1:32" ht="15">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row>
    <row r="207" spans="1:32" ht="15">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row>
    <row r="208" spans="1:32" ht="15">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row>
    <row r="209" spans="1:32" ht="15">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row>
    <row r="210" spans="1:32" ht="15">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row>
    <row r="211" spans="1:32" ht="15">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row>
    <row r="212" spans="1:32" ht="15">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row>
    <row r="213" spans="1:32" ht="15">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row>
    <row r="214" spans="1:32" ht="15">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row>
    <row r="215" spans="1:32" ht="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row>
    <row r="216" spans="1:32" ht="15">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row>
    <row r="217" spans="1:32" ht="15">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row>
    <row r="218" spans="1:32" ht="15">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row>
    <row r="219" spans="1:32" ht="15">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row>
    <row r="220" spans="1:32" ht="15">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row>
    <row r="221" spans="1:32" ht="15">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row>
    <row r="222" spans="1:32" ht="15">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row>
    <row r="223" spans="1:32" ht="15">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row>
    <row r="224" spans="1:32" ht="15">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row>
    <row r="225" spans="1:32" ht="1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row>
    <row r="226" spans="1:32" ht="15">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row>
    <row r="227" spans="1:32" ht="15">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row>
    <row r="228" spans="1:32" ht="15">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row>
    <row r="229" spans="1:32" ht="15">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row>
    <row r="230" spans="1:32" ht="15">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row>
    <row r="231" spans="1:32" ht="15">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row>
    <row r="232" spans="1:32" ht="15">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row>
    <row r="233" spans="1:32" ht="15">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row>
    <row r="234" spans="1:32" ht="15">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row>
    <row r="235" spans="1:32" ht="1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row>
    <row r="236" spans="1:32" ht="15">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row>
    <row r="237" spans="1:32" ht="15">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row>
    <row r="238" spans="1:32" ht="15">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row>
    <row r="239" spans="1:32" ht="15">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row>
    <row r="240" spans="1:32" ht="15">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row>
    <row r="241" spans="1:32" ht="15">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row>
    <row r="242" spans="1:32" ht="15">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row>
    <row r="243" spans="1:32" ht="15">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row>
    <row r="244" spans="1:32" ht="15">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row>
    <row r="245" spans="1:32" ht="1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row>
    <row r="246" spans="1:32" ht="15">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row>
    <row r="247" spans="1:32" ht="15">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row>
    <row r="248" spans="1:32" ht="15">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row>
    <row r="249" spans="1:32" ht="15">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row>
    <row r="250" spans="1:32" ht="15">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row>
    <row r="251" spans="1:32" ht="15">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row>
    <row r="252" spans="1:32" ht="15">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row>
    <row r="253" spans="1:32" ht="15">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row>
    <row r="254" spans="1:32" ht="15">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row>
    <row r="255" spans="1:32" ht="1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row>
    <row r="256" spans="1:32" ht="15">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row>
    <row r="257" spans="1:32" ht="15">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row>
    <row r="258" spans="1:32" ht="15">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row>
    <row r="259" spans="1:32" ht="15">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row>
    <row r="260" spans="1:32" ht="15">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row>
    <row r="261" spans="1:32" ht="15">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row>
    <row r="262" spans="1:32" ht="15">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row>
    <row r="263" spans="1:32" ht="15">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row>
    <row r="264" spans="1:32" ht="15">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row>
    <row r="265" spans="1:32" ht="1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row>
    <row r="266" spans="1:32" ht="15">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row>
    <row r="267" spans="1:32" ht="15">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row>
    <row r="268" spans="1:32" ht="15">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row>
    <row r="269" spans="1:32" ht="15">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row>
    <row r="270" spans="1:32" ht="15">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row>
    <row r="271" spans="1:32" ht="15">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row>
    <row r="272" spans="1:32" ht="15">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row>
    <row r="273" spans="1:32" ht="15">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row>
    <row r="274" spans="1:32" ht="15">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row>
    <row r="275" spans="1:32" ht="1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row>
    <row r="276" spans="1:32" ht="15">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row>
    <row r="277" spans="1:32" ht="15">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row>
    <row r="278" spans="1:32" ht="15">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row>
    <row r="279" spans="1:32" ht="15">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row>
    <row r="280" spans="1:32" ht="15">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row>
    <row r="281" spans="1:32" ht="15">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row>
    <row r="282" spans="1:32" ht="15">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row>
    <row r="283" spans="1:32" ht="15">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row>
    <row r="284" spans="1:32" ht="15">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row>
    <row r="285" spans="1:32" ht="1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row>
    <row r="286" spans="1:32" ht="15">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row>
    <row r="287" spans="1:32" ht="15">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row>
    <row r="288" spans="1:32" ht="15">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row>
    <row r="289" spans="1:32" ht="15">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row>
    <row r="290" spans="1:32" ht="15">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row>
    <row r="291" spans="1:32" ht="15">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row>
    <row r="292" spans="1:32" ht="15">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row>
    <row r="293" spans="1:32" ht="15">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row>
    <row r="294" spans="1:32" ht="15">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row>
    <row r="295" spans="1:32" ht="1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row>
    <row r="296" spans="1:32" ht="15">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row>
    <row r="297" spans="1:32" ht="15">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row>
    <row r="298" spans="1:32" ht="15">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row>
    <row r="299" spans="1:32" ht="15">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row>
    <row r="300" spans="1:32" ht="1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row>
    <row r="301" spans="1:32" ht="15">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row>
    <row r="302" spans="1:32" ht="15">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row>
    <row r="303" spans="1:32" ht="15">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row>
    <row r="304" spans="1:32" ht="15">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row>
    <row r="305" spans="1:32" ht="1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row>
    <row r="306" spans="1:32" ht="15">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row>
    <row r="307" spans="1:32" ht="15">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row>
    <row r="308" spans="1:32" ht="15">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row>
    <row r="309" spans="1:32" ht="15">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row>
    <row r="310" spans="1:32" ht="15">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row>
    <row r="311" spans="1:32" ht="15">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row>
    <row r="312" spans="1:32" ht="15">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row>
    <row r="313" spans="1:32" ht="15">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row>
    <row r="314" spans="1:32" ht="15">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row>
    <row r="315" spans="1:32" ht="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row>
    <row r="316" spans="1:32" ht="15">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row>
    <row r="317" spans="1:32" ht="15">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row>
    <row r="318" spans="1:32" ht="15">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row>
    <row r="319" spans="1:32" ht="15">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row>
    <row r="320" spans="1:32" ht="15">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row>
    <row r="321" spans="1:32" ht="15">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row>
    <row r="322" spans="1:32" ht="15">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row>
    <row r="323" spans="1:32" ht="15">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row>
    <row r="324" spans="1:32" ht="15">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row>
    <row r="325" spans="1:32" ht="1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row>
    <row r="326" spans="1:32" ht="15">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row>
    <row r="327" spans="1:32" ht="15">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row>
    <row r="328" spans="1:32" ht="15">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row>
    <row r="329" spans="1:32" ht="15">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row>
    <row r="330" spans="1:32" ht="15">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row>
    <row r="331" spans="1:32" ht="15">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row>
    <row r="332" spans="1:32" ht="15">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row>
    <row r="333" spans="1:32" ht="15">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row>
    <row r="334" spans="1:32" ht="15">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row>
    <row r="335" spans="1:32" ht="1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row>
    <row r="336" spans="1:32" ht="15">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row>
    <row r="337" spans="1:32" ht="15">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row>
    <row r="338" spans="1:32" ht="15">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row>
    <row r="339" spans="1:32" ht="15">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row>
    <row r="340" spans="1:32" ht="15">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row>
    <row r="341" spans="1:32" ht="15">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row>
    <row r="342" spans="1:32" ht="15">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row>
    <row r="343" spans="1:32" ht="15">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row>
    <row r="344" spans="1:32" ht="15">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row>
    <row r="345" spans="1:32" ht="1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row>
    <row r="346" spans="1:32" ht="15">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row>
    <row r="347" spans="1:32" ht="15">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row>
    <row r="348" spans="1:32" ht="15">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row>
    <row r="349" spans="1:32" ht="15">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row>
    <row r="350" spans="1:32" ht="15">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row>
    <row r="351" spans="1:32" ht="15">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row>
    <row r="352" spans="1:32" ht="15">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row>
    <row r="353" spans="1:32" ht="15">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row>
    <row r="354" spans="1:32" ht="15">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row>
    <row r="355" spans="1:32" ht="1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row>
    <row r="356" spans="1:32" ht="15">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row>
    <row r="357" spans="1:32" ht="15">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row>
    <row r="358" spans="1:32" ht="15">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row>
    <row r="359" spans="1:32" ht="15">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row>
    <row r="360" spans="1:32" ht="15">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row>
    <row r="361" spans="1:32" ht="15">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row>
    <row r="362" spans="1:32" ht="15">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row>
    <row r="363" spans="1:32" ht="15">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row>
    <row r="364" spans="1:32" ht="15">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row>
    <row r="365" spans="1:32" ht="1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row>
    <row r="366" spans="1:32" ht="15">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row>
    <row r="367" spans="1:32" ht="15">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row>
    <row r="368" spans="1:32" ht="15">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row>
    <row r="369" spans="1:32" ht="15">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row>
    <row r="370" spans="1:32" ht="15">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row>
    <row r="371" spans="1:32" ht="15">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row>
    <row r="372" spans="1:32" ht="15">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row>
    <row r="373" spans="1:32" ht="15">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row>
    <row r="374" spans="1:32" ht="15">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row>
    <row r="375" spans="1:32" ht="1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row>
    <row r="376" spans="1:32" ht="15">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row>
    <row r="377" spans="1:32" ht="15">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row>
    <row r="378" spans="1:32" ht="15">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row>
    <row r="379" spans="1:32" ht="15">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row>
    <row r="380" spans="1:32" ht="15">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row>
    <row r="381" spans="1:32" ht="15">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row>
    <row r="382" spans="1:32" ht="15">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row>
    <row r="383" spans="1:32" ht="15">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row>
    <row r="384" spans="1:32" ht="15">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row>
    <row r="385" spans="1:32" ht="1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row>
    <row r="386" spans="1:32" ht="15">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row>
    <row r="387" spans="1:32" ht="15">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row>
    <row r="388" spans="1:32" ht="15">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row>
    <row r="389" spans="1:32" ht="15">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row>
    <row r="390" spans="1:32" ht="15">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row>
    <row r="391" spans="1:32" ht="15">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row>
    <row r="392" spans="1:32" ht="15">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row>
    <row r="393" spans="1:32" ht="15">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row>
    <row r="394" spans="1:32" ht="15">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row>
    <row r="395" spans="1:32" ht="1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row>
    <row r="396" spans="1:32" ht="15">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row>
    <row r="397" spans="1:32" ht="15">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row>
    <row r="398" spans="1:32" ht="15">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row>
    <row r="399" spans="1:32" ht="15">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row>
    <row r="400" spans="1:32" ht="15">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row>
    <row r="401" spans="1:32" ht="15">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row>
    <row r="402" spans="1:32" ht="15">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row>
    <row r="403" spans="1:32" ht="15">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row>
    <row r="404" spans="1:32" ht="15">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row>
    <row r="405" spans="1:32" ht="1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row>
    <row r="406" spans="1:32" ht="15">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row>
    <row r="407" spans="1:32" ht="15">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row>
    <row r="408" spans="1:32" ht="15">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row>
    <row r="409" spans="1:32" ht="15">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row>
    <row r="410" spans="1:32" ht="15">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row>
    <row r="411" spans="1:32" ht="15">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row>
    <row r="412" spans="1:32" ht="15">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row>
    <row r="413" spans="1:32" ht="15">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row>
    <row r="414" spans="1:32" ht="15">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row>
    <row r="415" spans="1:32" ht="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row>
    <row r="416" spans="1:32" ht="15">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row>
    <row r="417" spans="1:32" ht="15">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row>
    <row r="418" spans="1:32" ht="15">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row>
    <row r="419" spans="1:32" ht="15">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row>
    <row r="420" spans="1:32" ht="15">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row>
    <row r="421" spans="1:32" ht="15">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row>
    <row r="422" spans="1:32" ht="15">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row>
    <row r="423" spans="1:32" ht="15">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row>
    <row r="424" spans="1:32" ht="15">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row>
    <row r="425" spans="1:32" ht="1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row>
    <row r="426" spans="1:32" ht="15">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row>
    <row r="427" spans="1:32" ht="15">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row>
    <row r="428" spans="1:32" ht="15">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row>
    <row r="429" spans="1:32" ht="15">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row>
    <row r="430" spans="1:32" ht="15">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row>
    <row r="431" spans="1:32" ht="15">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row>
    <row r="432" spans="1:32" ht="15">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row>
    <row r="433" spans="1:32" ht="15">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row>
    <row r="434" spans="1:32" ht="15">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row>
    <row r="435" spans="1:32" ht="1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row>
    <row r="436" spans="1:32" ht="15">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row>
    <row r="437" spans="1:32" ht="15">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row>
    <row r="438" spans="1:32" ht="15">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row>
    <row r="439" spans="1:32" ht="15">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row>
    <row r="440" spans="1:32" ht="15">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row>
    <row r="441" spans="1:32" ht="15">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row>
    <row r="442" spans="1:32" ht="15">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row>
    <row r="443" spans="1:32" ht="15">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row>
    <row r="444" spans="1:32" ht="15">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row>
    <row r="445" spans="1:32" ht="1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row>
    <row r="446" spans="1:32" ht="15">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row>
    <row r="447" spans="1:32" ht="15">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row>
    <row r="448" spans="1:32" ht="15">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row>
    <row r="449" spans="1:32" ht="15">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row>
    <row r="450" spans="1:32" ht="15">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row>
    <row r="451" spans="1:32" ht="15">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row>
    <row r="452" spans="1:32" ht="15">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row>
    <row r="453" spans="1:32" ht="15">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row>
    <row r="454" spans="1:32" ht="15">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row>
    <row r="455" spans="1:32" ht="1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row>
    <row r="456" spans="1:32" ht="15">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row>
    <row r="457" spans="1:32" ht="15">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row>
    <row r="458" spans="1:32" ht="15">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row>
    <row r="459" spans="1:32" ht="15">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row>
    <row r="460" spans="1:32" ht="15">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row>
    <row r="461" spans="1:32" ht="15">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row>
    <row r="462" spans="1:32" ht="15">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row>
    <row r="463" spans="1:32" ht="15">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row>
    <row r="464" spans="1:32" ht="15">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row>
    <row r="465" spans="1:32" ht="1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row>
    <row r="466" spans="1:32" ht="15">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row>
    <row r="467" spans="1:32" ht="15">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row>
    <row r="468" spans="1:32" ht="15">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row>
    <row r="469" spans="1:32" ht="15">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row>
    <row r="470" spans="1:32" ht="15">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row>
    <row r="471" spans="1:32" ht="15">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row>
    <row r="472" spans="1:32" ht="15">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row>
    <row r="473" spans="1:32" ht="15">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row>
    <row r="474" spans="1:32" ht="15">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row>
    <row r="475" spans="1:32" ht="1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row>
    <row r="476" spans="1:32" ht="15">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row>
    <row r="477" spans="1:32" ht="15">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row>
    <row r="478" spans="1:32" ht="15">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row>
    <row r="479" spans="1:32" ht="15">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row>
    <row r="480" spans="1:32" ht="15">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row>
    <row r="481" spans="1:32" ht="15">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row>
    <row r="482" spans="1:32" ht="15">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row>
    <row r="483" spans="1:32" ht="15">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row>
    <row r="484" spans="1:32" ht="15">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row>
    <row r="485" spans="1:32" ht="1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row>
    <row r="486" spans="1:32" ht="15">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row>
    <row r="487" spans="1:32" ht="15">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row>
    <row r="488" spans="1:32" ht="15">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row>
    <row r="489" spans="1:32" ht="15">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row>
    <row r="490" spans="1:32" ht="15">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row>
    <row r="491" spans="1:32" ht="15">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row>
    <row r="492" spans="1:32" ht="15">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row>
    <row r="493" spans="1:32" ht="15">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row>
    <row r="494" spans="1:32" ht="15">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row>
    <row r="495" spans="1:32" ht="1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row>
    <row r="496" spans="1:32" ht="15">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row>
    <row r="497" spans="1:32" ht="15">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row>
    <row r="498" spans="1:32" ht="15">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row>
    <row r="499" spans="1:32" ht="15">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row>
    <row r="500" spans="1:32" ht="15">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row>
    <row r="501" spans="1:32" ht="15">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row>
    <row r="502" spans="1:32" ht="15">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row>
    <row r="503" spans="1:32" ht="15">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row>
    <row r="504" spans="1:32" ht="15">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row>
    <row r="505" spans="1:32" ht="1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row>
    <row r="506" spans="1:32" ht="15">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row>
    <row r="507" spans="1:32" ht="15">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row>
    <row r="508" spans="1:32" ht="15">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row>
    <row r="509" spans="1:32" ht="15">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row>
    <row r="510" spans="1:32" ht="15">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row>
    <row r="511" spans="1:32" ht="15">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row>
    <row r="512" spans="1:32" ht="15">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row>
    <row r="513" spans="1:32" ht="15">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row>
    <row r="514" spans="1:32" ht="15">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row>
    <row r="515" spans="1:32" ht="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row>
    <row r="516" spans="1:32" ht="15">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row>
    <row r="517" spans="1:32" ht="15">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row>
    <row r="518" spans="1:32" ht="15">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row>
    <row r="519" spans="1:32" ht="15">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row>
    <row r="520" spans="1:32" ht="15">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row>
    <row r="521" spans="1:32" ht="15">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row>
    <row r="522" spans="1:32" ht="15">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row>
    <row r="523" spans="1:32" ht="15">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row>
    <row r="524" spans="1:32" ht="15">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row>
    <row r="525" spans="1:32" ht="1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row>
    <row r="526" spans="1:32" ht="15">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row>
    <row r="527" spans="1:32" ht="15">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row>
    <row r="528" spans="1:32" ht="15">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row>
    <row r="529" spans="1:32" ht="15">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row>
    <row r="530" spans="1:32" ht="15">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row>
    <row r="531" spans="1:32" ht="15">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row>
    <row r="532" spans="1:32" ht="15">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row>
    <row r="533" spans="1:32" ht="15">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row>
    <row r="534" spans="1:32" ht="15">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row>
    <row r="535" spans="1:32" ht="1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row>
    <row r="536" spans="1:32" ht="15">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row>
    <row r="537" spans="1:32" ht="15">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row>
    <row r="538" spans="1:32" ht="15">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row>
    <row r="539" spans="1:32" ht="15">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row>
    <row r="540" spans="1:32" ht="15">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row>
    <row r="541" spans="1:32" ht="15">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row>
    <row r="542" spans="1:32" ht="15">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row>
    <row r="543" spans="1:32" ht="15">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row>
    <row r="544" spans="1:32" ht="15">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row>
    <row r="545" spans="1:32" ht="1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row>
    <row r="546" spans="1:32" ht="15">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row>
    <row r="547" spans="1:32" ht="15">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row>
    <row r="548" spans="1:32" ht="15">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row>
    <row r="549" spans="1:32" ht="15">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row>
    <row r="550" spans="1:32" ht="15">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row>
    <row r="551" spans="1:32" ht="15">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row>
    <row r="552" spans="1:32" ht="15">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row>
    <row r="553" spans="1:32" ht="15">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row>
    <row r="554" spans="1:32" ht="15">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row>
    <row r="555" spans="1:32" ht="1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row>
    <row r="556" spans="1:32" ht="15">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row>
    <row r="557" spans="1:32" ht="15">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row>
    <row r="558" spans="1:32" ht="15">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row>
    <row r="559" spans="1:32" ht="15">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row>
    <row r="560" spans="1:32" ht="15">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row>
    <row r="561" spans="1:32" ht="15">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row>
    <row r="562" spans="1:32" ht="15">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row>
    <row r="563" spans="1:32" ht="15">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row>
    <row r="564" spans="1:32" ht="15">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row>
    <row r="565" spans="1:32" ht="1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row>
    <row r="566" spans="1:32" ht="15">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row>
    <row r="567" spans="1:32" ht="15">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row>
    <row r="568" spans="1:32" ht="15">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row>
    <row r="569" spans="1:32" ht="15">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row>
    <row r="570" spans="1:32" ht="15">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row>
    <row r="571" spans="1:32" ht="15">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row>
    <row r="572" spans="1:32" ht="15">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row>
    <row r="573" spans="1:32" ht="15">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row>
    <row r="574" spans="1:32" ht="15">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row>
    <row r="575" spans="1:32" ht="1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row>
    <row r="576" spans="1:32" ht="15">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row>
    <row r="577" spans="1:32" ht="15">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row>
    <row r="578" spans="1:32" ht="15">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row>
    <row r="579" spans="1:32" ht="15">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row>
    <row r="580" spans="1:32" ht="15">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row>
    <row r="581" spans="1:32" ht="15">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row>
    <row r="582" spans="1:32" ht="15">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row>
    <row r="583" spans="1:32" ht="15">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row>
    <row r="584" spans="1:32" ht="15">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row>
    <row r="585" spans="1:32" ht="1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row>
    <row r="586" spans="1:32" ht="15">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row>
    <row r="587" spans="1:32" ht="15">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row>
    <row r="588" spans="1:32" ht="15">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row>
    <row r="589" spans="1:32" ht="15">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row>
    <row r="590" spans="1:32" ht="15">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row>
    <row r="591" spans="1:32" ht="15">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row>
    <row r="592" spans="1:32" ht="15">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row>
    <row r="593" spans="1:32" ht="15">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row>
    <row r="594" spans="1:32" ht="15">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row>
    <row r="595" spans="1:32" ht="1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row>
    <row r="596" spans="1:32" ht="15">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row>
    <row r="597" spans="1:32" ht="15">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row>
    <row r="598" spans="1:32" ht="15">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row>
    <row r="599" spans="1:32" ht="15">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row>
    <row r="600" spans="1:32" ht="15">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row>
    <row r="601" spans="1:32" ht="15">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row>
    <row r="602" spans="1:32" ht="15">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row>
    <row r="603" spans="1:32" ht="15">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row>
    <row r="604" spans="1:32" ht="15">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row>
    <row r="605" spans="1:32" ht="1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row>
    <row r="606" spans="1:32" ht="15">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row>
    <row r="607" spans="1:32" ht="15">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row>
    <row r="608" spans="1:32" ht="15">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row>
    <row r="609" spans="1:32" ht="15">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row>
    <row r="610" spans="1:32" ht="15">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row>
    <row r="611" spans="1:32" ht="15">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row>
    <row r="612" spans="1:32" ht="15">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row>
    <row r="613" spans="1:32" ht="15">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row>
    <row r="614" spans="1:32" ht="15">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row>
    <row r="615" spans="1:32" ht="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row>
    <row r="616" spans="1:32" ht="15">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row>
    <row r="617" spans="1:32" ht="15">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row>
    <row r="618" spans="1:32" ht="15">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row>
    <row r="619" spans="1:32" ht="15">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row>
    <row r="620" spans="1:32" ht="15">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row>
    <row r="621" spans="1:32" ht="15">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row>
    <row r="622" spans="1:32" ht="15">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row>
    <row r="623" spans="1:32" ht="15">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row>
    <row r="624" spans="1:32" ht="15">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row>
    <row r="625" spans="1:32" ht="1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row>
    <row r="626" spans="1:32" ht="15">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row>
    <row r="627" spans="1:32" ht="15">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row>
    <row r="628" spans="1:32" ht="15">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row>
    <row r="629" spans="1:32" ht="15">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row>
    <row r="630" spans="1:32" ht="15">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row>
    <row r="631" spans="1:32" ht="15">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row>
    <row r="632" spans="1:32" ht="15">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row>
    <row r="633" spans="1:32" ht="15">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row>
    <row r="634" spans="1:32" ht="15">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row>
    <row r="635" spans="1:32" ht="1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row>
    <row r="636" spans="1:32" ht="15">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row>
    <row r="637" spans="1:32" ht="15">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row>
    <row r="638" spans="1:32" ht="15">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row>
    <row r="639" spans="1:32" ht="15">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row>
    <row r="640" spans="1:32" ht="15">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row>
    <row r="641" spans="1:32" ht="15">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row>
    <row r="642" spans="1:32" ht="15">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row>
    <row r="643" spans="1:32" ht="15">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row>
    <row r="644" spans="1:32" ht="15">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row>
    <row r="645" spans="1:32" ht="1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row>
    <row r="646" spans="1:32" ht="15">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row>
    <row r="647" spans="1:32" ht="15">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row>
    <row r="648" spans="1:32" ht="15">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row>
    <row r="649" spans="1:32" ht="15">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row>
    <row r="650" spans="1:32" ht="15">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row>
    <row r="651" spans="1:32" ht="15">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row>
    <row r="652" spans="1:32" ht="15">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row>
    <row r="653" spans="1:32" ht="15">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row>
    <row r="654" spans="1:32" ht="15">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row>
    <row r="655" spans="1:32" ht="1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row>
    <row r="656" spans="1:32" ht="15">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row>
    <row r="657" spans="1:32" ht="15">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row>
    <row r="658" spans="1:32" ht="15">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row>
    <row r="659" spans="1:32" ht="15">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row>
    <row r="660" spans="1:32" ht="15">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row>
    <row r="661" spans="1:32" ht="15">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row>
    <row r="662" spans="1:32" ht="15">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row>
    <row r="663" spans="1:32" ht="15">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row>
    <row r="664" spans="1:32" ht="15">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row>
    <row r="665" spans="1:32" ht="1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row>
    <row r="666" spans="1:32" ht="15">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row>
    <row r="667" spans="1:32" ht="15">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row>
    <row r="668" spans="1:32" ht="15">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row>
    <row r="669" spans="1:32" ht="15">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row>
    <row r="670" spans="1:32" ht="15">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row>
    <row r="671" spans="1:32" ht="15">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row>
    <row r="672" spans="1:32" ht="15">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row>
    <row r="673" spans="1:32" ht="15">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row>
    <row r="674" spans="1:32" ht="15">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row>
    <row r="675" spans="1:32" ht="1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row>
    <row r="676" spans="1:32" ht="15">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row>
    <row r="677" spans="1:32" ht="15">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row>
    <row r="678" spans="1:32" ht="15">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row>
    <row r="679" spans="1:32" ht="15">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row>
    <row r="680" spans="1:32" ht="15">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row>
    <row r="681" spans="1:32" ht="15">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row>
    <row r="682" spans="1:32" ht="15">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row>
    <row r="683" spans="1:32" ht="15">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row>
    <row r="684" spans="1:32" ht="15">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row>
    <row r="685" spans="1:32" ht="1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row>
    <row r="686" spans="1:32" ht="15">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row>
    <row r="687" spans="1:32" ht="15">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row>
    <row r="688" spans="1:32" ht="15">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row>
    <row r="689" spans="1:32" ht="15">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row>
    <row r="690" spans="1:32" ht="15">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row>
    <row r="691" spans="1:32" ht="15">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row>
    <row r="692" spans="1:32" ht="15">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row>
    <row r="693" spans="1:32" ht="15">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row>
    <row r="694" spans="1:32" ht="15">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row>
    <row r="695" spans="1:32" ht="1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row>
    <row r="696" spans="1:32" ht="15">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row>
    <row r="697" spans="1:32" ht="15">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row>
    <row r="698" spans="1:32" ht="15">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row>
    <row r="699" spans="1:32" ht="15">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row>
    <row r="700" spans="1:32" ht="15">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row>
    <row r="701" spans="1:32" ht="15">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row>
    <row r="702" spans="1:32" ht="15">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row>
    <row r="703" spans="1:32" ht="15">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row>
    <row r="704" spans="1:32" ht="15">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row>
    <row r="705" spans="1:32" ht="1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row>
    <row r="706" spans="1:32" ht="15">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row>
    <row r="707" spans="1:32" ht="15">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row>
    <row r="708" spans="1:32" ht="15">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row>
    <row r="709" spans="1:32" ht="15">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row>
    <row r="710" spans="1:32" ht="15">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row>
    <row r="711" spans="1:32" ht="15">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row>
    <row r="712" spans="1:32" ht="15">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row>
    <row r="713" spans="1:32" ht="15">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row>
    <row r="714" spans="1:32" ht="15">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row>
    <row r="715" spans="1:32" ht="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row>
    <row r="716" spans="1:32" ht="15">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row>
    <row r="717" spans="1:32" ht="15">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row>
    <row r="718" spans="1:32" ht="15">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row>
    <row r="719" spans="1:32" ht="15">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row>
    <row r="720" spans="1:32" ht="15">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row>
    <row r="721" spans="1:32" ht="15">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row>
    <row r="722" spans="1:32" ht="15">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row>
    <row r="723" spans="1:32" ht="15">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row>
    <row r="724" spans="1:32" ht="15">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row>
    <row r="725" spans="1:32" ht="1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row>
    <row r="726" spans="1:32" ht="15">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row>
    <row r="727" spans="1:32" ht="15">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row>
    <row r="728" spans="1:32" ht="15">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row>
    <row r="729" spans="1:32" ht="15">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row>
    <row r="730" spans="1:32" ht="15">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row>
    <row r="731" spans="1:32" ht="15">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row>
    <row r="732" spans="1:32" ht="15">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row>
    <row r="733" spans="1:32" ht="15">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row>
    <row r="734" spans="1:32" ht="15">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row>
    <row r="735" spans="1:32" ht="1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row>
    <row r="736" spans="1:32" ht="15">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row>
    <row r="737" spans="1:32" ht="15">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row>
    <row r="738" spans="1:32" ht="15">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row>
    <row r="739" spans="1:32" ht="15">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row>
    <row r="740" spans="1:32" ht="15">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row>
    <row r="741" spans="1:32" ht="15">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row>
    <row r="742" spans="1:32" ht="15">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row>
    <row r="743" spans="1:32" ht="15">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row>
    <row r="744" spans="1:32" ht="15">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row>
    <row r="745" spans="1:32" ht="1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row>
    <row r="746" spans="1:32" ht="15">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row>
    <row r="747" spans="1:32" ht="15">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row>
    <row r="748" spans="1:32" ht="15">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row>
    <row r="749" spans="1:32" ht="15">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row>
    <row r="750" spans="1:32" ht="15">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row>
    <row r="751" spans="1:32" ht="15">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row>
    <row r="752" spans="1:32" ht="15">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row>
    <row r="753" spans="1:32" ht="15">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row>
    <row r="754" spans="1:32" ht="15">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row>
    <row r="755" spans="1:32" ht="1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row>
    <row r="756" spans="1:32" ht="15">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row>
    <row r="757" spans="1:32" ht="15">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row>
    <row r="758" spans="1:32" ht="15">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row>
    <row r="759" spans="1:32" ht="15">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row>
    <row r="760" spans="1:32" ht="15">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row>
    <row r="761" spans="1:32" ht="15">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row>
    <row r="762" spans="1:32" ht="15">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row>
    <row r="763" spans="1:32" ht="15">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row>
    <row r="764" spans="1:32" ht="15">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row>
    <row r="765" spans="1:32" ht="1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row>
    <row r="766" spans="1:32" ht="15">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row>
    <row r="767" spans="1:32" ht="15">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row>
    <row r="768" spans="1:32" ht="15">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row>
    <row r="769" spans="1:32" ht="15">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row>
    <row r="770" spans="1:32" ht="15">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row>
    <row r="771" spans="1:32" ht="15">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row>
    <row r="772" spans="1:32" ht="15">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row>
    <row r="773" spans="1:32" ht="15">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row>
    <row r="774" spans="1:32" ht="15">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row>
    <row r="775" spans="1:32" ht="1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row>
    <row r="776" spans="1:32" ht="15">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row>
    <row r="777" spans="1:32" ht="15">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row>
    <row r="778" spans="1:32" ht="15">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row>
    <row r="779" spans="1:32" ht="15">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row>
    <row r="780" spans="1:32" ht="15">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row>
    <row r="781" spans="1:32" ht="15">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row>
    <row r="782" spans="1:32" ht="15">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row>
    <row r="783" spans="1:32" ht="15">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row>
    <row r="784" spans="1:32" ht="15">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row>
    <row r="785" spans="1:32" ht="1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row>
    <row r="786" spans="1:32" ht="15">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row>
    <row r="787" spans="1:32" ht="15">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row>
    <row r="788" spans="1:32" ht="15">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row>
    <row r="789" spans="1:32" ht="15">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row>
    <row r="790" spans="1:32" ht="15">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row>
    <row r="791" spans="1:32" ht="15">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row>
    <row r="792" spans="1:32" ht="15">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row>
    <row r="793" spans="1:32" ht="15">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row>
    <row r="794" spans="1:32" ht="15">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row>
    <row r="795" spans="1:32" ht="1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row>
    <row r="796" spans="1:32" ht="15">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row>
    <row r="797" spans="1:32" ht="15">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row>
    <row r="798" spans="1:32" ht="15">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row>
    <row r="799" spans="1:32" ht="15">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row>
    <row r="800" spans="1:32" ht="15">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row>
    <row r="801" spans="1:32" ht="15">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row>
    <row r="802" spans="1:32" ht="15">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row>
    <row r="803" spans="1:32" ht="15">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row>
    <row r="804" spans="1:32" ht="15">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row>
    <row r="805" spans="1:32" ht="1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row>
    <row r="806" spans="1:32" ht="15">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row>
    <row r="807" spans="1:32" ht="15">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row>
    <row r="808" spans="1:32" ht="15">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row>
    <row r="809" spans="1:32" ht="15">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row>
    <row r="810" spans="1:32" ht="15">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row>
    <row r="811" spans="1:32" ht="15">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row>
    <row r="812" spans="1:32" ht="15">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row>
    <row r="813" spans="1:32" ht="15">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row>
    <row r="814" spans="1:32" ht="15">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row>
    <row r="815" spans="1:32" ht="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row>
    <row r="816" spans="1:32" ht="15">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row>
    <row r="817" spans="1:32" ht="15">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row>
    <row r="818" spans="1:32" ht="15">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row>
    <row r="819" spans="1:32" ht="15">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row>
    <row r="820" spans="1:32" ht="15">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row>
    <row r="821" spans="1:32" ht="15">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row>
    <row r="822" spans="1:32" ht="15">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row>
    <row r="823" spans="1:32" ht="15">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row>
    <row r="824" spans="1:32" ht="15">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row>
    <row r="825" spans="1:32" ht="1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row>
    <row r="826" spans="1:32" ht="15">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row>
    <row r="827" spans="1:32" ht="15">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row>
    <row r="828" spans="1:32" ht="15">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row>
    <row r="829" spans="1:32" ht="15">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row>
    <row r="830" spans="1:32" ht="15">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row>
    <row r="831" spans="1:32" ht="15">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row>
    <row r="832" spans="1:32" ht="15">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row>
    <row r="833" spans="1:32" ht="15">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row>
    <row r="834" spans="1:32" ht="15">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row>
    <row r="835" spans="1:32" ht="1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row>
    <row r="836" spans="1:32" ht="15">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row>
    <row r="837" spans="1:32" ht="15">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row>
    <row r="838" spans="1:32" ht="15">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row>
    <row r="839" spans="1:32" ht="15">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row>
    <row r="840" spans="1:32" ht="15">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row>
    <row r="841" spans="1:32" ht="15">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row>
    <row r="842" spans="1:32" ht="15">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row>
    <row r="843" spans="1:32" ht="15">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row>
    <row r="844" spans="1:32" ht="15">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row>
    <row r="845" spans="1:32" ht="1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row>
    <row r="846" spans="1:32" ht="15">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row>
    <row r="847" spans="1:32" ht="15">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row>
    <row r="848" spans="1:32" ht="15">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row>
    <row r="849" spans="1:32" ht="15">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row>
    <row r="850" spans="1:32" ht="15">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row>
    <row r="851" spans="1:32" ht="15">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row>
    <row r="852" spans="1:32" ht="15">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row>
    <row r="853" spans="1:32" ht="15">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row>
    <row r="854" spans="1:32" ht="15">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row>
    <row r="855" spans="1:32" ht="1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row>
    <row r="856" spans="1:32" ht="15">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row>
    <row r="857" spans="1:32" ht="15">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row>
    <row r="858" spans="1:32" ht="15">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row>
    <row r="859" spans="1:32" ht="15">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row>
    <row r="860" spans="1:32" ht="15">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row>
    <row r="861" spans="1:32" ht="15">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row>
    <row r="862" spans="1:32" ht="15">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row>
    <row r="863" spans="1:32" ht="15">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row>
    <row r="864" spans="1:32" ht="15">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row>
    <row r="865" spans="1:32" ht="1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row>
    <row r="866" spans="1:32" ht="15">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row>
    <row r="867" spans="1:32" ht="15">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row>
    <row r="868" spans="1:32" ht="15">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row>
    <row r="869" spans="1:32" ht="15">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row>
    <row r="870" spans="1:32" ht="15">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row>
    <row r="871" spans="1:32" ht="15">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row>
    <row r="872" spans="1:32" ht="15">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row>
    <row r="873" spans="1:32" ht="15">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row>
    <row r="874" spans="1:32" ht="15">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row>
    <row r="875" spans="1:32" ht="1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row>
    <row r="876" spans="1:32" ht="15">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row>
    <row r="877" spans="1:32" ht="15">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row>
    <row r="878" spans="1:32" ht="15">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row>
    <row r="879" spans="1:32" ht="15">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row>
    <row r="880" spans="1:32" ht="15">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row>
    <row r="881" spans="1:32" ht="15">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row>
    <row r="882" spans="1:32" ht="15">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row>
    <row r="883" spans="1:32" ht="15">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row>
    <row r="884" spans="1:32" ht="15">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row>
    <row r="885" spans="1:32" ht="1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row>
    <row r="886" spans="1:32" ht="15">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row>
    <row r="887" spans="1:32" ht="15">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row>
    <row r="888" spans="1:32" ht="15">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row>
    <row r="889" spans="1:32" ht="15">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row>
    <row r="890" spans="1:32" ht="15">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row>
    <row r="891" spans="1:32" ht="15">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row>
    <row r="892" spans="1:32" ht="15">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row>
    <row r="893" spans="1:32" ht="15">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row>
    <row r="894" spans="1:32" ht="15">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row>
    <row r="895" spans="1:32" ht="1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row>
    <row r="896" spans="1:32" ht="15">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row>
    <row r="897" spans="1:32" ht="15">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row>
    <row r="898" spans="1:32" ht="15">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row>
    <row r="899" spans="1:32" ht="15">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row>
    <row r="900" spans="1:32" ht="15">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row>
    <row r="901" spans="1:32" ht="15">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row>
    <row r="902" spans="1:32" ht="15">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row>
    <row r="903" spans="1:32" ht="15">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row>
    <row r="904" spans="1:32" ht="15">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row>
    <row r="905" spans="1:32" ht="1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row>
    <row r="906" spans="1:32" ht="15">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row>
    <row r="907" spans="1:32" ht="15">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row>
    <row r="908" spans="1:32" ht="15">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row>
    <row r="909" spans="1:32" ht="15">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row>
    <row r="910" spans="1:32" ht="15">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row>
    <row r="911" spans="1:32" ht="15">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row>
    <row r="912" spans="1:32" ht="15">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row>
    <row r="913" spans="1:32" ht="15">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row>
    <row r="914" spans="1:32" ht="15">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row>
    <row r="915" spans="1:32" ht="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row>
    <row r="916" spans="1:32" ht="15">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row>
    <row r="917" spans="1:32" ht="15">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row>
    <row r="918" spans="1:32" ht="15">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row>
    <row r="919" spans="1:32" ht="15">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row>
    <row r="920" spans="1:32" ht="15">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row>
    <row r="921" spans="1:32" ht="15">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row>
    <row r="922" spans="1:32" ht="15">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row>
    <row r="923" spans="1:32" ht="15">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row>
    <row r="924" spans="1:32" ht="15">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row>
    <row r="925" spans="1:32" ht="1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row>
    <row r="926" spans="1:32" ht="15">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row>
    <row r="927" spans="1:32" ht="15">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row>
    <row r="928" spans="1:32" ht="15">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row>
    <row r="929" spans="1:32" ht="15">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row>
    <row r="930" spans="1:32" ht="15">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row>
    <row r="931" spans="1:32" ht="15">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row>
    <row r="932" spans="1:32" ht="15">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row>
    <row r="933" spans="1:32" ht="15">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row>
    <row r="934" spans="1:32" ht="15">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row>
    <row r="935" spans="1:32" ht="1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row>
    <row r="936" spans="1:32" ht="15">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row>
    <row r="937" spans="1:32" ht="15">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row>
    <row r="938" spans="1:32" ht="15">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row>
    <row r="939" spans="1:32" ht="15">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row>
    <row r="940" spans="1:32" ht="15">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row>
    <row r="941" spans="1:32" ht="15">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row>
    <row r="942" spans="1:32" ht="15">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row>
    <row r="943" spans="1:32" ht="15">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row>
    <row r="944" spans="1:32" ht="15">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row>
    <row r="945" spans="1:32" ht="1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row>
    <row r="946" spans="1:32" ht="15">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row>
    <row r="947" spans="1:32" ht="15">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row>
    <row r="948" spans="1:32" ht="15">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row>
    <row r="949" spans="1:32" ht="15">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row>
    <row r="950" spans="1:32" ht="15">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row>
    <row r="951" spans="1:32" ht="15">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row>
    <row r="952" spans="1:32" ht="15">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row>
    <row r="953" spans="1:32" ht="15">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row>
  </sheetData>
  <mergeCells count="126">
    <mergeCell ref="C52:E52"/>
    <mergeCell ref="F52:G52"/>
    <mergeCell ref="I52:J52"/>
    <mergeCell ref="B46:E46"/>
    <mergeCell ref="I51:J51"/>
    <mergeCell ref="C50:E50"/>
    <mergeCell ref="F50:G50"/>
    <mergeCell ref="C51:E51"/>
    <mergeCell ref="F51:G51"/>
    <mergeCell ref="C47:E47"/>
    <mergeCell ref="F47:G47"/>
    <mergeCell ref="I47:J47"/>
    <mergeCell ref="C48:E48"/>
    <mergeCell ref="F48:G48"/>
    <mergeCell ref="C49:E49"/>
    <mergeCell ref="F49:G49"/>
    <mergeCell ref="Q50:V50"/>
    <mergeCell ref="Q51:V51"/>
    <mergeCell ref="Q45:AC45"/>
    <mergeCell ref="B9:K9"/>
    <mergeCell ref="C18:E18"/>
    <mergeCell ref="J33:K33"/>
    <mergeCell ref="J34:K34"/>
    <mergeCell ref="J35:K35"/>
    <mergeCell ref="J36:K36"/>
    <mergeCell ref="J37:K37"/>
    <mergeCell ref="B14:K14"/>
    <mergeCell ref="C17:G17"/>
    <mergeCell ref="B21:C21"/>
    <mergeCell ref="B15:K15"/>
    <mergeCell ref="B12:K12"/>
    <mergeCell ref="B10:K10"/>
    <mergeCell ref="F46:G46"/>
    <mergeCell ref="I46:J46"/>
    <mergeCell ref="J41:K41"/>
    <mergeCell ref="B33:E33"/>
    <mergeCell ref="I48:J48"/>
    <mergeCell ref="I49:J49"/>
    <mergeCell ref="I50:J50"/>
    <mergeCell ref="B30:E31"/>
    <mergeCell ref="X5:X6"/>
    <mergeCell ref="Y5:Y6"/>
    <mergeCell ref="Z5:Z6"/>
    <mergeCell ref="AA5:AA6"/>
    <mergeCell ref="AB5:AB6"/>
    <mergeCell ref="B8:K8"/>
    <mergeCell ref="X9:X10"/>
    <mergeCell ref="Y9:Y10"/>
    <mergeCell ref="Z9:Z10"/>
    <mergeCell ref="AA9:AA10"/>
    <mergeCell ref="AB9:AB10"/>
    <mergeCell ref="Q43:V43"/>
    <mergeCell ref="Q41:V42"/>
    <mergeCell ref="X43:AC43"/>
    <mergeCell ref="X42:AC42"/>
    <mergeCell ref="X40:AC40"/>
    <mergeCell ref="X41:AC41"/>
    <mergeCell ref="R31:S31"/>
    <mergeCell ref="Q33:AC33"/>
    <mergeCell ref="R40:U40"/>
    <mergeCell ref="X39:AC39"/>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B41:E41"/>
    <mergeCell ref="H27:K27"/>
    <mergeCell ref="AC9:AC10"/>
    <mergeCell ref="Q9:Q10"/>
    <mergeCell ref="R9:R10"/>
    <mergeCell ref="S9:S10"/>
    <mergeCell ref="T9:T10"/>
    <mergeCell ref="U9:U10"/>
    <mergeCell ref="V9:V10"/>
    <mergeCell ref="W9:W10"/>
    <mergeCell ref="Q14:AC14"/>
    <mergeCell ref="Q15:AC18"/>
    <mergeCell ref="Q19:AC22"/>
    <mergeCell ref="Q23:AC26"/>
    <mergeCell ref="Q28:AC28"/>
    <mergeCell ref="R29:S29"/>
    <mergeCell ref="R30:S30"/>
    <mergeCell ref="F30:H30"/>
    <mergeCell ref="I30:I31"/>
    <mergeCell ref="B42:E42"/>
    <mergeCell ref="J42:K42"/>
    <mergeCell ref="J43:K43"/>
    <mergeCell ref="E19:F19"/>
    <mergeCell ref="J30:K31"/>
    <mergeCell ref="B43:H43"/>
    <mergeCell ref="J44:K44"/>
    <mergeCell ref="B44:H44"/>
    <mergeCell ref="B27:F27"/>
    <mergeCell ref="B28:F28"/>
    <mergeCell ref="H28:K28"/>
    <mergeCell ref="B36:E36"/>
    <mergeCell ref="B37:E37"/>
    <mergeCell ref="B34:E34"/>
    <mergeCell ref="B35:E35"/>
    <mergeCell ref="J39:K39"/>
    <mergeCell ref="B38:E38"/>
    <mergeCell ref="B39:E39"/>
    <mergeCell ref="J38:K38"/>
    <mergeCell ref="B29:K29"/>
    <mergeCell ref="B40:K40"/>
    <mergeCell ref="B32:K32"/>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showErrorMessage="1" xr:uid="{28205835-4B78-47D0-9713-4C94A743E7D4}">
          <x14:formula1>
            <xm:f>'FINAL GRADES'!$C$15:$C$144</xm:f>
          </x14:formula1>
          <xm:sqref>C17:G17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Home</vt:lpstr>
      <vt:lpstr>INPUT DATA</vt:lpstr>
      <vt:lpstr>TERM 1 SUMMARY</vt:lpstr>
      <vt:lpstr>TERM 2 SUMMARY</vt:lpstr>
      <vt:lpstr>TERM 3 SUMMARY</vt:lpstr>
      <vt:lpstr>FINAL GRADES</vt:lpstr>
      <vt:lpstr>ATTENDANCE RECORD SUMMARY</vt:lpstr>
      <vt:lpstr>SF9 - GRADE 11 TechPro</vt:lpstr>
      <vt:lpstr>'INPUT DATA'!Print_Area</vt:lpstr>
      <vt:lpstr>'SF9 - GRADE 11 TechPro'!Print_Area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2026-08-27T04:30:42Z</cp:lastPrinted>
  <dcterms:created xsi:type="dcterms:W3CDTF">2026-08-26T09:34:32Z</dcterms:created>
  <dcterms:modified xsi:type="dcterms:W3CDTF">2026-08-29T05:58:38Z</dcterms:modified>
</cp:coreProperties>
</file>