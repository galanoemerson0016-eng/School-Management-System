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School Forms\"/>
    </mc:Choice>
  </mc:AlternateContent>
  <xr:revisionPtr revIDLastSave="0" documentId="13_ncr:1_{681383E4-5DD2-4D1F-9687-2075D1F765F6}" xr6:coauthVersionLast="47" xr6:coauthVersionMax="47" xr10:uidLastSave="{00000000-0000-0000-0000-000000000000}"/>
  <bookViews>
    <workbookView xWindow="24" yWindow="24" windowWidth="23016" windowHeight="12216" xr2:uid="{00000000-000D-0000-FFFF-FFFF00000000}"/>
  </bookViews>
  <sheets>
    <sheet name="INPUT DATA" sheetId="1" r:id="rId1"/>
    <sheet name="TERM 1" sheetId="2" r:id="rId2"/>
    <sheet name="TERM 2" sheetId="16" r:id="rId3"/>
    <sheet name="TERM 3" sheetId="17" r:id="rId4"/>
    <sheet name="FINAL GRADES" sheetId="5" r:id="rId5"/>
    <sheet name="HELPER" sheetId="6" r:id="rId6"/>
  </sheets>
  <definedNames>
    <definedName name="_xlnm.Print_Area" localSheetId="1">'TERM 1'!$B$1:$AX$119</definedName>
    <definedName name="_xlnm.Print_Area" localSheetId="2">'TERM 2'!$B$1:$AX$119</definedName>
    <definedName name="_xlnm.Print_Area" localSheetId="3">'TERM 3'!$B$1:$AX$119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W23" i="2" l="1"/>
  <c r="AW24" i="2"/>
  <c r="AW25" i="2"/>
  <c r="AW26" i="2"/>
  <c r="AW27" i="2"/>
  <c r="AW28" i="2"/>
  <c r="AW29" i="2"/>
  <c r="AW30" i="2"/>
  <c r="AW31" i="2"/>
  <c r="AW32" i="2"/>
  <c r="AW33" i="2"/>
  <c r="AW34" i="2"/>
  <c r="AW35" i="2"/>
  <c r="AW36" i="2"/>
  <c r="AW37" i="2"/>
  <c r="AW38" i="2"/>
  <c r="AW39" i="2"/>
  <c r="AW40" i="2"/>
  <c r="AW41" i="2"/>
  <c r="AW42" i="2"/>
  <c r="AW43" i="2"/>
  <c r="AW44" i="2"/>
  <c r="AW45" i="2"/>
  <c r="AW46" i="2"/>
  <c r="AW47" i="2"/>
  <c r="AW48" i="2"/>
  <c r="AW49" i="2"/>
  <c r="AW50" i="2"/>
  <c r="AW51" i="2"/>
  <c r="AW52" i="2"/>
  <c r="AW53" i="2"/>
  <c r="AW54" i="2"/>
  <c r="AW55" i="2"/>
  <c r="AW56" i="2"/>
  <c r="AW57" i="2"/>
  <c r="AW58" i="2"/>
  <c r="AW59" i="2"/>
  <c r="AW60" i="2"/>
  <c r="AW61" i="2"/>
  <c r="AW62" i="2"/>
  <c r="AW63" i="2"/>
  <c r="AW64" i="2"/>
  <c r="AW65" i="2"/>
  <c r="AW66" i="2"/>
  <c r="AW67" i="2"/>
  <c r="AW68" i="2"/>
  <c r="F68" i="5"/>
  <c r="G68" i="5"/>
  <c r="H68" i="5"/>
  <c r="F69" i="5"/>
  <c r="G69" i="5"/>
  <c r="H69" i="5"/>
  <c r="F70" i="5"/>
  <c r="G70" i="5"/>
  <c r="H70" i="5"/>
  <c r="F71" i="5"/>
  <c r="G71" i="5"/>
  <c r="H71" i="5"/>
  <c r="F72" i="5"/>
  <c r="G72" i="5"/>
  <c r="H72" i="5"/>
  <c r="F73" i="5"/>
  <c r="G73" i="5"/>
  <c r="H73" i="5"/>
  <c r="F74" i="5"/>
  <c r="G74" i="5"/>
  <c r="H74" i="5"/>
  <c r="F75" i="5"/>
  <c r="G75" i="5"/>
  <c r="H75" i="5"/>
  <c r="F76" i="5"/>
  <c r="G76" i="5"/>
  <c r="H76" i="5"/>
  <c r="F77" i="5"/>
  <c r="G77" i="5"/>
  <c r="H77" i="5"/>
  <c r="F78" i="5"/>
  <c r="G78" i="5"/>
  <c r="H78" i="5"/>
  <c r="F79" i="5"/>
  <c r="G79" i="5"/>
  <c r="H79" i="5"/>
  <c r="F80" i="5"/>
  <c r="G80" i="5"/>
  <c r="H80" i="5"/>
  <c r="F81" i="5"/>
  <c r="G81" i="5"/>
  <c r="H81" i="5"/>
  <c r="F82" i="5"/>
  <c r="G82" i="5"/>
  <c r="H82" i="5"/>
  <c r="F83" i="5"/>
  <c r="G83" i="5"/>
  <c r="H83" i="5"/>
  <c r="F84" i="5"/>
  <c r="G84" i="5"/>
  <c r="H84" i="5"/>
  <c r="F85" i="5"/>
  <c r="G85" i="5"/>
  <c r="H85" i="5"/>
  <c r="F86" i="5"/>
  <c r="G86" i="5"/>
  <c r="H86" i="5"/>
  <c r="F87" i="5"/>
  <c r="G87" i="5"/>
  <c r="H87" i="5"/>
  <c r="F88" i="5"/>
  <c r="G88" i="5"/>
  <c r="H88" i="5"/>
  <c r="F89" i="5"/>
  <c r="G89" i="5"/>
  <c r="H89" i="5"/>
  <c r="F90" i="5"/>
  <c r="G90" i="5"/>
  <c r="H90" i="5"/>
  <c r="F91" i="5"/>
  <c r="G91" i="5"/>
  <c r="H91" i="5"/>
  <c r="F92" i="5"/>
  <c r="G92" i="5"/>
  <c r="H92" i="5"/>
  <c r="F93" i="5"/>
  <c r="G93" i="5"/>
  <c r="H93" i="5"/>
  <c r="F94" i="5"/>
  <c r="G94" i="5"/>
  <c r="H94" i="5"/>
  <c r="F95" i="5"/>
  <c r="G95" i="5"/>
  <c r="H95" i="5"/>
  <c r="F96" i="5"/>
  <c r="G96" i="5"/>
  <c r="H96" i="5"/>
  <c r="F97" i="5"/>
  <c r="G97" i="5"/>
  <c r="H97" i="5"/>
  <c r="F98" i="5"/>
  <c r="G98" i="5"/>
  <c r="H98" i="5"/>
  <c r="F99" i="5"/>
  <c r="G99" i="5"/>
  <c r="H99" i="5"/>
  <c r="F100" i="5"/>
  <c r="G100" i="5"/>
  <c r="H100" i="5"/>
  <c r="F101" i="5"/>
  <c r="G101" i="5"/>
  <c r="H101" i="5"/>
  <c r="F102" i="5"/>
  <c r="G102" i="5"/>
  <c r="H102" i="5"/>
  <c r="F103" i="5"/>
  <c r="G103" i="5"/>
  <c r="H103" i="5"/>
  <c r="F104" i="5"/>
  <c r="G104" i="5"/>
  <c r="H104" i="5"/>
  <c r="F105" i="5"/>
  <c r="G105" i="5"/>
  <c r="H105" i="5"/>
  <c r="F106" i="5"/>
  <c r="G106" i="5"/>
  <c r="H106" i="5"/>
  <c r="F107" i="5"/>
  <c r="G107" i="5"/>
  <c r="H107" i="5"/>
  <c r="F108" i="5"/>
  <c r="G108" i="5"/>
  <c r="H108" i="5"/>
  <c r="F109" i="5"/>
  <c r="G109" i="5"/>
  <c r="H109" i="5"/>
  <c r="F110" i="5"/>
  <c r="G110" i="5"/>
  <c r="H110" i="5"/>
  <c r="F111" i="5"/>
  <c r="G111" i="5"/>
  <c r="H111" i="5"/>
  <c r="F112" i="5"/>
  <c r="G112" i="5"/>
  <c r="H112" i="5"/>
  <c r="F113" i="5"/>
  <c r="G113" i="5"/>
  <c r="H113" i="5"/>
  <c r="F114" i="5"/>
  <c r="G114" i="5"/>
  <c r="H114"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AS119" i="17" l="1"/>
  <c r="AR119" i="17"/>
  <c r="AQ119" i="17"/>
  <c r="AK119" i="17"/>
  <c r="AL119" i="17" s="1"/>
  <c r="AM119" i="17" s="1"/>
  <c r="AE119" i="17"/>
  <c r="AF119" i="17" s="1"/>
  <c r="AG119" i="17" s="1"/>
  <c r="Z119" i="17"/>
  <c r="AA119" i="17" s="1"/>
  <c r="Y119" i="17"/>
  <c r="S119" i="17"/>
  <c r="T119" i="17" s="1"/>
  <c r="U119" i="17" s="1"/>
  <c r="K119" i="17"/>
  <c r="L119" i="17" s="1"/>
  <c r="M119" i="17" s="1"/>
  <c r="C119" i="17"/>
  <c r="AV118" i="17"/>
  <c r="AS118" i="17"/>
  <c r="AT118" i="17" s="1"/>
  <c r="AU118" i="17" s="1"/>
  <c r="AR118" i="17"/>
  <c r="AQ118" i="17"/>
  <c r="AL118" i="17"/>
  <c r="AM118" i="17" s="1"/>
  <c r="AK118" i="17"/>
  <c r="AE118" i="17"/>
  <c r="AF118" i="17" s="1"/>
  <c r="AG118" i="17" s="1"/>
  <c r="Y118" i="17"/>
  <c r="Z118" i="17" s="1"/>
  <c r="AA118" i="17" s="1"/>
  <c r="T118" i="17"/>
  <c r="U118" i="17" s="1"/>
  <c r="S118" i="17"/>
  <c r="K118" i="17"/>
  <c r="L118" i="17" s="1"/>
  <c r="M118" i="17" s="1"/>
  <c r="C118" i="17"/>
  <c r="AV117" i="17"/>
  <c r="AS117" i="17"/>
  <c r="AR117" i="17"/>
  <c r="AQ117" i="17"/>
  <c r="AL117" i="17"/>
  <c r="AM117" i="17" s="1"/>
  <c r="AK117" i="17"/>
  <c r="AE117" i="17"/>
  <c r="AF117" i="17" s="1"/>
  <c r="AG117" i="17" s="1"/>
  <c r="Y117" i="17"/>
  <c r="Z117" i="17" s="1"/>
  <c r="AA117" i="17" s="1"/>
  <c r="S117" i="17"/>
  <c r="T117" i="17" s="1"/>
  <c r="U117" i="17" s="1"/>
  <c r="L117" i="17"/>
  <c r="M117" i="17" s="1"/>
  <c r="K117" i="17"/>
  <c r="C117" i="17"/>
  <c r="AS116" i="17"/>
  <c r="AR116" i="17"/>
  <c r="AQ116" i="17"/>
  <c r="AL116" i="17"/>
  <c r="AM116" i="17" s="1"/>
  <c r="AK116" i="17"/>
  <c r="AE116" i="17"/>
  <c r="AF116" i="17" s="1"/>
  <c r="AG116" i="17" s="1"/>
  <c r="Y116" i="17"/>
  <c r="Z116" i="17" s="1"/>
  <c r="AA116" i="17" s="1"/>
  <c r="S116" i="17"/>
  <c r="T116" i="17" s="1"/>
  <c r="U116" i="17" s="1"/>
  <c r="K116" i="17"/>
  <c r="L116" i="17" s="1"/>
  <c r="M116" i="17" s="1"/>
  <c r="C116" i="17"/>
  <c r="AW115" i="17"/>
  <c r="AS115" i="17"/>
  <c r="AR115" i="17"/>
  <c r="AQ115" i="17"/>
  <c r="AT115" i="17" s="1"/>
  <c r="AU115" i="17" s="1"/>
  <c r="AK115" i="17"/>
  <c r="AL115" i="17" s="1"/>
  <c r="AM115" i="17" s="1"/>
  <c r="AE115" i="17"/>
  <c r="AF115" i="17" s="1"/>
  <c r="AG115" i="17" s="1"/>
  <c r="Z115" i="17"/>
  <c r="AA115" i="17" s="1"/>
  <c r="Y115" i="17"/>
  <c r="T115" i="17"/>
  <c r="U115" i="17" s="1"/>
  <c r="S115" i="17"/>
  <c r="K115" i="17"/>
  <c r="L115" i="17" s="1"/>
  <c r="M115" i="17" s="1"/>
  <c r="C115" i="17"/>
  <c r="AX115" i="17" s="1"/>
  <c r="AW114" i="17"/>
  <c r="AV114" i="17"/>
  <c r="AS114" i="17"/>
  <c r="AR114" i="17"/>
  <c r="AQ114" i="17"/>
  <c r="AK114" i="17"/>
  <c r="AL114" i="17" s="1"/>
  <c r="AM114" i="17" s="1"/>
  <c r="AE114" i="17"/>
  <c r="AF114" i="17" s="1"/>
  <c r="AG114" i="17" s="1"/>
  <c r="Y114" i="17"/>
  <c r="Z114" i="17" s="1"/>
  <c r="AA114" i="17" s="1"/>
  <c r="S114" i="17"/>
  <c r="T114" i="17" s="1"/>
  <c r="U114" i="17" s="1"/>
  <c r="L114" i="17"/>
  <c r="M114" i="17" s="1"/>
  <c r="K114" i="17"/>
  <c r="C114" i="17"/>
  <c r="AX114" i="17" s="1"/>
  <c r="AW113" i="17"/>
  <c r="AV113" i="17"/>
  <c r="AS113" i="17"/>
  <c r="AR113" i="17"/>
  <c r="AQ113" i="17"/>
  <c r="AL113" i="17"/>
  <c r="AM113" i="17" s="1"/>
  <c r="AK113" i="17"/>
  <c r="AE113" i="17"/>
  <c r="AF113" i="17" s="1"/>
  <c r="AG113" i="17" s="1"/>
  <c r="Y113" i="17"/>
  <c r="Z113" i="17" s="1"/>
  <c r="AA113" i="17" s="1"/>
  <c r="T113" i="17"/>
  <c r="U113" i="17" s="1"/>
  <c r="S113" i="17"/>
  <c r="K113" i="17"/>
  <c r="L113" i="17" s="1"/>
  <c r="M113" i="17" s="1"/>
  <c r="C113" i="17"/>
  <c r="AX113" i="17" s="1"/>
  <c r="AV112" i="17"/>
  <c r="AS112" i="17"/>
  <c r="AR112" i="17"/>
  <c r="AQ112" i="17"/>
  <c r="AK112" i="17"/>
  <c r="AL112" i="17" s="1"/>
  <c r="AM112" i="17" s="1"/>
  <c r="AE112" i="17"/>
  <c r="AF112" i="17" s="1"/>
  <c r="AG112" i="17" s="1"/>
  <c r="Y112" i="17"/>
  <c r="Z112" i="17" s="1"/>
  <c r="AA112" i="17" s="1"/>
  <c r="T112" i="17"/>
  <c r="U112" i="17" s="1"/>
  <c r="S112" i="17"/>
  <c r="M112" i="17"/>
  <c r="L112" i="17"/>
  <c r="K112" i="17"/>
  <c r="C112" i="17"/>
  <c r="AX112" i="17" s="1"/>
  <c r="AW111" i="17"/>
  <c r="AV111" i="17"/>
  <c r="AS111" i="17"/>
  <c r="AR111" i="17"/>
  <c r="AQ111" i="17"/>
  <c r="AL111" i="17"/>
  <c r="AM111" i="17" s="1"/>
  <c r="AK111" i="17"/>
  <c r="AE111" i="17"/>
  <c r="AF111" i="17" s="1"/>
  <c r="AG111" i="17" s="1"/>
  <c r="AA111" i="17"/>
  <c r="Z111" i="17"/>
  <c r="Y111" i="17"/>
  <c r="S111" i="17"/>
  <c r="T111" i="17" s="1"/>
  <c r="U111" i="17" s="1"/>
  <c r="K111" i="17"/>
  <c r="L111" i="17" s="1"/>
  <c r="M111" i="17" s="1"/>
  <c r="C111" i="17"/>
  <c r="AX111" i="17" s="1"/>
  <c r="AS110" i="17"/>
  <c r="AR110" i="17"/>
  <c r="AQ110" i="17"/>
  <c r="AL110" i="17"/>
  <c r="AM110" i="17" s="1"/>
  <c r="AK110" i="17"/>
  <c r="AE110" i="17"/>
  <c r="AF110" i="17" s="1"/>
  <c r="AG110" i="17" s="1"/>
  <c r="Y110" i="17"/>
  <c r="Z110" i="17" s="1"/>
  <c r="AA110" i="17" s="1"/>
  <c r="S110" i="17"/>
  <c r="T110" i="17" s="1"/>
  <c r="U110" i="17" s="1"/>
  <c r="K110" i="17"/>
  <c r="L110" i="17" s="1"/>
  <c r="M110" i="17" s="1"/>
  <c r="C110" i="17"/>
  <c r="AX110" i="17" s="1"/>
  <c r="AW109" i="17"/>
  <c r="AS109" i="17"/>
  <c r="AR109" i="17"/>
  <c r="AQ109" i="17"/>
  <c r="AK109" i="17"/>
  <c r="AL109" i="17" s="1"/>
  <c r="AM109" i="17" s="1"/>
  <c r="AG109" i="17"/>
  <c r="AE109" i="17"/>
  <c r="AF109" i="17" s="1"/>
  <c r="AA109" i="17"/>
  <c r="Z109" i="17"/>
  <c r="Y109" i="17"/>
  <c r="T109" i="17"/>
  <c r="U109" i="17" s="1"/>
  <c r="S109" i="17"/>
  <c r="K109" i="17"/>
  <c r="L109" i="17" s="1"/>
  <c r="M109" i="17" s="1"/>
  <c r="C109" i="17"/>
  <c r="AX109" i="17" s="1"/>
  <c r="AW108" i="17"/>
  <c r="AV108" i="17"/>
  <c r="AU108" i="17"/>
  <c r="AS108" i="17"/>
  <c r="AR108" i="17"/>
  <c r="AQ108" i="17"/>
  <c r="AT108" i="17" s="1"/>
  <c r="AK108" i="17"/>
  <c r="AL108" i="17" s="1"/>
  <c r="AM108" i="17" s="1"/>
  <c r="AE108" i="17"/>
  <c r="AF108" i="17" s="1"/>
  <c r="AG108" i="17" s="1"/>
  <c r="Y108" i="17"/>
  <c r="Z108" i="17" s="1"/>
  <c r="AA108" i="17" s="1"/>
  <c r="S108" i="17"/>
  <c r="T108" i="17" s="1"/>
  <c r="U108" i="17" s="1"/>
  <c r="L108" i="17"/>
  <c r="M108" i="17" s="1"/>
  <c r="K108" i="17"/>
  <c r="C108" i="17"/>
  <c r="AX108" i="17" s="1"/>
  <c r="AW107" i="17"/>
  <c r="AV107" i="17"/>
  <c r="AS107" i="17"/>
  <c r="AR107" i="17"/>
  <c r="AQ107" i="17"/>
  <c r="AL107" i="17"/>
  <c r="AM107" i="17" s="1"/>
  <c r="AK107" i="17"/>
  <c r="AE107" i="17"/>
  <c r="AF107" i="17" s="1"/>
  <c r="AG107" i="17" s="1"/>
  <c r="Y107" i="17"/>
  <c r="Z107" i="17" s="1"/>
  <c r="AA107" i="17" s="1"/>
  <c r="T107" i="17"/>
  <c r="U107" i="17" s="1"/>
  <c r="S107" i="17"/>
  <c r="K107" i="17"/>
  <c r="L107" i="17" s="1"/>
  <c r="M107" i="17" s="1"/>
  <c r="C107" i="17"/>
  <c r="AX107" i="17" s="1"/>
  <c r="AV106" i="17"/>
  <c r="AS106" i="17"/>
  <c r="AR106" i="17"/>
  <c r="AQ106" i="17"/>
  <c r="AT106" i="17" s="1"/>
  <c r="AU106" i="17" s="1"/>
  <c r="AK106" i="17"/>
  <c r="AL106" i="17" s="1"/>
  <c r="AM106" i="17" s="1"/>
  <c r="AE106" i="17"/>
  <c r="AF106" i="17" s="1"/>
  <c r="AG106" i="17" s="1"/>
  <c r="Y106" i="17"/>
  <c r="Z106" i="17" s="1"/>
  <c r="AA106" i="17" s="1"/>
  <c r="T106" i="17"/>
  <c r="U106" i="17" s="1"/>
  <c r="S106" i="17"/>
  <c r="M106" i="17"/>
  <c r="L106" i="17"/>
  <c r="K106" i="17"/>
  <c r="C106" i="17"/>
  <c r="AX106" i="17" s="1"/>
  <c r="AW105" i="17"/>
  <c r="AV105" i="17"/>
  <c r="AS105" i="17"/>
  <c r="AR105" i="17"/>
  <c r="AQ105" i="17"/>
  <c r="AT105" i="17" s="1"/>
  <c r="AU105" i="17" s="1"/>
  <c r="AL105" i="17"/>
  <c r="AM105" i="17" s="1"/>
  <c r="AK105" i="17"/>
  <c r="AE105" i="17"/>
  <c r="AF105" i="17" s="1"/>
  <c r="AG105" i="17" s="1"/>
  <c r="Z105" i="17"/>
  <c r="AA105" i="17" s="1"/>
  <c r="Y105" i="17"/>
  <c r="S105" i="17"/>
  <c r="T105" i="17" s="1"/>
  <c r="U105" i="17" s="1"/>
  <c r="K105" i="17"/>
  <c r="L105" i="17" s="1"/>
  <c r="M105" i="17" s="1"/>
  <c r="C105" i="17"/>
  <c r="AX105" i="17" s="1"/>
  <c r="AS104" i="17"/>
  <c r="AR104" i="17"/>
  <c r="AQ104" i="17"/>
  <c r="AL104" i="17"/>
  <c r="AM104" i="17" s="1"/>
  <c r="AK104" i="17"/>
  <c r="AG104" i="17"/>
  <c r="AE104" i="17"/>
  <c r="AF104" i="17" s="1"/>
  <c r="Y104" i="17"/>
  <c r="Z104" i="17" s="1"/>
  <c r="AA104" i="17" s="1"/>
  <c r="S104" i="17"/>
  <c r="T104" i="17" s="1"/>
  <c r="U104" i="17" s="1"/>
  <c r="K104" i="17"/>
  <c r="L104" i="17" s="1"/>
  <c r="M104" i="17" s="1"/>
  <c r="C104" i="17"/>
  <c r="AX104" i="17" s="1"/>
  <c r="AW103" i="17"/>
  <c r="AS103" i="17"/>
  <c r="AR103" i="17"/>
  <c r="AQ103" i="17"/>
  <c r="AK103" i="17"/>
  <c r="AL103" i="17" s="1"/>
  <c r="AM103" i="17" s="1"/>
  <c r="AG103" i="17"/>
  <c r="AE103" i="17"/>
  <c r="AF103" i="17" s="1"/>
  <c r="Z103" i="17"/>
  <c r="AA103" i="17" s="1"/>
  <c r="Y103" i="17"/>
  <c r="T103" i="17"/>
  <c r="U103" i="17" s="1"/>
  <c r="S103" i="17"/>
  <c r="K103" i="17"/>
  <c r="L103" i="17" s="1"/>
  <c r="M103" i="17" s="1"/>
  <c r="C103" i="17"/>
  <c r="AX103" i="17" s="1"/>
  <c r="AW102" i="17"/>
  <c r="AV102" i="17"/>
  <c r="AS102" i="17"/>
  <c r="AR102" i="17"/>
  <c r="AQ102" i="17"/>
  <c r="AK102" i="17"/>
  <c r="AL102" i="17" s="1"/>
  <c r="AM102" i="17" s="1"/>
  <c r="AE102" i="17"/>
  <c r="AF102" i="17" s="1"/>
  <c r="AG102" i="17" s="1"/>
  <c r="Y102" i="17"/>
  <c r="Z102" i="17" s="1"/>
  <c r="AA102" i="17" s="1"/>
  <c r="S102" i="17"/>
  <c r="T102" i="17" s="1"/>
  <c r="U102" i="17" s="1"/>
  <c r="L102" i="17"/>
  <c r="M102" i="17" s="1"/>
  <c r="K102" i="17"/>
  <c r="C102" i="17"/>
  <c r="AX102" i="17" s="1"/>
  <c r="AW101" i="17"/>
  <c r="AV101" i="17"/>
  <c r="AS101" i="17"/>
  <c r="AR101" i="17"/>
  <c r="AQ101" i="17"/>
  <c r="AL101" i="17"/>
  <c r="AM101" i="17" s="1"/>
  <c r="AK101" i="17"/>
  <c r="AE101" i="17"/>
  <c r="AF101" i="17" s="1"/>
  <c r="AG101" i="17" s="1"/>
  <c r="Y101" i="17"/>
  <c r="Z101" i="17" s="1"/>
  <c r="AA101" i="17" s="1"/>
  <c r="T101" i="17"/>
  <c r="U101" i="17" s="1"/>
  <c r="S101" i="17"/>
  <c r="K101" i="17"/>
  <c r="L101" i="17" s="1"/>
  <c r="M101" i="17" s="1"/>
  <c r="C101" i="17"/>
  <c r="AX101" i="17" s="1"/>
  <c r="AV100" i="17"/>
  <c r="AS100" i="17"/>
  <c r="AR100" i="17"/>
  <c r="AQ100" i="17"/>
  <c r="AK100" i="17"/>
  <c r="AL100" i="17" s="1"/>
  <c r="AM100" i="17" s="1"/>
  <c r="AE100" i="17"/>
  <c r="AF100" i="17" s="1"/>
  <c r="AG100" i="17" s="1"/>
  <c r="Y100" i="17"/>
  <c r="Z100" i="17" s="1"/>
  <c r="AA100" i="17" s="1"/>
  <c r="T100" i="17"/>
  <c r="U100" i="17" s="1"/>
  <c r="S100" i="17"/>
  <c r="L100" i="17"/>
  <c r="M100" i="17" s="1"/>
  <c r="K100" i="17"/>
  <c r="C100" i="17"/>
  <c r="AX100" i="17" s="1"/>
  <c r="AW99" i="17"/>
  <c r="AV99" i="17"/>
  <c r="AS99" i="17"/>
  <c r="AR99" i="17"/>
  <c r="AQ99" i="17"/>
  <c r="AT99" i="17" s="1"/>
  <c r="AU99" i="17" s="1"/>
  <c r="AL99" i="17"/>
  <c r="AM99" i="17" s="1"/>
  <c r="AK99" i="17"/>
  <c r="AE99" i="17"/>
  <c r="AF99" i="17" s="1"/>
  <c r="AG99" i="17" s="1"/>
  <c r="AA99" i="17"/>
  <c r="Z99" i="17"/>
  <c r="Y99" i="17"/>
  <c r="S99" i="17"/>
  <c r="T99" i="17" s="1"/>
  <c r="U99" i="17" s="1"/>
  <c r="K99" i="17"/>
  <c r="L99" i="17" s="1"/>
  <c r="M99" i="17" s="1"/>
  <c r="C99" i="17"/>
  <c r="AX99" i="17" s="1"/>
  <c r="AS98" i="17"/>
  <c r="AR98" i="17"/>
  <c r="AQ98" i="17"/>
  <c r="AT98" i="17" s="1"/>
  <c r="AU98" i="17" s="1"/>
  <c r="AL98" i="17"/>
  <c r="AM98" i="17" s="1"/>
  <c r="AK98" i="17"/>
  <c r="AE98" i="17"/>
  <c r="AF98" i="17" s="1"/>
  <c r="AG98" i="17" s="1"/>
  <c r="Y98" i="17"/>
  <c r="Z98" i="17" s="1"/>
  <c r="AA98" i="17" s="1"/>
  <c r="S98" i="17"/>
  <c r="T98" i="17" s="1"/>
  <c r="U98" i="17" s="1"/>
  <c r="K98" i="17"/>
  <c r="L98" i="17" s="1"/>
  <c r="M98" i="17" s="1"/>
  <c r="C98" i="17"/>
  <c r="AX98" i="17" s="1"/>
  <c r="AW97" i="17"/>
  <c r="AS97" i="17"/>
  <c r="AR97" i="17"/>
  <c r="AQ97" i="17"/>
  <c r="AK97" i="17"/>
  <c r="AL97" i="17" s="1"/>
  <c r="AM97" i="17" s="1"/>
  <c r="AE97" i="17"/>
  <c r="AF97" i="17" s="1"/>
  <c r="AG97" i="17" s="1"/>
  <c r="AA97" i="17"/>
  <c r="Z97" i="17"/>
  <c r="Y97" i="17"/>
  <c r="T97" i="17"/>
  <c r="U97" i="17" s="1"/>
  <c r="S97" i="17"/>
  <c r="K97" i="17"/>
  <c r="L97" i="17" s="1"/>
  <c r="M97" i="17" s="1"/>
  <c r="C97" i="17"/>
  <c r="AX97" i="17" s="1"/>
  <c r="AW96" i="17"/>
  <c r="AV96" i="17"/>
  <c r="AS96" i="17"/>
  <c r="AR96" i="17"/>
  <c r="AQ96" i="17"/>
  <c r="AK96" i="17"/>
  <c r="AL96" i="17" s="1"/>
  <c r="AM96" i="17" s="1"/>
  <c r="AE96" i="17"/>
  <c r="AF96" i="17" s="1"/>
  <c r="AG96" i="17" s="1"/>
  <c r="Y96" i="17"/>
  <c r="Z96" i="17" s="1"/>
  <c r="AA96" i="17" s="1"/>
  <c r="S96" i="17"/>
  <c r="T96" i="17" s="1"/>
  <c r="U96" i="17" s="1"/>
  <c r="L96" i="17"/>
  <c r="M96" i="17" s="1"/>
  <c r="K96" i="17"/>
  <c r="C96" i="17"/>
  <c r="AX96" i="17" s="1"/>
  <c r="AW95" i="17"/>
  <c r="AV95" i="17"/>
  <c r="AS95" i="17"/>
  <c r="AR95" i="17"/>
  <c r="AQ95" i="17"/>
  <c r="AL95" i="17"/>
  <c r="AM95" i="17" s="1"/>
  <c r="AK95" i="17"/>
  <c r="AE95" i="17"/>
  <c r="AF95" i="17" s="1"/>
  <c r="AG95" i="17" s="1"/>
  <c r="Y95" i="17"/>
  <c r="Z95" i="17" s="1"/>
  <c r="AA95" i="17" s="1"/>
  <c r="T95" i="17"/>
  <c r="U95" i="17" s="1"/>
  <c r="S95" i="17"/>
  <c r="K95" i="17"/>
  <c r="L95" i="17" s="1"/>
  <c r="M95" i="17" s="1"/>
  <c r="C95" i="17"/>
  <c r="AX95" i="17" s="1"/>
  <c r="AS94" i="17"/>
  <c r="AR94" i="17"/>
  <c r="AQ94" i="17"/>
  <c r="AT94" i="17" s="1"/>
  <c r="AU94" i="17" s="1"/>
  <c r="AK94" i="17"/>
  <c r="AL94" i="17" s="1"/>
  <c r="AM94" i="17" s="1"/>
  <c r="AG94" i="17"/>
  <c r="AE94" i="17"/>
  <c r="AF94" i="17" s="1"/>
  <c r="Y94" i="17"/>
  <c r="Z94" i="17" s="1"/>
  <c r="AA94" i="17" s="1"/>
  <c r="T94" i="17"/>
  <c r="U94" i="17" s="1"/>
  <c r="S94" i="17"/>
  <c r="L94" i="17"/>
  <c r="M94" i="17" s="1"/>
  <c r="K94" i="17"/>
  <c r="C94" i="17"/>
  <c r="AX94" i="17" s="1"/>
  <c r="AW93" i="17"/>
  <c r="AV93" i="17"/>
  <c r="AS93" i="17"/>
  <c r="AR93" i="17"/>
  <c r="AQ93" i="17"/>
  <c r="AT93" i="17" s="1"/>
  <c r="AU93" i="17" s="1"/>
  <c r="AL93" i="17"/>
  <c r="AM93" i="17" s="1"/>
  <c r="AK93" i="17"/>
  <c r="AE93" i="17"/>
  <c r="AF93" i="17" s="1"/>
  <c r="AG93" i="17" s="1"/>
  <c r="AA93" i="17"/>
  <c r="Z93" i="17"/>
  <c r="Y93" i="17"/>
  <c r="S93" i="17"/>
  <c r="T93" i="17" s="1"/>
  <c r="U93" i="17" s="1"/>
  <c r="K93" i="17"/>
  <c r="L93" i="17" s="1"/>
  <c r="M93" i="17" s="1"/>
  <c r="C93" i="17"/>
  <c r="AX93" i="17" s="1"/>
  <c r="AV92" i="17"/>
  <c r="AS92" i="17"/>
  <c r="AR92" i="17"/>
  <c r="AQ92" i="17"/>
  <c r="AL92" i="17"/>
  <c r="AM92" i="17" s="1"/>
  <c r="AK92" i="17"/>
  <c r="AE92" i="17"/>
  <c r="AF92" i="17" s="1"/>
  <c r="AG92" i="17" s="1"/>
  <c r="Y92" i="17"/>
  <c r="Z92" i="17" s="1"/>
  <c r="AA92" i="17" s="1"/>
  <c r="S92" i="17"/>
  <c r="T92" i="17" s="1"/>
  <c r="U92" i="17" s="1"/>
  <c r="K92" i="17"/>
  <c r="L92" i="17" s="1"/>
  <c r="M92" i="17" s="1"/>
  <c r="C92" i="17"/>
  <c r="AX92" i="17" s="1"/>
  <c r="AW91" i="17"/>
  <c r="AS91" i="17"/>
  <c r="AR91" i="17"/>
  <c r="AQ91" i="17"/>
  <c r="AK91" i="17"/>
  <c r="AL91" i="17" s="1"/>
  <c r="AM91" i="17" s="1"/>
  <c r="AG91" i="17"/>
  <c r="AE91" i="17"/>
  <c r="AF91" i="17" s="1"/>
  <c r="Z91" i="17"/>
  <c r="AA91" i="17" s="1"/>
  <c r="Y91" i="17"/>
  <c r="T91" i="17"/>
  <c r="U91" i="17" s="1"/>
  <c r="S91" i="17"/>
  <c r="K91" i="17"/>
  <c r="L91" i="17" s="1"/>
  <c r="M91" i="17" s="1"/>
  <c r="C91" i="17"/>
  <c r="AX91" i="17" s="1"/>
  <c r="AW90" i="17"/>
  <c r="AV90" i="17"/>
  <c r="AS90" i="17"/>
  <c r="AR90" i="17"/>
  <c r="AQ90" i="17"/>
  <c r="AK90" i="17"/>
  <c r="AL90" i="17" s="1"/>
  <c r="AM90" i="17" s="1"/>
  <c r="AE90" i="17"/>
  <c r="AF90" i="17" s="1"/>
  <c r="AG90" i="17" s="1"/>
  <c r="Y90" i="17"/>
  <c r="Z90" i="17" s="1"/>
  <c r="AA90" i="17" s="1"/>
  <c r="S90" i="17"/>
  <c r="T90" i="17" s="1"/>
  <c r="U90" i="17" s="1"/>
  <c r="L90" i="17"/>
  <c r="M90" i="17" s="1"/>
  <c r="K90" i="17"/>
  <c r="C90" i="17"/>
  <c r="AX90" i="17" s="1"/>
  <c r="AW89" i="17"/>
  <c r="AV89" i="17"/>
  <c r="AS89" i="17"/>
  <c r="AR89" i="17"/>
  <c r="AQ89" i="17"/>
  <c r="AL89" i="17"/>
  <c r="AM89" i="17" s="1"/>
  <c r="AK89" i="17"/>
  <c r="AE89" i="17"/>
  <c r="AF89" i="17" s="1"/>
  <c r="AG89" i="17" s="1"/>
  <c r="Y89" i="17"/>
  <c r="Z89" i="17" s="1"/>
  <c r="AA89" i="17" s="1"/>
  <c r="T89" i="17"/>
  <c r="U89" i="17" s="1"/>
  <c r="S89" i="17"/>
  <c r="K89" i="17"/>
  <c r="L89" i="17" s="1"/>
  <c r="M89" i="17" s="1"/>
  <c r="C89" i="17"/>
  <c r="AX89" i="17" s="1"/>
  <c r="AS88" i="17"/>
  <c r="AR88" i="17"/>
  <c r="AQ88" i="17"/>
  <c r="AK88" i="17"/>
  <c r="AL88" i="17" s="1"/>
  <c r="AM88" i="17" s="1"/>
  <c r="AG88" i="17"/>
  <c r="AE88" i="17"/>
  <c r="AF88" i="17" s="1"/>
  <c r="Y88" i="17"/>
  <c r="Z88" i="17" s="1"/>
  <c r="AA88" i="17" s="1"/>
  <c r="T88" i="17"/>
  <c r="U88" i="17" s="1"/>
  <c r="S88" i="17"/>
  <c r="L88" i="17"/>
  <c r="M88" i="17" s="1"/>
  <c r="K88" i="17"/>
  <c r="C88" i="17"/>
  <c r="AX88" i="17" s="1"/>
  <c r="AW87" i="17"/>
  <c r="AV87" i="17"/>
  <c r="AS87" i="17"/>
  <c r="AR87" i="17"/>
  <c r="AQ87" i="17"/>
  <c r="AL87" i="17"/>
  <c r="AM87" i="17" s="1"/>
  <c r="AK87" i="17"/>
  <c r="AE87" i="17"/>
  <c r="AF87" i="17" s="1"/>
  <c r="AG87" i="17" s="1"/>
  <c r="Z87" i="17"/>
  <c r="AA87" i="17" s="1"/>
  <c r="Y87" i="17"/>
  <c r="S87" i="17"/>
  <c r="T87" i="17" s="1"/>
  <c r="U87" i="17" s="1"/>
  <c r="K87" i="17"/>
  <c r="L87" i="17" s="1"/>
  <c r="M87" i="17" s="1"/>
  <c r="C87" i="17"/>
  <c r="AX87" i="17" s="1"/>
  <c r="AV86" i="17"/>
  <c r="AS86" i="17"/>
  <c r="AR86" i="17"/>
  <c r="AQ86" i="17"/>
  <c r="AL86" i="17"/>
  <c r="AM86" i="17" s="1"/>
  <c r="AK86" i="17"/>
  <c r="AE86" i="17"/>
  <c r="AF86" i="17" s="1"/>
  <c r="AG86" i="17" s="1"/>
  <c r="Y86" i="17"/>
  <c r="Z86" i="17" s="1"/>
  <c r="AA86" i="17" s="1"/>
  <c r="S86" i="17"/>
  <c r="T86" i="17" s="1"/>
  <c r="U86" i="17" s="1"/>
  <c r="K86" i="17"/>
  <c r="L86" i="17" s="1"/>
  <c r="M86" i="17" s="1"/>
  <c r="C86" i="17"/>
  <c r="AX86" i="17" s="1"/>
  <c r="AS85" i="17"/>
  <c r="AR85" i="17"/>
  <c r="AQ85" i="17"/>
  <c r="AK85" i="17"/>
  <c r="AL85" i="17" s="1"/>
  <c r="AM85" i="17" s="1"/>
  <c r="AE85" i="17"/>
  <c r="AF85" i="17" s="1"/>
  <c r="AG85" i="17" s="1"/>
  <c r="AA85" i="17"/>
  <c r="Z85" i="17"/>
  <c r="Y85" i="17"/>
  <c r="T85" i="17"/>
  <c r="U85" i="17" s="1"/>
  <c r="S85" i="17"/>
  <c r="K85" i="17"/>
  <c r="L85" i="17" s="1"/>
  <c r="M85" i="17" s="1"/>
  <c r="C85" i="17"/>
  <c r="AW84" i="17"/>
  <c r="AV84" i="17"/>
  <c r="AS84" i="17"/>
  <c r="AR84" i="17"/>
  <c r="AQ84" i="17"/>
  <c r="AK84" i="17"/>
  <c r="AL84" i="17" s="1"/>
  <c r="AM84" i="17" s="1"/>
  <c r="AE84" i="17"/>
  <c r="AF84" i="17" s="1"/>
  <c r="AG84" i="17" s="1"/>
  <c r="Y84" i="17"/>
  <c r="Z84" i="17" s="1"/>
  <c r="AA84" i="17" s="1"/>
  <c r="S84" i="17"/>
  <c r="T84" i="17" s="1"/>
  <c r="U84" i="17" s="1"/>
  <c r="L84" i="17"/>
  <c r="M84" i="17" s="1"/>
  <c r="K84" i="17"/>
  <c r="C84" i="17"/>
  <c r="AX84" i="17" s="1"/>
  <c r="AW83" i="17"/>
  <c r="AV83" i="17"/>
  <c r="AS83" i="17"/>
  <c r="AT83" i="17" s="1"/>
  <c r="AU83" i="17" s="1"/>
  <c r="AR83" i="17"/>
  <c r="AQ83" i="17"/>
  <c r="AL83" i="17"/>
  <c r="AM83" i="17" s="1"/>
  <c r="AK83" i="17"/>
  <c r="AE83" i="17"/>
  <c r="AF83" i="17" s="1"/>
  <c r="AG83" i="17" s="1"/>
  <c r="Z83" i="17"/>
  <c r="AA83" i="17" s="1"/>
  <c r="Y83" i="17"/>
  <c r="T83" i="17"/>
  <c r="U83" i="17" s="1"/>
  <c r="S83" i="17"/>
  <c r="K83" i="17"/>
  <c r="L83" i="17" s="1"/>
  <c r="M83" i="17" s="1"/>
  <c r="C83" i="17"/>
  <c r="AX83" i="17" s="1"/>
  <c r="AT82" i="17"/>
  <c r="AU82" i="17" s="1"/>
  <c r="AS82" i="17"/>
  <c r="AR82" i="17"/>
  <c r="AQ82" i="17"/>
  <c r="AK82" i="17"/>
  <c r="AL82" i="17" s="1"/>
  <c r="AM82" i="17" s="1"/>
  <c r="AE82" i="17"/>
  <c r="AF82" i="17" s="1"/>
  <c r="AG82" i="17" s="1"/>
  <c r="Y82" i="17"/>
  <c r="Z82" i="17" s="1"/>
  <c r="AA82" i="17" s="1"/>
  <c r="T82" i="17"/>
  <c r="U82" i="17" s="1"/>
  <c r="S82" i="17"/>
  <c r="L82" i="17"/>
  <c r="M82" i="17" s="1"/>
  <c r="K82" i="17"/>
  <c r="C82" i="17"/>
  <c r="AX82" i="17" s="1"/>
  <c r="AW81" i="17"/>
  <c r="AS81" i="17"/>
  <c r="AR81" i="17"/>
  <c r="AQ81" i="17"/>
  <c r="AL81" i="17"/>
  <c r="AM81" i="17" s="1"/>
  <c r="AK81" i="17"/>
  <c r="AE81" i="17"/>
  <c r="AF81" i="17" s="1"/>
  <c r="AG81" i="17" s="1"/>
  <c r="Z81" i="17"/>
  <c r="AA81" i="17" s="1"/>
  <c r="Y81" i="17"/>
  <c r="S81" i="17"/>
  <c r="T81" i="17" s="1"/>
  <c r="U81" i="17" s="1"/>
  <c r="M81" i="17"/>
  <c r="K81" i="17"/>
  <c r="L81" i="17" s="1"/>
  <c r="C81" i="17"/>
  <c r="AX81" i="17" s="1"/>
  <c r="AV80" i="17"/>
  <c r="AS80" i="17"/>
  <c r="AR80" i="17"/>
  <c r="AQ80" i="17"/>
  <c r="AT80" i="17" s="1"/>
  <c r="AU80" i="17" s="1"/>
  <c r="AL80" i="17"/>
  <c r="AM80" i="17" s="1"/>
  <c r="AK80" i="17"/>
  <c r="AE80" i="17"/>
  <c r="AF80" i="17" s="1"/>
  <c r="AG80" i="17" s="1"/>
  <c r="Y80" i="17"/>
  <c r="Z80" i="17" s="1"/>
  <c r="AA80" i="17" s="1"/>
  <c r="S80" i="17"/>
  <c r="T80" i="17" s="1"/>
  <c r="U80" i="17" s="1"/>
  <c r="L80" i="17"/>
  <c r="M80" i="17" s="1"/>
  <c r="K80" i="17"/>
  <c r="C80" i="17"/>
  <c r="AX80" i="17" s="1"/>
  <c r="AS79" i="17"/>
  <c r="AT79" i="17" s="1"/>
  <c r="AU79" i="17" s="1"/>
  <c r="AR79" i="17"/>
  <c r="AQ79" i="17"/>
  <c r="AK79" i="17"/>
  <c r="AL79" i="17" s="1"/>
  <c r="AM79" i="17" s="1"/>
  <c r="AG79" i="17"/>
  <c r="AE79" i="17"/>
  <c r="AF79" i="17" s="1"/>
  <c r="Z79" i="17"/>
  <c r="AA79" i="17" s="1"/>
  <c r="Y79" i="17"/>
  <c r="T79" i="17"/>
  <c r="U79" i="17" s="1"/>
  <c r="S79" i="17"/>
  <c r="K79" i="17"/>
  <c r="L79" i="17" s="1"/>
  <c r="M79" i="17" s="1"/>
  <c r="C79" i="17"/>
  <c r="AW78" i="17"/>
  <c r="AS78" i="17"/>
  <c r="AR78" i="17"/>
  <c r="AQ78" i="17"/>
  <c r="AK78" i="17"/>
  <c r="AL78" i="17" s="1"/>
  <c r="AM78" i="17" s="1"/>
  <c r="AE78" i="17"/>
  <c r="AF78" i="17" s="1"/>
  <c r="AG78" i="17" s="1"/>
  <c r="Y78" i="17"/>
  <c r="Z78" i="17" s="1"/>
  <c r="AA78" i="17" s="1"/>
  <c r="S78" i="17"/>
  <c r="T78" i="17" s="1"/>
  <c r="U78" i="17" s="1"/>
  <c r="M78" i="17"/>
  <c r="L78" i="17"/>
  <c r="K78" i="17"/>
  <c r="C78" i="17"/>
  <c r="AX78" i="17" s="1"/>
  <c r="AW77" i="17"/>
  <c r="AV77" i="17"/>
  <c r="AS77" i="17"/>
  <c r="AR77" i="17"/>
  <c r="AQ77" i="17"/>
  <c r="AL77" i="17"/>
  <c r="AM77" i="17" s="1"/>
  <c r="AK77" i="17"/>
  <c r="AE77" i="17"/>
  <c r="AF77" i="17" s="1"/>
  <c r="AG77" i="17" s="1"/>
  <c r="Z77" i="17"/>
  <c r="AA77" i="17" s="1"/>
  <c r="Y77" i="17"/>
  <c r="T77" i="17"/>
  <c r="U77" i="17" s="1"/>
  <c r="S77" i="17"/>
  <c r="L77" i="17"/>
  <c r="M77" i="17" s="1"/>
  <c r="K77" i="17"/>
  <c r="C77" i="17"/>
  <c r="AX77" i="17" s="1"/>
  <c r="AX76" i="17"/>
  <c r="AW76" i="17"/>
  <c r="AV76" i="17"/>
  <c r="AU76" i="17"/>
  <c r="AS76" i="17"/>
  <c r="AR76" i="17"/>
  <c r="AT76" i="17" s="1"/>
  <c r="AQ76" i="17"/>
  <c r="AL76" i="17"/>
  <c r="AM76" i="17" s="1"/>
  <c r="AK76" i="17"/>
  <c r="AE76" i="17"/>
  <c r="AF76" i="17" s="1"/>
  <c r="AG76" i="17" s="1"/>
  <c r="Z76" i="17"/>
  <c r="AA76" i="17" s="1"/>
  <c r="Y76" i="17"/>
  <c r="U76" i="17"/>
  <c r="T76" i="17"/>
  <c r="S76" i="17"/>
  <c r="L76" i="17"/>
  <c r="M76" i="17" s="1"/>
  <c r="K76" i="17"/>
  <c r="C76" i="17"/>
  <c r="AX75" i="17"/>
  <c r="AW75" i="17"/>
  <c r="AV75" i="17"/>
  <c r="AS75" i="17"/>
  <c r="AR75" i="17"/>
  <c r="AQ75" i="17"/>
  <c r="AL75" i="17"/>
  <c r="AM75" i="17" s="1"/>
  <c r="AK75" i="17"/>
  <c r="AE75" i="17"/>
  <c r="AF75" i="17" s="1"/>
  <c r="AG75" i="17" s="1"/>
  <c r="Z75" i="17"/>
  <c r="AA75" i="17" s="1"/>
  <c r="Y75" i="17"/>
  <c r="T75" i="17"/>
  <c r="U75" i="17" s="1"/>
  <c r="S75" i="17"/>
  <c r="L75" i="17"/>
  <c r="M75" i="17" s="1"/>
  <c r="K75" i="17"/>
  <c r="C75" i="17"/>
  <c r="AX74" i="17"/>
  <c r="AW74" i="17"/>
  <c r="AV74" i="17"/>
  <c r="AS74" i="17"/>
  <c r="AR74" i="17"/>
  <c r="AQ74" i="17"/>
  <c r="AL74" i="17"/>
  <c r="AM74" i="17" s="1"/>
  <c r="AK74" i="17"/>
  <c r="AE74" i="17"/>
  <c r="AF74" i="17" s="1"/>
  <c r="AG74" i="17" s="1"/>
  <c r="Z74" i="17"/>
  <c r="AA74" i="17" s="1"/>
  <c r="Y74" i="17"/>
  <c r="T74" i="17"/>
  <c r="U74" i="17" s="1"/>
  <c r="S74" i="17"/>
  <c r="L74" i="17"/>
  <c r="M74" i="17" s="1"/>
  <c r="K74" i="17"/>
  <c r="C74" i="17"/>
  <c r="AX73" i="17"/>
  <c r="AW73" i="17"/>
  <c r="AV73" i="17"/>
  <c r="AS73" i="17"/>
  <c r="AR73" i="17"/>
  <c r="AQ73" i="17"/>
  <c r="AL73" i="17"/>
  <c r="AM73" i="17" s="1"/>
  <c r="AK73" i="17"/>
  <c r="AE73" i="17"/>
  <c r="AF73" i="17" s="1"/>
  <c r="AG73" i="17" s="1"/>
  <c r="Z73" i="17"/>
  <c r="AA73" i="17" s="1"/>
  <c r="Y73" i="17"/>
  <c r="T73" i="17"/>
  <c r="U73" i="17" s="1"/>
  <c r="S73" i="17"/>
  <c r="L73" i="17"/>
  <c r="M73" i="17" s="1"/>
  <c r="K73" i="17"/>
  <c r="C73" i="17"/>
  <c r="AS72" i="17"/>
  <c r="AR72" i="17"/>
  <c r="AQ72" i="17"/>
  <c r="AL72" i="17"/>
  <c r="AM72" i="17" s="1"/>
  <c r="AK72" i="17"/>
  <c r="AE72" i="17"/>
  <c r="AF72" i="17" s="1"/>
  <c r="AG72" i="17" s="1"/>
  <c r="Z72" i="17"/>
  <c r="AA72" i="17" s="1"/>
  <c r="Y72" i="17"/>
  <c r="T72" i="17"/>
  <c r="U72" i="17" s="1"/>
  <c r="S72" i="17"/>
  <c r="L72" i="17"/>
  <c r="M72" i="17" s="1"/>
  <c r="K72" i="17"/>
  <c r="C72" i="17"/>
  <c r="AS71" i="17"/>
  <c r="AR71" i="17"/>
  <c r="AQ71" i="17"/>
  <c r="AL71" i="17"/>
  <c r="AM71" i="17" s="1"/>
  <c r="AK71" i="17"/>
  <c r="AF71" i="17"/>
  <c r="AG71" i="17" s="1"/>
  <c r="AE71" i="17"/>
  <c r="Z71" i="17"/>
  <c r="AA71" i="17" s="1"/>
  <c r="Y71" i="17"/>
  <c r="T71" i="17"/>
  <c r="U71" i="17" s="1"/>
  <c r="S71" i="17"/>
  <c r="M71" i="17"/>
  <c r="L71" i="17"/>
  <c r="K71" i="17"/>
  <c r="C71" i="17"/>
  <c r="AS70" i="17"/>
  <c r="AR70" i="17"/>
  <c r="AQ70" i="17"/>
  <c r="AL70" i="17"/>
  <c r="AM70" i="17" s="1"/>
  <c r="AK70" i="17"/>
  <c r="AE70" i="17"/>
  <c r="AF70" i="17" s="1"/>
  <c r="AG70" i="17" s="1"/>
  <c r="Y70" i="17"/>
  <c r="Z70" i="17" s="1"/>
  <c r="AA70" i="17" s="1"/>
  <c r="T70" i="17"/>
  <c r="U70" i="17" s="1"/>
  <c r="S70" i="17"/>
  <c r="K70" i="17"/>
  <c r="L70" i="17" s="1"/>
  <c r="M70" i="17" s="1"/>
  <c r="C70" i="17"/>
  <c r="AX68" i="17"/>
  <c r="AW68" i="17"/>
  <c r="AV68" i="17"/>
  <c r="AS68" i="17"/>
  <c r="AR68" i="17"/>
  <c r="AQ68" i="17"/>
  <c r="AK68" i="17"/>
  <c r="AL68" i="17" s="1"/>
  <c r="AM68" i="17" s="1"/>
  <c r="AE68" i="17"/>
  <c r="AF68" i="17" s="1"/>
  <c r="AG68" i="17" s="1"/>
  <c r="Z68" i="17"/>
  <c r="AA68" i="17" s="1"/>
  <c r="Y68" i="17"/>
  <c r="T68" i="17"/>
  <c r="U68" i="17" s="1"/>
  <c r="S68" i="17"/>
  <c r="L68" i="17"/>
  <c r="M68" i="17" s="1"/>
  <c r="K68" i="17"/>
  <c r="C68" i="17"/>
  <c r="AX67" i="17"/>
  <c r="AW67" i="17"/>
  <c r="AV67" i="17"/>
  <c r="AS67" i="17"/>
  <c r="AR67" i="17"/>
  <c r="AT67" i="17" s="1"/>
  <c r="AU67" i="17" s="1"/>
  <c r="AQ67" i="17"/>
  <c r="AL67" i="17"/>
  <c r="AM67" i="17" s="1"/>
  <c r="AK67" i="17"/>
  <c r="AF67" i="17"/>
  <c r="AG67" i="17" s="1"/>
  <c r="AE67" i="17"/>
  <c r="Z67" i="17"/>
  <c r="AA67" i="17" s="1"/>
  <c r="Y67" i="17"/>
  <c r="T67" i="17"/>
  <c r="U67" i="17" s="1"/>
  <c r="S67" i="17"/>
  <c r="L67" i="17"/>
  <c r="M67" i="17" s="1"/>
  <c r="K67" i="17"/>
  <c r="C67" i="17"/>
  <c r="AX66" i="17"/>
  <c r="AW66" i="17"/>
  <c r="AV66" i="17"/>
  <c r="AS66" i="17"/>
  <c r="AR66" i="17"/>
  <c r="AQ66" i="17"/>
  <c r="AT66" i="17" s="1"/>
  <c r="AU66" i="17" s="1"/>
  <c r="AL66" i="17"/>
  <c r="AM66" i="17" s="1"/>
  <c r="AK66" i="17"/>
  <c r="AE66" i="17"/>
  <c r="AF66" i="17" s="1"/>
  <c r="AG66" i="17" s="1"/>
  <c r="Y66" i="17"/>
  <c r="Z66" i="17" s="1"/>
  <c r="AA66" i="17" s="1"/>
  <c r="T66" i="17"/>
  <c r="U66" i="17" s="1"/>
  <c r="S66" i="17"/>
  <c r="K66" i="17"/>
  <c r="L66" i="17" s="1"/>
  <c r="M66" i="17" s="1"/>
  <c r="C66" i="17"/>
  <c r="AX65" i="17"/>
  <c r="AW65" i="17"/>
  <c r="AV65" i="17"/>
  <c r="AS65" i="17"/>
  <c r="AR65" i="17"/>
  <c r="AT65" i="17" s="1"/>
  <c r="AU65" i="17" s="1"/>
  <c r="AQ65" i="17"/>
  <c r="AK65" i="17"/>
  <c r="AL65" i="17" s="1"/>
  <c r="AM65" i="17" s="1"/>
  <c r="AF65" i="17"/>
  <c r="AG65" i="17" s="1"/>
  <c r="AE65" i="17"/>
  <c r="Y65" i="17"/>
  <c r="Z65" i="17" s="1"/>
  <c r="AA65" i="17" s="1"/>
  <c r="T65" i="17"/>
  <c r="U65" i="17" s="1"/>
  <c r="S65" i="17"/>
  <c r="K65" i="17"/>
  <c r="L65" i="17" s="1"/>
  <c r="M65" i="17" s="1"/>
  <c r="C65" i="17"/>
  <c r="AX64" i="17"/>
  <c r="AW64" i="17"/>
  <c r="AV64" i="17"/>
  <c r="AS64" i="17"/>
  <c r="AR64" i="17"/>
  <c r="AT64" i="17" s="1"/>
  <c r="AU64" i="17" s="1"/>
  <c r="AQ64" i="17"/>
  <c r="AK64" i="17"/>
  <c r="AL64" i="17" s="1"/>
  <c r="AM64" i="17" s="1"/>
  <c r="AF64" i="17"/>
  <c r="AG64" i="17" s="1"/>
  <c r="AE64" i="17"/>
  <c r="Z64" i="17"/>
  <c r="AA64" i="17" s="1"/>
  <c r="Y64" i="17"/>
  <c r="T64" i="17"/>
  <c r="U64" i="17" s="1"/>
  <c r="S64" i="17"/>
  <c r="K64" i="17"/>
  <c r="L64" i="17" s="1"/>
  <c r="M64" i="17" s="1"/>
  <c r="C64" i="17"/>
  <c r="AX63" i="17"/>
  <c r="AW63" i="17"/>
  <c r="AV63" i="17"/>
  <c r="AS63" i="17"/>
  <c r="AR63" i="17"/>
  <c r="AT63" i="17" s="1"/>
  <c r="AU63" i="17" s="1"/>
  <c r="AQ63" i="17"/>
  <c r="AK63" i="17"/>
  <c r="AL63" i="17" s="1"/>
  <c r="AM63" i="17" s="1"/>
  <c r="AE63" i="17"/>
  <c r="AF63" i="17" s="1"/>
  <c r="AG63" i="17" s="1"/>
  <c r="Y63" i="17"/>
  <c r="Z63" i="17" s="1"/>
  <c r="AA63" i="17" s="1"/>
  <c r="T63" i="17"/>
  <c r="U63" i="17" s="1"/>
  <c r="S63" i="17"/>
  <c r="K63" i="17"/>
  <c r="L63" i="17" s="1"/>
  <c r="M63" i="17" s="1"/>
  <c r="C63" i="17"/>
  <c r="AX62" i="17"/>
  <c r="AW62" i="17"/>
  <c r="AV62" i="17"/>
  <c r="AS62" i="17"/>
  <c r="AR62" i="17"/>
  <c r="AQ62" i="17"/>
  <c r="AT62" i="17" s="1"/>
  <c r="AU62" i="17" s="1"/>
  <c r="AK62" i="17"/>
  <c r="AL62" i="17" s="1"/>
  <c r="AM62" i="17" s="1"/>
  <c r="AE62" i="17"/>
  <c r="AF62" i="17" s="1"/>
  <c r="AG62" i="17" s="1"/>
  <c r="Z62" i="17"/>
  <c r="AA62" i="17" s="1"/>
  <c r="Y62" i="17"/>
  <c r="S62" i="17"/>
  <c r="T62" i="17" s="1"/>
  <c r="U62" i="17" s="1"/>
  <c r="L62" i="17"/>
  <c r="M62" i="17" s="1"/>
  <c r="K62" i="17"/>
  <c r="C62" i="17"/>
  <c r="AX61" i="17"/>
  <c r="AW61" i="17"/>
  <c r="AV61" i="17"/>
  <c r="AS61" i="17"/>
  <c r="AR61" i="17"/>
  <c r="AQ61" i="17"/>
  <c r="AL61" i="17"/>
  <c r="AM61" i="17" s="1"/>
  <c r="AK61" i="17"/>
  <c r="AE61" i="17"/>
  <c r="AF61" i="17" s="1"/>
  <c r="AG61" i="17" s="1"/>
  <c r="Z61" i="17"/>
  <c r="AA61" i="17" s="1"/>
  <c r="Y61" i="17"/>
  <c r="T61" i="17"/>
  <c r="U61" i="17" s="1"/>
  <c r="S61" i="17"/>
  <c r="L61" i="17"/>
  <c r="M61" i="17" s="1"/>
  <c r="K61" i="17"/>
  <c r="C61" i="17"/>
  <c r="AX60" i="17"/>
  <c r="AW60" i="17"/>
  <c r="AV60" i="17"/>
  <c r="AS60" i="17"/>
  <c r="AR60" i="17"/>
  <c r="AQ60" i="17"/>
  <c r="AT60" i="17" s="1"/>
  <c r="AU60" i="17" s="1"/>
  <c r="AL60" i="17"/>
  <c r="AM60" i="17" s="1"/>
  <c r="AK60" i="17"/>
  <c r="AE60" i="17"/>
  <c r="AF60" i="17" s="1"/>
  <c r="AG60" i="17" s="1"/>
  <c r="Y60" i="17"/>
  <c r="Z60" i="17" s="1"/>
  <c r="AA60" i="17" s="1"/>
  <c r="S60" i="17"/>
  <c r="T60" i="17" s="1"/>
  <c r="U60" i="17" s="1"/>
  <c r="K60" i="17"/>
  <c r="L60" i="17" s="1"/>
  <c r="M60" i="17" s="1"/>
  <c r="C60" i="17"/>
  <c r="AX59" i="17"/>
  <c r="AW59" i="17"/>
  <c r="AV59" i="17"/>
  <c r="AS59" i="17"/>
  <c r="AR59" i="17"/>
  <c r="AT59" i="17" s="1"/>
  <c r="AU59" i="17" s="1"/>
  <c r="AQ59" i="17"/>
  <c r="AK59" i="17"/>
  <c r="AL59" i="17" s="1"/>
  <c r="AM59" i="17" s="1"/>
  <c r="AF59" i="17"/>
  <c r="AG59" i="17" s="1"/>
  <c r="AE59" i="17"/>
  <c r="Y59" i="17"/>
  <c r="Z59" i="17" s="1"/>
  <c r="AA59" i="17" s="1"/>
  <c r="T59" i="17"/>
  <c r="U59" i="17" s="1"/>
  <c r="S59" i="17"/>
  <c r="K59" i="17"/>
  <c r="L59" i="17" s="1"/>
  <c r="M59" i="17" s="1"/>
  <c r="C59" i="17"/>
  <c r="AX58" i="17"/>
  <c r="AW58" i="17"/>
  <c r="AV58" i="17"/>
  <c r="AS58" i="17"/>
  <c r="AR58" i="17"/>
  <c r="AQ58" i="17"/>
  <c r="AK58" i="17"/>
  <c r="AL58" i="17" s="1"/>
  <c r="AM58" i="17" s="1"/>
  <c r="AF58" i="17"/>
  <c r="AG58" i="17" s="1"/>
  <c r="AE58" i="17"/>
  <c r="Y58" i="17"/>
  <c r="Z58" i="17" s="1"/>
  <c r="AA58" i="17" s="1"/>
  <c r="T58" i="17"/>
  <c r="U58" i="17" s="1"/>
  <c r="S58" i="17"/>
  <c r="L58" i="17"/>
  <c r="M58" i="17" s="1"/>
  <c r="K58" i="17"/>
  <c r="C58" i="17"/>
  <c r="AX57" i="17"/>
  <c r="AW57" i="17"/>
  <c r="AV57" i="17"/>
  <c r="AS57" i="17"/>
  <c r="AR57" i="17"/>
  <c r="AQ57" i="17"/>
  <c r="AL57" i="17"/>
  <c r="AM57" i="17" s="1"/>
  <c r="AK57" i="17"/>
  <c r="AE57" i="17"/>
  <c r="AF57" i="17" s="1"/>
  <c r="AG57" i="17" s="1"/>
  <c r="Y57" i="17"/>
  <c r="Z57" i="17" s="1"/>
  <c r="AA57" i="17" s="1"/>
  <c r="S57" i="17"/>
  <c r="T57" i="17" s="1"/>
  <c r="U57" i="17" s="1"/>
  <c r="K57" i="17"/>
  <c r="L57" i="17" s="1"/>
  <c r="M57" i="17" s="1"/>
  <c r="C57" i="17"/>
  <c r="AX56" i="17"/>
  <c r="AW56" i="17"/>
  <c r="AV56" i="17"/>
  <c r="AS56" i="17"/>
  <c r="AR56" i="17"/>
  <c r="AQ56" i="17"/>
  <c r="AT56" i="17" s="1"/>
  <c r="AU56" i="17" s="1"/>
  <c r="AK56" i="17"/>
  <c r="AL56" i="17" s="1"/>
  <c r="AM56" i="17" s="1"/>
  <c r="AE56" i="17"/>
  <c r="AF56" i="17" s="1"/>
  <c r="AG56" i="17" s="1"/>
  <c r="AA56" i="17"/>
  <c r="Z56" i="17"/>
  <c r="Y56" i="17"/>
  <c r="S56" i="17"/>
  <c r="T56" i="17" s="1"/>
  <c r="U56" i="17" s="1"/>
  <c r="L56" i="17"/>
  <c r="M56" i="17" s="1"/>
  <c r="K56" i="17"/>
  <c r="C56" i="17"/>
  <c r="AX55" i="17"/>
  <c r="AW55" i="17"/>
  <c r="AV55" i="17"/>
  <c r="AS55" i="17"/>
  <c r="AR55" i="17"/>
  <c r="AQ55" i="17"/>
  <c r="AL55" i="17"/>
  <c r="AM55" i="17" s="1"/>
  <c r="AK55" i="17"/>
  <c r="AF55" i="17"/>
  <c r="AG55" i="17" s="1"/>
  <c r="AE55" i="17"/>
  <c r="Z55" i="17"/>
  <c r="AA55" i="17" s="1"/>
  <c r="Y55" i="17"/>
  <c r="S55" i="17"/>
  <c r="T55" i="17" s="1"/>
  <c r="U55" i="17" s="1"/>
  <c r="L55" i="17"/>
  <c r="M55" i="17" s="1"/>
  <c r="K55" i="17"/>
  <c r="C55" i="17"/>
  <c r="AX54" i="17"/>
  <c r="AW54" i="17"/>
  <c r="AV54" i="17"/>
  <c r="AS54" i="17"/>
  <c r="AR54" i="17"/>
  <c r="AQ54" i="17"/>
  <c r="AT54" i="17" s="1"/>
  <c r="AU54" i="17" s="1"/>
  <c r="AL54" i="17"/>
  <c r="AM54" i="17" s="1"/>
  <c r="AK54" i="17"/>
  <c r="AE54" i="17"/>
  <c r="AF54" i="17" s="1"/>
  <c r="AG54" i="17" s="1"/>
  <c r="Y54" i="17"/>
  <c r="Z54" i="17" s="1"/>
  <c r="AA54" i="17" s="1"/>
  <c r="S54" i="17"/>
  <c r="T54" i="17" s="1"/>
  <c r="U54" i="17" s="1"/>
  <c r="K54" i="17"/>
  <c r="L54" i="17" s="1"/>
  <c r="M54" i="17" s="1"/>
  <c r="C54" i="17"/>
  <c r="AX53" i="17"/>
  <c r="AW53" i="17"/>
  <c r="AV53" i="17"/>
  <c r="AS53" i="17"/>
  <c r="AR53" i="17"/>
  <c r="AT53" i="17" s="1"/>
  <c r="AU53" i="17" s="1"/>
  <c r="AQ53" i="17"/>
  <c r="AK53" i="17"/>
  <c r="AL53" i="17" s="1"/>
  <c r="AM53" i="17" s="1"/>
  <c r="AF53" i="17"/>
  <c r="AG53" i="17" s="1"/>
  <c r="AE53" i="17"/>
  <c r="Y53" i="17"/>
  <c r="Z53" i="17" s="1"/>
  <c r="AA53" i="17" s="1"/>
  <c r="T53" i="17"/>
  <c r="U53" i="17" s="1"/>
  <c r="S53" i="17"/>
  <c r="K53" i="17"/>
  <c r="L53" i="17" s="1"/>
  <c r="M53" i="17" s="1"/>
  <c r="C53" i="17"/>
  <c r="AX52" i="17"/>
  <c r="AW52" i="17"/>
  <c r="AV52" i="17"/>
  <c r="AS52" i="17"/>
  <c r="AR52" i="17"/>
  <c r="AT52" i="17" s="1"/>
  <c r="AU52" i="17" s="1"/>
  <c r="AQ52" i="17"/>
  <c r="AK52" i="17"/>
  <c r="AL52" i="17" s="1"/>
  <c r="AM52" i="17" s="1"/>
  <c r="AF52" i="17"/>
  <c r="AG52" i="17" s="1"/>
  <c r="AE52" i="17"/>
  <c r="Z52" i="17"/>
  <c r="AA52" i="17" s="1"/>
  <c r="Y52" i="17"/>
  <c r="T52" i="17"/>
  <c r="U52" i="17" s="1"/>
  <c r="S52" i="17"/>
  <c r="K52" i="17"/>
  <c r="L52" i="17" s="1"/>
  <c r="M52" i="17" s="1"/>
  <c r="C52" i="17"/>
  <c r="AX51" i="17"/>
  <c r="AW51" i="17"/>
  <c r="AV51" i="17"/>
  <c r="AS51" i="17"/>
  <c r="AR51" i="17"/>
  <c r="AQ51" i="17"/>
  <c r="AK51" i="17"/>
  <c r="AL51" i="17" s="1"/>
  <c r="AM51" i="17" s="1"/>
  <c r="AE51" i="17"/>
  <c r="AF51" i="17" s="1"/>
  <c r="AG51" i="17" s="1"/>
  <c r="Y51" i="17"/>
  <c r="Z51" i="17" s="1"/>
  <c r="AA51" i="17" s="1"/>
  <c r="S51" i="17"/>
  <c r="T51" i="17" s="1"/>
  <c r="U51" i="17" s="1"/>
  <c r="K51" i="17"/>
  <c r="L51" i="17" s="1"/>
  <c r="M51" i="17" s="1"/>
  <c r="C51" i="17"/>
  <c r="AX50" i="17"/>
  <c r="AW50" i="17"/>
  <c r="AV50" i="17"/>
  <c r="AS50" i="17"/>
  <c r="AR50" i="17"/>
  <c r="AQ50" i="17"/>
  <c r="AK50" i="17"/>
  <c r="AL50" i="17" s="1"/>
  <c r="AM50" i="17" s="1"/>
  <c r="AE50" i="17"/>
  <c r="AF50" i="17" s="1"/>
  <c r="AG50" i="17" s="1"/>
  <c r="AA50" i="17"/>
  <c r="Z50" i="17"/>
  <c r="Y50" i="17"/>
  <c r="S50" i="17"/>
  <c r="T50" i="17" s="1"/>
  <c r="U50" i="17" s="1"/>
  <c r="M50" i="17"/>
  <c r="L50" i="17"/>
  <c r="K50" i="17"/>
  <c r="C50" i="17"/>
  <c r="AX49" i="17"/>
  <c r="AW49" i="17"/>
  <c r="AV49" i="17"/>
  <c r="AS49" i="17"/>
  <c r="AR49" i="17"/>
  <c r="AQ49" i="17"/>
  <c r="AL49" i="17"/>
  <c r="AM49" i="17" s="1"/>
  <c r="AK49" i="17"/>
  <c r="AE49" i="17"/>
  <c r="AF49" i="17" s="1"/>
  <c r="AG49" i="17" s="1"/>
  <c r="Z49" i="17"/>
  <c r="AA49" i="17" s="1"/>
  <c r="Y49" i="17"/>
  <c r="T49" i="17"/>
  <c r="U49" i="17" s="1"/>
  <c r="S49" i="17"/>
  <c r="L49" i="17"/>
  <c r="M49" i="17" s="1"/>
  <c r="K49" i="17"/>
  <c r="C49" i="17"/>
  <c r="AX48" i="17"/>
  <c r="AW48" i="17"/>
  <c r="AV48" i="17"/>
  <c r="AS48" i="17"/>
  <c r="AR48" i="17"/>
  <c r="AQ48" i="17"/>
  <c r="AT48" i="17" s="1"/>
  <c r="AU48" i="17" s="1"/>
  <c r="AL48" i="17"/>
  <c r="AM48" i="17" s="1"/>
  <c r="AK48" i="17"/>
  <c r="AE48" i="17"/>
  <c r="AF48" i="17" s="1"/>
  <c r="AG48" i="17" s="1"/>
  <c r="Y48" i="17"/>
  <c r="Z48" i="17" s="1"/>
  <c r="AA48" i="17" s="1"/>
  <c r="S48" i="17"/>
  <c r="T48" i="17" s="1"/>
  <c r="U48" i="17" s="1"/>
  <c r="K48" i="17"/>
  <c r="L48" i="17" s="1"/>
  <c r="M48" i="17" s="1"/>
  <c r="C48" i="17"/>
  <c r="AX47" i="17"/>
  <c r="AW47" i="17"/>
  <c r="AV47" i="17"/>
  <c r="AS47" i="17"/>
  <c r="AR47" i="17"/>
  <c r="AQ47" i="17"/>
  <c r="AT47" i="17" s="1"/>
  <c r="AU47" i="17" s="1"/>
  <c r="AK47" i="17"/>
  <c r="AL47" i="17" s="1"/>
  <c r="AM47" i="17" s="1"/>
  <c r="AF47" i="17"/>
  <c r="AG47" i="17" s="1"/>
  <c r="AE47" i="17"/>
  <c r="Y47" i="17"/>
  <c r="Z47" i="17" s="1"/>
  <c r="AA47" i="17" s="1"/>
  <c r="T47" i="17"/>
  <c r="U47" i="17" s="1"/>
  <c r="S47" i="17"/>
  <c r="K47" i="17"/>
  <c r="L47" i="17" s="1"/>
  <c r="M47" i="17" s="1"/>
  <c r="C47" i="17"/>
  <c r="AX46" i="17"/>
  <c r="AW46" i="17"/>
  <c r="AV46" i="17"/>
  <c r="AS46" i="17"/>
  <c r="AR46" i="17"/>
  <c r="AQ46" i="17"/>
  <c r="AK46" i="17"/>
  <c r="AL46" i="17" s="1"/>
  <c r="AM46" i="17" s="1"/>
  <c r="AF46" i="17"/>
  <c r="AG46" i="17" s="1"/>
  <c r="AE46" i="17"/>
  <c r="Y46" i="17"/>
  <c r="Z46" i="17" s="1"/>
  <c r="AA46" i="17" s="1"/>
  <c r="T46" i="17"/>
  <c r="U46" i="17" s="1"/>
  <c r="S46" i="17"/>
  <c r="L46" i="17"/>
  <c r="M46" i="17" s="1"/>
  <c r="K46" i="17"/>
  <c r="C46" i="17"/>
  <c r="AX45" i="17"/>
  <c r="AW45" i="17"/>
  <c r="AV45" i="17"/>
  <c r="AS45" i="17"/>
  <c r="AR45" i="17"/>
  <c r="AQ45" i="17"/>
  <c r="AL45" i="17"/>
  <c r="AM45" i="17" s="1"/>
  <c r="AK45" i="17"/>
  <c r="AE45" i="17"/>
  <c r="AF45" i="17" s="1"/>
  <c r="AG45" i="17" s="1"/>
  <c r="Y45" i="17"/>
  <c r="Z45" i="17" s="1"/>
  <c r="AA45" i="17" s="1"/>
  <c r="S45" i="17"/>
  <c r="T45" i="17" s="1"/>
  <c r="U45" i="17" s="1"/>
  <c r="K45" i="17"/>
  <c r="L45" i="17" s="1"/>
  <c r="M45" i="17" s="1"/>
  <c r="C45" i="17"/>
  <c r="AX44" i="17"/>
  <c r="AW44" i="17"/>
  <c r="AV44" i="17"/>
  <c r="AS44" i="17"/>
  <c r="AR44" i="17"/>
  <c r="AQ44" i="17"/>
  <c r="AT44" i="17" s="1"/>
  <c r="AU44" i="17" s="1"/>
  <c r="AK44" i="17"/>
  <c r="AL44" i="17" s="1"/>
  <c r="AM44" i="17" s="1"/>
  <c r="AE44" i="17"/>
  <c r="AF44" i="17" s="1"/>
  <c r="AG44" i="17" s="1"/>
  <c r="AA44" i="17"/>
  <c r="Z44" i="17"/>
  <c r="Y44" i="17"/>
  <c r="S44" i="17"/>
  <c r="T44" i="17" s="1"/>
  <c r="U44" i="17" s="1"/>
  <c r="L44" i="17"/>
  <c r="M44" i="17" s="1"/>
  <c r="K44" i="17"/>
  <c r="C44" i="17"/>
  <c r="AX43" i="17"/>
  <c r="AW43" i="17"/>
  <c r="AV43" i="17"/>
  <c r="AS43" i="17"/>
  <c r="AR43" i="17"/>
  <c r="AQ43" i="17"/>
  <c r="AL43" i="17"/>
  <c r="AM43" i="17" s="1"/>
  <c r="AK43" i="17"/>
  <c r="AF43" i="17"/>
  <c r="AG43" i="17" s="1"/>
  <c r="AE43" i="17"/>
  <c r="Z43" i="17"/>
  <c r="AA43" i="17" s="1"/>
  <c r="Y43" i="17"/>
  <c r="S43" i="17"/>
  <c r="T43" i="17" s="1"/>
  <c r="U43" i="17" s="1"/>
  <c r="L43" i="17"/>
  <c r="M43" i="17" s="1"/>
  <c r="K43" i="17"/>
  <c r="C43" i="17"/>
  <c r="AX42" i="17"/>
  <c r="AW42" i="17"/>
  <c r="AV42" i="17"/>
  <c r="AT42" i="17"/>
  <c r="AU42" i="17" s="1"/>
  <c r="AS42" i="17"/>
  <c r="AR42" i="17"/>
  <c r="AQ42" i="17"/>
  <c r="AL42" i="17"/>
  <c r="AM42" i="17" s="1"/>
  <c r="AK42" i="17"/>
  <c r="AE42" i="17"/>
  <c r="AF42" i="17" s="1"/>
  <c r="AG42" i="17" s="1"/>
  <c r="Y42" i="17"/>
  <c r="Z42" i="17" s="1"/>
  <c r="AA42" i="17" s="1"/>
  <c r="S42" i="17"/>
  <c r="T42" i="17" s="1"/>
  <c r="U42" i="17" s="1"/>
  <c r="K42" i="17"/>
  <c r="L42" i="17" s="1"/>
  <c r="M42" i="17" s="1"/>
  <c r="C42" i="17"/>
  <c r="AS41" i="17"/>
  <c r="AT41" i="17" s="1"/>
  <c r="AU41" i="17" s="1"/>
  <c r="AR41" i="17"/>
  <c r="AQ41" i="17"/>
  <c r="AK41" i="17"/>
  <c r="AL41" i="17" s="1"/>
  <c r="AM41" i="17" s="1"/>
  <c r="AF41" i="17"/>
  <c r="AG41" i="17" s="1"/>
  <c r="AE41" i="17"/>
  <c r="Y41" i="17"/>
  <c r="Z41" i="17" s="1"/>
  <c r="AA41" i="17" s="1"/>
  <c r="U41" i="17"/>
  <c r="T41" i="17"/>
  <c r="S41" i="17"/>
  <c r="K41" i="17"/>
  <c r="L41" i="17" s="1"/>
  <c r="M41" i="17" s="1"/>
  <c r="C41" i="17"/>
  <c r="AV41" i="17" s="1"/>
  <c r="AS40" i="17"/>
  <c r="AR40" i="17"/>
  <c r="AQ40" i="17"/>
  <c r="AK40" i="17"/>
  <c r="AL40" i="17" s="1"/>
  <c r="AM40" i="17" s="1"/>
  <c r="AF40" i="17"/>
  <c r="AG40" i="17" s="1"/>
  <c r="AE40" i="17"/>
  <c r="Y40" i="17"/>
  <c r="Z40" i="17" s="1"/>
  <c r="AA40" i="17" s="1"/>
  <c r="U40" i="17"/>
  <c r="T40" i="17"/>
  <c r="S40" i="17"/>
  <c r="K40" i="17"/>
  <c r="L40" i="17" s="1"/>
  <c r="M40" i="17" s="1"/>
  <c r="C40" i="17"/>
  <c r="AX40" i="17" s="1"/>
  <c r="AX39" i="17"/>
  <c r="AS39" i="17"/>
  <c r="AR39" i="17"/>
  <c r="AQ39" i="17"/>
  <c r="AK39" i="17"/>
  <c r="AL39" i="17" s="1"/>
  <c r="AM39" i="17" s="1"/>
  <c r="AF39" i="17"/>
  <c r="AG39" i="17" s="1"/>
  <c r="AE39" i="17"/>
  <c r="Y39" i="17"/>
  <c r="Z39" i="17" s="1"/>
  <c r="AA39" i="17" s="1"/>
  <c r="T39" i="17"/>
  <c r="U39" i="17" s="1"/>
  <c r="S39" i="17"/>
  <c r="K39" i="17"/>
  <c r="L39" i="17" s="1"/>
  <c r="M39" i="17" s="1"/>
  <c r="C39" i="17"/>
  <c r="AW39" i="17" s="1"/>
  <c r="AX38" i="17"/>
  <c r="AS38" i="17"/>
  <c r="AR38" i="17"/>
  <c r="AT38" i="17" s="1"/>
  <c r="AU38" i="17" s="1"/>
  <c r="AQ38" i="17"/>
  <c r="AK38" i="17"/>
  <c r="AL38" i="17" s="1"/>
  <c r="AM38" i="17" s="1"/>
  <c r="AF38" i="17"/>
  <c r="AG38" i="17" s="1"/>
  <c r="AE38" i="17"/>
  <c r="Y38" i="17"/>
  <c r="Z38" i="17" s="1"/>
  <c r="AA38" i="17" s="1"/>
  <c r="T38" i="17"/>
  <c r="U38" i="17" s="1"/>
  <c r="S38" i="17"/>
  <c r="K38" i="17"/>
  <c r="L38" i="17" s="1"/>
  <c r="M38" i="17" s="1"/>
  <c r="C38" i="17"/>
  <c r="AW38" i="17" s="1"/>
  <c r="AX37" i="17"/>
  <c r="AS37" i="17"/>
  <c r="AR37" i="17"/>
  <c r="AT37" i="17" s="1"/>
  <c r="AU37" i="17" s="1"/>
  <c r="AQ37" i="17"/>
  <c r="AK37" i="17"/>
  <c r="AL37" i="17" s="1"/>
  <c r="AM37" i="17" s="1"/>
  <c r="AF37" i="17"/>
  <c r="AG37" i="17" s="1"/>
  <c r="AE37" i="17"/>
  <c r="Y37" i="17"/>
  <c r="Z37" i="17" s="1"/>
  <c r="AA37" i="17" s="1"/>
  <c r="T37" i="17"/>
  <c r="U37" i="17" s="1"/>
  <c r="S37" i="17"/>
  <c r="K37" i="17"/>
  <c r="L37" i="17" s="1"/>
  <c r="M37" i="17" s="1"/>
  <c r="C37" i="17"/>
  <c r="AW37" i="17" s="1"/>
  <c r="AX36" i="17"/>
  <c r="AS36" i="17"/>
  <c r="AR36" i="17"/>
  <c r="AT36" i="17" s="1"/>
  <c r="AU36" i="17" s="1"/>
  <c r="AQ36" i="17"/>
  <c r="AK36" i="17"/>
  <c r="AL36" i="17" s="1"/>
  <c r="AM36" i="17" s="1"/>
  <c r="AF36" i="17"/>
  <c r="AG36" i="17" s="1"/>
  <c r="AE36" i="17"/>
  <c r="Y36" i="17"/>
  <c r="Z36" i="17" s="1"/>
  <c r="AA36" i="17" s="1"/>
  <c r="T36" i="17"/>
  <c r="U36" i="17" s="1"/>
  <c r="S36" i="17"/>
  <c r="K36" i="17"/>
  <c r="L36" i="17" s="1"/>
  <c r="M36" i="17" s="1"/>
  <c r="C36" i="17"/>
  <c r="AW36" i="17" s="1"/>
  <c r="AX35" i="17"/>
  <c r="AS35" i="17"/>
  <c r="AR35" i="17"/>
  <c r="AT35" i="17" s="1"/>
  <c r="AU35" i="17" s="1"/>
  <c r="AQ35" i="17"/>
  <c r="AK35" i="17"/>
  <c r="AL35" i="17" s="1"/>
  <c r="AM35" i="17" s="1"/>
  <c r="AF35" i="17"/>
  <c r="AG35" i="17" s="1"/>
  <c r="AE35" i="17"/>
  <c r="Y35" i="17"/>
  <c r="Z35" i="17" s="1"/>
  <c r="AA35" i="17" s="1"/>
  <c r="T35" i="17"/>
  <c r="U35" i="17" s="1"/>
  <c r="S35" i="17"/>
  <c r="K35" i="17"/>
  <c r="L35" i="17" s="1"/>
  <c r="M35" i="17" s="1"/>
  <c r="C35" i="17"/>
  <c r="AW35" i="17" s="1"/>
  <c r="AX34" i="17"/>
  <c r="AS34" i="17"/>
  <c r="AR34" i="17"/>
  <c r="AT34" i="17" s="1"/>
  <c r="AU34" i="17" s="1"/>
  <c r="AQ34" i="17"/>
  <c r="AK34" i="17"/>
  <c r="AL34" i="17" s="1"/>
  <c r="AM34" i="17" s="1"/>
  <c r="AF34" i="17"/>
  <c r="AG34" i="17" s="1"/>
  <c r="AE34" i="17"/>
  <c r="Y34" i="17"/>
  <c r="Z34" i="17" s="1"/>
  <c r="AA34" i="17" s="1"/>
  <c r="T34" i="17"/>
  <c r="U34" i="17" s="1"/>
  <c r="S34" i="17"/>
  <c r="K34" i="17"/>
  <c r="L34" i="17" s="1"/>
  <c r="M34" i="17" s="1"/>
  <c r="C34" i="17"/>
  <c r="AW34" i="17" s="1"/>
  <c r="AX33" i="17"/>
  <c r="AS33" i="17"/>
  <c r="AR33" i="17"/>
  <c r="AT33" i="17" s="1"/>
  <c r="AU33" i="17" s="1"/>
  <c r="AQ33" i="17"/>
  <c r="AK33" i="17"/>
  <c r="AL33" i="17" s="1"/>
  <c r="AM33" i="17" s="1"/>
  <c r="AF33" i="17"/>
  <c r="AG33" i="17" s="1"/>
  <c r="AE33" i="17"/>
  <c r="Y33" i="17"/>
  <c r="Z33" i="17" s="1"/>
  <c r="AA33" i="17" s="1"/>
  <c r="T33" i="17"/>
  <c r="U33" i="17" s="1"/>
  <c r="S33" i="17"/>
  <c r="K33" i="17"/>
  <c r="L33" i="17" s="1"/>
  <c r="M33" i="17" s="1"/>
  <c r="C33" i="17"/>
  <c r="AW33" i="17" s="1"/>
  <c r="AX32" i="17"/>
  <c r="AS32" i="17"/>
  <c r="AR32" i="17"/>
  <c r="AT32" i="17" s="1"/>
  <c r="AU32" i="17" s="1"/>
  <c r="AQ32" i="17"/>
  <c r="AK32" i="17"/>
  <c r="AL32" i="17" s="1"/>
  <c r="AM32" i="17" s="1"/>
  <c r="AF32" i="17"/>
  <c r="AG32" i="17" s="1"/>
  <c r="AE32" i="17"/>
  <c r="Y32" i="17"/>
  <c r="Z32" i="17" s="1"/>
  <c r="AA32" i="17" s="1"/>
  <c r="T32" i="17"/>
  <c r="U32" i="17" s="1"/>
  <c r="S32" i="17"/>
  <c r="K32" i="17"/>
  <c r="L32" i="17" s="1"/>
  <c r="M32" i="17" s="1"/>
  <c r="C32" i="17"/>
  <c r="AW32" i="17" s="1"/>
  <c r="AX31" i="17"/>
  <c r="AS31" i="17"/>
  <c r="AR31" i="17"/>
  <c r="AT31" i="17" s="1"/>
  <c r="AU31" i="17" s="1"/>
  <c r="AQ31" i="17"/>
  <c r="AK31" i="17"/>
  <c r="AL31" i="17" s="1"/>
  <c r="AM31" i="17" s="1"/>
  <c r="AF31" i="17"/>
  <c r="AG31" i="17" s="1"/>
  <c r="AE31" i="17"/>
  <c r="Y31" i="17"/>
  <c r="Z31" i="17" s="1"/>
  <c r="AA31" i="17" s="1"/>
  <c r="T31" i="17"/>
  <c r="U31" i="17" s="1"/>
  <c r="S31" i="17"/>
  <c r="K31" i="17"/>
  <c r="L31" i="17" s="1"/>
  <c r="M31" i="17" s="1"/>
  <c r="C31" i="17"/>
  <c r="AW31" i="17" s="1"/>
  <c r="AX30" i="17"/>
  <c r="AS30" i="17"/>
  <c r="AR30" i="17"/>
  <c r="AT30" i="17" s="1"/>
  <c r="AU30" i="17" s="1"/>
  <c r="AQ30" i="17"/>
  <c r="AK30" i="17"/>
  <c r="AL30" i="17" s="1"/>
  <c r="AM30" i="17" s="1"/>
  <c r="AF30" i="17"/>
  <c r="AG30" i="17" s="1"/>
  <c r="AE30" i="17"/>
  <c r="Y30" i="17"/>
  <c r="Z30" i="17" s="1"/>
  <c r="AA30" i="17" s="1"/>
  <c r="T30" i="17"/>
  <c r="U30" i="17" s="1"/>
  <c r="S30" i="17"/>
  <c r="K30" i="17"/>
  <c r="L30" i="17" s="1"/>
  <c r="M30" i="17" s="1"/>
  <c r="C30" i="17"/>
  <c r="AW30" i="17" s="1"/>
  <c r="AX29" i="17"/>
  <c r="AS29" i="17"/>
  <c r="AR29" i="17"/>
  <c r="AT29" i="17" s="1"/>
  <c r="AU29" i="17" s="1"/>
  <c r="AQ29" i="17"/>
  <c r="AK29" i="17"/>
  <c r="AL29" i="17" s="1"/>
  <c r="AM29" i="17" s="1"/>
  <c r="AF29" i="17"/>
  <c r="AG29" i="17" s="1"/>
  <c r="AE29" i="17"/>
  <c r="Y29" i="17"/>
  <c r="Z29" i="17" s="1"/>
  <c r="AA29" i="17" s="1"/>
  <c r="T29" i="17"/>
  <c r="U29" i="17" s="1"/>
  <c r="S29" i="17"/>
  <c r="K29" i="17"/>
  <c r="L29" i="17" s="1"/>
  <c r="M29" i="17" s="1"/>
  <c r="C29" i="17"/>
  <c r="AW29" i="17" s="1"/>
  <c r="AX28" i="17"/>
  <c r="AS28" i="17"/>
  <c r="AR28" i="17"/>
  <c r="AT28" i="17" s="1"/>
  <c r="AU28" i="17" s="1"/>
  <c r="AQ28" i="17"/>
  <c r="AK28" i="17"/>
  <c r="AL28" i="17" s="1"/>
  <c r="AM28" i="17" s="1"/>
  <c r="AF28" i="17"/>
  <c r="AG28" i="17" s="1"/>
  <c r="AE28" i="17"/>
  <c r="Y28" i="17"/>
  <c r="Z28" i="17" s="1"/>
  <c r="AA28" i="17" s="1"/>
  <c r="T28" i="17"/>
  <c r="U28" i="17" s="1"/>
  <c r="S28" i="17"/>
  <c r="K28" i="17"/>
  <c r="L28" i="17" s="1"/>
  <c r="M28" i="17" s="1"/>
  <c r="C28" i="17"/>
  <c r="AW28" i="17" s="1"/>
  <c r="AX27" i="17"/>
  <c r="AS27" i="17"/>
  <c r="AR27" i="17"/>
  <c r="AT27" i="17" s="1"/>
  <c r="AU27" i="17" s="1"/>
  <c r="AQ27" i="17"/>
  <c r="AK27" i="17"/>
  <c r="AL27" i="17" s="1"/>
  <c r="AM27" i="17" s="1"/>
  <c r="AF27" i="17"/>
  <c r="AG27" i="17" s="1"/>
  <c r="AE27" i="17"/>
  <c r="Y27" i="17"/>
  <c r="Z27" i="17" s="1"/>
  <c r="AA27" i="17" s="1"/>
  <c r="T27" i="17"/>
  <c r="U27" i="17" s="1"/>
  <c r="S27" i="17"/>
  <c r="K27" i="17"/>
  <c r="L27" i="17" s="1"/>
  <c r="M27" i="17" s="1"/>
  <c r="C27" i="17"/>
  <c r="AW27" i="17" s="1"/>
  <c r="AX26" i="17"/>
  <c r="AS26" i="17"/>
  <c r="AR26" i="17"/>
  <c r="AT26" i="17" s="1"/>
  <c r="AU26" i="17" s="1"/>
  <c r="AQ26" i="17"/>
  <c r="AK26" i="17"/>
  <c r="AL26" i="17" s="1"/>
  <c r="AM26" i="17" s="1"/>
  <c r="AF26" i="17"/>
  <c r="AG26" i="17" s="1"/>
  <c r="AE26" i="17"/>
  <c r="Y26" i="17"/>
  <c r="Z26" i="17" s="1"/>
  <c r="AA26" i="17" s="1"/>
  <c r="T26" i="17"/>
  <c r="U26" i="17" s="1"/>
  <c r="S26" i="17"/>
  <c r="K26" i="17"/>
  <c r="L26" i="17" s="1"/>
  <c r="M26" i="17" s="1"/>
  <c r="C26" i="17"/>
  <c r="AW26" i="17" s="1"/>
  <c r="AX25" i="17"/>
  <c r="AS25" i="17"/>
  <c r="AR25" i="17"/>
  <c r="AT25" i="17" s="1"/>
  <c r="AU25" i="17" s="1"/>
  <c r="AQ25" i="17"/>
  <c r="AK25" i="17"/>
  <c r="AL25" i="17" s="1"/>
  <c r="AM25" i="17" s="1"/>
  <c r="AF25" i="17"/>
  <c r="AG25" i="17" s="1"/>
  <c r="AE25" i="17"/>
  <c r="Y25" i="17"/>
  <c r="Z25" i="17" s="1"/>
  <c r="AA25" i="17" s="1"/>
  <c r="T25" i="17"/>
  <c r="U25" i="17" s="1"/>
  <c r="S25" i="17"/>
  <c r="K25" i="17"/>
  <c r="L25" i="17" s="1"/>
  <c r="M25" i="17" s="1"/>
  <c r="C25" i="17"/>
  <c r="AW25" i="17" s="1"/>
  <c r="AX24" i="17"/>
  <c r="AS24" i="17"/>
  <c r="AR24" i="17"/>
  <c r="AT24" i="17" s="1"/>
  <c r="AU24" i="17" s="1"/>
  <c r="AQ24" i="17"/>
  <c r="AK24" i="17"/>
  <c r="AL24" i="17" s="1"/>
  <c r="AM24" i="17" s="1"/>
  <c r="AF24" i="17"/>
  <c r="AG24" i="17" s="1"/>
  <c r="AE24" i="17"/>
  <c r="Y24" i="17"/>
  <c r="Z24" i="17" s="1"/>
  <c r="AA24" i="17" s="1"/>
  <c r="T24" i="17"/>
  <c r="U24" i="17" s="1"/>
  <c r="S24" i="17"/>
  <c r="K24" i="17"/>
  <c r="L24" i="17" s="1"/>
  <c r="M24" i="17" s="1"/>
  <c r="C24" i="17"/>
  <c r="AW24" i="17" s="1"/>
  <c r="AX23" i="17"/>
  <c r="AS23" i="17"/>
  <c r="AR23" i="17"/>
  <c r="AT23" i="17" s="1"/>
  <c r="AU23" i="17" s="1"/>
  <c r="AQ23" i="17"/>
  <c r="AK23" i="17"/>
  <c r="AL23" i="17" s="1"/>
  <c r="AM23" i="17" s="1"/>
  <c r="AF23" i="17"/>
  <c r="AG23" i="17" s="1"/>
  <c r="AE23" i="17"/>
  <c r="Y23" i="17"/>
  <c r="Z23" i="17" s="1"/>
  <c r="AA23" i="17" s="1"/>
  <c r="T23" i="17"/>
  <c r="U23" i="17" s="1"/>
  <c r="S23" i="17"/>
  <c r="K23" i="17"/>
  <c r="L23" i="17" s="1"/>
  <c r="M23" i="17" s="1"/>
  <c r="C23" i="17"/>
  <c r="AW23" i="17" s="1"/>
  <c r="AS22" i="17"/>
  <c r="AR22" i="17"/>
  <c r="AT22" i="17" s="1"/>
  <c r="AU22" i="17" s="1"/>
  <c r="AQ22" i="17"/>
  <c r="AK22" i="17"/>
  <c r="AL22" i="17" s="1"/>
  <c r="AM22" i="17" s="1"/>
  <c r="AF22" i="17"/>
  <c r="AG22" i="17" s="1"/>
  <c r="AE22" i="17"/>
  <c r="Y22" i="17"/>
  <c r="Z22" i="17" s="1"/>
  <c r="AA22" i="17" s="1"/>
  <c r="T22" i="17"/>
  <c r="U22" i="17" s="1"/>
  <c r="S22" i="17"/>
  <c r="K22" i="17"/>
  <c r="L22" i="17" s="1"/>
  <c r="M22" i="17" s="1"/>
  <c r="C22" i="17"/>
  <c r="AW22" i="17" s="1"/>
  <c r="AS21" i="17"/>
  <c r="AR21" i="17"/>
  <c r="AQ21" i="17"/>
  <c r="AK21" i="17"/>
  <c r="AL21" i="17" s="1"/>
  <c r="AM21" i="17" s="1"/>
  <c r="AF21" i="17"/>
  <c r="AG21" i="17" s="1"/>
  <c r="AE21" i="17"/>
  <c r="Y21" i="17"/>
  <c r="Z21" i="17" s="1"/>
  <c r="AA21" i="17" s="1"/>
  <c r="T21" i="17"/>
  <c r="U21" i="17" s="1"/>
  <c r="S21" i="17"/>
  <c r="K21" i="17"/>
  <c r="L21" i="17" s="1"/>
  <c r="M21" i="17" s="1"/>
  <c r="C21" i="17"/>
  <c r="AS20" i="17"/>
  <c r="AR20" i="17"/>
  <c r="AT20" i="17" s="1"/>
  <c r="AU20" i="17" s="1"/>
  <c r="AQ20" i="17"/>
  <c r="AK20" i="17"/>
  <c r="AL20" i="17" s="1"/>
  <c r="AM20" i="17" s="1"/>
  <c r="AF20" i="17"/>
  <c r="AG20" i="17" s="1"/>
  <c r="AE20" i="17"/>
  <c r="Y20" i="17"/>
  <c r="Z20" i="17" s="1"/>
  <c r="AA20" i="17" s="1"/>
  <c r="T20" i="17"/>
  <c r="U20" i="17" s="1"/>
  <c r="S20" i="17"/>
  <c r="K20" i="17"/>
  <c r="L20" i="17" s="1"/>
  <c r="M20" i="17" s="1"/>
  <c r="C20" i="17"/>
  <c r="AS19" i="17"/>
  <c r="AR19" i="17"/>
  <c r="AQ19" i="17"/>
  <c r="AK19" i="17"/>
  <c r="AL19" i="17" s="1"/>
  <c r="AM19" i="17" s="1"/>
  <c r="AF19" i="17"/>
  <c r="AG19" i="17" s="1"/>
  <c r="AE19" i="17"/>
  <c r="Y19" i="17"/>
  <c r="Z19" i="17" s="1"/>
  <c r="AA19" i="17" s="1"/>
  <c r="T19" i="17"/>
  <c r="U19" i="17" s="1"/>
  <c r="S19" i="17"/>
  <c r="K19" i="17"/>
  <c r="L19" i="17" s="1"/>
  <c r="M19" i="17" s="1"/>
  <c r="C19" i="17"/>
  <c r="AK16" i="17"/>
  <c r="AE16" i="17"/>
  <c r="Y16" i="17"/>
  <c r="S16" i="17"/>
  <c r="K16" i="17"/>
  <c r="J11" i="17"/>
  <c r="AR10" i="17"/>
  <c r="AA10" i="17"/>
  <c r="J10" i="17"/>
  <c r="AQ7" i="17"/>
  <c r="F7" i="17"/>
  <c r="AQ5" i="17"/>
  <c r="Z5" i="17"/>
  <c r="F5" i="17"/>
  <c r="AS119" i="16"/>
  <c r="AR119" i="16"/>
  <c r="AQ119" i="16"/>
  <c r="AT119" i="16" s="1"/>
  <c r="AU119" i="16" s="1"/>
  <c r="AK119" i="16"/>
  <c r="AL119" i="16" s="1"/>
  <c r="AM119" i="16" s="1"/>
  <c r="AE119" i="16"/>
  <c r="AF119" i="16" s="1"/>
  <c r="AG119" i="16" s="1"/>
  <c r="Z119" i="16"/>
  <c r="AA119" i="16" s="1"/>
  <c r="Y119" i="16"/>
  <c r="S119" i="16"/>
  <c r="T119" i="16" s="1"/>
  <c r="U119" i="16" s="1"/>
  <c r="L119" i="16"/>
  <c r="M119" i="16" s="1"/>
  <c r="K119" i="16"/>
  <c r="C119" i="16"/>
  <c r="AS118" i="16"/>
  <c r="AR118" i="16"/>
  <c r="AQ118" i="16"/>
  <c r="AK118" i="16"/>
  <c r="AL118" i="16" s="1"/>
  <c r="AM118" i="16" s="1"/>
  <c r="AE118" i="16"/>
  <c r="AF118" i="16" s="1"/>
  <c r="AG118" i="16" s="1"/>
  <c r="Z118" i="16"/>
  <c r="AA118" i="16" s="1"/>
  <c r="Y118" i="16"/>
  <c r="S118" i="16"/>
  <c r="T118" i="16" s="1"/>
  <c r="U118" i="16" s="1"/>
  <c r="L118" i="16"/>
  <c r="M118" i="16" s="1"/>
  <c r="K118" i="16"/>
  <c r="C118" i="16"/>
  <c r="AS117" i="16"/>
  <c r="AR117" i="16"/>
  <c r="AQ117" i="16"/>
  <c r="AT117" i="16" s="1"/>
  <c r="AU117" i="16" s="1"/>
  <c r="AK117" i="16"/>
  <c r="AL117" i="16" s="1"/>
  <c r="AM117" i="16" s="1"/>
  <c r="AE117" i="16"/>
  <c r="AF117" i="16" s="1"/>
  <c r="AG117" i="16" s="1"/>
  <c r="Z117" i="16"/>
  <c r="AA117" i="16" s="1"/>
  <c r="Y117" i="16"/>
  <c r="S117" i="16"/>
  <c r="T117" i="16" s="1"/>
  <c r="U117" i="16" s="1"/>
  <c r="K117" i="16"/>
  <c r="L117" i="16" s="1"/>
  <c r="M117" i="16" s="1"/>
  <c r="C117" i="16"/>
  <c r="AS116" i="16"/>
  <c r="AR116" i="16"/>
  <c r="AQ116" i="16"/>
  <c r="AK116" i="16"/>
  <c r="AL116" i="16" s="1"/>
  <c r="AM116" i="16" s="1"/>
  <c r="AE116" i="16"/>
  <c r="AF116" i="16" s="1"/>
  <c r="AG116" i="16" s="1"/>
  <c r="Z116" i="16"/>
  <c r="AA116" i="16" s="1"/>
  <c r="Y116" i="16"/>
  <c r="S116" i="16"/>
  <c r="T116" i="16" s="1"/>
  <c r="U116" i="16" s="1"/>
  <c r="L116" i="16"/>
  <c r="M116" i="16" s="1"/>
  <c r="K116" i="16"/>
  <c r="C116" i="16"/>
  <c r="AS115" i="16"/>
  <c r="AR115" i="16"/>
  <c r="AQ115" i="16"/>
  <c r="AT115" i="16" s="1"/>
  <c r="AU115" i="16" s="1"/>
  <c r="AK115" i="16"/>
  <c r="AL115" i="16" s="1"/>
  <c r="AM115" i="16" s="1"/>
  <c r="AE115" i="16"/>
  <c r="AF115" i="16" s="1"/>
  <c r="AG115" i="16" s="1"/>
  <c r="Z115" i="16"/>
  <c r="AA115" i="16" s="1"/>
  <c r="Y115" i="16"/>
  <c r="S115" i="16"/>
  <c r="T115" i="16" s="1"/>
  <c r="U115" i="16" s="1"/>
  <c r="K115" i="16"/>
  <c r="L115" i="16" s="1"/>
  <c r="M115" i="16" s="1"/>
  <c r="C115" i="16"/>
  <c r="AS114" i="16"/>
  <c r="AR114" i="16"/>
  <c r="AQ114" i="16"/>
  <c r="AK114" i="16"/>
  <c r="AL114" i="16" s="1"/>
  <c r="AM114" i="16" s="1"/>
  <c r="AE114" i="16"/>
  <c r="AF114" i="16" s="1"/>
  <c r="AG114" i="16" s="1"/>
  <c r="Z114" i="16"/>
  <c r="AA114" i="16" s="1"/>
  <c r="Y114" i="16"/>
  <c r="S114" i="16"/>
  <c r="T114" i="16" s="1"/>
  <c r="U114" i="16" s="1"/>
  <c r="L114" i="16"/>
  <c r="M114" i="16" s="1"/>
  <c r="K114" i="16"/>
  <c r="C114" i="16"/>
  <c r="AS113" i="16"/>
  <c r="AR113" i="16"/>
  <c r="AQ113" i="16"/>
  <c r="AK113" i="16"/>
  <c r="AL113" i="16" s="1"/>
  <c r="AM113" i="16" s="1"/>
  <c r="AE113" i="16"/>
  <c r="AF113" i="16" s="1"/>
  <c r="AG113" i="16" s="1"/>
  <c r="Z113" i="16"/>
  <c r="AA113" i="16" s="1"/>
  <c r="Y113" i="16"/>
  <c r="S113" i="16"/>
  <c r="T113" i="16" s="1"/>
  <c r="U113" i="16" s="1"/>
  <c r="L113" i="16"/>
  <c r="M113" i="16" s="1"/>
  <c r="K113" i="16"/>
  <c r="C113" i="16"/>
  <c r="AS112" i="16"/>
  <c r="AR112" i="16"/>
  <c r="AQ112" i="16"/>
  <c r="AK112" i="16"/>
  <c r="AL112" i="16" s="1"/>
  <c r="AM112" i="16" s="1"/>
  <c r="AE112" i="16"/>
  <c r="AF112" i="16" s="1"/>
  <c r="AG112" i="16" s="1"/>
  <c r="Z112" i="16"/>
  <c r="AA112" i="16" s="1"/>
  <c r="Y112" i="16"/>
  <c r="S112" i="16"/>
  <c r="T112" i="16" s="1"/>
  <c r="U112" i="16" s="1"/>
  <c r="L112" i="16"/>
  <c r="M112" i="16" s="1"/>
  <c r="K112" i="16"/>
  <c r="C112" i="16"/>
  <c r="AS111" i="16"/>
  <c r="AR111" i="16"/>
  <c r="AQ111" i="16"/>
  <c r="AT111" i="16" s="1"/>
  <c r="AU111" i="16" s="1"/>
  <c r="AK111" i="16"/>
  <c r="AL111" i="16" s="1"/>
  <c r="AM111" i="16" s="1"/>
  <c r="AE111" i="16"/>
  <c r="AF111" i="16" s="1"/>
  <c r="AG111" i="16" s="1"/>
  <c r="Z111" i="16"/>
  <c r="AA111" i="16" s="1"/>
  <c r="Y111" i="16"/>
  <c r="S111" i="16"/>
  <c r="T111" i="16" s="1"/>
  <c r="U111" i="16" s="1"/>
  <c r="K111" i="16"/>
  <c r="L111" i="16" s="1"/>
  <c r="M111" i="16" s="1"/>
  <c r="C111" i="16"/>
  <c r="AS110" i="16"/>
  <c r="AR110" i="16"/>
  <c r="AQ110" i="16"/>
  <c r="AT110" i="16" s="1"/>
  <c r="AU110" i="16" s="1"/>
  <c r="AK110" i="16"/>
  <c r="AL110" i="16" s="1"/>
  <c r="AM110" i="16" s="1"/>
  <c r="AE110" i="16"/>
  <c r="AF110" i="16" s="1"/>
  <c r="AG110" i="16" s="1"/>
  <c r="Z110" i="16"/>
  <c r="AA110" i="16" s="1"/>
  <c r="Y110" i="16"/>
  <c r="S110" i="16"/>
  <c r="T110" i="16" s="1"/>
  <c r="U110" i="16" s="1"/>
  <c r="L110" i="16"/>
  <c r="M110" i="16" s="1"/>
  <c r="K110" i="16"/>
  <c r="C110" i="16"/>
  <c r="AS109" i="16"/>
  <c r="AR109" i="16"/>
  <c r="AQ109" i="16"/>
  <c r="AT109" i="16" s="1"/>
  <c r="AU109" i="16" s="1"/>
  <c r="AK109" i="16"/>
  <c r="AL109" i="16" s="1"/>
  <c r="AM109" i="16" s="1"/>
  <c r="AG109" i="16"/>
  <c r="AE109" i="16"/>
  <c r="AF109" i="16" s="1"/>
  <c r="Z109" i="16"/>
  <c r="AA109" i="16" s="1"/>
  <c r="Y109" i="16"/>
  <c r="S109" i="16"/>
  <c r="T109" i="16" s="1"/>
  <c r="U109" i="16" s="1"/>
  <c r="K109" i="16"/>
  <c r="L109" i="16" s="1"/>
  <c r="M109" i="16" s="1"/>
  <c r="C109" i="16"/>
  <c r="AS108" i="16"/>
  <c r="AR108" i="16"/>
  <c r="AQ108" i="16"/>
  <c r="AL108" i="16"/>
  <c r="AM108" i="16" s="1"/>
  <c r="AK108" i="16"/>
  <c r="AE108" i="16"/>
  <c r="AF108" i="16" s="1"/>
  <c r="AG108" i="16" s="1"/>
  <c r="Z108" i="16"/>
  <c r="AA108" i="16" s="1"/>
  <c r="Y108" i="16"/>
  <c r="S108" i="16"/>
  <c r="T108" i="16" s="1"/>
  <c r="U108" i="16" s="1"/>
  <c r="L108" i="16"/>
  <c r="M108" i="16" s="1"/>
  <c r="K108" i="16"/>
  <c r="C108" i="16"/>
  <c r="AS107" i="16"/>
  <c r="AR107" i="16"/>
  <c r="AQ107" i="16"/>
  <c r="AK107" i="16"/>
  <c r="AL107" i="16" s="1"/>
  <c r="AM107" i="16" s="1"/>
  <c r="AE107" i="16"/>
  <c r="AF107" i="16" s="1"/>
  <c r="AG107" i="16" s="1"/>
  <c r="Z107" i="16"/>
  <c r="AA107" i="16" s="1"/>
  <c r="Y107" i="16"/>
  <c r="S107" i="16"/>
  <c r="T107" i="16" s="1"/>
  <c r="U107" i="16" s="1"/>
  <c r="K107" i="16"/>
  <c r="L107" i="16" s="1"/>
  <c r="M107" i="16" s="1"/>
  <c r="C107" i="16"/>
  <c r="AS106" i="16"/>
  <c r="AR106" i="16"/>
  <c r="AQ106" i="16"/>
  <c r="AK106" i="16"/>
  <c r="AL106" i="16" s="1"/>
  <c r="AM106" i="16" s="1"/>
  <c r="AE106" i="16"/>
  <c r="AF106" i="16" s="1"/>
  <c r="AG106" i="16" s="1"/>
  <c r="Z106" i="16"/>
  <c r="AA106" i="16" s="1"/>
  <c r="Y106" i="16"/>
  <c r="T106" i="16"/>
  <c r="U106" i="16" s="1"/>
  <c r="S106" i="16"/>
  <c r="K106" i="16"/>
  <c r="L106" i="16" s="1"/>
  <c r="M106" i="16" s="1"/>
  <c r="C106" i="16"/>
  <c r="AS105" i="16"/>
  <c r="AR105" i="16"/>
  <c r="AQ105" i="16"/>
  <c r="AK105" i="16"/>
  <c r="AL105" i="16" s="1"/>
  <c r="AM105" i="16" s="1"/>
  <c r="AE105" i="16"/>
  <c r="AF105" i="16" s="1"/>
  <c r="AG105" i="16" s="1"/>
  <c r="Z105" i="16"/>
  <c r="AA105" i="16" s="1"/>
  <c r="Y105" i="16"/>
  <c r="S105" i="16"/>
  <c r="T105" i="16" s="1"/>
  <c r="U105" i="16" s="1"/>
  <c r="L105" i="16"/>
  <c r="M105" i="16" s="1"/>
  <c r="K105" i="16"/>
  <c r="C105" i="16"/>
  <c r="AS104" i="16"/>
  <c r="AR104" i="16"/>
  <c r="AQ104" i="16"/>
  <c r="AL104" i="16"/>
  <c r="AM104" i="16" s="1"/>
  <c r="AK104" i="16"/>
  <c r="AE104" i="16"/>
  <c r="AF104" i="16" s="1"/>
  <c r="AG104" i="16" s="1"/>
  <c r="Z104" i="16"/>
  <c r="AA104" i="16" s="1"/>
  <c r="Y104" i="16"/>
  <c r="T104" i="16"/>
  <c r="U104" i="16" s="1"/>
  <c r="S104" i="16"/>
  <c r="M104" i="16"/>
  <c r="L104" i="16"/>
  <c r="K104" i="16"/>
  <c r="C104" i="16"/>
  <c r="AU103" i="16"/>
  <c r="AS103" i="16"/>
  <c r="AR103" i="16"/>
  <c r="AQ103" i="16"/>
  <c r="AT103" i="16" s="1"/>
  <c r="AK103" i="16"/>
  <c r="AL103" i="16" s="1"/>
  <c r="AM103" i="16" s="1"/>
  <c r="AE103" i="16"/>
  <c r="AF103" i="16" s="1"/>
  <c r="AG103" i="16" s="1"/>
  <c r="Z103" i="16"/>
  <c r="AA103" i="16" s="1"/>
  <c r="Y103" i="16"/>
  <c r="S103" i="16"/>
  <c r="T103" i="16" s="1"/>
  <c r="U103" i="16" s="1"/>
  <c r="K103" i="16"/>
  <c r="L103" i="16" s="1"/>
  <c r="M103" i="16" s="1"/>
  <c r="C103" i="16"/>
  <c r="AS102" i="16"/>
  <c r="AR102" i="16"/>
  <c r="AQ102" i="16"/>
  <c r="AK102" i="16"/>
  <c r="AL102" i="16" s="1"/>
  <c r="AM102" i="16" s="1"/>
  <c r="AE102" i="16"/>
  <c r="AF102" i="16" s="1"/>
  <c r="AG102" i="16" s="1"/>
  <c r="Z102" i="16"/>
  <c r="AA102" i="16" s="1"/>
  <c r="Y102" i="16"/>
  <c r="S102" i="16"/>
  <c r="T102" i="16" s="1"/>
  <c r="U102" i="16" s="1"/>
  <c r="L102" i="16"/>
  <c r="M102" i="16" s="1"/>
  <c r="K102" i="16"/>
  <c r="C102" i="16"/>
  <c r="AS101" i="16"/>
  <c r="AR101" i="16"/>
  <c r="AQ101" i="16"/>
  <c r="AL101" i="16"/>
  <c r="AM101" i="16" s="1"/>
  <c r="AK101" i="16"/>
  <c r="AG101" i="16"/>
  <c r="AE101" i="16"/>
  <c r="AF101" i="16" s="1"/>
  <c r="Z101" i="16"/>
  <c r="AA101" i="16" s="1"/>
  <c r="Y101" i="16"/>
  <c r="S101" i="16"/>
  <c r="T101" i="16" s="1"/>
  <c r="U101" i="16" s="1"/>
  <c r="K101" i="16"/>
  <c r="L101" i="16" s="1"/>
  <c r="M101" i="16" s="1"/>
  <c r="C101" i="16"/>
  <c r="AS100" i="16"/>
  <c r="AR100" i="16"/>
  <c r="AQ100" i="16"/>
  <c r="AK100" i="16"/>
  <c r="AL100" i="16" s="1"/>
  <c r="AM100" i="16" s="1"/>
  <c r="AE100" i="16"/>
  <c r="AF100" i="16" s="1"/>
  <c r="AG100" i="16" s="1"/>
  <c r="Y100" i="16"/>
  <c r="Z100" i="16" s="1"/>
  <c r="AA100" i="16" s="1"/>
  <c r="T100" i="16"/>
  <c r="U100" i="16" s="1"/>
  <c r="S100" i="16"/>
  <c r="M100" i="16"/>
  <c r="L100" i="16"/>
  <c r="K100" i="16"/>
  <c r="C100" i="16"/>
  <c r="AS99" i="16"/>
  <c r="AR99" i="16"/>
  <c r="AQ99" i="16"/>
  <c r="AT99" i="16" s="1"/>
  <c r="AU99" i="16" s="1"/>
  <c r="AL99" i="16"/>
  <c r="AM99" i="16" s="1"/>
  <c r="AK99" i="16"/>
  <c r="AG99" i="16"/>
  <c r="AE99" i="16"/>
  <c r="AF99" i="16" s="1"/>
  <c r="Y99" i="16"/>
  <c r="Z99" i="16" s="1"/>
  <c r="AA99" i="16" s="1"/>
  <c r="S99" i="16"/>
  <c r="T99" i="16" s="1"/>
  <c r="U99" i="16" s="1"/>
  <c r="L99" i="16"/>
  <c r="M99" i="16" s="1"/>
  <c r="K99" i="16"/>
  <c r="C99" i="16"/>
  <c r="AS98" i="16"/>
  <c r="AR98" i="16"/>
  <c r="AT98" i="16" s="1"/>
  <c r="AU98" i="16" s="1"/>
  <c r="AQ98" i="16"/>
  <c r="AK98" i="16"/>
  <c r="AL98" i="16" s="1"/>
  <c r="AM98" i="16" s="1"/>
  <c r="AE98" i="16"/>
  <c r="AF98" i="16" s="1"/>
  <c r="AG98" i="16" s="1"/>
  <c r="Y98" i="16"/>
  <c r="Z98" i="16" s="1"/>
  <c r="AA98" i="16" s="1"/>
  <c r="T98" i="16"/>
  <c r="U98" i="16" s="1"/>
  <c r="S98" i="16"/>
  <c r="K98" i="16"/>
  <c r="L98" i="16" s="1"/>
  <c r="M98" i="16" s="1"/>
  <c r="C98" i="16"/>
  <c r="AS97" i="16"/>
  <c r="AR97" i="16"/>
  <c r="AQ97" i="16"/>
  <c r="AT97" i="16" s="1"/>
  <c r="AU97" i="16" s="1"/>
  <c r="AL97" i="16"/>
  <c r="AM97" i="16" s="1"/>
  <c r="AK97" i="16"/>
  <c r="AE97" i="16"/>
  <c r="AF97" i="16" s="1"/>
  <c r="AG97" i="16" s="1"/>
  <c r="Z97" i="16"/>
  <c r="AA97" i="16" s="1"/>
  <c r="Y97" i="16"/>
  <c r="S97" i="16"/>
  <c r="T97" i="16" s="1"/>
  <c r="U97" i="16" s="1"/>
  <c r="L97" i="16"/>
  <c r="M97" i="16" s="1"/>
  <c r="K97" i="16"/>
  <c r="C97" i="16"/>
  <c r="AS96" i="16"/>
  <c r="AR96" i="16"/>
  <c r="AQ96" i="16"/>
  <c r="AT96" i="16" s="1"/>
  <c r="AU96" i="16" s="1"/>
  <c r="AK96" i="16"/>
  <c r="AL96" i="16" s="1"/>
  <c r="AM96" i="16" s="1"/>
  <c r="AE96" i="16"/>
  <c r="AF96" i="16" s="1"/>
  <c r="AG96" i="16" s="1"/>
  <c r="Y96" i="16"/>
  <c r="Z96" i="16" s="1"/>
  <c r="AA96" i="16" s="1"/>
  <c r="S96" i="16"/>
  <c r="T96" i="16" s="1"/>
  <c r="U96" i="16" s="1"/>
  <c r="K96" i="16"/>
  <c r="L96" i="16" s="1"/>
  <c r="M96" i="16" s="1"/>
  <c r="C96" i="16"/>
  <c r="AS95" i="16"/>
  <c r="AR95" i="16"/>
  <c r="AQ95" i="16"/>
  <c r="AK95" i="16"/>
  <c r="AL95" i="16" s="1"/>
  <c r="AM95" i="16" s="1"/>
  <c r="AE95" i="16"/>
  <c r="AF95" i="16" s="1"/>
  <c r="AG95" i="16" s="1"/>
  <c r="Y95" i="16"/>
  <c r="Z95" i="16" s="1"/>
  <c r="AA95" i="16" s="1"/>
  <c r="S95" i="16"/>
  <c r="T95" i="16" s="1"/>
  <c r="U95" i="16" s="1"/>
  <c r="L95" i="16"/>
  <c r="M95" i="16" s="1"/>
  <c r="K95" i="16"/>
  <c r="C95" i="16"/>
  <c r="AS94" i="16"/>
  <c r="AR94" i="16"/>
  <c r="AQ94" i="16"/>
  <c r="AL94" i="16"/>
  <c r="AM94" i="16" s="1"/>
  <c r="AK94" i="16"/>
  <c r="AE94" i="16"/>
  <c r="AF94" i="16" s="1"/>
  <c r="AG94" i="16" s="1"/>
  <c r="Y94" i="16"/>
  <c r="Z94" i="16" s="1"/>
  <c r="AA94" i="16" s="1"/>
  <c r="S94" i="16"/>
  <c r="T94" i="16" s="1"/>
  <c r="U94" i="16" s="1"/>
  <c r="L94" i="16"/>
  <c r="M94" i="16" s="1"/>
  <c r="K94" i="16"/>
  <c r="C94" i="16"/>
  <c r="AW93" i="16"/>
  <c r="AS93" i="16"/>
  <c r="AR93" i="16"/>
  <c r="AQ93" i="16"/>
  <c r="AT93" i="16" s="1"/>
  <c r="AU93" i="16" s="1"/>
  <c r="AK93" i="16"/>
  <c r="AL93" i="16" s="1"/>
  <c r="AM93" i="16" s="1"/>
  <c r="AE93" i="16"/>
  <c r="AF93" i="16" s="1"/>
  <c r="AG93" i="16" s="1"/>
  <c r="Z93" i="16"/>
  <c r="AA93" i="16" s="1"/>
  <c r="Y93" i="16"/>
  <c r="T93" i="16"/>
  <c r="U93" i="16" s="1"/>
  <c r="S93" i="16"/>
  <c r="L93" i="16"/>
  <c r="M93" i="16" s="1"/>
  <c r="K93" i="16"/>
  <c r="C93" i="16"/>
  <c r="AW92" i="16"/>
  <c r="AS92" i="16"/>
  <c r="AR92" i="16"/>
  <c r="AQ92" i="16"/>
  <c r="AK92" i="16"/>
  <c r="AL92" i="16" s="1"/>
  <c r="AM92" i="16" s="1"/>
  <c r="AG92" i="16"/>
  <c r="AE92" i="16"/>
  <c r="AF92" i="16" s="1"/>
  <c r="Y92" i="16"/>
  <c r="Z92" i="16" s="1"/>
  <c r="AA92" i="16" s="1"/>
  <c r="U92" i="16"/>
  <c r="S92" i="16"/>
  <c r="T92" i="16" s="1"/>
  <c r="L92" i="16"/>
  <c r="M92" i="16" s="1"/>
  <c r="K92" i="16"/>
  <c r="C92" i="16"/>
  <c r="AS91" i="16"/>
  <c r="AR91" i="16"/>
  <c r="AQ91" i="16"/>
  <c r="AL91" i="16"/>
  <c r="AM91" i="16" s="1"/>
  <c r="AK91" i="16"/>
  <c r="AE91" i="16"/>
  <c r="AF91" i="16" s="1"/>
  <c r="AG91" i="16" s="1"/>
  <c r="Y91" i="16"/>
  <c r="Z91" i="16" s="1"/>
  <c r="AA91" i="16" s="1"/>
  <c r="S91" i="16"/>
  <c r="T91" i="16" s="1"/>
  <c r="U91" i="16" s="1"/>
  <c r="L91" i="16"/>
  <c r="M91" i="16" s="1"/>
  <c r="K91" i="16"/>
  <c r="C91" i="16"/>
  <c r="AW90" i="16"/>
  <c r="AU90" i="16"/>
  <c r="AS90" i="16"/>
  <c r="AR90" i="16"/>
  <c r="AQ90" i="16"/>
  <c r="AT90" i="16" s="1"/>
  <c r="AK90" i="16"/>
  <c r="AL90" i="16" s="1"/>
  <c r="AM90" i="16" s="1"/>
  <c r="AG90" i="16"/>
  <c r="AE90" i="16"/>
  <c r="AF90" i="16" s="1"/>
  <c r="Z90" i="16"/>
  <c r="AA90" i="16" s="1"/>
  <c r="Y90" i="16"/>
  <c r="T90" i="16"/>
  <c r="U90" i="16" s="1"/>
  <c r="S90" i="16"/>
  <c r="L90" i="16"/>
  <c r="M90" i="16" s="1"/>
  <c r="K90" i="16"/>
  <c r="C90" i="16"/>
  <c r="AW89" i="16"/>
  <c r="AS89" i="16"/>
  <c r="AR89" i="16"/>
  <c r="AQ89" i="16"/>
  <c r="AK89" i="16"/>
  <c r="AL89" i="16" s="1"/>
  <c r="AM89" i="16" s="1"/>
  <c r="AE89" i="16"/>
  <c r="AF89" i="16" s="1"/>
  <c r="AG89" i="16" s="1"/>
  <c r="Y89" i="16"/>
  <c r="Z89" i="16" s="1"/>
  <c r="AA89" i="16" s="1"/>
  <c r="S89" i="16"/>
  <c r="T89" i="16" s="1"/>
  <c r="U89" i="16" s="1"/>
  <c r="L89" i="16"/>
  <c r="M89" i="16" s="1"/>
  <c r="K89" i="16"/>
  <c r="C89" i="16"/>
  <c r="AS88" i="16"/>
  <c r="AR88" i="16"/>
  <c r="AQ88" i="16"/>
  <c r="AT88" i="16" s="1"/>
  <c r="AU88" i="16" s="1"/>
  <c r="AL88" i="16"/>
  <c r="AM88" i="16" s="1"/>
  <c r="AK88" i="16"/>
  <c r="AE88" i="16"/>
  <c r="AF88" i="16" s="1"/>
  <c r="AG88" i="16" s="1"/>
  <c r="Y88" i="16"/>
  <c r="Z88" i="16" s="1"/>
  <c r="AA88" i="16" s="1"/>
  <c r="S88" i="16"/>
  <c r="T88" i="16" s="1"/>
  <c r="U88" i="16" s="1"/>
  <c r="L88" i="16"/>
  <c r="M88" i="16" s="1"/>
  <c r="K88" i="16"/>
  <c r="C88" i="16"/>
  <c r="AW87" i="16"/>
  <c r="AS87" i="16"/>
  <c r="AR87" i="16"/>
  <c r="AQ87" i="16"/>
  <c r="AK87" i="16"/>
  <c r="AL87" i="16" s="1"/>
  <c r="AM87" i="16" s="1"/>
  <c r="AG87" i="16"/>
  <c r="AE87" i="16"/>
  <c r="AF87" i="16" s="1"/>
  <c r="Z87" i="16"/>
  <c r="AA87" i="16" s="1"/>
  <c r="Y87" i="16"/>
  <c r="T87" i="16"/>
  <c r="U87" i="16" s="1"/>
  <c r="S87" i="16"/>
  <c r="L87" i="16"/>
  <c r="M87" i="16" s="1"/>
  <c r="K87" i="16"/>
  <c r="C87" i="16"/>
  <c r="AW86" i="16"/>
  <c r="AS86" i="16"/>
  <c r="AR86" i="16"/>
  <c r="AQ86" i="16"/>
  <c r="AK86" i="16"/>
  <c r="AL86" i="16" s="1"/>
  <c r="AM86" i="16" s="1"/>
  <c r="AE86" i="16"/>
  <c r="AF86" i="16" s="1"/>
  <c r="AG86" i="16" s="1"/>
  <c r="Y86" i="16"/>
  <c r="Z86" i="16" s="1"/>
  <c r="AA86" i="16" s="1"/>
  <c r="S86" i="16"/>
  <c r="T86" i="16" s="1"/>
  <c r="U86" i="16" s="1"/>
  <c r="L86" i="16"/>
  <c r="M86" i="16" s="1"/>
  <c r="K86" i="16"/>
  <c r="C86" i="16"/>
  <c r="AS85" i="16"/>
  <c r="AR85" i="16"/>
  <c r="AQ85" i="16"/>
  <c r="AL85" i="16"/>
  <c r="AM85" i="16" s="1"/>
  <c r="AK85" i="16"/>
  <c r="AE85" i="16"/>
  <c r="AF85" i="16" s="1"/>
  <c r="AG85" i="16" s="1"/>
  <c r="Y85" i="16"/>
  <c r="Z85" i="16" s="1"/>
  <c r="AA85" i="16" s="1"/>
  <c r="U85" i="16"/>
  <c r="T85" i="16"/>
  <c r="S85" i="16"/>
  <c r="L85" i="16"/>
  <c r="M85" i="16" s="1"/>
  <c r="K85" i="16"/>
  <c r="C85" i="16"/>
  <c r="AW84" i="16"/>
  <c r="AS84" i="16"/>
  <c r="AR84" i="16"/>
  <c r="AQ84" i="16"/>
  <c r="AT84" i="16" s="1"/>
  <c r="AU84" i="16" s="1"/>
  <c r="AK84" i="16"/>
  <c r="AL84" i="16" s="1"/>
  <c r="AM84" i="16" s="1"/>
  <c r="AG84" i="16"/>
  <c r="AE84" i="16"/>
  <c r="AF84" i="16" s="1"/>
  <c r="Z84" i="16"/>
  <c r="AA84" i="16" s="1"/>
  <c r="Y84" i="16"/>
  <c r="T84" i="16"/>
  <c r="U84" i="16" s="1"/>
  <c r="S84" i="16"/>
  <c r="L84" i="16"/>
  <c r="M84" i="16" s="1"/>
  <c r="K84" i="16"/>
  <c r="C84" i="16"/>
  <c r="AW83" i="16"/>
  <c r="AS83" i="16"/>
  <c r="AR83" i="16"/>
  <c r="AQ83" i="16"/>
  <c r="AT83" i="16" s="1"/>
  <c r="AU83" i="16" s="1"/>
  <c r="AK83" i="16"/>
  <c r="AL83" i="16" s="1"/>
  <c r="AM83" i="16" s="1"/>
  <c r="AG83" i="16"/>
  <c r="AE83" i="16"/>
  <c r="AF83" i="16" s="1"/>
  <c r="Y83" i="16"/>
  <c r="Z83" i="16" s="1"/>
  <c r="AA83" i="16" s="1"/>
  <c r="S83" i="16"/>
  <c r="T83" i="16" s="1"/>
  <c r="U83" i="16" s="1"/>
  <c r="L83" i="16"/>
  <c r="M83" i="16" s="1"/>
  <c r="K83" i="16"/>
  <c r="C83" i="16"/>
  <c r="AS82" i="16"/>
  <c r="AR82" i="16"/>
  <c r="AQ82" i="16"/>
  <c r="AL82" i="16"/>
  <c r="AM82" i="16" s="1"/>
  <c r="AK82" i="16"/>
  <c r="AG82" i="16"/>
  <c r="AE82" i="16"/>
  <c r="AF82" i="16" s="1"/>
  <c r="Y82" i="16"/>
  <c r="Z82" i="16" s="1"/>
  <c r="AA82" i="16" s="1"/>
  <c r="T82" i="16"/>
  <c r="U82" i="16" s="1"/>
  <c r="S82" i="16"/>
  <c r="L82" i="16"/>
  <c r="M82" i="16" s="1"/>
  <c r="K82" i="16"/>
  <c r="C82" i="16"/>
  <c r="AW81" i="16"/>
  <c r="AS81" i="16"/>
  <c r="AR81" i="16"/>
  <c r="AQ81" i="16"/>
  <c r="AT81" i="16" s="1"/>
  <c r="AU81" i="16" s="1"/>
  <c r="AK81" i="16"/>
  <c r="AL81" i="16" s="1"/>
  <c r="AM81" i="16" s="1"/>
  <c r="AE81" i="16"/>
  <c r="AF81" i="16" s="1"/>
  <c r="AG81" i="16" s="1"/>
  <c r="Z81" i="16"/>
  <c r="AA81" i="16" s="1"/>
  <c r="Y81" i="16"/>
  <c r="T81" i="16"/>
  <c r="U81" i="16" s="1"/>
  <c r="S81" i="16"/>
  <c r="L81" i="16"/>
  <c r="M81" i="16" s="1"/>
  <c r="K81" i="16"/>
  <c r="C81" i="16"/>
  <c r="AW80" i="16"/>
  <c r="AS80" i="16"/>
  <c r="AR80" i="16"/>
  <c r="AQ80" i="16"/>
  <c r="AK80" i="16"/>
  <c r="AL80" i="16" s="1"/>
  <c r="AM80" i="16" s="1"/>
  <c r="AG80" i="16"/>
  <c r="AE80" i="16"/>
  <c r="AF80" i="16" s="1"/>
  <c r="Y80" i="16"/>
  <c r="Z80" i="16" s="1"/>
  <c r="AA80" i="16" s="1"/>
  <c r="T80" i="16"/>
  <c r="U80" i="16" s="1"/>
  <c r="S80" i="16"/>
  <c r="K80" i="16"/>
  <c r="L80" i="16" s="1"/>
  <c r="M80" i="16" s="1"/>
  <c r="C80" i="16"/>
  <c r="AS79" i="16"/>
  <c r="AR79" i="16"/>
  <c r="AQ79" i="16"/>
  <c r="AT79" i="16" s="1"/>
  <c r="AU79" i="16" s="1"/>
  <c r="AL79" i="16"/>
  <c r="AM79" i="16" s="1"/>
  <c r="AK79" i="16"/>
  <c r="AG79" i="16"/>
  <c r="AE79" i="16"/>
  <c r="AF79" i="16" s="1"/>
  <c r="Y79" i="16"/>
  <c r="Z79" i="16" s="1"/>
  <c r="AA79" i="16" s="1"/>
  <c r="U79" i="16"/>
  <c r="T79" i="16"/>
  <c r="S79" i="16"/>
  <c r="K79" i="16"/>
  <c r="L79" i="16" s="1"/>
  <c r="M79" i="16" s="1"/>
  <c r="C79" i="16"/>
  <c r="AW78" i="16"/>
  <c r="AS78" i="16"/>
  <c r="AR78" i="16"/>
  <c r="AT78" i="16" s="1"/>
  <c r="AU78" i="16" s="1"/>
  <c r="AQ78" i="16"/>
  <c r="AK78" i="16"/>
  <c r="AL78" i="16" s="1"/>
  <c r="AM78" i="16" s="1"/>
  <c r="AG78" i="16"/>
  <c r="AE78" i="16"/>
  <c r="AF78" i="16" s="1"/>
  <c r="Z78" i="16"/>
  <c r="AA78" i="16" s="1"/>
  <c r="Y78" i="16"/>
  <c r="T78" i="16"/>
  <c r="U78" i="16" s="1"/>
  <c r="S78" i="16"/>
  <c r="L78" i="16"/>
  <c r="M78" i="16" s="1"/>
  <c r="K78" i="16"/>
  <c r="C78" i="16"/>
  <c r="AW77" i="16"/>
  <c r="AS77" i="16"/>
  <c r="AR77" i="16"/>
  <c r="AQ77" i="16"/>
  <c r="AK77" i="16"/>
  <c r="AL77" i="16" s="1"/>
  <c r="AM77" i="16" s="1"/>
  <c r="AG77" i="16"/>
  <c r="AF77" i="16"/>
  <c r="AE77" i="16"/>
  <c r="Z77" i="16"/>
  <c r="AA77" i="16" s="1"/>
  <c r="Y77" i="16"/>
  <c r="S77" i="16"/>
  <c r="T77" i="16" s="1"/>
  <c r="U77" i="16" s="1"/>
  <c r="M77" i="16"/>
  <c r="K77" i="16"/>
  <c r="L77" i="16" s="1"/>
  <c r="C77" i="16"/>
  <c r="AS76" i="16"/>
  <c r="AR76" i="16"/>
  <c r="AQ76" i="16"/>
  <c r="AT76" i="16" s="1"/>
  <c r="AU76" i="16" s="1"/>
  <c r="AK76" i="16"/>
  <c r="AL76" i="16" s="1"/>
  <c r="AM76" i="16" s="1"/>
  <c r="AF76" i="16"/>
  <c r="AG76" i="16" s="1"/>
  <c r="AE76" i="16"/>
  <c r="Y76" i="16"/>
  <c r="Z76" i="16" s="1"/>
  <c r="AA76" i="16" s="1"/>
  <c r="S76" i="16"/>
  <c r="T76" i="16" s="1"/>
  <c r="U76" i="16" s="1"/>
  <c r="K76" i="16"/>
  <c r="L76" i="16" s="1"/>
  <c r="M76" i="16" s="1"/>
  <c r="C76" i="16"/>
  <c r="AX75" i="16"/>
  <c r="AV75" i="16"/>
  <c r="AS75" i="16"/>
  <c r="AR75" i="16"/>
  <c r="AQ75" i="16"/>
  <c r="AT75" i="16" s="1"/>
  <c r="AU75" i="16" s="1"/>
  <c r="AK75" i="16"/>
  <c r="AL75" i="16" s="1"/>
  <c r="AM75" i="16" s="1"/>
  <c r="AF75" i="16"/>
  <c r="AG75" i="16" s="1"/>
  <c r="AE75" i="16"/>
  <c r="Z75" i="16"/>
  <c r="AA75" i="16" s="1"/>
  <c r="Y75" i="16"/>
  <c r="S75" i="16"/>
  <c r="T75" i="16" s="1"/>
  <c r="U75" i="16" s="1"/>
  <c r="K75" i="16"/>
  <c r="L75" i="16" s="1"/>
  <c r="M75" i="16" s="1"/>
  <c r="C75" i="16"/>
  <c r="AW75" i="16" s="1"/>
  <c r="AX74" i="16"/>
  <c r="AS74" i="16"/>
  <c r="AR74" i="16"/>
  <c r="AQ74" i="16"/>
  <c r="AK74" i="16"/>
  <c r="AL74" i="16" s="1"/>
  <c r="AM74" i="16" s="1"/>
  <c r="AG74" i="16"/>
  <c r="AF74" i="16"/>
  <c r="AE74" i="16"/>
  <c r="Z74" i="16"/>
  <c r="AA74" i="16" s="1"/>
  <c r="Y74" i="16"/>
  <c r="T74" i="16"/>
  <c r="U74" i="16" s="1"/>
  <c r="S74" i="16"/>
  <c r="K74" i="16"/>
  <c r="L74" i="16" s="1"/>
  <c r="M74" i="16" s="1"/>
  <c r="C74" i="16"/>
  <c r="AW74" i="16" s="1"/>
  <c r="AX73" i="16"/>
  <c r="AV73" i="16"/>
  <c r="AS73" i="16"/>
  <c r="AR73" i="16"/>
  <c r="AQ73" i="16"/>
  <c r="AT73" i="16" s="1"/>
  <c r="AU73" i="16" s="1"/>
  <c r="AK73" i="16"/>
  <c r="AL73" i="16" s="1"/>
  <c r="AM73" i="16" s="1"/>
  <c r="AF73" i="16"/>
  <c r="AG73" i="16" s="1"/>
  <c r="AE73" i="16"/>
  <c r="Y73" i="16"/>
  <c r="Z73" i="16" s="1"/>
  <c r="AA73" i="16" s="1"/>
  <c r="T73" i="16"/>
  <c r="U73" i="16" s="1"/>
  <c r="S73" i="16"/>
  <c r="K73" i="16"/>
  <c r="L73" i="16" s="1"/>
  <c r="M73" i="16" s="1"/>
  <c r="C73" i="16"/>
  <c r="AW73" i="16" s="1"/>
  <c r="AS72" i="16"/>
  <c r="AR72" i="16"/>
  <c r="AQ72" i="16"/>
  <c r="AT72" i="16" s="1"/>
  <c r="AU72" i="16" s="1"/>
  <c r="AK72" i="16"/>
  <c r="AL72" i="16" s="1"/>
  <c r="AM72" i="16" s="1"/>
  <c r="AF72" i="16"/>
  <c r="AG72" i="16" s="1"/>
  <c r="AE72" i="16"/>
  <c r="Y72" i="16"/>
  <c r="Z72" i="16" s="1"/>
  <c r="AA72" i="16" s="1"/>
  <c r="S72" i="16"/>
  <c r="T72" i="16" s="1"/>
  <c r="U72" i="16" s="1"/>
  <c r="K72" i="16"/>
  <c r="L72" i="16" s="1"/>
  <c r="M72" i="16" s="1"/>
  <c r="C72" i="16"/>
  <c r="AS71" i="16"/>
  <c r="AR71" i="16"/>
  <c r="AQ71" i="16"/>
  <c r="AK71" i="16"/>
  <c r="AL71" i="16" s="1"/>
  <c r="AM71" i="16" s="1"/>
  <c r="AF71" i="16"/>
  <c r="AG71" i="16" s="1"/>
  <c r="AE71" i="16"/>
  <c r="Z71" i="16"/>
  <c r="AA71" i="16" s="1"/>
  <c r="Y71" i="16"/>
  <c r="S71" i="16"/>
  <c r="T71" i="16" s="1"/>
  <c r="U71" i="16" s="1"/>
  <c r="K71" i="16"/>
  <c r="L71" i="16" s="1"/>
  <c r="M71" i="16" s="1"/>
  <c r="C71" i="16"/>
  <c r="AS70" i="16"/>
  <c r="AR70" i="16"/>
  <c r="AQ70" i="16"/>
  <c r="AK70" i="16"/>
  <c r="AL70" i="16" s="1"/>
  <c r="AM70" i="16" s="1"/>
  <c r="AF70" i="16"/>
  <c r="AG70" i="16" s="1"/>
  <c r="AE70" i="16"/>
  <c r="Z70" i="16"/>
  <c r="AA70" i="16" s="1"/>
  <c r="Y70" i="16"/>
  <c r="T70" i="16"/>
  <c r="U70" i="16" s="1"/>
  <c r="S70" i="16"/>
  <c r="K70" i="16"/>
  <c r="L70" i="16" s="1"/>
  <c r="M70" i="16" s="1"/>
  <c r="C70" i="16"/>
  <c r="AX68" i="16"/>
  <c r="AV68" i="16"/>
  <c r="AT68" i="16"/>
  <c r="AU68" i="16" s="1"/>
  <c r="AS68" i="16"/>
  <c r="AR68" i="16"/>
  <c r="AQ68" i="16"/>
  <c r="AM68" i="16"/>
  <c r="AK68" i="16"/>
  <c r="AL68" i="16" s="1"/>
  <c r="AF68" i="16"/>
  <c r="AG68" i="16" s="1"/>
  <c r="AE68" i="16"/>
  <c r="Y68" i="16"/>
  <c r="Z68" i="16" s="1"/>
  <c r="AA68" i="16" s="1"/>
  <c r="T68" i="16"/>
  <c r="U68" i="16" s="1"/>
  <c r="S68" i="16"/>
  <c r="K68" i="16"/>
  <c r="L68" i="16" s="1"/>
  <c r="M68" i="16" s="1"/>
  <c r="C68" i="16"/>
  <c r="AW68" i="16" s="1"/>
  <c r="AS67" i="16"/>
  <c r="AR67" i="16"/>
  <c r="AQ67" i="16"/>
  <c r="AT67" i="16" s="1"/>
  <c r="AU67" i="16" s="1"/>
  <c r="AM67" i="16"/>
  <c r="AK67" i="16"/>
  <c r="AL67" i="16" s="1"/>
  <c r="AF67" i="16"/>
  <c r="AG67" i="16" s="1"/>
  <c r="AE67" i="16"/>
  <c r="Y67" i="16"/>
  <c r="Z67" i="16" s="1"/>
  <c r="AA67" i="16" s="1"/>
  <c r="S67" i="16"/>
  <c r="T67" i="16" s="1"/>
  <c r="U67" i="16" s="1"/>
  <c r="K67" i="16"/>
  <c r="L67" i="16" s="1"/>
  <c r="M67" i="16" s="1"/>
  <c r="C67" i="16"/>
  <c r="AW67" i="16" s="1"/>
  <c r="AX66" i="16"/>
  <c r="AV66" i="16"/>
  <c r="AS66" i="16"/>
  <c r="AR66" i="16"/>
  <c r="AQ66" i="16"/>
  <c r="AK66" i="16"/>
  <c r="AL66" i="16" s="1"/>
  <c r="AM66" i="16" s="1"/>
  <c r="AF66" i="16"/>
  <c r="AG66" i="16" s="1"/>
  <c r="AE66" i="16"/>
  <c r="Z66" i="16"/>
  <c r="AA66" i="16" s="1"/>
  <c r="Y66" i="16"/>
  <c r="S66" i="16"/>
  <c r="T66" i="16" s="1"/>
  <c r="U66" i="16" s="1"/>
  <c r="K66" i="16"/>
  <c r="L66" i="16" s="1"/>
  <c r="M66" i="16" s="1"/>
  <c r="C66" i="16"/>
  <c r="AW66" i="16" s="1"/>
  <c r="AX65" i="16"/>
  <c r="AV65" i="16"/>
  <c r="AS65" i="16"/>
  <c r="AR65" i="16"/>
  <c r="AQ65" i="16"/>
  <c r="AK65" i="16"/>
  <c r="AL65" i="16" s="1"/>
  <c r="AM65" i="16" s="1"/>
  <c r="AF65" i="16"/>
  <c r="AG65" i="16" s="1"/>
  <c r="AE65" i="16"/>
  <c r="Z65" i="16"/>
  <c r="AA65" i="16" s="1"/>
  <c r="Y65" i="16"/>
  <c r="T65" i="16"/>
  <c r="U65" i="16" s="1"/>
  <c r="S65" i="16"/>
  <c r="K65" i="16"/>
  <c r="L65" i="16" s="1"/>
  <c r="M65" i="16" s="1"/>
  <c r="C65" i="16"/>
  <c r="AW65" i="16" s="1"/>
  <c r="AX64" i="16"/>
  <c r="AV64" i="16"/>
  <c r="AS64" i="16"/>
  <c r="AR64" i="16"/>
  <c r="AQ64" i="16"/>
  <c r="AT64" i="16" s="1"/>
  <c r="AU64" i="16" s="1"/>
  <c r="AK64" i="16"/>
  <c r="AL64" i="16" s="1"/>
  <c r="AM64" i="16" s="1"/>
  <c r="AE64" i="16"/>
  <c r="AF64" i="16" s="1"/>
  <c r="AG64" i="16" s="1"/>
  <c r="Y64" i="16"/>
  <c r="Z64" i="16" s="1"/>
  <c r="AA64" i="16" s="1"/>
  <c r="T64" i="16"/>
  <c r="U64" i="16" s="1"/>
  <c r="S64" i="16"/>
  <c r="K64" i="16"/>
  <c r="L64" i="16" s="1"/>
  <c r="M64" i="16" s="1"/>
  <c r="C64" i="16"/>
  <c r="AW64" i="16" s="1"/>
  <c r="AV63" i="16"/>
  <c r="AS63" i="16"/>
  <c r="AR63" i="16"/>
  <c r="AQ63" i="16"/>
  <c r="AK63" i="16"/>
  <c r="AL63" i="16" s="1"/>
  <c r="AM63" i="16" s="1"/>
  <c r="AE63" i="16"/>
  <c r="AF63" i="16" s="1"/>
  <c r="AG63" i="16" s="1"/>
  <c r="Z63" i="16"/>
  <c r="AA63" i="16" s="1"/>
  <c r="Y63" i="16"/>
  <c r="S63" i="16"/>
  <c r="T63" i="16" s="1"/>
  <c r="U63" i="16" s="1"/>
  <c r="K63" i="16"/>
  <c r="L63" i="16" s="1"/>
  <c r="M63" i="16" s="1"/>
  <c r="C63" i="16"/>
  <c r="AX63" i="16" s="1"/>
  <c r="AX62" i="16"/>
  <c r="AS62" i="16"/>
  <c r="AR62" i="16"/>
  <c r="AQ62" i="16"/>
  <c r="AT62" i="16" s="1"/>
  <c r="AU62" i="16" s="1"/>
  <c r="AK62" i="16"/>
  <c r="AL62" i="16" s="1"/>
  <c r="AM62" i="16" s="1"/>
  <c r="AE62" i="16"/>
  <c r="AF62" i="16" s="1"/>
  <c r="AG62" i="16" s="1"/>
  <c r="Y62" i="16"/>
  <c r="Z62" i="16" s="1"/>
  <c r="AA62" i="16" s="1"/>
  <c r="U62" i="16"/>
  <c r="T62" i="16"/>
  <c r="S62" i="16"/>
  <c r="K62" i="16"/>
  <c r="L62" i="16" s="1"/>
  <c r="M62" i="16" s="1"/>
  <c r="C62" i="16"/>
  <c r="AW62" i="16" s="1"/>
  <c r="AX61" i="16"/>
  <c r="AW61" i="16"/>
  <c r="AV61" i="16"/>
  <c r="AS61" i="16"/>
  <c r="AR61" i="16"/>
  <c r="AQ61" i="16"/>
  <c r="AK61" i="16"/>
  <c r="AL61" i="16" s="1"/>
  <c r="AM61" i="16" s="1"/>
  <c r="AF61" i="16"/>
  <c r="AG61" i="16" s="1"/>
  <c r="AE61" i="16"/>
  <c r="Z61" i="16"/>
  <c r="AA61" i="16" s="1"/>
  <c r="Y61" i="16"/>
  <c r="S61" i="16"/>
  <c r="T61" i="16" s="1"/>
  <c r="U61" i="16" s="1"/>
  <c r="K61" i="16"/>
  <c r="L61" i="16" s="1"/>
  <c r="M61" i="16" s="1"/>
  <c r="C61" i="16"/>
  <c r="AX60" i="16"/>
  <c r="AW60" i="16"/>
  <c r="AV60" i="16"/>
  <c r="AS60" i="16"/>
  <c r="AR60" i="16"/>
  <c r="AQ60" i="16"/>
  <c r="AT60" i="16" s="1"/>
  <c r="AU60" i="16" s="1"/>
  <c r="AM60" i="16"/>
  <c r="AK60" i="16"/>
  <c r="AL60" i="16" s="1"/>
  <c r="AE60" i="16"/>
  <c r="AF60" i="16" s="1"/>
  <c r="AG60" i="16" s="1"/>
  <c r="Z60" i="16"/>
  <c r="AA60" i="16" s="1"/>
  <c r="Y60" i="16"/>
  <c r="S60" i="16"/>
  <c r="T60" i="16" s="1"/>
  <c r="U60" i="16" s="1"/>
  <c r="K60" i="16"/>
  <c r="L60" i="16" s="1"/>
  <c r="M60" i="16" s="1"/>
  <c r="C60" i="16"/>
  <c r="AV59" i="16"/>
  <c r="AS59" i="16"/>
  <c r="AR59" i="16"/>
  <c r="AQ59" i="16"/>
  <c r="AK59" i="16"/>
  <c r="AL59" i="16" s="1"/>
  <c r="AM59" i="16" s="1"/>
  <c r="AF59" i="16"/>
  <c r="AG59" i="16" s="1"/>
  <c r="AE59" i="16"/>
  <c r="Z59" i="16"/>
  <c r="AA59" i="16" s="1"/>
  <c r="Y59" i="16"/>
  <c r="S59" i="16"/>
  <c r="T59" i="16" s="1"/>
  <c r="U59" i="16" s="1"/>
  <c r="K59" i="16"/>
  <c r="L59" i="16" s="1"/>
  <c r="M59" i="16" s="1"/>
  <c r="C59" i="16"/>
  <c r="AX59" i="16" s="1"/>
  <c r="AX58" i="16"/>
  <c r="AW58" i="16"/>
  <c r="AV58" i="16"/>
  <c r="AT58" i="16"/>
  <c r="AU58" i="16" s="1"/>
  <c r="AS58" i="16"/>
  <c r="AR58" i="16"/>
  <c r="AQ58" i="16"/>
  <c r="AK58" i="16"/>
  <c r="AL58" i="16" s="1"/>
  <c r="AM58" i="16" s="1"/>
  <c r="AE58" i="16"/>
  <c r="AF58" i="16" s="1"/>
  <c r="AG58" i="16" s="1"/>
  <c r="Y58" i="16"/>
  <c r="Z58" i="16" s="1"/>
  <c r="AA58" i="16" s="1"/>
  <c r="T58" i="16"/>
  <c r="U58" i="16" s="1"/>
  <c r="S58" i="16"/>
  <c r="K58" i="16"/>
  <c r="L58" i="16" s="1"/>
  <c r="M58" i="16" s="1"/>
  <c r="C58" i="16"/>
  <c r="AV57" i="16"/>
  <c r="AS57" i="16"/>
  <c r="AR57" i="16"/>
  <c r="AQ57" i="16"/>
  <c r="AK57" i="16"/>
  <c r="AL57" i="16" s="1"/>
  <c r="AM57" i="16" s="1"/>
  <c r="AE57" i="16"/>
  <c r="AF57" i="16" s="1"/>
  <c r="AG57" i="16" s="1"/>
  <c r="Z57" i="16"/>
  <c r="AA57" i="16" s="1"/>
  <c r="Y57" i="16"/>
  <c r="S57" i="16"/>
  <c r="T57" i="16" s="1"/>
  <c r="U57" i="16" s="1"/>
  <c r="M57" i="16"/>
  <c r="K57" i="16"/>
  <c r="L57" i="16" s="1"/>
  <c r="C57" i="16"/>
  <c r="AX57" i="16" s="1"/>
  <c r="AX56" i="16"/>
  <c r="AT56" i="16"/>
  <c r="AU56" i="16" s="1"/>
  <c r="AS56" i="16"/>
  <c r="AR56" i="16"/>
  <c r="AQ56" i="16"/>
  <c r="AK56" i="16"/>
  <c r="AL56" i="16" s="1"/>
  <c r="AM56" i="16" s="1"/>
  <c r="AE56" i="16"/>
  <c r="AF56" i="16" s="1"/>
  <c r="AG56" i="16" s="1"/>
  <c r="Y56" i="16"/>
  <c r="Z56" i="16" s="1"/>
  <c r="AA56" i="16" s="1"/>
  <c r="T56" i="16"/>
  <c r="U56" i="16" s="1"/>
  <c r="S56" i="16"/>
  <c r="K56" i="16"/>
  <c r="L56" i="16" s="1"/>
  <c r="M56" i="16" s="1"/>
  <c r="C56" i="16"/>
  <c r="AW56" i="16" s="1"/>
  <c r="AX55" i="16"/>
  <c r="AW55" i="16"/>
  <c r="AV55" i="16"/>
  <c r="AS55" i="16"/>
  <c r="AR55" i="16"/>
  <c r="AQ55" i="16"/>
  <c r="AK55" i="16"/>
  <c r="AL55" i="16" s="1"/>
  <c r="AM55" i="16" s="1"/>
  <c r="AF55" i="16"/>
  <c r="AG55" i="16" s="1"/>
  <c r="AE55" i="16"/>
  <c r="Z55" i="16"/>
  <c r="AA55" i="16" s="1"/>
  <c r="Y55" i="16"/>
  <c r="S55" i="16"/>
  <c r="T55" i="16" s="1"/>
  <c r="U55" i="16" s="1"/>
  <c r="K55" i="16"/>
  <c r="L55" i="16" s="1"/>
  <c r="M55" i="16" s="1"/>
  <c r="C55" i="16"/>
  <c r="AX54" i="16"/>
  <c r="AW54" i="16"/>
  <c r="AV54" i="16"/>
  <c r="AS54" i="16"/>
  <c r="AR54" i="16"/>
  <c r="AQ54" i="16"/>
  <c r="AT54" i="16" s="1"/>
  <c r="AU54" i="16" s="1"/>
  <c r="AM54" i="16"/>
  <c r="AK54" i="16"/>
  <c r="AL54" i="16" s="1"/>
  <c r="AE54" i="16"/>
  <c r="AF54" i="16" s="1"/>
  <c r="AG54" i="16" s="1"/>
  <c r="Z54" i="16"/>
  <c r="AA54" i="16" s="1"/>
  <c r="Y54" i="16"/>
  <c r="S54" i="16"/>
  <c r="T54" i="16" s="1"/>
  <c r="U54" i="16" s="1"/>
  <c r="K54" i="16"/>
  <c r="L54" i="16" s="1"/>
  <c r="M54" i="16" s="1"/>
  <c r="C54" i="16"/>
  <c r="AW53" i="16"/>
  <c r="AV53" i="16"/>
  <c r="AS53" i="16"/>
  <c r="AR53" i="16"/>
  <c r="AQ53" i="16"/>
  <c r="AK53" i="16"/>
  <c r="AL53" i="16" s="1"/>
  <c r="AM53" i="16" s="1"/>
  <c r="AG53" i="16"/>
  <c r="AF53" i="16"/>
  <c r="AE53" i="16"/>
  <c r="Z53" i="16"/>
  <c r="AA53" i="16" s="1"/>
  <c r="Y53" i="16"/>
  <c r="S53" i="16"/>
  <c r="T53" i="16" s="1"/>
  <c r="U53" i="16" s="1"/>
  <c r="K53" i="16"/>
  <c r="L53" i="16" s="1"/>
  <c r="M53" i="16" s="1"/>
  <c r="C53" i="16"/>
  <c r="AX53" i="16" s="1"/>
  <c r="AX52" i="16"/>
  <c r="AW52" i="16"/>
  <c r="AV52" i="16"/>
  <c r="AS52" i="16"/>
  <c r="AR52" i="16"/>
  <c r="AQ52" i="16"/>
  <c r="AT52" i="16" s="1"/>
  <c r="AU52" i="16" s="1"/>
  <c r="AK52" i="16"/>
  <c r="AL52" i="16" s="1"/>
  <c r="AM52" i="16" s="1"/>
  <c r="AE52" i="16"/>
  <c r="AF52" i="16" s="1"/>
  <c r="AG52" i="16" s="1"/>
  <c r="Y52" i="16"/>
  <c r="Z52" i="16" s="1"/>
  <c r="AA52" i="16" s="1"/>
  <c r="U52" i="16"/>
  <c r="T52" i="16"/>
  <c r="S52" i="16"/>
  <c r="K52" i="16"/>
  <c r="L52" i="16" s="1"/>
  <c r="M52" i="16" s="1"/>
  <c r="C52" i="16"/>
  <c r="AV51" i="16"/>
  <c r="AS51" i="16"/>
  <c r="AR51" i="16"/>
  <c r="AQ51" i="16"/>
  <c r="AT51" i="16" s="1"/>
  <c r="AU51" i="16" s="1"/>
  <c r="AM51" i="16"/>
  <c r="AK51" i="16"/>
  <c r="AL51" i="16" s="1"/>
  <c r="AE51" i="16"/>
  <c r="AF51" i="16" s="1"/>
  <c r="AG51" i="16" s="1"/>
  <c r="Z51" i="16"/>
  <c r="AA51" i="16" s="1"/>
  <c r="Y51" i="16"/>
  <c r="S51" i="16"/>
  <c r="T51" i="16" s="1"/>
  <c r="U51" i="16" s="1"/>
  <c r="M51" i="16"/>
  <c r="K51" i="16"/>
  <c r="L51" i="16" s="1"/>
  <c r="C51" i="16"/>
  <c r="AX51" i="16" s="1"/>
  <c r="AX50" i="16"/>
  <c r="AS50" i="16"/>
  <c r="AT50" i="16" s="1"/>
  <c r="AU50" i="16" s="1"/>
  <c r="AR50" i="16"/>
  <c r="AQ50" i="16"/>
  <c r="AK50" i="16"/>
  <c r="AL50" i="16" s="1"/>
  <c r="AM50" i="16" s="1"/>
  <c r="AE50" i="16"/>
  <c r="AF50" i="16" s="1"/>
  <c r="AG50" i="16" s="1"/>
  <c r="Y50" i="16"/>
  <c r="Z50" i="16" s="1"/>
  <c r="AA50" i="16" s="1"/>
  <c r="T50" i="16"/>
  <c r="U50" i="16" s="1"/>
  <c r="S50" i="16"/>
  <c r="K50" i="16"/>
  <c r="L50" i="16" s="1"/>
  <c r="M50" i="16" s="1"/>
  <c r="C50" i="16"/>
  <c r="AW50" i="16" s="1"/>
  <c r="AX49" i="16"/>
  <c r="AW49" i="16"/>
  <c r="AV49" i="16"/>
  <c r="AS49" i="16"/>
  <c r="AR49" i="16"/>
  <c r="AQ49" i="16"/>
  <c r="AT49" i="16" s="1"/>
  <c r="AU49" i="16" s="1"/>
  <c r="AK49" i="16"/>
  <c r="AL49" i="16" s="1"/>
  <c r="AM49" i="16" s="1"/>
  <c r="AG49" i="16"/>
  <c r="AF49" i="16"/>
  <c r="AE49" i="16"/>
  <c r="Z49" i="16"/>
  <c r="AA49" i="16" s="1"/>
  <c r="Y49" i="16"/>
  <c r="S49" i="16"/>
  <c r="T49" i="16" s="1"/>
  <c r="U49" i="16" s="1"/>
  <c r="K49" i="16"/>
  <c r="L49" i="16" s="1"/>
  <c r="M49" i="16" s="1"/>
  <c r="C49" i="16"/>
  <c r="AX48" i="16"/>
  <c r="AW48" i="16"/>
  <c r="AV48" i="16"/>
  <c r="AS48" i="16"/>
  <c r="AR48" i="16"/>
  <c r="AQ48" i="16"/>
  <c r="AT48" i="16" s="1"/>
  <c r="AU48" i="16" s="1"/>
  <c r="AM48" i="16"/>
  <c r="AL48" i="16"/>
  <c r="AK48" i="16"/>
  <c r="AF48" i="16"/>
  <c r="AG48" i="16" s="1"/>
  <c r="AE48" i="16"/>
  <c r="Y48" i="16"/>
  <c r="Z48" i="16" s="1"/>
  <c r="AA48" i="16" s="1"/>
  <c r="S48" i="16"/>
  <c r="T48" i="16" s="1"/>
  <c r="U48" i="16" s="1"/>
  <c r="L48" i="16"/>
  <c r="M48" i="16" s="1"/>
  <c r="K48" i="16"/>
  <c r="C48" i="16"/>
  <c r="AX47" i="16"/>
  <c r="AW47" i="16"/>
  <c r="AV47" i="16"/>
  <c r="AS47" i="16"/>
  <c r="AR47" i="16"/>
  <c r="AQ47" i="16"/>
  <c r="AT47" i="16" s="1"/>
  <c r="AU47" i="16" s="1"/>
  <c r="AL47" i="16"/>
  <c r="AM47" i="16" s="1"/>
  <c r="AK47" i="16"/>
  <c r="AF47" i="16"/>
  <c r="AG47" i="16" s="1"/>
  <c r="AE47" i="16"/>
  <c r="Y47" i="16"/>
  <c r="Z47" i="16" s="1"/>
  <c r="AA47" i="16" s="1"/>
  <c r="S47" i="16"/>
  <c r="T47" i="16" s="1"/>
  <c r="U47" i="16" s="1"/>
  <c r="L47" i="16"/>
  <c r="M47" i="16" s="1"/>
  <c r="K47" i="16"/>
  <c r="C47" i="16"/>
  <c r="AX46" i="16"/>
  <c r="AW46" i="16"/>
  <c r="AV46" i="16"/>
  <c r="AS46" i="16"/>
  <c r="AR46" i="16"/>
  <c r="AT46" i="16" s="1"/>
  <c r="AU46" i="16" s="1"/>
  <c r="AQ46" i="16"/>
  <c r="AM46" i="16"/>
  <c r="AL46" i="16"/>
  <c r="AK46" i="16"/>
  <c r="AF46" i="16"/>
  <c r="AG46" i="16" s="1"/>
  <c r="AE46" i="16"/>
  <c r="Y46" i="16"/>
  <c r="Z46" i="16" s="1"/>
  <c r="AA46" i="16" s="1"/>
  <c r="S46" i="16"/>
  <c r="T46" i="16" s="1"/>
  <c r="U46" i="16" s="1"/>
  <c r="L46" i="16"/>
  <c r="M46" i="16" s="1"/>
  <c r="K46" i="16"/>
  <c r="C46" i="16"/>
  <c r="AX45" i="16"/>
  <c r="AW45" i="16"/>
  <c r="AV45" i="16"/>
  <c r="AS45" i="16"/>
  <c r="AR45" i="16"/>
  <c r="AT45" i="16" s="1"/>
  <c r="AU45" i="16" s="1"/>
  <c r="AQ45" i="16"/>
  <c r="AL45" i="16"/>
  <c r="AM45" i="16" s="1"/>
  <c r="AK45" i="16"/>
  <c r="AF45" i="16"/>
  <c r="AG45" i="16" s="1"/>
  <c r="AE45" i="16"/>
  <c r="Y45" i="16"/>
  <c r="Z45" i="16" s="1"/>
  <c r="AA45" i="16" s="1"/>
  <c r="S45" i="16"/>
  <c r="T45" i="16" s="1"/>
  <c r="U45" i="16" s="1"/>
  <c r="L45" i="16"/>
  <c r="M45" i="16" s="1"/>
  <c r="K45" i="16"/>
  <c r="C45" i="16"/>
  <c r="AX44" i="16"/>
  <c r="AW44" i="16"/>
  <c r="AV44" i="16"/>
  <c r="AS44" i="16"/>
  <c r="AR44" i="16"/>
  <c r="AT44" i="16" s="1"/>
  <c r="AU44" i="16" s="1"/>
  <c r="AQ44" i="16"/>
  <c r="AL44" i="16"/>
  <c r="AM44" i="16" s="1"/>
  <c r="AK44" i="16"/>
  <c r="AF44" i="16"/>
  <c r="AG44" i="16" s="1"/>
  <c r="AE44" i="16"/>
  <c r="Y44" i="16"/>
  <c r="Z44" i="16" s="1"/>
  <c r="AA44" i="16" s="1"/>
  <c r="S44" i="16"/>
  <c r="T44" i="16" s="1"/>
  <c r="U44" i="16" s="1"/>
  <c r="L44" i="16"/>
  <c r="M44" i="16" s="1"/>
  <c r="K44" i="16"/>
  <c r="C44" i="16"/>
  <c r="AX43" i="16"/>
  <c r="AW43" i="16"/>
  <c r="AV43" i="16"/>
  <c r="AS43" i="16"/>
  <c r="AR43" i="16"/>
  <c r="AQ43" i="16"/>
  <c r="AT43" i="16" s="1"/>
  <c r="AU43" i="16" s="1"/>
  <c r="AL43" i="16"/>
  <c r="AM43" i="16" s="1"/>
  <c r="AK43" i="16"/>
  <c r="AF43" i="16"/>
  <c r="AG43" i="16" s="1"/>
  <c r="AE43" i="16"/>
  <c r="Y43" i="16"/>
  <c r="Z43" i="16" s="1"/>
  <c r="AA43" i="16" s="1"/>
  <c r="S43" i="16"/>
  <c r="T43" i="16" s="1"/>
  <c r="U43" i="16" s="1"/>
  <c r="L43" i="16"/>
  <c r="M43" i="16" s="1"/>
  <c r="K43" i="16"/>
  <c r="C43" i="16"/>
  <c r="AX42" i="16"/>
  <c r="AW42" i="16"/>
  <c r="AV42" i="16"/>
  <c r="AS42" i="16"/>
  <c r="AR42" i="16"/>
  <c r="AT42" i="16" s="1"/>
  <c r="AU42" i="16" s="1"/>
  <c r="AQ42" i="16"/>
  <c r="AL42" i="16"/>
  <c r="AM42" i="16" s="1"/>
  <c r="AK42" i="16"/>
  <c r="AF42" i="16"/>
  <c r="AG42" i="16" s="1"/>
  <c r="AE42" i="16"/>
  <c r="Y42" i="16"/>
  <c r="Z42" i="16" s="1"/>
  <c r="AA42" i="16" s="1"/>
  <c r="S42" i="16"/>
  <c r="T42" i="16" s="1"/>
  <c r="U42" i="16" s="1"/>
  <c r="L42" i="16"/>
  <c r="M42" i="16" s="1"/>
  <c r="K42" i="16"/>
  <c r="C42" i="16"/>
  <c r="AX41" i="16"/>
  <c r="AW41" i="16"/>
  <c r="AV41" i="16"/>
  <c r="AS41" i="16"/>
  <c r="AR41" i="16"/>
  <c r="AT41" i="16" s="1"/>
  <c r="AU41" i="16" s="1"/>
  <c r="AQ41" i="16"/>
  <c r="AL41" i="16"/>
  <c r="AM41" i="16" s="1"/>
  <c r="AK41" i="16"/>
  <c r="AF41" i="16"/>
  <c r="AG41" i="16" s="1"/>
  <c r="AE41" i="16"/>
  <c r="Y41" i="16"/>
  <c r="Z41" i="16" s="1"/>
  <c r="AA41" i="16" s="1"/>
  <c r="S41" i="16"/>
  <c r="T41" i="16" s="1"/>
  <c r="U41" i="16" s="1"/>
  <c r="L41" i="16"/>
  <c r="M41" i="16" s="1"/>
  <c r="K41" i="16"/>
  <c r="C41" i="16"/>
  <c r="AX40" i="16"/>
  <c r="AW40" i="16"/>
  <c r="AV40" i="16"/>
  <c r="AS40" i="16"/>
  <c r="AR40" i="16"/>
  <c r="AQ40" i="16"/>
  <c r="AT40" i="16" s="1"/>
  <c r="AU40" i="16" s="1"/>
  <c r="AL40" i="16"/>
  <c r="AM40" i="16" s="1"/>
  <c r="AK40" i="16"/>
  <c r="AF40" i="16"/>
  <c r="AG40" i="16" s="1"/>
  <c r="AE40" i="16"/>
  <c r="Y40" i="16"/>
  <c r="Z40" i="16" s="1"/>
  <c r="AA40" i="16" s="1"/>
  <c r="S40" i="16"/>
  <c r="T40" i="16" s="1"/>
  <c r="U40" i="16" s="1"/>
  <c r="L40" i="16"/>
  <c r="M40" i="16" s="1"/>
  <c r="K40" i="16"/>
  <c r="C40" i="16"/>
  <c r="AX39" i="16"/>
  <c r="AW39" i="16"/>
  <c r="AV39" i="16"/>
  <c r="AS39" i="16"/>
  <c r="AR39" i="16"/>
  <c r="AT39" i="16" s="1"/>
  <c r="AU39" i="16" s="1"/>
  <c r="AQ39" i="16"/>
  <c r="AL39" i="16"/>
  <c r="AM39" i="16" s="1"/>
  <c r="AK39" i="16"/>
  <c r="AF39" i="16"/>
  <c r="AG39" i="16" s="1"/>
  <c r="AE39" i="16"/>
  <c r="Y39" i="16"/>
  <c r="Z39" i="16" s="1"/>
  <c r="AA39" i="16" s="1"/>
  <c r="S39" i="16"/>
  <c r="T39" i="16" s="1"/>
  <c r="U39" i="16" s="1"/>
  <c r="L39" i="16"/>
  <c r="M39" i="16" s="1"/>
  <c r="K39" i="16"/>
  <c r="C39" i="16"/>
  <c r="AX38" i="16"/>
  <c r="AW38" i="16"/>
  <c r="AV38" i="16"/>
  <c r="AS38" i="16"/>
  <c r="AR38" i="16"/>
  <c r="AT38" i="16" s="1"/>
  <c r="AU38" i="16" s="1"/>
  <c r="AQ38" i="16"/>
  <c r="AL38" i="16"/>
  <c r="AM38" i="16" s="1"/>
  <c r="AK38" i="16"/>
  <c r="AF38" i="16"/>
  <c r="AG38" i="16" s="1"/>
  <c r="AE38" i="16"/>
  <c r="Y38" i="16"/>
  <c r="Z38" i="16" s="1"/>
  <c r="AA38" i="16" s="1"/>
  <c r="S38" i="16"/>
  <c r="T38" i="16" s="1"/>
  <c r="U38" i="16" s="1"/>
  <c r="L38" i="16"/>
  <c r="M38" i="16" s="1"/>
  <c r="K38" i="16"/>
  <c r="C38" i="16"/>
  <c r="AX37" i="16"/>
  <c r="AW37" i="16"/>
  <c r="AV37" i="16"/>
  <c r="AS37" i="16"/>
  <c r="AR37" i="16"/>
  <c r="AQ37" i="16"/>
  <c r="AT37" i="16" s="1"/>
  <c r="AU37" i="16" s="1"/>
  <c r="AL37" i="16"/>
  <c r="AM37" i="16" s="1"/>
  <c r="AK37" i="16"/>
  <c r="AF37" i="16"/>
  <c r="AG37" i="16" s="1"/>
  <c r="AE37" i="16"/>
  <c r="Y37" i="16"/>
  <c r="Z37" i="16" s="1"/>
  <c r="AA37" i="16" s="1"/>
  <c r="S37" i="16"/>
  <c r="T37" i="16" s="1"/>
  <c r="U37" i="16" s="1"/>
  <c r="L37" i="16"/>
  <c r="M37" i="16" s="1"/>
  <c r="K37" i="16"/>
  <c r="C37" i="16"/>
  <c r="AX36" i="16"/>
  <c r="AW36" i="16"/>
  <c r="AV36" i="16"/>
  <c r="AS36" i="16"/>
  <c r="AR36" i="16"/>
  <c r="AT36" i="16" s="1"/>
  <c r="AU36" i="16" s="1"/>
  <c r="AQ36" i="16"/>
  <c r="AL36" i="16"/>
  <c r="AM36" i="16" s="1"/>
  <c r="AK36" i="16"/>
  <c r="AF36" i="16"/>
  <c r="AG36" i="16" s="1"/>
  <c r="AE36" i="16"/>
  <c r="Y36" i="16"/>
  <c r="Z36" i="16" s="1"/>
  <c r="AA36" i="16" s="1"/>
  <c r="S36" i="16"/>
  <c r="T36" i="16" s="1"/>
  <c r="U36" i="16" s="1"/>
  <c r="L36" i="16"/>
  <c r="M36" i="16" s="1"/>
  <c r="K36" i="16"/>
  <c r="C36" i="16"/>
  <c r="AX35" i="16"/>
  <c r="AW35" i="16"/>
  <c r="AV35" i="16"/>
  <c r="AS35" i="16"/>
  <c r="AR35" i="16"/>
  <c r="AT35" i="16" s="1"/>
  <c r="AU35" i="16" s="1"/>
  <c r="AQ35" i="16"/>
  <c r="AL35" i="16"/>
  <c r="AM35" i="16" s="1"/>
  <c r="AK35" i="16"/>
  <c r="AF35" i="16"/>
  <c r="AG35" i="16" s="1"/>
  <c r="AE35" i="16"/>
  <c r="Y35" i="16"/>
  <c r="Z35" i="16" s="1"/>
  <c r="AA35" i="16" s="1"/>
  <c r="S35" i="16"/>
  <c r="T35" i="16" s="1"/>
  <c r="U35" i="16" s="1"/>
  <c r="L35" i="16"/>
  <c r="M35" i="16" s="1"/>
  <c r="K35" i="16"/>
  <c r="C35" i="16"/>
  <c r="AX34" i="16"/>
  <c r="AW34" i="16"/>
  <c r="AV34" i="16"/>
  <c r="AS34" i="16"/>
  <c r="AR34" i="16"/>
  <c r="AQ34" i="16"/>
  <c r="AT34" i="16" s="1"/>
  <c r="AU34" i="16" s="1"/>
  <c r="AL34" i="16"/>
  <c r="AM34" i="16" s="1"/>
  <c r="AK34" i="16"/>
  <c r="AF34" i="16"/>
  <c r="AG34" i="16" s="1"/>
  <c r="AE34" i="16"/>
  <c r="Y34" i="16"/>
  <c r="Z34" i="16" s="1"/>
  <c r="AA34" i="16" s="1"/>
  <c r="S34" i="16"/>
  <c r="T34" i="16" s="1"/>
  <c r="U34" i="16" s="1"/>
  <c r="L34" i="16"/>
  <c r="M34" i="16" s="1"/>
  <c r="K34" i="16"/>
  <c r="C34" i="16"/>
  <c r="AX33" i="16"/>
  <c r="AW33" i="16"/>
  <c r="AV33" i="16"/>
  <c r="AS33" i="16"/>
  <c r="AR33" i="16"/>
  <c r="AT33" i="16" s="1"/>
  <c r="AU33" i="16" s="1"/>
  <c r="AQ33" i="16"/>
  <c r="AL33" i="16"/>
  <c r="AM33" i="16" s="1"/>
  <c r="AK33" i="16"/>
  <c r="AE33" i="16"/>
  <c r="AF33" i="16" s="1"/>
  <c r="AG33" i="16" s="1"/>
  <c r="Y33" i="16"/>
  <c r="Z33" i="16" s="1"/>
  <c r="AA33" i="16" s="1"/>
  <c r="S33" i="16"/>
  <c r="T33" i="16" s="1"/>
  <c r="U33" i="16" s="1"/>
  <c r="L33" i="16"/>
  <c r="M33" i="16" s="1"/>
  <c r="K33" i="16"/>
  <c r="C33" i="16"/>
  <c r="AX32" i="16"/>
  <c r="AW32" i="16"/>
  <c r="AV32" i="16"/>
  <c r="AS32" i="16"/>
  <c r="AR32" i="16"/>
  <c r="AQ32" i="16"/>
  <c r="AT32" i="16" s="1"/>
  <c r="AU32" i="16" s="1"/>
  <c r="AL32" i="16"/>
  <c r="AM32" i="16" s="1"/>
  <c r="AK32" i="16"/>
  <c r="AE32" i="16"/>
  <c r="AF32" i="16" s="1"/>
  <c r="AG32" i="16" s="1"/>
  <c r="Y32" i="16"/>
  <c r="Z32" i="16" s="1"/>
  <c r="AA32" i="16" s="1"/>
  <c r="S32" i="16"/>
  <c r="T32" i="16" s="1"/>
  <c r="U32" i="16" s="1"/>
  <c r="L32" i="16"/>
  <c r="M32" i="16" s="1"/>
  <c r="K32" i="16"/>
  <c r="C32" i="16"/>
  <c r="AX31" i="16"/>
  <c r="AW31" i="16"/>
  <c r="AV31" i="16"/>
  <c r="AT31" i="16"/>
  <c r="AU31" i="16" s="1"/>
  <c r="AS31" i="16"/>
  <c r="AR31" i="16"/>
  <c r="AQ31" i="16"/>
  <c r="AL31" i="16"/>
  <c r="AM31" i="16" s="1"/>
  <c r="AK31" i="16"/>
  <c r="AE31" i="16"/>
  <c r="AF31" i="16" s="1"/>
  <c r="AG31" i="16" s="1"/>
  <c r="Y31" i="16"/>
  <c r="Z31" i="16" s="1"/>
  <c r="AA31" i="16" s="1"/>
  <c r="S31" i="16"/>
  <c r="T31" i="16" s="1"/>
  <c r="U31" i="16" s="1"/>
  <c r="L31" i="16"/>
  <c r="M31" i="16" s="1"/>
  <c r="K31" i="16"/>
  <c r="C31" i="16"/>
  <c r="AX30" i="16"/>
  <c r="AW30" i="16"/>
  <c r="AV30" i="16"/>
  <c r="AS30" i="16"/>
  <c r="AR30" i="16"/>
  <c r="AQ30" i="16"/>
  <c r="AT30" i="16" s="1"/>
  <c r="AU30" i="16" s="1"/>
  <c r="AL30" i="16"/>
  <c r="AM30" i="16" s="1"/>
  <c r="AK30" i="16"/>
  <c r="AE30" i="16"/>
  <c r="AF30" i="16" s="1"/>
  <c r="AG30" i="16" s="1"/>
  <c r="Y30" i="16"/>
  <c r="Z30" i="16" s="1"/>
  <c r="AA30" i="16" s="1"/>
  <c r="S30" i="16"/>
  <c r="T30" i="16" s="1"/>
  <c r="U30" i="16" s="1"/>
  <c r="L30" i="16"/>
  <c r="M30" i="16" s="1"/>
  <c r="K30" i="16"/>
  <c r="C30" i="16"/>
  <c r="AX29" i="16"/>
  <c r="AW29" i="16"/>
  <c r="AV29" i="16"/>
  <c r="AS29" i="16"/>
  <c r="AR29" i="16"/>
  <c r="AT29" i="16" s="1"/>
  <c r="AU29" i="16" s="1"/>
  <c r="AQ29" i="16"/>
  <c r="AL29" i="16"/>
  <c r="AM29" i="16" s="1"/>
  <c r="AK29" i="16"/>
  <c r="AE29" i="16"/>
  <c r="AF29" i="16" s="1"/>
  <c r="AG29" i="16" s="1"/>
  <c r="Y29" i="16"/>
  <c r="Z29" i="16" s="1"/>
  <c r="AA29" i="16" s="1"/>
  <c r="S29" i="16"/>
  <c r="T29" i="16" s="1"/>
  <c r="U29" i="16" s="1"/>
  <c r="L29" i="16"/>
  <c r="M29" i="16" s="1"/>
  <c r="K29" i="16"/>
  <c r="C29" i="16"/>
  <c r="AX28" i="16"/>
  <c r="AW28" i="16"/>
  <c r="AV28" i="16"/>
  <c r="AS28" i="16"/>
  <c r="AR28" i="16"/>
  <c r="AQ28" i="16"/>
  <c r="AT28" i="16" s="1"/>
  <c r="AU28" i="16" s="1"/>
  <c r="AL28" i="16"/>
  <c r="AM28" i="16" s="1"/>
  <c r="AK28" i="16"/>
  <c r="AE28" i="16"/>
  <c r="AF28" i="16" s="1"/>
  <c r="AG28" i="16" s="1"/>
  <c r="Y28" i="16"/>
  <c r="Z28" i="16" s="1"/>
  <c r="AA28" i="16" s="1"/>
  <c r="S28" i="16"/>
  <c r="T28" i="16" s="1"/>
  <c r="U28" i="16" s="1"/>
  <c r="L28" i="16"/>
  <c r="M28" i="16" s="1"/>
  <c r="K28" i="16"/>
  <c r="C28" i="16"/>
  <c r="AX27" i="16"/>
  <c r="AW27" i="16"/>
  <c r="AV27" i="16"/>
  <c r="AT27" i="16"/>
  <c r="AU27" i="16" s="1"/>
  <c r="AS27" i="16"/>
  <c r="AR27" i="16"/>
  <c r="AQ27" i="16"/>
  <c r="AL27" i="16"/>
  <c r="AM27" i="16" s="1"/>
  <c r="AK27" i="16"/>
  <c r="AE27" i="16"/>
  <c r="AF27" i="16" s="1"/>
  <c r="AG27" i="16" s="1"/>
  <c r="Y27" i="16"/>
  <c r="Z27" i="16" s="1"/>
  <c r="AA27" i="16" s="1"/>
  <c r="S27" i="16"/>
  <c r="T27" i="16" s="1"/>
  <c r="U27" i="16" s="1"/>
  <c r="L27" i="16"/>
  <c r="M27" i="16" s="1"/>
  <c r="K27" i="16"/>
  <c r="C27" i="16"/>
  <c r="AX26" i="16"/>
  <c r="AW26" i="16"/>
  <c r="AV26" i="16"/>
  <c r="AS26" i="16"/>
  <c r="AR26" i="16"/>
  <c r="AQ26" i="16"/>
  <c r="AT26" i="16" s="1"/>
  <c r="AU26" i="16" s="1"/>
  <c r="AL26" i="16"/>
  <c r="AM26" i="16" s="1"/>
  <c r="AK26" i="16"/>
  <c r="AE26" i="16"/>
  <c r="AF26" i="16" s="1"/>
  <c r="AG26" i="16" s="1"/>
  <c r="Y26" i="16"/>
  <c r="Z26" i="16" s="1"/>
  <c r="AA26" i="16" s="1"/>
  <c r="S26" i="16"/>
  <c r="T26" i="16" s="1"/>
  <c r="U26" i="16" s="1"/>
  <c r="L26" i="16"/>
  <c r="M26" i="16" s="1"/>
  <c r="K26" i="16"/>
  <c r="C26" i="16"/>
  <c r="AX25" i="16"/>
  <c r="AW25" i="16"/>
  <c r="AV25" i="16"/>
  <c r="AS25" i="16"/>
  <c r="AR25" i="16"/>
  <c r="AT25" i="16" s="1"/>
  <c r="AU25" i="16" s="1"/>
  <c r="AQ25" i="16"/>
  <c r="AL25" i="16"/>
  <c r="AM25" i="16" s="1"/>
  <c r="AK25" i="16"/>
  <c r="AE25" i="16"/>
  <c r="AF25" i="16" s="1"/>
  <c r="AG25" i="16" s="1"/>
  <c r="Y25" i="16"/>
  <c r="Z25" i="16" s="1"/>
  <c r="AA25" i="16" s="1"/>
  <c r="S25" i="16"/>
  <c r="T25" i="16" s="1"/>
  <c r="U25" i="16" s="1"/>
  <c r="L25" i="16"/>
  <c r="M25" i="16" s="1"/>
  <c r="K25" i="16"/>
  <c r="C25" i="16"/>
  <c r="AX24" i="16"/>
  <c r="AW24" i="16"/>
  <c r="AV24" i="16"/>
  <c r="AS24" i="16"/>
  <c r="AR24" i="16"/>
  <c r="AQ24" i="16"/>
  <c r="AT24" i="16" s="1"/>
  <c r="AU24" i="16" s="1"/>
  <c r="AL24" i="16"/>
  <c r="AM24" i="16" s="1"/>
  <c r="AK24" i="16"/>
  <c r="AE24" i="16"/>
  <c r="AF24" i="16" s="1"/>
  <c r="AG24" i="16" s="1"/>
  <c r="Y24" i="16"/>
  <c r="Z24" i="16" s="1"/>
  <c r="AA24" i="16" s="1"/>
  <c r="S24" i="16"/>
  <c r="T24" i="16" s="1"/>
  <c r="U24" i="16" s="1"/>
  <c r="L24" i="16"/>
  <c r="M24" i="16" s="1"/>
  <c r="K24" i="16"/>
  <c r="C24" i="16"/>
  <c r="AX23" i="16"/>
  <c r="AW23" i="16"/>
  <c r="AV23" i="16"/>
  <c r="AT23" i="16"/>
  <c r="AU23" i="16" s="1"/>
  <c r="AS23" i="16"/>
  <c r="AR23" i="16"/>
  <c r="AQ23" i="16"/>
  <c r="AL23" i="16"/>
  <c r="AM23" i="16" s="1"/>
  <c r="AK23" i="16"/>
  <c r="AE23" i="16"/>
  <c r="AF23" i="16" s="1"/>
  <c r="AG23" i="16" s="1"/>
  <c r="Y23" i="16"/>
  <c r="Z23" i="16" s="1"/>
  <c r="AA23" i="16" s="1"/>
  <c r="S23" i="16"/>
  <c r="T23" i="16" s="1"/>
  <c r="U23" i="16" s="1"/>
  <c r="L23" i="16"/>
  <c r="M23" i="16" s="1"/>
  <c r="K23" i="16"/>
  <c r="C23" i="16"/>
  <c r="AS22" i="16"/>
  <c r="AR22" i="16"/>
  <c r="AQ22" i="16"/>
  <c r="AT22" i="16" s="1"/>
  <c r="AU22" i="16" s="1"/>
  <c r="AL22" i="16"/>
  <c r="AM22" i="16" s="1"/>
  <c r="AK22" i="16"/>
  <c r="AE22" i="16"/>
  <c r="AF22" i="16" s="1"/>
  <c r="AG22" i="16" s="1"/>
  <c r="Y22" i="16"/>
  <c r="Z22" i="16" s="1"/>
  <c r="AA22" i="16" s="1"/>
  <c r="S22" i="16"/>
  <c r="T22" i="16" s="1"/>
  <c r="U22" i="16" s="1"/>
  <c r="L22" i="16"/>
  <c r="M22" i="16" s="1"/>
  <c r="K22" i="16"/>
  <c r="C22" i="16"/>
  <c r="AX22" i="16" s="1"/>
  <c r="AS21" i="16"/>
  <c r="AR21" i="16"/>
  <c r="AQ21" i="16"/>
  <c r="AT21" i="16" s="1"/>
  <c r="AU21" i="16" s="1"/>
  <c r="AL21" i="16"/>
  <c r="AM21" i="16" s="1"/>
  <c r="AK21" i="16"/>
  <c r="AE21" i="16"/>
  <c r="AF21" i="16" s="1"/>
  <c r="AG21" i="16" s="1"/>
  <c r="Y21" i="16"/>
  <c r="Z21" i="16" s="1"/>
  <c r="AA21" i="16" s="1"/>
  <c r="S21" i="16"/>
  <c r="T21" i="16" s="1"/>
  <c r="U21" i="16" s="1"/>
  <c r="L21" i="16"/>
  <c r="M21" i="16" s="1"/>
  <c r="K21" i="16"/>
  <c r="C21" i="16"/>
  <c r="AS20" i="16"/>
  <c r="AR20" i="16"/>
  <c r="AQ20" i="16"/>
  <c r="AT20" i="16" s="1"/>
  <c r="AU20" i="16" s="1"/>
  <c r="AL20" i="16"/>
  <c r="AM20" i="16" s="1"/>
  <c r="AK20" i="16"/>
  <c r="AE20" i="16"/>
  <c r="AF20" i="16" s="1"/>
  <c r="AG20" i="16" s="1"/>
  <c r="Z20" i="16"/>
  <c r="AA20" i="16" s="1"/>
  <c r="Y20" i="16"/>
  <c r="S20" i="16"/>
  <c r="T20" i="16" s="1"/>
  <c r="U20" i="16" s="1"/>
  <c r="L20" i="16"/>
  <c r="M20" i="16" s="1"/>
  <c r="K20" i="16"/>
  <c r="C20" i="16"/>
  <c r="AS19" i="16"/>
  <c r="AR19" i="16"/>
  <c r="AQ19" i="16"/>
  <c r="AT19" i="16" s="1"/>
  <c r="AU19" i="16" s="1"/>
  <c r="AL19" i="16"/>
  <c r="AM19" i="16" s="1"/>
  <c r="AK19" i="16"/>
  <c r="AF19" i="16"/>
  <c r="AG19" i="16" s="1"/>
  <c r="AE19" i="16"/>
  <c r="Y19" i="16"/>
  <c r="Z19" i="16" s="1"/>
  <c r="AA19" i="16" s="1"/>
  <c r="S19" i="16"/>
  <c r="T19" i="16" s="1"/>
  <c r="U19" i="16" s="1"/>
  <c r="L19" i="16"/>
  <c r="M19" i="16" s="1"/>
  <c r="K19" i="16"/>
  <c r="C19" i="16"/>
  <c r="AK16" i="16"/>
  <c r="AE16" i="16"/>
  <c r="Y16" i="16"/>
  <c r="S16" i="16"/>
  <c r="K16" i="16"/>
  <c r="J11" i="16"/>
  <c r="AR10" i="16"/>
  <c r="AA10" i="16"/>
  <c r="J10" i="16"/>
  <c r="AQ7" i="16"/>
  <c r="F7" i="16"/>
  <c r="AQ5" i="16"/>
  <c r="Z5" i="16"/>
  <c r="F5" i="16"/>
  <c r="Z5" i="2"/>
  <c r="AX22" i="17" l="1"/>
  <c r="AV22" i="16"/>
  <c r="AW22" i="16"/>
  <c r="AT53" i="16"/>
  <c r="AU53" i="16" s="1"/>
  <c r="AT63" i="16"/>
  <c r="AU63" i="16" s="1"/>
  <c r="AT80" i="16"/>
  <c r="AU80" i="16" s="1"/>
  <c r="AT94" i="16"/>
  <c r="AU94" i="16" s="1"/>
  <c r="AT55" i="16"/>
  <c r="AU55" i="16" s="1"/>
  <c r="AT66" i="16"/>
  <c r="AU66" i="16" s="1"/>
  <c r="AT108" i="16"/>
  <c r="AU108" i="16" s="1"/>
  <c r="AT118" i="16"/>
  <c r="AU118" i="16" s="1"/>
  <c r="AT65" i="16"/>
  <c r="AU65" i="16" s="1"/>
  <c r="AT57" i="16"/>
  <c r="AU57" i="16" s="1"/>
  <c r="AT89" i="16"/>
  <c r="AU89" i="16" s="1"/>
  <c r="AT71" i="16"/>
  <c r="AU71" i="16" s="1"/>
  <c r="AV71" i="16" s="1"/>
  <c r="AW71" i="16" s="1"/>
  <c r="AT85" i="16"/>
  <c r="AU85" i="16" s="1"/>
  <c r="AT87" i="16"/>
  <c r="AU87" i="16" s="1"/>
  <c r="AT102" i="16"/>
  <c r="AU102" i="16" s="1"/>
  <c r="AT116" i="16"/>
  <c r="AU116" i="16" s="1"/>
  <c r="AT59" i="16"/>
  <c r="AU59" i="16" s="1"/>
  <c r="AT100" i="16"/>
  <c r="AU100" i="16" s="1"/>
  <c r="AT70" i="16"/>
  <c r="AU70" i="16" s="1"/>
  <c r="AT74" i="16"/>
  <c r="AU74" i="16" s="1"/>
  <c r="AT91" i="16"/>
  <c r="AU91" i="16" s="1"/>
  <c r="AT92" i="16"/>
  <c r="AU92" i="16" s="1"/>
  <c r="AT113" i="16"/>
  <c r="AU113" i="16" s="1"/>
  <c r="AT114" i="16"/>
  <c r="AU114" i="16" s="1"/>
  <c r="AT61" i="16"/>
  <c r="AU61" i="16" s="1"/>
  <c r="AT77" i="16"/>
  <c r="AU77" i="16" s="1"/>
  <c r="AT95" i="16"/>
  <c r="AU95" i="16" s="1"/>
  <c r="AT112" i="16"/>
  <c r="AU112" i="16" s="1"/>
  <c r="AT57" i="17"/>
  <c r="AU57" i="17" s="1"/>
  <c r="AT68" i="17"/>
  <c r="AU68" i="17" s="1"/>
  <c r="AT74" i="17"/>
  <c r="AU74" i="17" s="1"/>
  <c r="AT96" i="17"/>
  <c r="AU96" i="17" s="1"/>
  <c r="AT113" i="17"/>
  <c r="AU113" i="17" s="1"/>
  <c r="AT91" i="17"/>
  <c r="AU91" i="17" s="1"/>
  <c r="AT45" i="17"/>
  <c r="AU45" i="17" s="1"/>
  <c r="AT70" i="17"/>
  <c r="AU70" i="17" s="1"/>
  <c r="AT78" i="17"/>
  <c r="AU78" i="17" s="1"/>
  <c r="AT95" i="17"/>
  <c r="AU95" i="17" s="1"/>
  <c r="AT100" i="17"/>
  <c r="AU100" i="17" s="1"/>
  <c r="AT102" i="17"/>
  <c r="AU102" i="17" s="1"/>
  <c r="AT61" i="17"/>
  <c r="AU61" i="17" s="1"/>
  <c r="AT97" i="17"/>
  <c r="AU97" i="17" s="1"/>
  <c r="AT101" i="17"/>
  <c r="AU101" i="17" s="1"/>
  <c r="AT104" i="17"/>
  <c r="AU104" i="17" s="1"/>
  <c r="AT39" i="17"/>
  <c r="AU39" i="17" s="1"/>
  <c r="AT49" i="17"/>
  <c r="AU49" i="17" s="1"/>
  <c r="AT58" i="17"/>
  <c r="AU58" i="17" s="1"/>
  <c r="AT21" i="17"/>
  <c r="AU21" i="17" s="1"/>
  <c r="AT40" i="17"/>
  <c r="AU40" i="17" s="1"/>
  <c r="AT46" i="17"/>
  <c r="AU46" i="17" s="1"/>
  <c r="AT72" i="17"/>
  <c r="AU72" i="17" s="1"/>
  <c r="AT84" i="17"/>
  <c r="AU84" i="17" s="1"/>
  <c r="AT86" i="17"/>
  <c r="AU86" i="17" s="1"/>
  <c r="AT103" i="17"/>
  <c r="AU103" i="17" s="1"/>
  <c r="AT50" i="17"/>
  <c r="AU50" i="17" s="1"/>
  <c r="AT51" i="17"/>
  <c r="AU51" i="17" s="1"/>
  <c r="AT87" i="17"/>
  <c r="AU87" i="17" s="1"/>
  <c r="AT107" i="17"/>
  <c r="AU107" i="17" s="1"/>
  <c r="AT19" i="17"/>
  <c r="AU19" i="17" s="1"/>
  <c r="AT55" i="17"/>
  <c r="AU55" i="17" s="1"/>
  <c r="AT110" i="17"/>
  <c r="AU110" i="17" s="1"/>
  <c r="AT111" i="17"/>
  <c r="AU111" i="17" s="1"/>
  <c r="AT88" i="17"/>
  <c r="AU88" i="17" s="1"/>
  <c r="AT90" i="17"/>
  <c r="AU90" i="17" s="1"/>
  <c r="AT117" i="17"/>
  <c r="AU117" i="17" s="1"/>
  <c r="AT43" i="17"/>
  <c r="AU43" i="17" s="1"/>
  <c r="AT85" i="17"/>
  <c r="AU85" i="17" s="1"/>
  <c r="AT89" i="17"/>
  <c r="AU89" i="17" s="1"/>
  <c r="AT92" i="17"/>
  <c r="AU92" i="17" s="1"/>
  <c r="AT109" i="17"/>
  <c r="AU109" i="17" s="1"/>
  <c r="AT112" i="17"/>
  <c r="AU112" i="17" s="1"/>
  <c r="AT114" i="17"/>
  <c r="AU114" i="17" s="1"/>
  <c r="AT116" i="17"/>
  <c r="AU116" i="17" s="1"/>
  <c r="AV72" i="17"/>
  <c r="AW72" i="17" s="1"/>
  <c r="AV70" i="17"/>
  <c r="AW70" i="17" s="1"/>
  <c r="AV71" i="17"/>
  <c r="AW71" i="17" s="1"/>
  <c r="AV70" i="16"/>
  <c r="AW70" i="16" s="1"/>
  <c r="AV21" i="16"/>
  <c r="AW21" i="16" s="1"/>
  <c r="AV20" i="16"/>
  <c r="AW20" i="16" s="1"/>
  <c r="AV19" i="16"/>
  <c r="AW19" i="16" s="1"/>
  <c r="AV25" i="17"/>
  <c r="AV35" i="17"/>
  <c r="AV36" i="17"/>
  <c r="AV37" i="17"/>
  <c r="AV38" i="17"/>
  <c r="AV39" i="17"/>
  <c r="AV40" i="17"/>
  <c r="AW41" i="17"/>
  <c r="AV19" i="17"/>
  <c r="AW19" i="17" s="1"/>
  <c r="AV20" i="17"/>
  <c r="AW20" i="17" s="1"/>
  <c r="AV21" i="17"/>
  <c r="AW21" i="17" s="1"/>
  <c r="AV22" i="17"/>
  <c r="AV23" i="17"/>
  <c r="AV24" i="17"/>
  <c r="AV26" i="17"/>
  <c r="AV27" i="17"/>
  <c r="AV28" i="17"/>
  <c r="AV29" i="17"/>
  <c r="AV30" i="17"/>
  <c r="AV31" i="17"/>
  <c r="AV32" i="17"/>
  <c r="AV33" i="17"/>
  <c r="AV34" i="17"/>
  <c r="AW40" i="17"/>
  <c r="AX41" i="17"/>
  <c r="AT71" i="17"/>
  <c r="AU71" i="17" s="1"/>
  <c r="AT75" i="17"/>
  <c r="AU75" i="17" s="1"/>
  <c r="AX79" i="17"/>
  <c r="AV79" i="17"/>
  <c r="AW79" i="17"/>
  <c r="AT73" i="17"/>
  <c r="AU73" i="17" s="1"/>
  <c r="AT77" i="17"/>
  <c r="AU77" i="17" s="1"/>
  <c r="AT81" i="17"/>
  <c r="AU81" i="17" s="1"/>
  <c r="AX85" i="17"/>
  <c r="AV85" i="17"/>
  <c r="AW85" i="17"/>
  <c r="AV78" i="17"/>
  <c r="AX116" i="17"/>
  <c r="AW116" i="17"/>
  <c r="AX119" i="17"/>
  <c r="AW119" i="17"/>
  <c r="AV82" i="17"/>
  <c r="AV88" i="17"/>
  <c r="AV94" i="17"/>
  <c r="AW82" i="17"/>
  <c r="AW88" i="17"/>
  <c r="AW94" i="17"/>
  <c r="AW100" i="17"/>
  <c r="AW106" i="17"/>
  <c r="AW112" i="17"/>
  <c r="AV81" i="17"/>
  <c r="AX118" i="17"/>
  <c r="AW118" i="17"/>
  <c r="AT119" i="17"/>
  <c r="AU119" i="17" s="1"/>
  <c r="AV98" i="17"/>
  <c r="AV104" i="17"/>
  <c r="AV110" i="17"/>
  <c r="AV116" i="17"/>
  <c r="AW80" i="17"/>
  <c r="AW86" i="17"/>
  <c r="AW92" i="17"/>
  <c r="AW98" i="17"/>
  <c r="AW104" i="17"/>
  <c r="AW110" i="17"/>
  <c r="AX117" i="17"/>
  <c r="AW117" i="17"/>
  <c r="AV91" i="17"/>
  <c r="AV97" i="17"/>
  <c r="AV103" i="17"/>
  <c r="AV109" i="17"/>
  <c r="AV115" i="17"/>
  <c r="AV119" i="17"/>
  <c r="AX103" i="16"/>
  <c r="AW103" i="16"/>
  <c r="AV103" i="16"/>
  <c r="AX97" i="16"/>
  <c r="AW97" i="16"/>
  <c r="AV97" i="16"/>
  <c r="AX85" i="16"/>
  <c r="AV85" i="16"/>
  <c r="AW85" i="16"/>
  <c r="AX82" i="16"/>
  <c r="AV82" i="16"/>
  <c r="AW82" i="16"/>
  <c r="AT86" i="16"/>
  <c r="AU86" i="16" s="1"/>
  <c r="AX119" i="16"/>
  <c r="AW119" i="16"/>
  <c r="AV119" i="16"/>
  <c r="AX76" i="16"/>
  <c r="AW76" i="16"/>
  <c r="AT82" i="16"/>
  <c r="AU82" i="16" s="1"/>
  <c r="AX94" i="16"/>
  <c r="AV94" i="16"/>
  <c r="AW94" i="16"/>
  <c r="AV74" i="16"/>
  <c r="AW59" i="16"/>
  <c r="AX91" i="16"/>
  <c r="AV91" i="16"/>
  <c r="AW91" i="16"/>
  <c r="AX113" i="16"/>
  <c r="AW113" i="16"/>
  <c r="AV113" i="16"/>
  <c r="AW51" i="16"/>
  <c r="AW57" i="16"/>
  <c r="AW63" i="16"/>
  <c r="AV67" i="16"/>
  <c r="AV72" i="16"/>
  <c r="AW72" i="16" s="1"/>
  <c r="AV76" i="16"/>
  <c r="AV50" i="16"/>
  <c r="AV56" i="16"/>
  <c r="AV62" i="16"/>
  <c r="AX67" i="16"/>
  <c r="AX77" i="16"/>
  <c r="AV77" i="16"/>
  <c r="AX88" i="16"/>
  <c r="AV88" i="16"/>
  <c r="AW88" i="16"/>
  <c r="AX79" i="16"/>
  <c r="AV79" i="16"/>
  <c r="AW79" i="16"/>
  <c r="AX101" i="16"/>
  <c r="AW101" i="16"/>
  <c r="AV101" i="16"/>
  <c r="AX99" i="16"/>
  <c r="AW99" i="16"/>
  <c r="AV99" i="16"/>
  <c r="AX105" i="16"/>
  <c r="AW105" i="16"/>
  <c r="AV105" i="16"/>
  <c r="AX108" i="16"/>
  <c r="AW108" i="16"/>
  <c r="AV108" i="16"/>
  <c r="AX114" i="16"/>
  <c r="AW114" i="16"/>
  <c r="AV114" i="16"/>
  <c r="AT105" i="16"/>
  <c r="AU105" i="16" s="1"/>
  <c r="AX109" i="16"/>
  <c r="AW109" i="16"/>
  <c r="AV109" i="16"/>
  <c r="AX115" i="16"/>
  <c r="AW115" i="16"/>
  <c r="AV115" i="16"/>
  <c r="AX96" i="16"/>
  <c r="AW96" i="16"/>
  <c r="AV96" i="16"/>
  <c r="AX78" i="16"/>
  <c r="AV78" i="16"/>
  <c r="AX81" i="16"/>
  <c r="AV81" i="16"/>
  <c r="AX84" i="16"/>
  <c r="AV84" i="16"/>
  <c r="AX87" i="16"/>
  <c r="AV87" i="16"/>
  <c r="AX90" i="16"/>
  <c r="AV90" i="16"/>
  <c r="AX93" i="16"/>
  <c r="AV93" i="16"/>
  <c r="AT101" i="16"/>
  <c r="AU101" i="16" s="1"/>
  <c r="AX110" i="16"/>
  <c r="AW110" i="16"/>
  <c r="AV110" i="16"/>
  <c r="AX116" i="16"/>
  <c r="AW116" i="16"/>
  <c r="AV116" i="16"/>
  <c r="AX98" i="16"/>
  <c r="AW98" i="16"/>
  <c r="AV98" i="16"/>
  <c r="AX106" i="16"/>
  <c r="AW106" i="16"/>
  <c r="AV106" i="16"/>
  <c r="AT106" i="16"/>
  <c r="AU106" i="16" s="1"/>
  <c r="AX111" i="16"/>
  <c r="AW111" i="16"/>
  <c r="AV111" i="16"/>
  <c r="AX117" i="16"/>
  <c r="AW117" i="16"/>
  <c r="AV117" i="16"/>
  <c r="AX100" i="16"/>
  <c r="AW100" i="16"/>
  <c r="AV100" i="16"/>
  <c r="AX104" i="16"/>
  <c r="AW104" i="16"/>
  <c r="AV104" i="16"/>
  <c r="AX80" i="16"/>
  <c r="AV80" i="16"/>
  <c r="AX83" i="16"/>
  <c r="AV83" i="16"/>
  <c r="AX86" i="16"/>
  <c r="AV86" i="16"/>
  <c r="AX89" i="16"/>
  <c r="AV89" i="16"/>
  <c r="AX92" i="16"/>
  <c r="AV92" i="16"/>
  <c r="AX95" i="16"/>
  <c r="AW95" i="16"/>
  <c r="AV95" i="16"/>
  <c r="AX102" i="16"/>
  <c r="AW102" i="16"/>
  <c r="AV102" i="16"/>
  <c r="AT104" i="16"/>
  <c r="AU104" i="16" s="1"/>
  <c r="AT107" i="16"/>
  <c r="AU107" i="16" s="1"/>
  <c r="AX112" i="16"/>
  <c r="AW112" i="16"/>
  <c r="AV112" i="16"/>
  <c r="AX118" i="16"/>
  <c r="AW118" i="16"/>
  <c r="AV118" i="16"/>
  <c r="AX107" i="16"/>
  <c r="AW107" i="16"/>
  <c r="AV107" i="16"/>
  <c r="C19" i="2"/>
  <c r="AE71" i="2"/>
  <c r="AF71" i="2" s="1"/>
  <c r="AG71" i="2" s="1"/>
  <c r="AE72" i="2"/>
  <c r="AF72" i="2" s="1"/>
  <c r="AG72" i="2" s="1"/>
  <c r="AE73" i="2"/>
  <c r="AF73" i="2" s="1"/>
  <c r="AG73" i="2" s="1"/>
  <c r="AE74" i="2"/>
  <c r="AF74" i="2" s="1"/>
  <c r="AG74" i="2" s="1"/>
  <c r="AE75" i="2"/>
  <c r="AF75" i="2" s="1"/>
  <c r="AG75" i="2" s="1"/>
  <c r="AE76" i="2"/>
  <c r="AF76" i="2" s="1"/>
  <c r="AG76" i="2" s="1"/>
  <c r="AE77" i="2"/>
  <c r="AF77" i="2" s="1"/>
  <c r="AG77" i="2" s="1"/>
  <c r="AE78" i="2"/>
  <c r="AF78" i="2" s="1"/>
  <c r="AG78" i="2" s="1"/>
  <c r="AE79" i="2"/>
  <c r="AF79" i="2" s="1"/>
  <c r="AG79" i="2" s="1"/>
  <c r="AE80" i="2"/>
  <c r="AF80" i="2" s="1"/>
  <c r="AG80" i="2" s="1"/>
  <c r="AE81" i="2"/>
  <c r="AF81" i="2" s="1"/>
  <c r="AG81" i="2" s="1"/>
  <c r="AE82" i="2"/>
  <c r="AF82" i="2" s="1"/>
  <c r="AG82" i="2" s="1"/>
  <c r="AE83" i="2"/>
  <c r="AF83" i="2" s="1"/>
  <c r="AG83" i="2" s="1"/>
  <c r="AE84" i="2"/>
  <c r="AF84" i="2" s="1"/>
  <c r="AG84" i="2" s="1"/>
  <c r="AE85" i="2"/>
  <c r="AF85" i="2" s="1"/>
  <c r="AG85" i="2" s="1"/>
  <c r="AE86" i="2"/>
  <c r="AF86" i="2"/>
  <c r="AG86" i="2" s="1"/>
  <c r="AE87" i="2"/>
  <c r="AF87" i="2" s="1"/>
  <c r="AG87" i="2" s="1"/>
  <c r="AE88" i="2"/>
  <c r="AF88" i="2" s="1"/>
  <c r="AG88" i="2" s="1"/>
  <c r="AE89" i="2"/>
  <c r="AF89" i="2" s="1"/>
  <c r="AG89" i="2" s="1"/>
  <c r="AE90" i="2"/>
  <c r="AF90" i="2" s="1"/>
  <c r="AG90" i="2" s="1"/>
  <c r="AE91" i="2"/>
  <c r="AF91" i="2" s="1"/>
  <c r="AG91" i="2" s="1"/>
  <c r="AE92" i="2"/>
  <c r="AF92" i="2" s="1"/>
  <c r="AG92" i="2" s="1"/>
  <c r="AE93" i="2"/>
  <c r="AF93" i="2" s="1"/>
  <c r="AG93" i="2" s="1"/>
  <c r="AE94" i="2"/>
  <c r="AF94" i="2"/>
  <c r="AG94" i="2" s="1"/>
  <c r="AE95" i="2"/>
  <c r="AF95" i="2" s="1"/>
  <c r="AG95" i="2" s="1"/>
  <c r="AE96" i="2"/>
  <c r="AF96" i="2" s="1"/>
  <c r="AG96" i="2" s="1"/>
  <c r="AE97" i="2"/>
  <c r="AF97" i="2" s="1"/>
  <c r="AG97" i="2" s="1"/>
  <c r="AE98" i="2"/>
  <c r="AF98" i="2" s="1"/>
  <c r="AG98" i="2" s="1"/>
  <c r="AE99" i="2"/>
  <c r="AF99" i="2" s="1"/>
  <c r="AG99" i="2" s="1"/>
  <c r="AE100" i="2"/>
  <c r="AF100" i="2" s="1"/>
  <c r="AG100" i="2" s="1"/>
  <c r="AE101" i="2"/>
  <c r="AF101" i="2" s="1"/>
  <c r="AG101" i="2" s="1"/>
  <c r="AE102" i="2"/>
  <c r="AF102" i="2" s="1"/>
  <c r="AG102" i="2" s="1"/>
  <c r="AE103" i="2"/>
  <c r="AF103" i="2" s="1"/>
  <c r="AG103" i="2" s="1"/>
  <c r="AE104" i="2"/>
  <c r="AF104" i="2" s="1"/>
  <c r="AG104" i="2" s="1"/>
  <c r="AE105" i="2"/>
  <c r="AF105" i="2" s="1"/>
  <c r="AG105" i="2" s="1"/>
  <c r="AE106" i="2"/>
  <c r="AF106" i="2" s="1"/>
  <c r="AG106" i="2" s="1"/>
  <c r="AE107" i="2"/>
  <c r="AF107" i="2" s="1"/>
  <c r="AG107" i="2" s="1"/>
  <c r="AE108" i="2"/>
  <c r="AF108" i="2" s="1"/>
  <c r="AG108" i="2" s="1"/>
  <c r="AE109" i="2"/>
  <c r="AF109" i="2" s="1"/>
  <c r="AG109" i="2" s="1"/>
  <c r="AE110" i="2"/>
  <c r="AF110" i="2" s="1"/>
  <c r="AG110" i="2" s="1"/>
  <c r="AE111" i="2"/>
  <c r="AF111" i="2" s="1"/>
  <c r="AG111" i="2" s="1"/>
  <c r="AE112" i="2"/>
  <c r="AF112" i="2" s="1"/>
  <c r="AG112" i="2" s="1"/>
  <c r="AE113" i="2"/>
  <c r="AF113" i="2" s="1"/>
  <c r="AG113" i="2" s="1"/>
  <c r="AE114" i="2"/>
  <c r="AF114" i="2" s="1"/>
  <c r="AG114" i="2" s="1"/>
  <c r="AE115" i="2"/>
  <c r="AF115" i="2" s="1"/>
  <c r="AG115" i="2" s="1"/>
  <c r="AE116" i="2"/>
  <c r="AF116" i="2" s="1"/>
  <c r="AG116" i="2" s="1"/>
  <c r="AE117" i="2"/>
  <c r="AF117" i="2" s="1"/>
  <c r="AG117" i="2" s="1"/>
  <c r="AE118" i="2"/>
  <c r="AF118" i="2"/>
  <c r="AG118" i="2" s="1"/>
  <c r="AE119" i="2"/>
  <c r="AF119" i="2" s="1"/>
  <c r="AG119" i="2" s="1"/>
  <c r="AE70" i="2"/>
  <c r="AF70" i="2" s="1"/>
  <c r="AG70" i="2" s="1"/>
  <c r="AE20" i="2"/>
  <c r="AE21" i="2"/>
  <c r="AE22" i="2"/>
  <c r="AF22" i="2" s="1"/>
  <c r="AG22" i="2" s="1"/>
  <c r="AE23" i="2"/>
  <c r="AF23" i="2" s="1"/>
  <c r="AG23" i="2" s="1"/>
  <c r="AE24" i="2"/>
  <c r="AF24" i="2" s="1"/>
  <c r="AG24" i="2" s="1"/>
  <c r="AE25" i="2"/>
  <c r="AF25" i="2" s="1"/>
  <c r="AG25" i="2" s="1"/>
  <c r="AE26" i="2"/>
  <c r="AF26" i="2" s="1"/>
  <c r="AG26" i="2" s="1"/>
  <c r="AE27" i="2"/>
  <c r="AF27" i="2" s="1"/>
  <c r="AG27" i="2" s="1"/>
  <c r="AE28" i="2"/>
  <c r="AF28" i="2" s="1"/>
  <c r="AG28" i="2" s="1"/>
  <c r="AE29" i="2"/>
  <c r="AF29" i="2" s="1"/>
  <c r="AG29" i="2" s="1"/>
  <c r="AE30" i="2"/>
  <c r="AF30" i="2" s="1"/>
  <c r="AG30" i="2" s="1"/>
  <c r="AE31" i="2"/>
  <c r="AF31" i="2" s="1"/>
  <c r="AG31" i="2" s="1"/>
  <c r="AE32" i="2"/>
  <c r="AF32" i="2" s="1"/>
  <c r="AG32" i="2" s="1"/>
  <c r="AE33" i="2"/>
  <c r="AF33" i="2" s="1"/>
  <c r="AG33" i="2" s="1"/>
  <c r="AE34" i="2"/>
  <c r="AF34" i="2" s="1"/>
  <c r="AG34" i="2" s="1"/>
  <c r="AE35" i="2"/>
  <c r="AF35" i="2" s="1"/>
  <c r="AG35" i="2" s="1"/>
  <c r="AE36" i="2"/>
  <c r="AF36" i="2" s="1"/>
  <c r="AG36" i="2" s="1"/>
  <c r="AE37" i="2"/>
  <c r="AF37" i="2" s="1"/>
  <c r="AG37" i="2" s="1"/>
  <c r="AE38" i="2"/>
  <c r="AF38" i="2" s="1"/>
  <c r="AG38" i="2" s="1"/>
  <c r="AE39" i="2"/>
  <c r="AF39" i="2" s="1"/>
  <c r="AG39" i="2" s="1"/>
  <c r="AE40" i="2"/>
  <c r="AF40" i="2" s="1"/>
  <c r="AG40" i="2" s="1"/>
  <c r="AE41" i="2"/>
  <c r="AF41" i="2" s="1"/>
  <c r="AG41" i="2" s="1"/>
  <c r="AE42" i="2"/>
  <c r="AF42" i="2" s="1"/>
  <c r="AG42" i="2" s="1"/>
  <c r="AE43" i="2"/>
  <c r="AF43" i="2" s="1"/>
  <c r="AG43" i="2" s="1"/>
  <c r="AE44" i="2"/>
  <c r="AF44" i="2" s="1"/>
  <c r="AG44" i="2" s="1"/>
  <c r="AE45" i="2"/>
  <c r="AF45" i="2" s="1"/>
  <c r="AG45" i="2" s="1"/>
  <c r="AE46" i="2"/>
  <c r="AF46" i="2" s="1"/>
  <c r="AG46" i="2" s="1"/>
  <c r="AE47" i="2"/>
  <c r="AF47" i="2" s="1"/>
  <c r="AG47" i="2" s="1"/>
  <c r="AE48" i="2"/>
  <c r="AF48" i="2"/>
  <c r="AG48" i="2" s="1"/>
  <c r="AE49" i="2"/>
  <c r="AF49" i="2" s="1"/>
  <c r="AG49" i="2" s="1"/>
  <c r="AE50" i="2"/>
  <c r="AF50" i="2" s="1"/>
  <c r="AG50" i="2" s="1"/>
  <c r="AE51" i="2"/>
  <c r="AF51" i="2" s="1"/>
  <c r="AG51" i="2" s="1"/>
  <c r="AE52" i="2"/>
  <c r="AF52" i="2"/>
  <c r="AG52" i="2" s="1"/>
  <c r="AE53" i="2"/>
  <c r="AF53" i="2" s="1"/>
  <c r="AG53" i="2" s="1"/>
  <c r="AE54" i="2"/>
  <c r="AF54" i="2" s="1"/>
  <c r="AG54" i="2" s="1"/>
  <c r="AE55" i="2"/>
  <c r="AF55" i="2" s="1"/>
  <c r="AG55" i="2" s="1"/>
  <c r="AE56" i="2"/>
  <c r="AF56" i="2"/>
  <c r="AG56" i="2" s="1"/>
  <c r="AE57" i="2"/>
  <c r="AF57" i="2" s="1"/>
  <c r="AG57" i="2" s="1"/>
  <c r="AE58" i="2"/>
  <c r="AF58" i="2" s="1"/>
  <c r="AG58" i="2" s="1"/>
  <c r="AE59" i="2"/>
  <c r="AF59" i="2" s="1"/>
  <c r="AG59" i="2" s="1"/>
  <c r="AE60" i="2"/>
  <c r="AF60" i="2"/>
  <c r="AG60" i="2" s="1"/>
  <c r="AE61" i="2"/>
  <c r="AF61" i="2" s="1"/>
  <c r="AG61" i="2" s="1"/>
  <c r="AE62" i="2"/>
  <c r="AF62" i="2" s="1"/>
  <c r="AG62" i="2" s="1"/>
  <c r="AE63" i="2"/>
  <c r="AF63" i="2" s="1"/>
  <c r="AG63" i="2" s="1"/>
  <c r="AE64" i="2"/>
  <c r="AF64" i="2" s="1"/>
  <c r="AG64" i="2" s="1"/>
  <c r="AE65" i="2"/>
  <c r="AF65" i="2" s="1"/>
  <c r="AG65" i="2" s="1"/>
  <c r="AE66" i="2"/>
  <c r="AF66" i="2" s="1"/>
  <c r="AG66" i="2" s="1"/>
  <c r="AE67" i="2"/>
  <c r="AF67" i="2" s="1"/>
  <c r="AG67" i="2" s="1"/>
  <c r="AE68" i="2"/>
  <c r="AF68" i="2"/>
  <c r="AG68" i="2" s="1"/>
  <c r="AE19" i="2"/>
  <c r="Y71" i="2"/>
  <c r="Z71" i="2" s="1"/>
  <c r="AA71" i="2" s="1"/>
  <c r="Y72" i="2"/>
  <c r="Z72" i="2" s="1"/>
  <c r="AA72" i="2" s="1"/>
  <c r="Y73" i="2"/>
  <c r="Z73" i="2" s="1"/>
  <c r="AA73" i="2" s="1"/>
  <c r="Y74" i="2"/>
  <c r="Z74" i="2" s="1"/>
  <c r="AA74" i="2" s="1"/>
  <c r="Y75" i="2"/>
  <c r="Z75" i="2" s="1"/>
  <c r="AA75" i="2" s="1"/>
  <c r="Y76" i="2"/>
  <c r="Z76" i="2" s="1"/>
  <c r="AA76" i="2" s="1"/>
  <c r="Y77" i="2"/>
  <c r="Z77" i="2" s="1"/>
  <c r="AA77" i="2" s="1"/>
  <c r="Y78" i="2"/>
  <c r="Z78" i="2" s="1"/>
  <c r="AA78" i="2" s="1"/>
  <c r="Y79" i="2"/>
  <c r="Z79" i="2" s="1"/>
  <c r="AA79" i="2" s="1"/>
  <c r="Y80" i="2"/>
  <c r="Z80" i="2" s="1"/>
  <c r="AA80" i="2" s="1"/>
  <c r="Y81" i="2"/>
  <c r="Z81" i="2" s="1"/>
  <c r="AA81" i="2" s="1"/>
  <c r="Y82" i="2"/>
  <c r="Z82" i="2" s="1"/>
  <c r="AA82" i="2" s="1"/>
  <c r="Y83" i="2"/>
  <c r="Z83" i="2" s="1"/>
  <c r="AA83" i="2" s="1"/>
  <c r="Y84" i="2"/>
  <c r="Z84" i="2" s="1"/>
  <c r="AA84" i="2" s="1"/>
  <c r="Y85" i="2"/>
  <c r="Z85" i="2" s="1"/>
  <c r="AA85" i="2" s="1"/>
  <c r="Y86" i="2"/>
  <c r="Z86" i="2" s="1"/>
  <c r="AA86" i="2" s="1"/>
  <c r="Y87" i="2"/>
  <c r="Z87" i="2" s="1"/>
  <c r="AA87" i="2" s="1"/>
  <c r="Y88" i="2"/>
  <c r="Z88" i="2" s="1"/>
  <c r="AA88" i="2" s="1"/>
  <c r="Y89" i="2"/>
  <c r="Z89" i="2" s="1"/>
  <c r="AA89" i="2" s="1"/>
  <c r="Y90" i="2"/>
  <c r="Z90" i="2" s="1"/>
  <c r="AA90" i="2" s="1"/>
  <c r="Y91" i="2"/>
  <c r="Z91" i="2" s="1"/>
  <c r="AA91" i="2" s="1"/>
  <c r="Y92" i="2"/>
  <c r="Z92" i="2" s="1"/>
  <c r="AA92" i="2" s="1"/>
  <c r="Y93" i="2"/>
  <c r="Z93" i="2" s="1"/>
  <c r="AA93" i="2" s="1"/>
  <c r="Y94" i="2"/>
  <c r="Z94" i="2" s="1"/>
  <c r="AA94" i="2" s="1"/>
  <c r="Y95" i="2"/>
  <c r="Z95" i="2" s="1"/>
  <c r="AA95" i="2" s="1"/>
  <c r="Y96" i="2"/>
  <c r="Z96" i="2" s="1"/>
  <c r="AA96" i="2" s="1"/>
  <c r="Y97" i="2"/>
  <c r="Z97" i="2" s="1"/>
  <c r="AA97" i="2" s="1"/>
  <c r="Y98" i="2"/>
  <c r="Z98" i="2" s="1"/>
  <c r="AA98" i="2" s="1"/>
  <c r="Y99" i="2"/>
  <c r="Z99" i="2" s="1"/>
  <c r="AA99" i="2" s="1"/>
  <c r="Y100" i="2"/>
  <c r="Z100" i="2" s="1"/>
  <c r="AA100" i="2" s="1"/>
  <c r="Y101" i="2"/>
  <c r="Z101" i="2" s="1"/>
  <c r="AA101" i="2" s="1"/>
  <c r="Y102" i="2"/>
  <c r="Z102" i="2" s="1"/>
  <c r="AA102" i="2" s="1"/>
  <c r="Y103" i="2"/>
  <c r="Z103" i="2" s="1"/>
  <c r="AA103" i="2" s="1"/>
  <c r="Y104" i="2"/>
  <c r="Z104" i="2" s="1"/>
  <c r="AA104" i="2" s="1"/>
  <c r="Y105" i="2"/>
  <c r="Z105" i="2" s="1"/>
  <c r="AA105" i="2" s="1"/>
  <c r="Y106" i="2"/>
  <c r="Z106" i="2" s="1"/>
  <c r="AA106" i="2" s="1"/>
  <c r="Y107" i="2"/>
  <c r="Z107" i="2" s="1"/>
  <c r="AA107" i="2" s="1"/>
  <c r="Y108" i="2"/>
  <c r="Z108" i="2" s="1"/>
  <c r="AA108" i="2" s="1"/>
  <c r="Y109" i="2"/>
  <c r="Z109" i="2" s="1"/>
  <c r="AA109" i="2" s="1"/>
  <c r="Y110" i="2"/>
  <c r="Z110" i="2" s="1"/>
  <c r="AA110" i="2" s="1"/>
  <c r="Y111" i="2"/>
  <c r="Z111" i="2" s="1"/>
  <c r="AA111" i="2" s="1"/>
  <c r="Y112" i="2"/>
  <c r="Z112" i="2" s="1"/>
  <c r="AA112" i="2" s="1"/>
  <c r="Y113" i="2"/>
  <c r="Z113" i="2" s="1"/>
  <c r="AA113" i="2" s="1"/>
  <c r="Y114" i="2"/>
  <c r="Z114" i="2" s="1"/>
  <c r="AA114" i="2" s="1"/>
  <c r="Y115" i="2"/>
  <c r="Z115" i="2" s="1"/>
  <c r="AA115" i="2" s="1"/>
  <c r="Y116" i="2"/>
  <c r="Z116" i="2" s="1"/>
  <c r="AA116" i="2" s="1"/>
  <c r="Y117" i="2"/>
  <c r="Z117" i="2" s="1"/>
  <c r="AA117" i="2" s="1"/>
  <c r="Y118" i="2"/>
  <c r="Z118" i="2" s="1"/>
  <c r="AA118" i="2" s="1"/>
  <c r="Y119" i="2"/>
  <c r="Z119" i="2" s="1"/>
  <c r="AA119" i="2" s="1"/>
  <c r="Y70" i="2"/>
  <c r="Z70" i="2" s="1"/>
  <c r="AA70" i="2" s="1"/>
  <c r="Y20" i="2"/>
  <c r="Z20" i="2" s="1"/>
  <c r="AA20" i="2" s="1"/>
  <c r="Y21" i="2"/>
  <c r="Y22" i="2"/>
  <c r="Z22" i="2" s="1"/>
  <c r="AA22" i="2" s="1"/>
  <c r="Y23" i="2"/>
  <c r="Z23" i="2" s="1"/>
  <c r="AA23" i="2" s="1"/>
  <c r="Y24" i="2"/>
  <c r="Z24" i="2" s="1"/>
  <c r="AA24" i="2" s="1"/>
  <c r="Y25" i="2"/>
  <c r="Z25" i="2" s="1"/>
  <c r="AA25" i="2" s="1"/>
  <c r="Y26" i="2"/>
  <c r="Z26" i="2" s="1"/>
  <c r="AA26" i="2" s="1"/>
  <c r="Y27" i="2"/>
  <c r="Z27" i="2"/>
  <c r="AA27" i="2" s="1"/>
  <c r="Y28" i="2"/>
  <c r="Z28" i="2" s="1"/>
  <c r="AA28" i="2" s="1"/>
  <c r="Y29" i="2"/>
  <c r="Z29" i="2" s="1"/>
  <c r="AA29" i="2" s="1"/>
  <c r="Y30" i="2"/>
  <c r="Z30" i="2"/>
  <c r="AA30" i="2" s="1"/>
  <c r="Y31" i="2"/>
  <c r="Z31" i="2" s="1"/>
  <c r="AA31" i="2" s="1"/>
  <c r="Y32" i="2"/>
  <c r="Z32" i="2" s="1"/>
  <c r="AA32" i="2" s="1"/>
  <c r="Y33" i="2"/>
  <c r="Z33" i="2" s="1"/>
  <c r="AA33" i="2" s="1"/>
  <c r="Y34" i="2"/>
  <c r="Z34" i="2" s="1"/>
  <c r="AA34" i="2" s="1"/>
  <c r="Y35" i="2"/>
  <c r="Z35" i="2" s="1"/>
  <c r="AA35" i="2" s="1"/>
  <c r="Y36" i="2"/>
  <c r="Z36" i="2" s="1"/>
  <c r="AA36" i="2" s="1"/>
  <c r="Y37" i="2"/>
  <c r="Z37" i="2" s="1"/>
  <c r="AA37" i="2" s="1"/>
  <c r="Y38" i="2"/>
  <c r="Z38" i="2" s="1"/>
  <c r="AA38" i="2" s="1"/>
  <c r="Y39" i="2"/>
  <c r="Z39" i="2"/>
  <c r="AA39" i="2" s="1"/>
  <c r="Y40" i="2"/>
  <c r="Z40" i="2" s="1"/>
  <c r="AA40" i="2" s="1"/>
  <c r="Y41" i="2"/>
  <c r="Z41" i="2" s="1"/>
  <c r="AA41" i="2" s="1"/>
  <c r="Y42" i="2"/>
  <c r="Z42" i="2" s="1"/>
  <c r="AA42" i="2" s="1"/>
  <c r="Y43" i="2"/>
  <c r="Z43" i="2" s="1"/>
  <c r="AA43" i="2" s="1"/>
  <c r="Y44" i="2"/>
  <c r="Z44" i="2" s="1"/>
  <c r="AA44" i="2" s="1"/>
  <c r="Y45" i="2"/>
  <c r="Z45" i="2" s="1"/>
  <c r="AA45" i="2" s="1"/>
  <c r="Y46" i="2"/>
  <c r="Z46" i="2" s="1"/>
  <c r="AA46" i="2" s="1"/>
  <c r="Y47" i="2"/>
  <c r="Z47" i="2" s="1"/>
  <c r="AA47" i="2" s="1"/>
  <c r="Y48" i="2"/>
  <c r="Z48" i="2" s="1"/>
  <c r="AA48" i="2" s="1"/>
  <c r="Y49" i="2"/>
  <c r="Z49" i="2" s="1"/>
  <c r="AA49" i="2" s="1"/>
  <c r="Y50" i="2"/>
  <c r="Z50" i="2" s="1"/>
  <c r="AA50" i="2" s="1"/>
  <c r="Y51" i="2"/>
  <c r="Z51" i="2" s="1"/>
  <c r="AA51" i="2" s="1"/>
  <c r="Y52" i="2"/>
  <c r="Z52" i="2" s="1"/>
  <c r="AA52" i="2" s="1"/>
  <c r="Y53" i="2"/>
  <c r="Z53" i="2" s="1"/>
  <c r="AA53" i="2" s="1"/>
  <c r="Y54" i="2"/>
  <c r="Z54" i="2"/>
  <c r="AA54" i="2" s="1"/>
  <c r="Y55" i="2"/>
  <c r="Z55" i="2"/>
  <c r="AA55" i="2" s="1"/>
  <c r="Y56" i="2"/>
  <c r="Z56" i="2" s="1"/>
  <c r="AA56" i="2" s="1"/>
  <c r="Y57" i="2"/>
  <c r="Z57" i="2" s="1"/>
  <c r="AA57" i="2" s="1"/>
  <c r="Y58" i="2"/>
  <c r="Z58" i="2" s="1"/>
  <c r="AA58" i="2" s="1"/>
  <c r="Y59" i="2"/>
  <c r="Z59" i="2" s="1"/>
  <c r="AA59" i="2" s="1"/>
  <c r="Y60" i="2"/>
  <c r="Z60" i="2" s="1"/>
  <c r="AA60" i="2" s="1"/>
  <c r="Y61" i="2"/>
  <c r="Z61" i="2" s="1"/>
  <c r="AA61" i="2" s="1"/>
  <c r="Y62" i="2"/>
  <c r="Z62" i="2" s="1"/>
  <c r="AA62" i="2" s="1"/>
  <c r="Y63" i="2"/>
  <c r="Z63" i="2" s="1"/>
  <c r="AA63" i="2" s="1"/>
  <c r="Y64" i="2"/>
  <c r="Z64" i="2" s="1"/>
  <c r="AA64" i="2" s="1"/>
  <c r="Y65" i="2"/>
  <c r="Z65" i="2" s="1"/>
  <c r="AA65" i="2" s="1"/>
  <c r="Y66" i="2"/>
  <c r="Z66" i="2"/>
  <c r="AA66" i="2" s="1"/>
  <c r="Y67" i="2"/>
  <c r="Z67" i="2"/>
  <c r="AA67" i="2" s="1"/>
  <c r="Y68" i="2"/>
  <c r="Z68" i="2" s="1"/>
  <c r="AA68" i="2" s="1"/>
  <c r="AE16" i="2"/>
  <c r="Y16" i="2"/>
  <c r="Y19" i="2"/>
  <c r="K71" i="2"/>
  <c r="L71" i="2" s="1"/>
  <c r="M71" i="2" s="1"/>
  <c r="K72" i="2"/>
  <c r="L72" i="2" s="1"/>
  <c r="M72" i="2" s="1"/>
  <c r="K73" i="2"/>
  <c r="L73" i="2" s="1"/>
  <c r="M73" i="2" s="1"/>
  <c r="K74" i="2"/>
  <c r="L74" i="2" s="1"/>
  <c r="M74" i="2" s="1"/>
  <c r="K75" i="2"/>
  <c r="L75" i="2" s="1"/>
  <c r="M75" i="2" s="1"/>
  <c r="K76" i="2"/>
  <c r="L76" i="2" s="1"/>
  <c r="M76" i="2" s="1"/>
  <c r="K77" i="2"/>
  <c r="L77" i="2" s="1"/>
  <c r="M77" i="2" s="1"/>
  <c r="K78" i="2"/>
  <c r="L78" i="2" s="1"/>
  <c r="M78" i="2" s="1"/>
  <c r="K79" i="2"/>
  <c r="L79" i="2" s="1"/>
  <c r="M79" i="2" s="1"/>
  <c r="K80" i="2"/>
  <c r="L80" i="2" s="1"/>
  <c r="M80" i="2" s="1"/>
  <c r="K81" i="2"/>
  <c r="L81" i="2" s="1"/>
  <c r="M81" i="2" s="1"/>
  <c r="K82" i="2"/>
  <c r="L82" i="2" s="1"/>
  <c r="M82" i="2" s="1"/>
  <c r="K83" i="2"/>
  <c r="L83" i="2" s="1"/>
  <c r="M83" i="2" s="1"/>
  <c r="K84" i="2"/>
  <c r="L84" i="2" s="1"/>
  <c r="M84" i="2" s="1"/>
  <c r="K85" i="2"/>
  <c r="L85" i="2" s="1"/>
  <c r="M85" i="2" s="1"/>
  <c r="K86" i="2"/>
  <c r="L86" i="2" s="1"/>
  <c r="M86" i="2" s="1"/>
  <c r="K87" i="2"/>
  <c r="L87" i="2" s="1"/>
  <c r="M87" i="2" s="1"/>
  <c r="K88" i="2"/>
  <c r="L88" i="2" s="1"/>
  <c r="M88" i="2" s="1"/>
  <c r="K89" i="2"/>
  <c r="L89" i="2" s="1"/>
  <c r="M89" i="2" s="1"/>
  <c r="K90" i="2"/>
  <c r="L90" i="2" s="1"/>
  <c r="M90" i="2" s="1"/>
  <c r="K91" i="2"/>
  <c r="L91" i="2" s="1"/>
  <c r="M91" i="2" s="1"/>
  <c r="K92" i="2"/>
  <c r="L92" i="2" s="1"/>
  <c r="M92" i="2" s="1"/>
  <c r="K93" i="2"/>
  <c r="L93" i="2" s="1"/>
  <c r="M93" i="2" s="1"/>
  <c r="K94" i="2"/>
  <c r="L94" i="2" s="1"/>
  <c r="M94" i="2" s="1"/>
  <c r="K95" i="2"/>
  <c r="L95" i="2" s="1"/>
  <c r="M95" i="2" s="1"/>
  <c r="K96" i="2"/>
  <c r="L96" i="2" s="1"/>
  <c r="M96" i="2" s="1"/>
  <c r="K97" i="2"/>
  <c r="L97" i="2" s="1"/>
  <c r="M97" i="2" s="1"/>
  <c r="K98" i="2"/>
  <c r="L98" i="2" s="1"/>
  <c r="M98" i="2" s="1"/>
  <c r="K99" i="2"/>
  <c r="L99" i="2" s="1"/>
  <c r="M99" i="2" s="1"/>
  <c r="K100" i="2"/>
  <c r="L100" i="2" s="1"/>
  <c r="M100" i="2" s="1"/>
  <c r="K101" i="2"/>
  <c r="L101" i="2" s="1"/>
  <c r="M101" i="2" s="1"/>
  <c r="K102" i="2"/>
  <c r="L102" i="2" s="1"/>
  <c r="M102" i="2" s="1"/>
  <c r="K103" i="2"/>
  <c r="L103" i="2" s="1"/>
  <c r="M103" i="2" s="1"/>
  <c r="K104" i="2"/>
  <c r="L104" i="2" s="1"/>
  <c r="M104" i="2" s="1"/>
  <c r="K105" i="2"/>
  <c r="L105" i="2" s="1"/>
  <c r="M105" i="2" s="1"/>
  <c r="K106" i="2"/>
  <c r="L106" i="2" s="1"/>
  <c r="M106" i="2" s="1"/>
  <c r="K107" i="2"/>
  <c r="L107" i="2" s="1"/>
  <c r="M107" i="2" s="1"/>
  <c r="K108" i="2"/>
  <c r="L108" i="2" s="1"/>
  <c r="M108" i="2" s="1"/>
  <c r="K109" i="2"/>
  <c r="L109" i="2" s="1"/>
  <c r="M109" i="2" s="1"/>
  <c r="K110" i="2"/>
  <c r="L110" i="2" s="1"/>
  <c r="M110" i="2" s="1"/>
  <c r="K111" i="2"/>
  <c r="L111" i="2" s="1"/>
  <c r="M111" i="2" s="1"/>
  <c r="K112" i="2"/>
  <c r="L112" i="2" s="1"/>
  <c r="M112" i="2" s="1"/>
  <c r="K113" i="2"/>
  <c r="L113" i="2" s="1"/>
  <c r="M113" i="2" s="1"/>
  <c r="K114" i="2"/>
  <c r="L114" i="2" s="1"/>
  <c r="M114" i="2" s="1"/>
  <c r="K115" i="2"/>
  <c r="L115" i="2" s="1"/>
  <c r="M115" i="2" s="1"/>
  <c r="K116" i="2"/>
  <c r="L116" i="2" s="1"/>
  <c r="M116" i="2" s="1"/>
  <c r="K117" i="2"/>
  <c r="L117" i="2" s="1"/>
  <c r="M117" i="2" s="1"/>
  <c r="K118" i="2"/>
  <c r="L118" i="2" s="1"/>
  <c r="M118" i="2" s="1"/>
  <c r="K119" i="2"/>
  <c r="L119" i="2" s="1"/>
  <c r="M119" i="2" s="1"/>
  <c r="K70" i="2"/>
  <c r="L70" i="2" s="1"/>
  <c r="M70" i="2" s="1"/>
  <c r="K68" i="2"/>
  <c r="L68" i="2" s="1"/>
  <c r="M68" i="2" s="1"/>
  <c r="K67" i="2"/>
  <c r="L67" i="2" s="1"/>
  <c r="M67" i="2" s="1"/>
  <c r="K66" i="2"/>
  <c r="L66" i="2" s="1"/>
  <c r="M66" i="2" s="1"/>
  <c r="K65" i="2"/>
  <c r="L65" i="2" s="1"/>
  <c r="M65" i="2" s="1"/>
  <c r="K64" i="2"/>
  <c r="L64" i="2" s="1"/>
  <c r="M64" i="2" s="1"/>
  <c r="K63" i="2"/>
  <c r="L63" i="2" s="1"/>
  <c r="M63" i="2" s="1"/>
  <c r="K62" i="2"/>
  <c r="L62" i="2" s="1"/>
  <c r="M62" i="2" s="1"/>
  <c r="L61" i="2"/>
  <c r="M61" i="2" s="1"/>
  <c r="K61" i="2"/>
  <c r="L60" i="2"/>
  <c r="M60" i="2" s="1"/>
  <c r="K60" i="2"/>
  <c r="K59" i="2"/>
  <c r="L59" i="2" s="1"/>
  <c r="M59" i="2" s="1"/>
  <c r="K58" i="2"/>
  <c r="L58" i="2" s="1"/>
  <c r="M58" i="2" s="1"/>
  <c r="K57" i="2"/>
  <c r="L57" i="2" s="1"/>
  <c r="M57" i="2" s="1"/>
  <c r="L56" i="2"/>
  <c r="M56" i="2" s="1"/>
  <c r="K56" i="2"/>
  <c r="K55" i="2"/>
  <c r="L55" i="2" s="1"/>
  <c r="M55" i="2" s="1"/>
  <c r="K54" i="2"/>
  <c r="L54" i="2" s="1"/>
  <c r="M54" i="2" s="1"/>
  <c r="K53" i="2"/>
  <c r="L53" i="2" s="1"/>
  <c r="M53" i="2" s="1"/>
  <c r="K52" i="2"/>
  <c r="L52" i="2" s="1"/>
  <c r="M52" i="2" s="1"/>
  <c r="K51" i="2"/>
  <c r="L51" i="2" s="1"/>
  <c r="M51" i="2" s="1"/>
  <c r="K50" i="2"/>
  <c r="L50" i="2" s="1"/>
  <c r="M50" i="2" s="1"/>
  <c r="K49" i="2"/>
  <c r="L49" i="2" s="1"/>
  <c r="M49" i="2" s="1"/>
  <c r="L48" i="2"/>
  <c r="M48" i="2" s="1"/>
  <c r="K48" i="2"/>
  <c r="K47" i="2"/>
  <c r="L47" i="2" s="1"/>
  <c r="M47" i="2" s="1"/>
  <c r="K46" i="2"/>
  <c r="L46" i="2" s="1"/>
  <c r="M46" i="2" s="1"/>
  <c r="K45" i="2"/>
  <c r="L45" i="2" s="1"/>
  <c r="M45" i="2" s="1"/>
  <c r="K44" i="2"/>
  <c r="L44" i="2" s="1"/>
  <c r="M44" i="2" s="1"/>
  <c r="K43" i="2"/>
  <c r="L43" i="2" s="1"/>
  <c r="M43" i="2" s="1"/>
  <c r="K42" i="2"/>
  <c r="L42" i="2" s="1"/>
  <c r="M42" i="2" s="1"/>
  <c r="K41" i="2"/>
  <c r="L41" i="2" s="1"/>
  <c r="M41" i="2" s="1"/>
  <c r="K40" i="2"/>
  <c r="L40" i="2" s="1"/>
  <c r="M40" i="2" s="1"/>
  <c r="K39" i="2"/>
  <c r="L39" i="2" s="1"/>
  <c r="M39" i="2" s="1"/>
  <c r="K38" i="2"/>
  <c r="L38" i="2" s="1"/>
  <c r="M38" i="2" s="1"/>
  <c r="K37" i="2"/>
  <c r="L37" i="2" s="1"/>
  <c r="M37" i="2" s="1"/>
  <c r="K36" i="2"/>
  <c r="L36" i="2" s="1"/>
  <c r="M36" i="2" s="1"/>
  <c r="K35" i="2"/>
  <c r="L35" i="2" s="1"/>
  <c r="M35" i="2" s="1"/>
  <c r="K34" i="2"/>
  <c r="L34" i="2" s="1"/>
  <c r="M34" i="2" s="1"/>
  <c r="K33" i="2"/>
  <c r="L33" i="2" s="1"/>
  <c r="M33" i="2" s="1"/>
  <c r="K32" i="2"/>
  <c r="L32" i="2" s="1"/>
  <c r="M32" i="2" s="1"/>
  <c r="K31" i="2"/>
  <c r="L31" i="2" s="1"/>
  <c r="M31" i="2" s="1"/>
  <c r="K30" i="2"/>
  <c r="L30" i="2" s="1"/>
  <c r="M30" i="2" s="1"/>
  <c r="K29" i="2"/>
  <c r="L29" i="2" s="1"/>
  <c r="M29" i="2" s="1"/>
  <c r="K28" i="2"/>
  <c r="L28" i="2" s="1"/>
  <c r="M28" i="2" s="1"/>
  <c r="K27" i="2"/>
  <c r="L27" i="2" s="1"/>
  <c r="M27" i="2" s="1"/>
  <c r="K26" i="2"/>
  <c r="L26" i="2" s="1"/>
  <c r="M26" i="2" s="1"/>
  <c r="K25" i="2"/>
  <c r="L25" i="2" s="1"/>
  <c r="M25" i="2" s="1"/>
  <c r="L24" i="2"/>
  <c r="M24" i="2" s="1"/>
  <c r="K24" i="2"/>
  <c r="K23" i="2"/>
  <c r="L23" i="2" s="1"/>
  <c r="M23" i="2" s="1"/>
  <c r="K22" i="2"/>
  <c r="L22" i="2" s="1"/>
  <c r="M22" i="2" s="1"/>
  <c r="K21" i="2"/>
  <c r="L21" i="2" s="1"/>
  <c r="M21" i="2" s="1"/>
  <c r="K20" i="2"/>
  <c r="L20" i="2" s="1"/>
  <c r="M20" i="2" s="1"/>
  <c r="K19" i="2"/>
  <c r="K16" i="2"/>
  <c r="S19" i="2"/>
  <c r="S16" i="2"/>
  <c r="S22" i="2"/>
  <c r="F5" i="2"/>
  <c r="J114" i="5"/>
  <c r="I114" i="5"/>
  <c r="J113" i="5"/>
  <c r="I113" i="5"/>
  <c r="J112" i="5"/>
  <c r="I112" i="5"/>
  <c r="J111" i="5"/>
  <c r="I111" i="5"/>
  <c r="J110" i="5"/>
  <c r="I110" i="5"/>
  <c r="J109" i="5"/>
  <c r="I109" i="5"/>
  <c r="J108" i="5"/>
  <c r="I108" i="5"/>
  <c r="J107" i="5"/>
  <c r="I107" i="5"/>
  <c r="J106" i="5"/>
  <c r="I106" i="5"/>
  <c r="J105" i="5"/>
  <c r="I105" i="5"/>
  <c r="J104" i="5"/>
  <c r="I104" i="5"/>
  <c r="J103" i="5"/>
  <c r="I103" i="5"/>
  <c r="J102" i="5"/>
  <c r="I102" i="5"/>
  <c r="J101" i="5"/>
  <c r="I101" i="5"/>
  <c r="J100" i="5"/>
  <c r="I100" i="5"/>
  <c r="J99" i="5"/>
  <c r="I99" i="5"/>
  <c r="J98" i="5"/>
  <c r="I98" i="5"/>
  <c r="J97" i="5"/>
  <c r="I97" i="5"/>
  <c r="J96" i="5"/>
  <c r="I96" i="5"/>
  <c r="J95" i="5"/>
  <c r="I95" i="5"/>
  <c r="J94" i="5"/>
  <c r="I94" i="5"/>
  <c r="J93" i="5"/>
  <c r="I93" i="5"/>
  <c r="J92" i="5"/>
  <c r="I92" i="5"/>
  <c r="J91" i="5"/>
  <c r="I91" i="5"/>
  <c r="J90" i="5"/>
  <c r="I90" i="5"/>
  <c r="J89" i="5"/>
  <c r="I89" i="5"/>
  <c r="J88" i="5"/>
  <c r="I88" i="5"/>
  <c r="J87" i="5"/>
  <c r="I87" i="5"/>
  <c r="J86" i="5"/>
  <c r="I86" i="5"/>
  <c r="J85" i="5"/>
  <c r="I85" i="5"/>
  <c r="J84" i="5"/>
  <c r="I84" i="5"/>
  <c r="J83" i="5"/>
  <c r="I83" i="5"/>
  <c r="J82" i="5"/>
  <c r="I82" i="5"/>
  <c r="J81" i="5"/>
  <c r="I81" i="5"/>
  <c r="J80" i="5"/>
  <c r="I80" i="5"/>
  <c r="J79" i="5"/>
  <c r="I79" i="5"/>
  <c r="J78" i="5"/>
  <c r="I78" i="5"/>
  <c r="J77" i="5"/>
  <c r="I77" i="5"/>
  <c r="J76" i="5"/>
  <c r="I76" i="5"/>
  <c r="J63" i="5"/>
  <c r="I63" i="5"/>
  <c r="J62" i="5"/>
  <c r="I62" i="5"/>
  <c r="J61" i="5"/>
  <c r="I61" i="5"/>
  <c r="J60" i="5"/>
  <c r="I60" i="5"/>
  <c r="J59" i="5"/>
  <c r="I59" i="5"/>
  <c r="J58" i="5"/>
  <c r="I58" i="5"/>
  <c r="J57" i="5"/>
  <c r="I57" i="5"/>
  <c r="J56" i="5"/>
  <c r="I56" i="5"/>
  <c r="J55" i="5"/>
  <c r="I55" i="5"/>
  <c r="J54" i="5"/>
  <c r="I54" i="5"/>
  <c r="J53" i="5"/>
  <c r="I53" i="5"/>
  <c r="J52" i="5"/>
  <c r="I52" i="5"/>
  <c r="J51" i="5"/>
  <c r="I51" i="5"/>
  <c r="J50" i="5"/>
  <c r="I50" i="5"/>
  <c r="J49" i="5"/>
  <c r="I49" i="5"/>
  <c r="J48" i="5"/>
  <c r="I48" i="5"/>
  <c r="J47" i="5"/>
  <c r="I47" i="5"/>
  <c r="J46" i="5"/>
  <c r="I46" i="5"/>
  <c r="J45" i="5"/>
  <c r="I45" i="5"/>
  <c r="J44" i="5"/>
  <c r="I44" i="5"/>
  <c r="J43" i="5"/>
  <c r="I43" i="5"/>
  <c r="J42" i="5"/>
  <c r="I42" i="5"/>
  <c r="J41" i="5"/>
  <c r="I41" i="5"/>
  <c r="J40" i="5"/>
  <c r="I40" i="5"/>
  <c r="J39" i="5"/>
  <c r="I39" i="5"/>
  <c r="J38" i="5"/>
  <c r="I38" i="5"/>
  <c r="J37" i="5"/>
  <c r="I37" i="5"/>
  <c r="J36" i="5"/>
  <c r="I36" i="5"/>
  <c r="J35" i="5"/>
  <c r="I35" i="5"/>
  <c r="J34" i="5"/>
  <c r="I34" i="5"/>
  <c r="J33" i="5"/>
  <c r="I33" i="5"/>
  <c r="J32" i="5"/>
  <c r="I32" i="5"/>
  <c r="J31" i="5"/>
  <c r="I31" i="5"/>
  <c r="J30" i="5"/>
  <c r="I30" i="5"/>
  <c r="J29" i="5"/>
  <c r="I29" i="5"/>
  <c r="J28" i="5"/>
  <c r="I28" i="5"/>
  <c r="J27" i="5"/>
  <c r="I27" i="5"/>
  <c r="J26" i="5"/>
  <c r="I26" i="5"/>
  <c r="J25" i="5"/>
  <c r="I25" i="5"/>
  <c r="J24" i="5"/>
  <c r="I24"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J75" i="5" s="1"/>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D10" i="5"/>
  <c r="C119" i="2"/>
  <c r="AX119" i="2" s="1"/>
  <c r="C118" i="2"/>
  <c r="AX118" i="2" s="1"/>
  <c r="C117" i="2"/>
  <c r="AX117" i="2" s="1"/>
  <c r="C116" i="2"/>
  <c r="AV116" i="2" s="1"/>
  <c r="C115" i="2"/>
  <c r="AV115" i="2" s="1"/>
  <c r="C114" i="2"/>
  <c r="AX114" i="2" s="1"/>
  <c r="C113" i="2"/>
  <c r="AX113" i="2" s="1"/>
  <c r="C112" i="2"/>
  <c r="AX112" i="2" s="1"/>
  <c r="C111" i="2"/>
  <c r="AW111" i="2" s="1"/>
  <c r="C110" i="2"/>
  <c r="AW110" i="2" s="1"/>
  <c r="C109" i="2"/>
  <c r="AW109" i="2" s="1"/>
  <c r="C108" i="2"/>
  <c r="AW108" i="2" s="1"/>
  <c r="C107" i="2"/>
  <c r="AV107" i="2" s="1"/>
  <c r="C106" i="2"/>
  <c r="AX106" i="2" s="1"/>
  <c r="C105" i="2"/>
  <c r="AX105" i="2" s="1"/>
  <c r="C104" i="2"/>
  <c r="AV104" i="2" s="1"/>
  <c r="C103" i="2"/>
  <c r="AV103" i="2" s="1"/>
  <c r="C102" i="2"/>
  <c r="AX102" i="2" s="1"/>
  <c r="C101" i="2"/>
  <c r="AX101" i="2" s="1"/>
  <c r="C100" i="2"/>
  <c r="AX100" i="2" s="1"/>
  <c r="C99" i="2"/>
  <c r="AW99" i="2" s="1"/>
  <c r="C98" i="2"/>
  <c r="AW98" i="2" s="1"/>
  <c r="C97" i="2"/>
  <c r="AW97" i="2" s="1"/>
  <c r="C96" i="2"/>
  <c r="AW96" i="2" s="1"/>
  <c r="C95" i="2"/>
  <c r="AX95" i="2" s="1"/>
  <c r="C94" i="2"/>
  <c r="AX94" i="2" s="1"/>
  <c r="C93" i="2"/>
  <c r="AX93" i="2" s="1"/>
  <c r="C92" i="2"/>
  <c r="AV92" i="2" s="1"/>
  <c r="C91" i="2"/>
  <c r="AV91" i="2" s="1"/>
  <c r="C90" i="2"/>
  <c r="AX90" i="2" s="1"/>
  <c r="C89" i="2"/>
  <c r="AX89" i="2" s="1"/>
  <c r="C88" i="2"/>
  <c r="AX88" i="2" s="1"/>
  <c r="C87" i="2"/>
  <c r="AW87" i="2" s="1"/>
  <c r="C86" i="2"/>
  <c r="AW86" i="2" s="1"/>
  <c r="C85" i="2"/>
  <c r="AW85" i="2" s="1"/>
  <c r="C84" i="2"/>
  <c r="AW84" i="2" s="1"/>
  <c r="C83" i="2"/>
  <c r="AV83" i="2" s="1"/>
  <c r="C82" i="2"/>
  <c r="AX82" i="2" s="1"/>
  <c r="C81" i="2"/>
  <c r="AX81" i="2" s="1"/>
  <c r="C80" i="2"/>
  <c r="AV80" i="2" s="1"/>
  <c r="C79" i="2"/>
  <c r="AV79" i="2" s="1"/>
  <c r="C78" i="2"/>
  <c r="AV78" i="2" s="1"/>
  <c r="C77" i="2"/>
  <c r="AV77" i="2" s="1"/>
  <c r="C76" i="2"/>
  <c r="AV76" i="2" s="1"/>
  <c r="C75" i="2"/>
  <c r="AV75" i="2" s="1"/>
  <c r="C74" i="2"/>
  <c r="AV74" i="2" s="1"/>
  <c r="C73" i="2"/>
  <c r="AV73" i="2" s="1"/>
  <c r="C72" i="2"/>
  <c r="C71" i="2"/>
  <c r="C70" i="2"/>
  <c r="C68" i="2"/>
  <c r="AV68" i="2" s="1"/>
  <c r="C67" i="2"/>
  <c r="AV67" i="2" s="1"/>
  <c r="C66" i="2"/>
  <c r="AV66" i="2" s="1"/>
  <c r="C65" i="2"/>
  <c r="AV65" i="2" s="1"/>
  <c r="C64" i="2"/>
  <c r="AX64" i="2" s="1"/>
  <c r="C63" i="2"/>
  <c r="C62" i="2"/>
  <c r="C61" i="2"/>
  <c r="C60" i="2"/>
  <c r="C59" i="2"/>
  <c r="C58" i="2"/>
  <c r="AX58" i="2" s="1"/>
  <c r="C57" i="2"/>
  <c r="AX57" i="2" s="1"/>
  <c r="C56" i="2"/>
  <c r="AV56" i="2" s="1"/>
  <c r="C55" i="2"/>
  <c r="AV55" i="2" s="1"/>
  <c r="C54" i="2"/>
  <c r="AV54" i="2" s="1"/>
  <c r="C53" i="2"/>
  <c r="AV53" i="2" s="1"/>
  <c r="C52" i="2"/>
  <c r="C51" i="2"/>
  <c r="C50" i="2"/>
  <c r="C49" i="2"/>
  <c r="C48" i="2"/>
  <c r="C47" i="2"/>
  <c r="C46" i="2"/>
  <c r="AX46" i="2" s="1"/>
  <c r="C45" i="2"/>
  <c r="AX45" i="2" s="1"/>
  <c r="C44" i="2"/>
  <c r="AV44" i="2" s="1"/>
  <c r="C43" i="2"/>
  <c r="AV43" i="2" s="1"/>
  <c r="C42" i="2"/>
  <c r="AV42" i="2" s="1"/>
  <c r="C41" i="2"/>
  <c r="AV41" i="2" s="1"/>
  <c r="C40" i="2"/>
  <c r="AV40" i="2" s="1"/>
  <c r="C39" i="2"/>
  <c r="C38" i="2"/>
  <c r="C37" i="2"/>
  <c r="C36" i="2"/>
  <c r="C35" i="2"/>
  <c r="C34" i="2"/>
  <c r="AX34" i="2" s="1"/>
  <c r="C33" i="2"/>
  <c r="AX33" i="2" s="1"/>
  <c r="C32" i="2"/>
  <c r="AV32" i="2" s="1"/>
  <c r="C31" i="2"/>
  <c r="AV31" i="2" s="1"/>
  <c r="C30" i="2"/>
  <c r="AV30" i="2" s="1"/>
  <c r="C29" i="2"/>
  <c r="AV29" i="2" s="1"/>
  <c r="C28" i="2"/>
  <c r="C27" i="2"/>
  <c r="C26" i="2"/>
  <c r="AV26" i="2" s="1"/>
  <c r="C25" i="2"/>
  <c r="AV25" i="2" s="1"/>
  <c r="C24" i="2"/>
  <c r="AV24" i="2" s="1"/>
  <c r="C23" i="2"/>
  <c r="AV23" i="2" s="1"/>
  <c r="C22" i="2"/>
  <c r="C21" i="2"/>
  <c r="AW21" i="2" s="1"/>
  <c r="C20" i="2"/>
  <c r="AW20" i="2" s="1"/>
  <c r="I10" i="5"/>
  <c r="I9" i="5"/>
  <c r="D9" i="5"/>
  <c r="J6" i="5"/>
  <c r="D6" i="5"/>
  <c r="J5" i="5"/>
  <c r="G5" i="5"/>
  <c r="D5" i="5"/>
  <c r="AS119" i="2"/>
  <c r="AR119" i="2"/>
  <c r="AQ119" i="2"/>
  <c r="AK119" i="2"/>
  <c r="AL119" i="2" s="1"/>
  <c r="AM119" i="2" s="1"/>
  <c r="S119" i="2"/>
  <c r="T119" i="2" s="1"/>
  <c r="U119" i="2" s="1"/>
  <c r="AS118" i="2"/>
  <c r="AR118" i="2"/>
  <c r="AQ118" i="2"/>
  <c r="AK118" i="2"/>
  <c r="AL118" i="2" s="1"/>
  <c r="AM118" i="2" s="1"/>
  <c r="S118" i="2"/>
  <c r="T118" i="2" s="1"/>
  <c r="U118" i="2" s="1"/>
  <c r="AS117" i="2"/>
  <c r="AR117" i="2"/>
  <c r="AQ117" i="2"/>
  <c r="AK117" i="2"/>
  <c r="AL117" i="2" s="1"/>
  <c r="AM117" i="2" s="1"/>
  <c r="S117" i="2"/>
  <c r="T117" i="2" s="1"/>
  <c r="U117" i="2" s="1"/>
  <c r="AS116" i="2"/>
  <c r="AR116" i="2"/>
  <c r="AQ116" i="2"/>
  <c r="AK116" i="2"/>
  <c r="AL116" i="2" s="1"/>
  <c r="AM116" i="2" s="1"/>
  <c r="S116" i="2"/>
  <c r="T116" i="2" s="1"/>
  <c r="U116" i="2" s="1"/>
  <c r="AS115" i="2"/>
  <c r="AR115" i="2"/>
  <c r="AQ115" i="2"/>
  <c r="AK115" i="2"/>
  <c r="AL115" i="2" s="1"/>
  <c r="AM115" i="2" s="1"/>
  <c r="S115" i="2"/>
  <c r="T115" i="2" s="1"/>
  <c r="U115" i="2" s="1"/>
  <c r="AS114" i="2"/>
  <c r="AR114" i="2"/>
  <c r="AQ114" i="2"/>
  <c r="AK114" i="2"/>
  <c r="AL114" i="2" s="1"/>
  <c r="AM114" i="2" s="1"/>
  <c r="S114" i="2"/>
  <c r="T114" i="2" s="1"/>
  <c r="U114" i="2" s="1"/>
  <c r="AS113" i="2"/>
  <c r="AR113" i="2"/>
  <c r="AQ113" i="2"/>
  <c r="AK113" i="2"/>
  <c r="AL113" i="2" s="1"/>
  <c r="AM113" i="2" s="1"/>
  <c r="S113" i="2"/>
  <c r="T113" i="2" s="1"/>
  <c r="U113" i="2" s="1"/>
  <c r="AS112" i="2"/>
  <c r="AR112" i="2"/>
  <c r="AQ112" i="2"/>
  <c r="AK112" i="2"/>
  <c r="AL112" i="2" s="1"/>
  <c r="AM112" i="2" s="1"/>
  <c r="S112" i="2"/>
  <c r="T112" i="2" s="1"/>
  <c r="U112" i="2" s="1"/>
  <c r="AS111" i="2"/>
  <c r="AR111" i="2"/>
  <c r="AQ111" i="2"/>
  <c r="AK111" i="2"/>
  <c r="AL111" i="2" s="1"/>
  <c r="AM111" i="2" s="1"/>
  <c r="S111" i="2"/>
  <c r="T111" i="2" s="1"/>
  <c r="U111" i="2" s="1"/>
  <c r="AS110" i="2"/>
  <c r="AR110" i="2"/>
  <c r="AQ110" i="2"/>
  <c r="AK110" i="2"/>
  <c r="AL110" i="2" s="1"/>
  <c r="AM110" i="2" s="1"/>
  <c r="S110" i="2"/>
  <c r="T110" i="2" s="1"/>
  <c r="U110" i="2" s="1"/>
  <c r="AS109" i="2"/>
  <c r="AR109" i="2"/>
  <c r="AQ109" i="2"/>
  <c r="AK109" i="2"/>
  <c r="AL109" i="2" s="1"/>
  <c r="AM109" i="2" s="1"/>
  <c r="S109" i="2"/>
  <c r="T109" i="2" s="1"/>
  <c r="U109" i="2" s="1"/>
  <c r="AS108" i="2"/>
  <c r="AR108" i="2"/>
  <c r="AQ108" i="2"/>
  <c r="AK108" i="2"/>
  <c r="AL108" i="2" s="1"/>
  <c r="AM108" i="2" s="1"/>
  <c r="S108" i="2"/>
  <c r="T108" i="2" s="1"/>
  <c r="U108" i="2" s="1"/>
  <c r="AS107" i="2"/>
  <c r="AR107" i="2"/>
  <c r="AQ107" i="2"/>
  <c r="AK107" i="2"/>
  <c r="AL107" i="2" s="1"/>
  <c r="AM107" i="2" s="1"/>
  <c r="S107" i="2"/>
  <c r="T107" i="2" s="1"/>
  <c r="U107" i="2" s="1"/>
  <c r="AS106" i="2"/>
  <c r="AR106" i="2"/>
  <c r="AQ106" i="2"/>
  <c r="AK106" i="2"/>
  <c r="AL106" i="2" s="1"/>
  <c r="AM106" i="2" s="1"/>
  <c r="S106" i="2"/>
  <c r="T106" i="2" s="1"/>
  <c r="U106" i="2" s="1"/>
  <c r="AS105" i="2"/>
  <c r="AR105" i="2"/>
  <c r="AQ105" i="2"/>
  <c r="AK105" i="2"/>
  <c r="AL105" i="2" s="1"/>
  <c r="AM105" i="2" s="1"/>
  <c r="S105" i="2"/>
  <c r="T105" i="2" s="1"/>
  <c r="U105" i="2" s="1"/>
  <c r="AS104" i="2"/>
  <c r="AR104" i="2"/>
  <c r="AQ104" i="2"/>
  <c r="AK104" i="2"/>
  <c r="AL104" i="2" s="1"/>
  <c r="AM104" i="2" s="1"/>
  <c r="S104" i="2"/>
  <c r="T104" i="2" s="1"/>
  <c r="U104" i="2" s="1"/>
  <c r="AS103" i="2"/>
  <c r="AR103" i="2"/>
  <c r="AQ103" i="2"/>
  <c r="AK103" i="2"/>
  <c r="AL103" i="2" s="1"/>
  <c r="AM103" i="2" s="1"/>
  <c r="S103" i="2"/>
  <c r="T103" i="2" s="1"/>
  <c r="U103" i="2" s="1"/>
  <c r="AS102" i="2"/>
  <c r="AR102" i="2"/>
  <c r="AQ102" i="2"/>
  <c r="AK102" i="2"/>
  <c r="AL102" i="2" s="1"/>
  <c r="AM102" i="2" s="1"/>
  <c r="S102" i="2"/>
  <c r="T102" i="2" s="1"/>
  <c r="U102" i="2" s="1"/>
  <c r="AS101" i="2"/>
  <c r="AR101" i="2"/>
  <c r="AQ101" i="2"/>
  <c r="AK101" i="2"/>
  <c r="AL101" i="2" s="1"/>
  <c r="AM101" i="2" s="1"/>
  <c r="S101" i="2"/>
  <c r="T101" i="2" s="1"/>
  <c r="U101" i="2" s="1"/>
  <c r="AS100" i="2"/>
  <c r="AR100" i="2"/>
  <c r="AQ100" i="2"/>
  <c r="AK100" i="2"/>
  <c r="AL100" i="2" s="1"/>
  <c r="AM100" i="2" s="1"/>
  <c r="S100" i="2"/>
  <c r="T100" i="2" s="1"/>
  <c r="U100" i="2" s="1"/>
  <c r="AS99" i="2"/>
  <c r="AR99" i="2"/>
  <c r="AQ99" i="2"/>
  <c r="AK99" i="2"/>
  <c r="AL99" i="2" s="1"/>
  <c r="AM99" i="2" s="1"/>
  <c r="S99" i="2"/>
  <c r="T99" i="2" s="1"/>
  <c r="U99" i="2" s="1"/>
  <c r="AS98" i="2"/>
  <c r="AR98" i="2"/>
  <c r="AQ98" i="2"/>
  <c r="AK98" i="2"/>
  <c r="AL98" i="2" s="1"/>
  <c r="AM98" i="2" s="1"/>
  <c r="S98" i="2"/>
  <c r="T98" i="2" s="1"/>
  <c r="U98" i="2" s="1"/>
  <c r="AS97" i="2"/>
  <c r="AR97" i="2"/>
  <c r="AQ97" i="2"/>
  <c r="AK97" i="2"/>
  <c r="AL97" i="2" s="1"/>
  <c r="AM97" i="2" s="1"/>
  <c r="S97" i="2"/>
  <c r="T97" i="2" s="1"/>
  <c r="U97" i="2" s="1"/>
  <c r="AS96" i="2"/>
  <c r="AR96" i="2"/>
  <c r="AQ96" i="2"/>
  <c r="AK96" i="2"/>
  <c r="AL96" i="2" s="1"/>
  <c r="AM96" i="2" s="1"/>
  <c r="S96" i="2"/>
  <c r="T96" i="2" s="1"/>
  <c r="U96" i="2" s="1"/>
  <c r="AS95" i="2"/>
  <c r="AR95" i="2"/>
  <c r="AQ95" i="2"/>
  <c r="AK95" i="2"/>
  <c r="AL95" i="2" s="1"/>
  <c r="AM95" i="2" s="1"/>
  <c r="S95" i="2"/>
  <c r="T95" i="2" s="1"/>
  <c r="U95" i="2" s="1"/>
  <c r="AS94" i="2"/>
  <c r="AR94" i="2"/>
  <c r="AQ94" i="2"/>
  <c r="AK94" i="2"/>
  <c r="AL94" i="2" s="1"/>
  <c r="AM94" i="2" s="1"/>
  <c r="S94" i="2"/>
  <c r="T94" i="2" s="1"/>
  <c r="U94" i="2" s="1"/>
  <c r="AS93" i="2"/>
  <c r="AR93" i="2"/>
  <c r="AQ93" i="2"/>
  <c r="AK93" i="2"/>
  <c r="AL93" i="2" s="1"/>
  <c r="AM93" i="2" s="1"/>
  <c r="S93" i="2"/>
  <c r="T93" i="2" s="1"/>
  <c r="U93" i="2" s="1"/>
  <c r="AS92" i="2"/>
  <c r="AR92" i="2"/>
  <c r="AQ92" i="2"/>
  <c r="AK92" i="2"/>
  <c r="AL92" i="2" s="1"/>
  <c r="AM92" i="2" s="1"/>
  <c r="S92" i="2"/>
  <c r="T92" i="2" s="1"/>
  <c r="U92" i="2" s="1"/>
  <c r="AS91" i="2"/>
  <c r="AR91" i="2"/>
  <c r="AQ91" i="2"/>
  <c r="AK91" i="2"/>
  <c r="AL91" i="2" s="1"/>
  <c r="AM91" i="2" s="1"/>
  <c r="S91" i="2"/>
  <c r="T91" i="2" s="1"/>
  <c r="U91" i="2" s="1"/>
  <c r="AS90" i="2"/>
  <c r="AR90" i="2"/>
  <c r="AQ90" i="2"/>
  <c r="AK90" i="2"/>
  <c r="AL90" i="2" s="1"/>
  <c r="AM90" i="2" s="1"/>
  <c r="S90" i="2"/>
  <c r="T90" i="2" s="1"/>
  <c r="U90" i="2" s="1"/>
  <c r="AS89" i="2"/>
  <c r="AR89" i="2"/>
  <c r="AQ89" i="2"/>
  <c r="AK89" i="2"/>
  <c r="AL89" i="2" s="1"/>
  <c r="AM89" i="2" s="1"/>
  <c r="S89" i="2"/>
  <c r="T89" i="2" s="1"/>
  <c r="U89" i="2" s="1"/>
  <c r="AS88" i="2"/>
  <c r="AR88" i="2"/>
  <c r="AQ88" i="2"/>
  <c r="AK88" i="2"/>
  <c r="AL88" i="2" s="1"/>
  <c r="AM88" i="2" s="1"/>
  <c r="S88" i="2"/>
  <c r="T88" i="2" s="1"/>
  <c r="U88" i="2" s="1"/>
  <c r="AS87" i="2"/>
  <c r="AR87" i="2"/>
  <c r="AQ87" i="2"/>
  <c r="AK87" i="2"/>
  <c r="AL87" i="2" s="1"/>
  <c r="AM87" i="2" s="1"/>
  <c r="S87" i="2"/>
  <c r="T87" i="2" s="1"/>
  <c r="U87" i="2" s="1"/>
  <c r="AS86" i="2"/>
  <c r="AR86" i="2"/>
  <c r="AQ86" i="2"/>
  <c r="AK86" i="2"/>
  <c r="AL86" i="2" s="1"/>
  <c r="AM86" i="2" s="1"/>
  <c r="S86" i="2"/>
  <c r="T86" i="2" s="1"/>
  <c r="U86" i="2" s="1"/>
  <c r="AS85" i="2"/>
  <c r="AR85" i="2"/>
  <c r="AQ85" i="2"/>
  <c r="AK85" i="2"/>
  <c r="AL85" i="2" s="1"/>
  <c r="AM85" i="2" s="1"/>
  <c r="S85" i="2"/>
  <c r="T85" i="2" s="1"/>
  <c r="U85" i="2" s="1"/>
  <c r="AS84" i="2"/>
  <c r="AR84" i="2"/>
  <c r="AQ84" i="2"/>
  <c r="AK84" i="2"/>
  <c r="AL84" i="2" s="1"/>
  <c r="AM84" i="2" s="1"/>
  <c r="S84" i="2"/>
  <c r="T84" i="2" s="1"/>
  <c r="U84" i="2" s="1"/>
  <c r="AS83" i="2"/>
  <c r="AR83" i="2"/>
  <c r="AQ83" i="2"/>
  <c r="AK83" i="2"/>
  <c r="AL83" i="2" s="1"/>
  <c r="AM83" i="2" s="1"/>
  <c r="S83" i="2"/>
  <c r="T83" i="2" s="1"/>
  <c r="U83" i="2" s="1"/>
  <c r="AS82" i="2"/>
  <c r="AR82" i="2"/>
  <c r="AQ82" i="2"/>
  <c r="AK82" i="2"/>
  <c r="AL82" i="2" s="1"/>
  <c r="AM82" i="2" s="1"/>
  <c r="S82" i="2"/>
  <c r="T82" i="2" s="1"/>
  <c r="U82" i="2" s="1"/>
  <c r="AS81" i="2"/>
  <c r="AR81" i="2"/>
  <c r="AQ81" i="2"/>
  <c r="AK81" i="2"/>
  <c r="AL81" i="2" s="1"/>
  <c r="AM81" i="2" s="1"/>
  <c r="S81" i="2"/>
  <c r="T81" i="2" s="1"/>
  <c r="U81" i="2" s="1"/>
  <c r="AS80" i="2"/>
  <c r="AR80" i="2"/>
  <c r="AQ80" i="2"/>
  <c r="AK80" i="2"/>
  <c r="AL80" i="2" s="1"/>
  <c r="AM80" i="2" s="1"/>
  <c r="S80" i="2"/>
  <c r="T80" i="2" s="1"/>
  <c r="U80" i="2" s="1"/>
  <c r="AS79" i="2"/>
  <c r="AR79" i="2"/>
  <c r="AQ79" i="2"/>
  <c r="AK79" i="2"/>
  <c r="AL79" i="2" s="1"/>
  <c r="AM79" i="2" s="1"/>
  <c r="S79" i="2"/>
  <c r="T79" i="2" s="1"/>
  <c r="U79" i="2" s="1"/>
  <c r="AS78" i="2"/>
  <c r="AR78" i="2"/>
  <c r="AQ78" i="2"/>
  <c r="AK78" i="2"/>
  <c r="AL78" i="2" s="1"/>
  <c r="AM78" i="2" s="1"/>
  <c r="S78" i="2"/>
  <c r="T78" i="2" s="1"/>
  <c r="U78" i="2" s="1"/>
  <c r="AS77" i="2"/>
  <c r="AR77" i="2"/>
  <c r="AQ77" i="2"/>
  <c r="AK77" i="2"/>
  <c r="AL77" i="2" s="1"/>
  <c r="AM77" i="2" s="1"/>
  <c r="S77" i="2"/>
  <c r="T77" i="2" s="1"/>
  <c r="U77" i="2" s="1"/>
  <c r="AS76" i="2"/>
  <c r="AR76" i="2"/>
  <c r="AQ76" i="2"/>
  <c r="AK76" i="2"/>
  <c r="AL76" i="2" s="1"/>
  <c r="AM76" i="2" s="1"/>
  <c r="S76" i="2"/>
  <c r="T76" i="2" s="1"/>
  <c r="U76" i="2" s="1"/>
  <c r="AS75" i="2"/>
  <c r="AR75" i="2"/>
  <c r="AQ75" i="2"/>
  <c r="AK75" i="2"/>
  <c r="S75" i="2"/>
  <c r="T75" i="2" s="1"/>
  <c r="U75" i="2" s="1"/>
  <c r="AS74" i="2"/>
  <c r="AR74" i="2"/>
  <c r="AQ74" i="2"/>
  <c r="AK74" i="2"/>
  <c r="AL74" i="2" s="1"/>
  <c r="AM74" i="2" s="1"/>
  <c r="S74" i="2"/>
  <c r="T74" i="2" s="1"/>
  <c r="U74" i="2" s="1"/>
  <c r="AS73" i="2"/>
  <c r="AR73" i="2"/>
  <c r="AQ73" i="2"/>
  <c r="AK73" i="2"/>
  <c r="AL73" i="2" s="1"/>
  <c r="AM73" i="2" s="1"/>
  <c r="S73" i="2"/>
  <c r="AS72" i="2"/>
  <c r="AR72" i="2"/>
  <c r="AQ72" i="2"/>
  <c r="AK72" i="2"/>
  <c r="S72" i="2"/>
  <c r="AS71" i="2"/>
  <c r="AR71" i="2"/>
  <c r="AQ71" i="2"/>
  <c r="AK71" i="2"/>
  <c r="S71" i="2"/>
  <c r="AS70" i="2"/>
  <c r="AR70" i="2"/>
  <c r="AQ70" i="2"/>
  <c r="AK70" i="2"/>
  <c r="S70" i="2"/>
  <c r="AS68" i="2"/>
  <c r="AR68" i="2"/>
  <c r="AQ68" i="2"/>
  <c r="AK68" i="2"/>
  <c r="AL68" i="2" s="1"/>
  <c r="AM68" i="2" s="1"/>
  <c r="S68" i="2"/>
  <c r="T68" i="2" s="1"/>
  <c r="U68" i="2" s="1"/>
  <c r="AS67" i="2"/>
  <c r="AR67" i="2"/>
  <c r="AQ67" i="2"/>
  <c r="AK67" i="2"/>
  <c r="AL67" i="2" s="1"/>
  <c r="AM67" i="2" s="1"/>
  <c r="S67" i="2"/>
  <c r="T67" i="2" s="1"/>
  <c r="U67" i="2" s="1"/>
  <c r="AS66" i="2"/>
  <c r="AR66" i="2"/>
  <c r="AQ66" i="2"/>
  <c r="AK66" i="2"/>
  <c r="AL66" i="2" s="1"/>
  <c r="AM66" i="2" s="1"/>
  <c r="S66" i="2"/>
  <c r="T66" i="2" s="1"/>
  <c r="U66" i="2" s="1"/>
  <c r="AS65" i="2"/>
  <c r="AR65" i="2"/>
  <c r="AQ65" i="2"/>
  <c r="AK65" i="2"/>
  <c r="AL65" i="2" s="1"/>
  <c r="AM65" i="2" s="1"/>
  <c r="S65" i="2"/>
  <c r="T65" i="2" s="1"/>
  <c r="U65" i="2" s="1"/>
  <c r="AS64" i="2"/>
  <c r="AR64" i="2"/>
  <c r="AQ64" i="2"/>
  <c r="AK64" i="2"/>
  <c r="AL64" i="2" s="1"/>
  <c r="AM64" i="2" s="1"/>
  <c r="S64" i="2"/>
  <c r="T64" i="2" s="1"/>
  <c r="U64" i="2" s="1"/>
  <c r="AS63" i="2"/>
  <c r="AR63" i="2"/>
  <c r="AQ63" i="2"/>
  <c r="AK63" i="2"/>
  <c r="AL63" i="2" s="1"/>
  <c r="AM63" i="2" s="1"/>
  <c r="S63" i="2"/>
  <c r="T63" i="2" s="1"/>
  <c r="U63" i="2" s="1"/>
  <c r="AS62" i="2"/>
  <c r="AR62" i="2"/>
  <c r="AQ62" i="2"/>
  <c r="AK62" i="2"/>
  <c r="AL62" i="2" s="1"/>
  <c r="AM62" i="2" s="1"/>
  <c r="S62" i="2"/>
  <c r="T62" i="2" s="1"/>
  <c r="U62" i="2" s="1"/>
  <c r="AS61" i="2"/>
  <c r="AR61" i="2"/>
  <c r="AQ61" i="2"/>
  <c r="AK61" i="2"/>
  <c r="AL61" i="2" s="1"/>
  <c r="AM61" i="2" s="1"/>
  <c r="S61" i="2"/>
  <c r="T61" i="2" s="1"/>
  <c r="U61" i="2" s="1"/>
  <c r="AS60" i="2"/>
  <c r="AR60" i="2"/>
  <c r="AQ60" i="2"/>
  <c r="AK60" i="2"/>
  <c r="AL60" i="2" s="1"/>
  <c r="AM60" i="2" s="1"/>
  <c r="S60" i="2"/>
  <c r="T60" i="2" s="1"/>
  <c r="U60" i="2" s="1"/>
  <c r="AS59" i="2"/>
  <c r="AR59" i="2"/>
  <c r="AQ59" i="2"/>
  <c r="AK59" i="2"/>
  <c r="AL59" i="2" s="1"/>
  <c r="AM59" i="2" s="1"/>
  <c r="S59" i="2"/>
  <c r="T59" i="2" s="1"/>
  <c r="U59" i="2" s="1"/>
  <c r="AS58" i="2"/>
  <c r="AR58" i="2"/>
  <c r="AQ58" i="2"/>
  <c r="AK58" i="2"/>
  <c r="AL58" i="2" s="1"/>
  <c r="AM58" i="2" s="1"/>
  <c r="S58" i="2"/>
  <c r="T58" i="2" s="1"/>
  <c r="U58" i="2" s="1"/>
  <c r="AS57" i="2"/>
  <c r="AR57" i="2"/>
  <c r="AQ57" i="2"/>
  <c r="AK57" i="2"/>
  <c r="AL57" i="2" s="1"/>
  <c r="AM57" i="2" s="1"/>
  <c r="S57" i="2"/>
  <c r="T57" i="2" s="1"/>
  <c r="U57" i="2" s="1"/>
  <c r="AS56" i="2"/>
  <c r="AR56" i="2"/>
  <c r="AQ56" i="2"/>
  <c r="AK56" i="2"/>
  <c r="AL56" i="2" s="1"/>
  <c r="AM56" i="2" s="1"/>
  <c r="S56" i="2"/>
  <c r="T56" i="2" s="1"/>
  <c r="U56" i="2" s="1"/>
  <c r="AS55" i="2"/>
  <c r="AR55" i="2"/>
  <c r="AQ55" i="2"/>
  <c r="AK55" i="2"/>
  <c r="AL55" i="2" s="1"/>
  <c r="AM55" i="2" s="1"/>
  <c r="S55" i="2"/>
  <c r="T55" i="2" s="1"/>
  <c r="U55" i="2" s="1"/>
  <c r="AS54" i="2"/>
  <c r="AR54" i="2"/>
  <c r="AQ54" i="2"/>
  <c r="AK54" i="2"/>
  <c r="AL54" i="2" s="1"/>
  <c r="AM54" i="2" s="1"/>
  <c r="S54" i="2"/>
  <c r="T54" i="2" s="1"/>
  <c r="U54" i="2" s="1"/>
  <c r="AS53" i="2"/>
  <c r="AR53" i="2"/>
  <c r="AQ53" i="2"/>
  <c r="AK53" i="2"/>
  <c r="AL53" i="2" s="1"/>
  <c r="AM53" i="2" s="1"/>
  <c r="S53" i="2"/>
  <c r="T53" i="2" s="1"/>
  <c r="U53" i="2" s="1"/>
  <c r="AS52" i="2"/>
  <c r="AR52" i="2"/>
  <c r="AQ52" i="2"/>
  <c r="AK52" i="2"/>
  <c r="AL52" i="2" s="1"/>
  <c r="AM52" i="2" s="1"/>
  <c r="S52" i="2"/>
  <c r="T52" i="2" s="1"/>
  <c r="U52" i="2" s="1"/>
  <c r="AS51" i="2"/>
  <c r="AR51" i="2"/>
  <c r="AQ51" i="2"/>
  <c r="AK51" i="2"/>
  <c r="AL51" i="2" s="1"/>
  <c r="AM51" i="2" s="1"/>
  <c r="S51" i="2"/>
  <c r="T51" i="2" s="1"/>
  <c r="U51" i="2" s="1"/>
  <c r="AS50" i="2"/>
  <c r="AR50" i="2"/>
  <c r="AQ50" i="2"/>
  <c r="AK50" i="2"/>
  <c r="AL50" i="2" s="1"/>
  <c r="AM50" i="2" s="1"/>
  <c r="S50" i="2"/>
  <c r="T50" i="2" s="1"/>
  <c r="U50" i="2" s="1"/>
  <c r="AS49" i="2"/>
  <c r="AR49" i="2"/>
  <c r="AQ49" i="2"/>
  <c r="AK49" i="2"/>
  <c r="AL49" i="2" s="1"/>
  <c r="AM49" i="2" s="1"/>
  <c r="S49" i="2"/>
  <c r="T49" i="2" s="1"/>
  <c r="U49" i="2" s="1"/>
  <c r="AS48" i="2"/>
  <c r="AR48" i="2"/>
  <c r="AQ48" i="2"/>
  <c r="AK48" i="2"/>
  <c r="AL48" i="2" s="1"/>
  <c r="AM48" i="2" s="1"/>
  <c r="S48" i="2"/>
  <c r="T48" i="2" s="1"/>
  <c r="U48" i="2" s="1"/>
  <c r="AS47" i="2"/>
  <c r="AR47" i="2"/>
  <c r="AQ47" i="2"/>
  <c r="AK47" i="2"/>
  <c r="AL47" i="2" s="1"/>
  <c r="AM47" i="2" s="1"/>
  <c r="S47" i="2"/>
  <c r="T47" i="2" s="1"/>
  <c r="U47" i="2" s="1"/>
  <c r="AS46" i="2"/>
  <c r="AR46" i="2"/>
  <c r="AQ46" i="2"/>
  <c r="AK46" i="2"/>
  <c r="AL46" i="2" s="1"/>
  <c r="AM46" i="2" s="1"/>
  <c r="S46" i="2"/>
  <c r="T46" i="2" s="1"/>
  <c r="U46" i="2" s="1"/>
  <c r="AS45" i="2"/>
  <c r="AR45" i="2"/>
  <c r="AQ45" i="2"/>
  <c r="AK45" i="2"/>
  <c r="AL45" i="2" s="1"/>
  <c r="AM45" i="2" s="1"/>
  <c r="S45" i="2"/>
  <c r="T45" i="2" s="1"/>
  <c r="U45" i="2" s="1"/>
  <c r="AS44" i="2"/>
  <c r="AR44" i="2"/>
  <c r="AQ44" i="2"/>
  <c r="AK44" i="2"/>
  <c r="AL44" i="2" s="1"/>
  <c r="AM44" i="2" s="1"/>
  <c r="S44" i="2"/>
  <c r="T44" i="2" s="1"/>
  <c r="U44" i="2" s="1"/>
  <c r="AS43" i="2"/>
  <c r="AR43" i="2"/>
  <c r="AQ43" i="2"/>
  <c r="AK43" i="2"/>
  <c r="AL43" i="2" s="1"/>
  <c r="AM43" i="2" s="1"/>
  <c r="S43" i="2"/>
  <c r="T43" i="2" s="1"/>
  <c r="U43" i="2" s="1"/>
  <c r="AS42" i="2"/>
  <c r="AR42" i="2"/>
  <c r="AQ42" i="2"/>
  <c r="AK42" i="2"/>
  <c r="AL42" i="2" s="1"/>
  <c r="AM42" i="2" s="1"/>
  <c r="S42" i="2"/>
  <c r="T42" i="2" s="1"/>
  <c r="U42" i="2" s="1"/>
  <c r="AS41" i="2"/>
  <c r="AR41" i="2"/>
  <c r="AQ41" i="2"/>
  <c r="AK41" i="2"/>
  <c r="AL41" i="2" s="1"/>
  <c r="AM41" i="2" s="1"/>
  <c r="S41" i="2"/>
  <c r="T41" i="2" s="1"/>
  <c r="U41" i="2" s="1"/>
  <c r="AS40" i="2"/>
  <c r="AR40" i="2"/>
  <c r="AQ40" i="2"/>
  <c r="AK40" i="2"/>
  <c r="AL40" i="2" s="1"/>
  <c r="AM40" i="2" s="1"/>
  <c r="S40" i="2"/>
  <c r="T40" i="2" s="1"/>
  <c r="U40" i="2" s="1"/>
  <c r="AS39" i="2"/>
  <c r="AR39" i="2"/>
  <c r="AQ39" i="2"/>
  <c r="AK39" i="2"/>
  <c r="AL39" i="2" s="1"/>
  <c r="AM39" i="2" s="1"/>
  <c r="S39" i="2"/>
  <c r="T39" i="2" s="1"/>
  <c r="U39" i="2" s="1"/>
  <c r="AS38" i="2"/>
  <c r="AR38" i="2"/>
  <c r="AQ38" i="2"/>
  <c r="AK38" i="2"/>
  <c r="AL38" i="2" s="1"/>
  <c r="AM38" i="2" s="1"/>
  <c r="S38" i="2"/>
  <c r="T38" i="2" s="1"/>
  <c r="U38" i="2" s="1"/>
  <c r="AS37" i="2"/>
  <c r="AR37" i="2"/>
  <c r="AQ37" i="2"/>
  <c r="AK37" i="2"/>
  <c r="AL37" i="2" s="1"/>
  <c r="AM37" i="2" s="1"/>
  <c r="S37" i="2"/>
  <c r="T37" i="2" s="1"/>
  <c r="U37" i="2" s="1"/>
  <c r="AS36" i="2"/>
  <c r="AR36" i="2"/>
  <c r="AQ36" i="2"/>
  <c r="AK36" i="2"/>
  <c r="AL36" i="2" s="1"/>
  <c r="AM36" i="2" s="1"/>
  <c r="S36" i="2"/>
  <c r="T36" i="2" s="1"/>
  <c r="U36" i="2" s="1"/>
  <c r="AS35" i="2"/>
  <c r="AR35" i="2"/>
  <c r="AQ35" i="2"/>
  <c r="AK35" i="2"/>
  <c r="AL35" i="2" s="1"/>
  <c r="AM35" i="2" s="1"/>
  <c r="S35" i="2"/>
  <c r="T35" i="2" s="1"/>
  <c r="U35" i="2" s="1"/>
  <c r="AS34" i="2"/>
  <c r="AR34" i="2"/>
  <c r="AQ34" i="2"/>
  <c r="AK34" i="2"/>
  <c r="AL34" i="2" s="1"/>
  <c r="AM34" i="2" s="1"/>
  <c r="S34" i="2"/>
  <c r="T34" i="2" s="1"/>
  <c r="U34" i="2" s="1"/>
  <c r="AS33" i="2"/>
  <c r="AR33" i="2"/>
  <c r="AQ33" i="2"/>
  <c r="AK33" i="2"/>
  <c r="AL33" i="2" s="1"/>
  <c r="AM33" i="2" s="1"/>
  <c r="S33" i="2"/>
  <c r="T33" i="2" s="1"/>
  <c r="U33" i="2" s="1"/>
  <c r="AS32" i="2"/>
  <c r="AR32" i="2"/>
  <c r="AQ32" i="2"/>
  <c r="AK32" i="2"/>
  <c r="AL32" i="2" s="1"/>
  <c r="AM32" i="2" s="1"/>
  <c r="S32" i="2"/>
  <c r="T32" i="2" s="1"/>
  <c r="U32" i="2" s="1"/>
  <c r="AS31" i="2"/>
  <c r="AR31" i="2"/>
  <c r="AQ31" i="2"/>
  <c r="AK31" i="2"/>
  <c r="AL31" i="2" s="1"/>
  <c r="AM31" i="2" s="1"/>
  <c r="S31" i="2"/>
  <c r="T31" i="2" s="1"/>
  <c r="U31" i="2" s="1"/>
  <c r="AS30" i="2"/>
  <c r="AR30" i="2"/>
  <c r="AQ30" i="2"/>
  <c r="AK30" i="2"/>
  <c r="AL30" i="2" s="1"/>
  <c r="AM30" i="2" s="1"/>
  <c r="S30" i="2"/>
  <c r="T30" i="2" s="1"/>
  <c r="U30" i="2" s="1"/>
  <c r="AS29" i="2"/>
  <c r="AR29" i="2"/>
  <c r="AQ29" i="2"/>
  <c r="AK29" i="2"/>
  <c r="AL29" i="2" s="1"/>
  <c r="AM29" i="2" s="1"/>
  <c r="S29" i="2"/>
  <c r="T29" i="2" s="1"/>
  <c r="U29" i="2" s="1"/>
  <c r="AS28" i="2"/>
  <c r="AR28" i="2"/>
  <c r="AQ28" i="2"/>
  <c r="AK28" i="2"/>
  <c r="AL28" i="2" s="1"/>
  <c r="AM28" i="2" s="1"/>
  <c r="S28" i="2"/>
  <c r="T28" i="2" s="1"/>
  <c r="U28" i="2" s="1"/>
  <c r="AS27" i="2"/>
  <c r="AR27" i="2"/>
  <c r="AQ27" i="2"/>
  <c r="AK27" i="2"/>
  <c r="AL27" i="2" s="1"/>
  <c r="AM27" i="2" s="1"/>
  <c r="S27" i="2"/>
  <c r="T27" i="2" s="1"/>
  <c r="U27" i="2" s="1"/>
  <c r="AS26" i="2"/>
  <c r="AR26" i="2"/>
  <c r="AQ26" i="2"/>
  <c r="AK26" i="2"/>
  <c r="AL26" i="2" s="1"/>
  <c r="AM26" i="2" s="1"/>
  <c r="S26" i="2"/>
  <c r="T26" i="2" s="1"/>
  <c r="U26" i="2" s="1"/>
  <c r="AS25" i="2"/>
  <c r="AR25" i="2"/>
  <c r="AQ25" i="2"/>
  <c r="AK25" i="2"/>
  <c r="S25" i="2"/>
  <c r="T25" i="2" s="1"/>
  <c r="U25" i="2" s="1"/>
  <c r="AS24" i="2"/>
  <c r="AR24" i="2"/>
  <c r="AQ24" i="2"/>
  <c r="AK24" i="2"/>
  <c r="S24" i="2"/>
  <c r="T24" i="2" s="1"/>
  <c r="U24" i="2" s="1"/>
  <c r="AS23" i="2"/>
  <c r="AR23" i="2"/>
  <c r="AQ23" i="2"/>
  <c r="AK23" i="2"/>
  <c r="AL23" i="2" s="1"/>
  <c r="AM23" i="2" s="1"/>
  <c r="S23" i="2"/>
  <c r="T23" i="2" s="1"/>
  <c r="U23" i="2" s="1"/>
  <c r="AS22" i="2"/>
  <c r="AR22" i="2"/>
  <c r="AQ22" i="2"/>
  <c r="AK22" i="2"/>
  <c r="AS21" i="2"/>
  <c r="AR21" i="2"/>
  <c r="AQ21" i="2"/>
  <c r="AK21" i="2"/>
  <c r="S21" i="2"/>
  <c r="AS20" i="2"/>
  <c r="AR20" i="2"/>
  <c r="AQ20" i="2"/>
  <c r="AK20" i="2"/>
  <c r="S20" i="2"/>
  <c r="AS19" i="2"/>
  <c r="AR19" i="2"/>
  <c r="AQ19" i="2"/>
  <c r="AK19" i="2"/>
  <c r="AK16" i="2"/>
  <c r="J11" i="2"/>
  <c r="AR10" i="2"/>
  <c r="AA10" i="2"/>
  <c r="J10" i="2"/>
  <c r="AQ7" i="2"/>
  <c r="F7" i="2"/>
  <c r="AQ5" i="2"/>
  <c r="H66" i="5" l="1"/>
  <c r="H17" i="5"/>
  <c r="F17" i="5"/>
  <c r="G17" i="5"/>
  <c r="AW19" i="2"/>
  <c r="AV19" i="2"/>
  <c r="AV22" i="2"/>
  <c r="AW22" i="2"/>
  <c r="AF21" i="2"/>
  <c r="AG21" i="2" s="1"/>
  <c r="AF20" i="2"/>
  <c r="AG20" i="2" s="1"/>
  <c r="AF19" i="2"/>
  <c r="AG19" i="2" s="1"/>
  <c r="Z21" i="2"/>
  <c r="AA21" i="2" s="1"/>
  <c r="Z19" i="2"/>
  <c r="AA19" i="2" s="1"/>
  <c r="L19" i="2"/>
  <c r="M19" i="2" s="1"/>
  <c r="AX19" i="16"/>
  <c r="G14" i="5"/>
  <c r="AX72" i="16"/>
  <c r="G67" i="5"/>
  <c r="AX20" i="16"/>
  <c r="G15" i="5"/>
  <c r="AX21" i="16"/>
  <c r="G16" i="5"/>
  <c r="AX70" i="16"/>
  <c r="G65" i="5"/>
  <c r="AX71" i="16"/>
  <c r="G66" i="5"/>
  <c r="AX71" i="17"/>
  <c r="AX21" i="17"/>
  <c r="H16" i="5"/>
  <c r="AX20" i="17"/>
  <c r="H15" i="5"/>
  <c r="AX19" i="17"/>
  <c r="H14" i="5"/>
  <c r="AX70" i="17"/>
  <c r="H65" i="5"/>
  <c r="AX72" i="17"/>
  <c r="H67" i="5"/>
  <c r="AV35" i="2"/>
  <c r="AV47" i="2"/>
  <c r="AV59" i="2"/>
  <c r="AV118" i="2"/>
  <c r="AV106" i="2"/>
  <c r="AV94" i="2"/>
  <c r="AV82" i="2"/>
  <c r="AV36" i="2"/>
  <c r="AV48" i="2"/>
  <c r="AV60" i="2"/>
  <c r="AV117" i="2"/>
  <c r="AV105" i="2"/>
  <c r="AV93" i="2"/>
  <c r="AV81" i="2"/>
  <c r="AV37" i="2"/>
  <c r="AV49" i="2"/>
  <c r="AV61" i="2"/>
  <c r="AV38" i="2"/>
  <c r="AV50" i="2"/>
  <c r="AV62" i="2"/>
  <c r="AV27" i="2"/>
  <c r="AV39" i="2"/>
  <c r="AV51" i="2"/>
  <c r="AV63" i="2"/>
  <c r="AV114" i="2"/>
  <c r="AV102" i="2"/>
  <c r="AV90" i="2"/>
  <c r="AV28" i="2"/>
  <c r="AV52" i="2"/>
  <c r="AV64" i="2"/>
  <c r="AV113" i="2"/>
  <c r="AV101" i="2"/>
  <c r="AV89" i="2"/>
  <c r="AV112" i="2"/>
  <c r="AV100" i="2"/>
  <c r="AV88" i="2"/>
  <c r="AV111" i="2"/>
  <c r="AV99" i="2"/>
  <c r="AV87" i="2"/>
  <c r="AV110" i="2"/>
  <c r="AV98" i="2"/>
  <c r="AV86" i="2"/>
  <c r="AV109" i="2"/>
  <c r="AV97" i="2"/>
  <c r="AV85" i="2"/>
  <c r="AV33" i="2"/>
  <c r="AV45" i="2"/>
  <c r="AV57" i="2"/>
  <c r="AV108" i="2"/>
  <c r="AV96" i="2"/>
  <c r="AV84" i="2"/>
  <c r="AV34" i="2"/>
  <c r="AV46" i="2"/>
  <c r="AV58" i="2"/>
  <c r="AV119" i="2"/>
  <c r="AV95" i="2"/>
  <c r="AX37" i="2"/>
  <c r="AX49" i="2"/>
  <c r="AW100" i="2"/>
  <c r="AX68" i="2"/>
  <c r="AT115" i="2"/>
  <c r="AU115" i="2" s="1"/>
  <c r="AW91" i="2"/>
  <c r="AW94" i="2"/>
  <c r="AW115" i="2"/>
  <c r="AX32" i="2"/>
  <c r="AW118" i="2"/>
  <c r="AX35" i="2"/>
  <c r="AW93" i="2"/>
  <c r="AW117" i="2"/>
  <c r="AX40" i="2"/>
  <c r="AX44" i="2"/>
  <c r="AW101" i="2"/>
  <c r="AX47" i="2"/>
  <c r="AW102" i="2"/>
  <c r="AW103" i="2"/>
  <c r="AX52" i="2"/>
  <c r="AW81" i="2"/>
  <c r="AW105" i="2"/>
  <c r="AX56" i="2"/>
  <c r="AW82" i="2"/>
  <c r="AW106" i="2"/>
  <c r="AL25" i="2"/>
  <c r="AM25" i="2" s="1"/>
  <c r="AX59" i="2"/>
  <c r="AW88" i="2"/>
  <c r="AW112" i="2"/>
  <c r="AX61" i="2"/>
  <c r="AW89" i="2"/>
  <c r="AW113" i="2"/>
  <c r="AW90" i="2"/>
  <c r="AW114" i="2"/>
  <c r="AX36" i="2"/>
  <c r="AX48" i="2"/>
  <c r="AX60" i="2"/>
  <c r="AX84" i="2"/>
  <c r="AX96" i="2"/>
  <c r="AX108" i="2"/>
  <c r="AX85" i="2"/>
  <c r="AX97" i="2"/>
  <c r="AX109" i="2"/>
  <c r="AX83" i="2"/>
  <c r="AX38" i="2"/>
  <c r="AX50" i="2"/>
  <c r="AX62" i="2"/>
  <c r="AX86" i="2"/>
  <c r="AX98" i="2"/>
  <c r="AX110" i="2"/>
  <c r="AX39" i="2"/>
  <c r="AX51" i="2"/>
  <c r="AX63" i="2"/>
  <c r="AX87" i="2"/>
  <c r="AX99" i="2"/>
  <c r="AX111" i="2"/>
  <c r="AW92" i="2"/>
  <c r="AW104" i="2"/>
  <c r="AW116" i="2"/>
  <c r="AX29" i="2"/>
  <c r="AX41" i="2"/>
  <c r="AX53" i="2"/>
  <c r="AX65" i="2"/>
  <c r="AX107" i="2"/>
  <c r="AX30" i="2"/>
  <c r="AX42" i="2"/>
  <c r="AX54" i="2"/>
  <c r="AX66" i="2"/>
  <c r="AW83" i="2"/>
  <c r="AW95" i="2"/>
  <c r="AW107" i="2"/>
  <c r="AW119" i="2"/>
  <c r="AX31" i="2"/>
  <c r="AX43" i="2"/>
  <c r="AX55" i="2"/>
  <c r="AX67" i="2"/>
  <c r="AX91" i="2"/>
  <c r="AX103" i="2"/>
  <c r="AX115" i="2"/>
  <c r="AX92" i="2"/>
  <c r="AX104" i="2"/>
  <c r="AX116" i="2"/>
  <c r="AT105" i="2"/>
  <c r="AU105" i="2" s="1"/>
  <c r="AT113" i="2"/>
  <c r="AU113" i="2" s="1"/>
  <c r="AT116" i="2"/>
  <c r="AU116" i="2" s="1"/>
  <c r="AT71" i="2"/>
  <c r="AU71" i="2" s="1"/>
  <c r="AT36" i="2"/>
  <c r="AU36" i="2" s="1"/>
  <c r="AT67" i="2"/>
  <c r="AU67" i="2" s="1"/>
  <c r="AT52" i="2"/>
  <c r="AU52" i="2" s="1"/>
  <c r="AT60" i="2"/>
  <c r="AU60" i="2" s="1"/>
  <c r="AT89" i="2"/>
  <c r="AU89" i="2" s="1"/>
  <c r="AT25" i="2"/>
  <c r="AU25" i="2" s="1"/>
  <c r="AT63" i="2"/>
  <c r="AU63" i="2" s="1"/>
  <c r="AT54" i="2"/>
  <c r="AU54" i="2" s="1"/>
  <c r="AT68" i="2"/>
  <c r="AU68" i="2" s="1"/>
  <c r="AT31" i="2"/>
  <c r="AU31" i="2" s="1"/>
  <c r="AT62" i="2"/>
  <c r="AU62" i="2" s="1"/>
  <c r="AT46" i="2"/>
  <c r="AU46" i="2" s="1"/>
  <c r="AT99" i="2"/>
  <c r="AU99" i="2" s="1"/>
  <c r="AT112" i="2"/>
  <c r="AU112" i="2" s="1"/>
  <c r="AX78" i="2"/>
  <c r="AX79" i="2"/>
  <c r="AW78" i="2"/>
  <c r="AX80" i="2"/>
  <c r="AW79" i="2"/>
  <c r="AW80" i="2"/>
  <c r="I73" i="5"/>
  <c r="J73" i="5"/>
  <c r="I74" i="5"/>
  <c r="J74" i="5"/>
  <c r="I75" i="5"/>
  <c r="AX27" i="2"/>
  <c r="I22" i="5"/>
  <c r="AX28" i="2"/>
  <c r="J22" i="5"/>
  <c r="I23" i="5"/>
  <c r="J23" i="5"/>
  <c r="AT22" i="2"/>
  <c r="AU22" i="2" s="1"/>
  <c r="AT24" i="2"/>
  <c r="AU24" i="2" s="1"/>
  <c r="AT40" i="2"/>
  <c r="AU40" i="2" s="1"/>
  <c r="AT58" i="2"/>
  <c r="AU58" i="2" s="1"/>
  <c r="AT75" i="2"/>
  <c r="AU75" i="2" s="1"/>
  <c r="AT91" i="2"/>
  <c r="AU91" i="2" s="1"/>
  <c r="AT100" i="2"/>
  <c r="AU100" i="2" s="1"/>
  <c r="AT34" i="2"/>
  <c r="AU34" i="2" s="1"/>
  <c r="AT104" i="2"/>
  <c r="AU104" i="2" s="1"/>
  <c r="AT109" i="2"/>
  <c r="AU109" i="2" s="1"/>
  <c r="AT41" i="2"/>
  <c r="AU41" i="2" s="1"/>
  <c r="AT50" i="2"/>
  <c r="AU50" i="2" s="1"/>
  <c r="AT23" i="2"/>
  <c r="AU23" i="2" s="1"/>
  <c r="AT66" i="2"/>
  <c r="AU66" i="2" s="1"/>
  <c r="AT92" i="2"/>
  <c r="AU92" i="2" s="1"/>
  <c r="AT103" i="2"/>
  <c r="AU103" i="2" s="1"/>
  <c r="AT83" i="2"/>
  <c r="AU83" i="2" s="1"/>
  <c r="AT21" i="2"/>
  <c r="AU21" i="2" s="1"/>
  <c r="AT48" i="2"/>
  <c r="AU48" i="2" s="1"/>
  <c r="AT28" i="2"/>
  <c r="AU28" i="2" s="1"/>
  <c r="AT88" i="2"/>
  <c r="AU88" i="2" s="1"/>
  <c r="AT110" i="2"/>
  <c r="AU110" i="2" s="1"/>
  <c r="AT119" i="2"/>
  <c r="AU119" i="2" s="1"/>
  <c r="AT33" i="2"/>
  <c r="AU33" i="2" s="1"/>
  <c r="AT77" i="2"/>
  <c r="AU77" i="2" s="1"/>
  <c r="AT95" i="2"/>
  <c r="AU95" i="2" s="1"/>
  <c r="AL19" i="2"/>
  <c r="AM19" i="2" s="1"/>
  <c r="AL21" i="2"/>
  <c r="AM21" i="2" s="1"/>
  <c r="AL24" i="2"/>
  <c r="AM24" i="2" s="1"/>
  <c r="AL22" i="2"/>
  <c r="AM22" i="2" s="1"/>
  <c r="AL75" i="2"/>
  <c r="AM75" i="2" s="1"/>
  <c r="AX24" i="2"/>
  <c r="AW77" i="2"/>
  <c r="T20" i="2"/>
  <c r="U20" i="2" s="1"/>
  <c r="T71" i="2"/>
  <c r="U71" i="2" s="1"/>
  <c r="AV71" i="2" s="1"/>
  <c r="T19" i="2"/>
  <c r="U19" i="2" s="1"/>
  <c r="AT51" i="2"/>
  <c r="AU51" i="2" s="1"/>
  <c r="T72" i="2"/>
  <c r="U72" i="2" s="1"/>
  <c r="AT111" i="2"/>
  <c r="AU111" i="2" s="1"/>
  <c r="AT26" i="2"/>
  <c r="AU26" i="2" s="1"/>
  <c r="AX26" i="2" s="1"/>
  <c r="AT79" i="2"/>
  <c r="AU79" i="2" s="1"/>
  <c r="AT84" i="2"/>
  <c r="AU84" i="2" s="1"/>
  <c r="AT19" i="2"/>
  <c r="AU19" i="2" s="1"/>
  <c r="AT30" i="2"/>
  <c r="AU30" i="2" s="1"/>
  <c r="AT37" i="2"/>
  <c r="AU37" i="2" s="1"/>
  <c r="AT43" i="2"/>
  <c r="AU43" i="2" s="1"/>
  <c r="AT72" i="2"/>
  <c r="AU72" i="2" s="1"/>
  <c r="AT74" i="2"/>
  <c r="AU74" i="2" s="1"/>
  <c r="AW74" i="2" s="1"/>
  <c r="AT32" i="2"/>
  <c r="AU32" i="2" s="1"/>
  <c r="T22" i="2"/>
  <c r="AT39" i="2"/>
  <c r="AU39" i="2" s="1"/>
  <c r="AT45" i="2"/>
  <c r="AU45" i="2" s="1"/>
  <c r="AT56" i="2"/>
  <c r="AU56" i="2" s="1"/>
  <c r="T73" i="2"/>
  <c r="U73" i="2" s="1"/>
  <c r="AT101" i="2"/>
  <c r="AU101" i="2" s="1"/>
  <c r="AT47" i="2"/>
  <c r="AU47" i="2" s="1"/>
  <c r="AT64" i="2"/>
  <c r="AU64" i="2" s="1"/>
  <c r="AT90" i="2"/>
  <c r="AU90" i="2" s="1"/>
  <c r="AT98" i="2"/>
  <c r="AU98" i="2" s="1"/>
  <c r="AT108" i="2"/>
  <c r="AU108" i="2" s="1"/>
  <c r="AT117" i="2"/>
  <c r="AU117" i="2" s="1"/>
  <c r="AT27" i="2"/>
  <c r="AU27" i="2" s="1"/>
  <c r="AT38" i="2"/>
  <c r="AU38" i="2" s="1"/>
  <c r="AT76" i="2"/>
  <c r="AU76" i="2" s="1"/>
  <c r="AW76" i="2" s="1"/>
  <c r="AX76" i="2" s="1"/>
  <c r="AT80" i="2"/>
  <c r="AU80" i="2" s="1"/>
  <c r="AT107" i="2"/>
  <c r="AU107" i="2" s="1"/>
  <c r="AT114" i="2"/>
  <c r="AU114" i="2" s="1"/>
  <c r="AT20" i="2"/>
  <c r="AU20" i="2" s="1"/>
  <c r="AT29" i="2"/>
  <c r="AU29" i="2" s="1"/>
  <c r="AT42" i="2"/>
  <c r="AU42" i="2" s="1"/>
  <c r="AT49" i="2"/>
  <c r="AU49" i="2" s="1"/>
  <c r="AT55" i="2"/>
  <c r="AU55" i="2" s="1"/>
  <c r="AT87" i="2"/>
  <c r="AU87" i="2" s="1"/>
  <c r="AT96" i="2"/>
  <c r="AU96" i="2" s="1"/>
  <c r="AL20" i="2"/>
  <c r="AM20" i="2" s="1"/>
  <c r="T21" i="2"/>
  <c r="U21" i="2" s="1"/>
  <c r="AT35" i="2"/>
  <c r="AU35" i="2" s="1"/>
  <c r="AT44" i="2"/>
  <c r="AU44" i="2" s="1"/>
  <c r="AT53" i="2"/>
  <c r="AU53" i="2" s="1"/>
  <c r="AT57" i="2"/>
  <c r="AU57" i="2" s="1"/>
  <c r="AT59" i="2"/>
  <c r="AU59" i="2" s="1"/>
  <c r="AT86" i="2"/>
  <c r="AU86" i="2" s="1"/>
  <c r="AT85" i="2"/>
  <c r="AU85" i="2" s="1"/>
  <c r="AT94" i="2"/>
  <c r="AU94" i="2" s="1"/>
  <c r="AL70" i="2"/>
  <c r="AM70" i="2" s="1"/>
  <c r="AL71" i="2"/>
  <c r="AM71" i="2" s="1"/>
  <c r="AT70" i="2"/>
  <c r="AU70" i="2" s="1"/>
  <c r="AT82" i="2"/>
  <c r="AU82" i="2" s="1"/>
  <c r="AL72" i="2"/>
  <c r="AM72" i="2" s="1"/>
  <c r="AT93" i="2"/>
  <c r="AU93" i="2" s="1"/>
  <c r="AT102" i="2"/>
  <c r="AU102" i="2" s="1"/>
  <c r="AT118" i="2"/>
  <c r="AU118" i="2" s="1"/>
  <c r="AT61" i="2"/>
  <c r="AU61" i="2" s="1"/>
  <c r="AT65" i="2"/>
  <c r="AU65" i="2" s="1"/>
  <c r="AT73" i="2"/>
  <c r="AU73" i="2" s="1"/>
  <c r="AT78" i="2"/>
  <c r="AU78" i="2" s="1"/>
  <c r="AT81" i="2"/>
  <c r="AU81" i="2" s="1"/>
  <c r="AT106" i="2"/>
  <c r="AU106" i="2" s="1"/>
  <c r="AT97" i="2"/>
  <c r="AU97" i="2" s="1"/>
  <c r="T70" i="2"/>
  <c r="U70" i="2" s="1"/>
  <c r="AV72" i="2" l="1"/>
  <c r="AV70" i="2"/>
  <c r="AW70" i="2" s="1"/>
  <c r="AV20" i="2"/>
  <c r="F15" i="5" s="1"/>
  <c r="AV21" i="2"/>
  <c r="F14" i="5"/>
  <c r="AW73" i="2"/>
  <c r="AW75" i="2"/>
  <c r="AW71" i="2"/>
  <c r="AW72" i="2"/>
  <c r="U22" i="2"/>
  <c r="AX25" i="2"/>
  <c r="AX77" i="2"/>
  <c r="AX75" i="2"/>
  <c r="AX23" i="2"/>
  <c r="AX74" i="2"/>
  <c r="AX73" i="2"/>
  <c r="F65" i="5" l="1"/>
  <c r="AX70" i="2"/>
  <c r="AX71" i="2"/>
  <c r="F66" i="5"/>
  <c r="I66" i="5" s="1"/>
  <c r="J66" i="5" s="1"/>
  <c r="AX21" i="2"/>
  <c r="F16" i="5"/>
  <c r="I16" i="5" s="1"/>
  <c r="J16" i="5" s="1"/>
  <c r="AX72" i="2"/>
  <c r="F67" i="5"/>
  <c r="I67" i="5" s="1"/>
  <c r="J67" i="5" s="1"/>
  <c r="AX19" i="2"/>
  <c r="I68" i="5"/>
  <c r="J68" i="5" s="1"/>
  <c r="I71" i="5"/>
  <c r="J71" i="5" s="1"/>
  <c r="I15" i="5"/>
  <c r="J15" i="5" s="1"/>
  <c r="I14" i="5"/>
  <c r="J14" i="5" s="1"/>
  <c r="AX20" i="2"/>
  <c r="I20" i="5"/>
  <c r="J20" i="5" s="1"/>
  <c r="I70" i="5"/>
  <c r="J70" i="5" s="1"/>
  <c r="I21" i="5"/>
  <c r="J21" i="5" s="1"/>
  <c r="I17" i="5"/>
  <c r="J17" i="5" s="1"/>
  <c r="AX22" i="2"/>
  <c r="I72" i="5"/>
  <c r="J72" i="5" s="1"/>
  <c r="I18" i="5"/>
  <c r="J18" i="5" s="1"/>
  <c r="I19" i="5"/>
  <c r="J19" i="5" s="1"/>
  <c r="I69" i="5"/>
  <c r="J69" i="5" s="1"/>
  <c r="I65" i="5"/>
  <c r="J65" i="5" s="1"/>
</calcChain>
</file>

<file path=xl/sharedStrings.xml><?xml version="1.0" encoding="utf-8"?>
<sst xmlns="http://schemas.openxmlformats.org/spreadsheetml/2006/main" count="251" uniqueCount="69">
  <si>
    <t>Input Data Sheet for Electronic-Class Record (ECR)</t>
  </si>
  <si>
    <t>REGION</t>
  </si>
  <si>
    <t>LEARNERS' NAMES</t>
  </si>
  <si>
    <t>DIVISION</t>
  </si>
  <si>
    <t>SCHOOL ID</t>
  </si>
  <si>
    <t>:</t>
  </si>
  <si>
    <t>SCHOOL NAME</t>
  </si>
  <si>
    <t>SCHOOL YEAR</t>
  </si>
  <si>
    <t>MALE</t>
  </si>
  <si>
    <t>FEMALE</t>
  </si>
  <si>
    <t>FIRST TERM</t>
  </si>
  <si>
    <t>GRADE LEVEL</t>
  </si>
  <si>
    <t>TEACHER</t>
  </si>
  <si>
    <t>SUBJECT</t>
  </si>
  <si>
    <t>SECTION</t>
  </si>
  <si>
    <t>Initial Grade</t>
  </si>
  <si>
    <t>Term Grade</t>
  </si>
  <si>
    <t>Descriptor</t>
  </si>
  <si>
    <t>SCHOOL HEAD</t>
  </si>
  <si>
    <t>Total</t>
  </si>
  <si>
    <t>PS</t>
  </si>
  <si>
    <t>WS</t>
  </si>
  <si>
    <t>ST1</t>
  </si>
  <si>
    <t>ST2</t>
  </si>
  <si>
    <t>TE</t>
  </si>
  <si>
    <t>WS ST1</t>
  </si>
  <si>
    <t>WS ST2</t>
  </si>
  <si>
    <t>WS TE</t>
  </si>
  <si>
    <t>HIGHEST POSSIBLE SCORE</t>
  </si>
  <si>
    <t>SUBJECT TEACHER</t>
  </si>
  <si>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</si>
  <si>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</si>
  <si>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</si>
  <si>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</si>
  <si>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</si>
  <si>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</si>
  <si>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</si>
  <si>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</si>
  <si>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</si>
  <si>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</si>
  <si>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</si>
  <si>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</si>
  <si>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</si>
  <si>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</si>
  <si>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</si>
  <si>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</si>
  <si>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</si>
  <si>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</si>
  <si>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</si>
  <si>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</si>
  <si>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</si>
  <si>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</si>
  <si>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</si>
  <si>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</si>
  <si>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</si>
  <si>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</si>
  <si>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</si>
  <si>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</si>
  <si>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</si>
  <si>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</si>
  <si>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SECOND TERM</t>
  </si>
  <si>
    <t>THIRD TERM</t>
  </si>
  <si>
    <t>COGNITIVE DOMAIN</t>
  </si>
  <si>
    <t>AFFECTIVE DOMAIN</t>
  </si>
  <si>
    <t>PRODUCT / PERFORMANCE TASKS (PTs) - 50%</t>
  </si>
  <si>
    <t>BEHAVIORAL DOMAIN</t>
  </si>
  <si>
    <t>WRITTEN / ORAL WORKS (WWs) - 20%</t>
  </si>
  <si>
    <t>EXAMINATIONS (EXs) - 30%</t>
  </si>
  <si>
    <t>CLASS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</si>
</sst>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
      <b/>
      <sz val="10"/>
      <name val="Arial"/>
      <family val="2"/>
    </font>
  </fonts>
  <fills count="2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s>
  <borders count="17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right style="thin">
        <color rgb="FF000000"/>
      </right>
      <top style="thin">
        <color rgb="FF000000"/>
      </top>
      <bottom style="medium">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rgb="FF000000"/>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rgb="FF000000"/>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medium">
        <color rgb="FF000000"/>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rgb="FF000000"/>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thin">
        <color indexed="64"/>
      </left>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rgb="FF000000"/>
      </bottom>
      <diagonal/>
    </border>
    <border>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rgb="FF000000"/>
      </top>
      <bottom style="thin">
        <color rgb="FF000000"/>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440">
    <xf numFmtId="0" fontId="0" fillId="0" borderId="0" xfId="0" applyFont="1" applyAlignment="1"/>
    <xf numFmtId="0" fontId="2" fillId="0" borderId="0" xfId="0" applyFont="1"/>
    <xf numFmtId="0" fontId="2" fillId="0" borderId="0" xfId="0" applyFont="1" applyAlignment="1">
      <alignment vertical="center"/>
    </xf>
    <xf numFmtId="0" fontId="2" fillId="0" borderId="0" xfId="0" applyFont="1" applyAlignment="1"/>
    <xf numFmtId="0" fontId="2" fillId="4" borderId="17" xfId="0" applyFont="1" applyFill="1" applyBorder="1"/>
    <xf numFmtId="0" fontId="4" fillId="0" borderId="0" xfId="0" applyFont="1" applyAlignment="1">
      <alignment horizontal="right"/>
    </xf>
    <xf numFmtId="0" fontId="2" fillId="4" borderId="18" xfId="0" applyFont="1" applyFill="1" applyBorder="1"/>
    <xf numFmtId="0" fontId="2" fillId="4" borderId="19" xfId="0" applyFont="1" applyFill="1" applyBorder="1"/>
    <xf numFmtId="0" fontId="2" fillId="4" borderId="20" xfId="0" applyFont="1" applyFill="1" applyBorder="1"/>
    <xf numFmtId="0" fontId="6" fillId="5" borderId="21" xfId="0" applyFont="1" applyFill="1" applyBorder="1"/>
    <xf numFmtId="0" fontId="6" fillId="5" borderId="22" xfId="0" applyFont="1" applyFill="1" applyBorder="1" applyAlignment="1">
      <alignment horizontal="center"/>
    </xf>
    <xf numFmtId="0" fontId="2" fillId="4" borderId="25" xfId="0" applyFont="1" applyFill="1" applyBorder="1"/>
    <xf numFmtId="0" fontId="8" fillId="5" borderId="22" xfId="0" applyFont="1" applyFill="1" applyBorder="1" applyAlignment="1">
      <alignment horizontal="left"/>
    </xf>
    <xf numFmtId="0" fontId="2" fillId="5" borderId="26" xfId="0" applyFont="1" applyFill="1" applyBorder="1" applyAlignment="1">
      <alignment horizontal="left"/>
    </xf>
    <xf numFmtId="0" fontId="2" fillId="4" borderId="18" xfId="0" applyFont="1" applyFill="1" applyBorder="1" applyAlignment="1"/>
    <xf numFmtId="0" fontId="2" fillId="4" borderId="18" xfId="0" applyFont="1" applyFill="1" applyBorder="1" applyAlignment="1">
      <alignment horizontal="left"/>
    </xf>
    <xf numFmtId="0" fontId="6" fillId="5" borderId="21" xfId="0" applyFont="1" applyFill="1" applyBorder="1" applyAlignment="1">
      <alignment vertical="center"/>
    </xf>
    <xf numFmtId="0" fontId="6" fillId="5" borderId="23" xfId="0" applyFont="1" applyFill="1" applyBorder="1" applyAlignment="1">
      <alignment horizontal="center" vertical="center"/>
    </xf>
    <xf numFmtId="0" fontId="2" fillId="0" borderId="0" xfId="0" applyFont="1"/>
    <xf numFmtId="0" fontId="6" fillId="5" borderId="31" xfId="0" applyFont="1" applyFill="1" applyBorder="1" applyAlignment="1">
      <alignment vertical="center"/>
    </xf>
    <xf numFmtId="0" fontId="6" fillId="5" borderId="32"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38" xfId="0" applyFont="1" applyFill="1" applyBorder="1"/>
    <xf numFmtId="0" fontId="2" fillId="4" borderId="40" xfId="0" applyFont="1" applyFill="1" applyBorder="1"/>
    <xf numFmtId="0" fontId="2" fillId="4" borderId="41" xfId="0" applyFont="1" applyFill="1" applyBorder="1"/>
    <xf numFmtId="0" fontId="2" fillId="4" borderId="43" xfId="0" applyFont="1" applyFill="1" applyBorder="1"/>
    <xf numFmtId="0" fontId="2" fillId="4" borderId="50" xfId="0" applyFont="1" applyFill="1" applyBorder="1"/>
    <xf numFmtId="0" fontId="6" fillId="5" borderId="52" xfId="0" applyFont="1" applyFill="1" applyBorder="1" applyAlignment="1"/>
    <xf numFmtId="0" fontId="6" fillId="5" borderId="54" xfId="0" applyFont="1" applyFill="1" applyBorder="1" applyAlignment="1">
      <alignment horizontal="center"/>
    </xf>
    <xf numFmtId="0" fontId="6" fillId="5" borderId="54" xfId="0" applyFont="1" applyFill="1" applyBorder="1" applyAlignment="1">
      <alignment horizontal="center"/>
    </xf>
    <xf numFmtId="0" fontId="6" fillId="5" borderId="56" xfId="0" applyFont="1" applyFill="1" applyBorder="1"/>
    <xf numFmtId="0" fontId="6" fillId="5" borderId="57" xfId="0" applyFont="1" applyFill="1" applyBorder="1" applyAlignment="1">
      <alignment horizontal="center"/>
    </xf>
    <xf numFmtId="0" fontId="6" fillId="5" borderId="60" xfId="0" applyFont="1" applyFill="1" applyBorder="1"/>
    <xf numFmtId="0" fontId="6" fillId="5" borderId="61" xfId="0" applyFont="1" applyFill="1" applyBorder="1" applyAlignment="1">
      <alignment horizontal="center"/>
    </xf>
    <xf numFmtId="0" fontId="2" fillId="4" borderId="62" xfId="0" applyFont="1" applyFill="1" applyBorder="1"/>
    <xf numFmtId="0" fontId="2" fillId="8" borderId="17" xfId="0" applyFont="1" applyFill="1" applyBorder="1"/>
    <xf numFmtId="0" fontId="2" fillId="8" borderId="20" xfId="0" applyFont="1" applyFill="1" applyBorder="1"/>
    <xf numFmtId="0" fontId="2" fillId="8" borderId="38" xfId="0" applyFont="1" applyFill="1" applyBorder="1"/>
    <xf numFmtId="0" fontId="2" fillId="8" borderId="40" xfId="0" applyFont="1" applyFill="1" applyBorder="1"/>
    <xf numFmtId="0" fontId="2" fillId="8" borderId="43" xfId="0" applyFont="1" applyFill="1" applyBorder="1"/>
    <xf numFmtId="0" fontId="13" fillId="0" borderId="0" xfId="0" applyFont="1" applyAlignment="1">
      <alignment horizontal="right"/>
    </xf>
    <xf numFmtId="0" fontId="7" fillId="0" borderId="0" xfId="0" applyFont="1" applyAlignment="1">
      <alignment horizontal="center"/>
    </xf>
    <xf numFmtId="0" fontId="14" fillId="0" borderId="0" xfId="0" applyFont="1" applyAlignment="1"/>
    <xf numFmtId="0" fontId="15" fillId="0" borderId="0" xfId="0" applyFont="1"/>
    <xf numFmtId="0" fontId="16" fillId="0" borderId="0" xfId="0" applyFont="1" applyAlignment="1"/>
    <xf numFmtId="0" fontId="17" fillId="0" borderId="0" xfId="0" applyFont="1"/>
    <xf numFmtId="0" fontId="19" fillId="0" borderId="0" xfId="0" applyFont="1"/>
    <xf numFmtId="0" fontId="20" fillId="0" borderId="74" xfId="0" applyFont="1" applyBorder="1" applyAlignment="1">
      <alignment horizontal="center"/>
    </xf>
    <xf numFmtId="0" fontId="21" fillId="0" borderId="75" xfId="0" applyFont="1" applyBorder="1" applyAlignment="1">
      <alignment horizontal="center"/>
    </xf>
    <xf numFmtId="0" fontId="20" fillId="0" borderId="80" xfId="0" applyFont="1" applyBorder="1" applyAlignment="1">
      <alignment horizontal="center"/>
    </xf>
    <xf numFmtId="0" fontId="21" fillId="0" borderId="81" xfId="0" applyFont="1" applyBorder="1" applyAlignment="1">
      <alignment horizontal="center"/>
    </xf>
    <xf numFmtId="0" fontId="17" fillId="0" borderId="0" xfId="0" applyFont="1" applyAlignment="1">
      <alignment horizontal="center" vertical="center" wrapText="1"/>
    </xf>
    <xf numFmtId="0" fontId="6" fillId="5" borderId="27" xfId="0" applyFont="1" applyFill="1" applyBorder="1" applyAlignment="1">
      <alignment horizontal="center" vertical="center"/>
    </xf>
    <xf numFmtId="0" fontId="2" fillId="4" borderId="83" xfId="0" applyFont="1" applyFill="1" applyBorder="1"/>
    <xf numFmtId="0" fontId="2" fillId="4" borderId="30" xfId="0" applyFont="1" applyFill="1" applyBorder="1"/>
    <xf numFmtId="0" fontId="2" fillId="4" borderId="84" xfId="0" applyFont="1" applyFill="1" applyBorder="1"/>
    <xf numFmtId="0" fontId="2" fillId="4" borderId="85" xfId="0" applyFont="1" applyFill="1" applyBorder="1"/>
    <xf numFmtId="0" fontId="2" fillId="4" borderId="86" xfId="0" applyFont="1" applyFill="1" applyBorder="1"/>
    <xf numFmtId="0" fontId="2" fillId="4" borderId="87" xfId="0" applyFont="1" applyFill="1" applyBorder="1"/>
    <xf numFmtId="0" fontId="3" fillId="0" borderId="0" xfId="0" applyFont="1" applyAlignment="1"/>
    <xf numFmtId="0" fontId="2" fillId="8" borderId="50" xfId="0" applyFont="1" applyFill="1" applyBorder="1"/>
    <xf numFmtId="0" fontId="2" fillId="8" borderId="30" xfId="0" applyFont="1" applyFill="1" applyBorder="1"/>
    <xf numFmtId="0" fontId="30" fillId="0" borderId="62" xfId="0" applyFont="1" applyBorder="1"/>
    <xf numFmtId="0" fontId="1" fillId="0" borderId="62" xfId="0" applyFont="1" applyBorder="1"/>
    <xf numFmtId="0" fontId="4" fillId="0" borderId="62" xfId="0" applyFont="1" applyBorder="1" applyAlignment="1">
      <alignment horizontal="center"/>
    </xf>
    <xf numFmtId="2" fontId="20" fillId="0" borderId="93" xfId="0" applyNumberFormat="1" applyFont="1" applyBorder="1" applyAlignment="1">
      <alignment horizontal="center"/>
    </xf>
    <xf numFmtId="0" fontId="20" fillId="0" borderId="93" xfId="0" applyFont="1" applyBorder="1" applyAlignment="1">
      <alignment horizontal="center"/>
    </xf>
    <xf numFmtId="0" fontId="20" fillId="15" borderId="93" xfId="0" applyFont="1" applyFill="1" applyBorder="1" applyAlignment="1">
      <alignment horizontal="center"/>
    </xf>
    <xf numFmtId="2" fontId="20" fillId="0" borderId="94" xfId="0" applyNumberFormat="1" applyFont="1" applyBorder="1" applyAlignment="1">
      <alignment horizontal="center"/>
    </xf>
    <xf numFmtId="0" fontId="20" fillId="0" borderId="95" xfId="0" applyFont="1" applyBorder="1" applyAlignment="1">
      <alignment horizontal="center"/>
    </xf>
    <xf numFmtId="0" fontId="20" fillId="0" borderId="94" xfId="0" applyFont="1" applyBorder="1" applyAlignment="1">
      <alignment horizontal="center"/>
    </xf>
    <xf numFmtId="0" fontId="20" fillId="15" borderId="94" xfId="0" applyFont="1" applyFill="1" applyBorder="1" applyAlignment="1">
      <alignment horizontal="center"/>
    </xf>
    <xf numFmtId="0" fontId="20" fillId="15" borderId="95" xfId="0" applyFont="1" applyFill="1" applyBorder="1" applyAlignment="1">
      <alignment horizontal="center"/>
    </xf>
    <xf numFmtId="0" fontId="20" fillId="0" borderId="96" xfId="0" applyFont="1" applyBorder="1" applyAlignment="1">
      <alignment horizontal="center"/>
    </xf>
    <xf numFmtId="0" fontId="20" fillId="0" borderId="97" xfId="0" applyFont="1" applyBorder="1" applyAlignment="1">
      <alignment horizontal="center"/>
    </xf>
    <xf numFmtId="0" fontId="20" fillId="0" borderId="98" xfId="0" applyFont="1" applyBorder="1" applyAlignment="1">
      <alignment horizontal="center"/>
    </xf>
    <xf numFmtId="2" fontId="20" fillId="0" borderId="99" xfId="0" applyNumberFormat="1" applyFont="1" applyBorder="1" applyAlignment="1">
      <alignment horizontal="center"/>
    </xf>
    <xf numFmtId="0" fontId="20" fillId="0" borderId="100" xfId="0" applyFont="1" applyBorder="1" applyAlignment="1">
      <alignment horizontal="center"/>
    </xf>
    <xf numFmtId="0" fontId="20" fillId="0" borderId="101" xfId="0" applyFont="1" applyBorder="1" applyAlignment="1">
      <alignment horizontal="center"/>
    </xf>
    <xf numFmtId="0" fontId="19" fillId="0" borderId="102" xfId="0" applyFont="1" applyBorder="1" applyAlignment="1">
      <alignment horizontal="center"/>
    </xf>
    <xf numFmtId="0" fontId="19" fillId="0" borderId="103" xfId="0" applyFont="1" applyBorder="1" applyAlignment="1">
      <alignment horizontal="center"/>
    </xf>
    <xf numFmtId="0" fontId="19" fillId="0" borderId="104" xfId="0" applyFont="1" applyBorder="1" applyAlignment="1">
      <alignment horizontal="center"/>
    </xf>
    <xf numFmtId="0" fontId="20" fillId="0" borderId="105" xfId="0" applyFont="1" applyBorder="1" applyAlignment="1">
      <alignment horizontal="center"/>
    </xf>
    <xf numFmtId="0" fontId="21" fillId="0" borderId="106" xfId="0" applyFont="1" applyBorder="1" applyAlignment="1">
      <alignment horizontal="center"/>
    </xf>
    <xf numFmtId="0" fontId="19" fillId="0" borderId="107" xfId="0" applyFont="1" applyBorder="1" applyAlignment="1">
      <alignment horizontal="center"/>
    </xf>
    <xf numFmtId="0" fontId="19" fillId="0" borderId="108" xfId="0" applyFont="1" applyBorder="1" applyAlignment="1">
      <alignment horizontal="center"/>
    </xf>
    <xf numFmtId="0" fontId="19" fillId="0" borderId="109" xfId="0" applyFont="1" applyBorder="1" applyAlignment="1">
      <alignment horizontal="center" vertical="center" wrapText="1"/>
    </xf>
    <xf numFmtId="0" fontId="29" fillId="7" borderId="42" xfId="0" applyFont="1" applyFill="1" applyBorder="1" applyAlignment="1" applyProtection="1">
      <alignment horizontal="center" vertical="center"/>
      <protection hidden="1"/>
    </xf>
    <xf numFmtId="0" fontId="29" fillId="7" borderId="44" xfId="0" applyFont="1" applyFill="1" applyBorder="1" applyAlignment="1" applyProtection="1">
      <alignment horizontal="center" vertical="center"/>
      <protection hidden="1"/>
    </xf>
    <xf numFmtId="0" fontId="29" fillId="7" borderId="48" xfId="0" applyFont="1" applyFill="1" applyBorder="1" applyAlignment="1" applyProtection="1">
      <alignment horizontal="center" vertical="center"/>
      <protection hidden="1"/>
    </xf>
    <xf numFmtId="0" fontId="29" fillId="7" borderId="68" xfId="0" applyFont="1" applyFill="1" applyBorder="1" applyAlignment="1" applyProtection="1">
      <alignment horizontal="center" vertical="center"/>
      <protection hidden="1"/>
    </xf>
    <xf numFmtId="0" fontId="29" fillId="7" borderId="27" xfId="0" applyFont="1" applyFill="1" applyBorder="1" applyAlignment="1" applyProtection="1">
      <alignment horizontal="center" vertical="center"/>
      <protection hidden="1"/>
    </xf>
    <xf numFmtId="0" fontId="29" fillId="7" borderId="70" xfId="0" applyFont="1" applyFill="1" applyBorder="1" applyAlignment="1" applyProtection="1">
      <alignment horizontal="center" vertical="center"/>
      <protection hidden="1"/>
    </xf>
    <xf numFmtId="0" fontId="29" fillId="7" borderId="56" xfId="0" applyFont="1" applyFill="1" applyBorder="1" applyAlignment="1" applyProtection="1">
      <alignment horizontal="center" vertical="center"/>
      <protection hidden="1"/>
    </xf>
    <xf numFmtId="2" fontId="29" fillId="5" borderId="64" xfId="0" applyNumberFormat="1" applyFont="1" applyFill="1" applyBorder="1" applyAlignment="1" applyProtection="1">
      <alignment horizontal="center" vertical="center"/>
      <protection hidden="1"/>
    </xf>
    <xf numFmtId="1" fontId="25" fillId="0" borderId="69" xfId="0" applyNumberFormat="1" applyFont="1" applyBorder="1" applyAlignment="1" applyProtection="1">
      <alignment horizontal="center" vertical="center"/>
      <protection hidden="1"/>
    </xf>
    <xf numFmtId="0" fontId="25" fillId="0" borderId="69" xfId="0" applyFont="1" applyBorder="1" applyAlignment="1" applyProtection="1">
      <alignment horizontal="center"/>
      <protection hidden="1"/>
    </xf>
    <xf numFmtId="0" fontId="25" fillId="0" borderId="47" xfId="0" applyFont="1" applyBorder="1" applyAlignment="1" applyProtection="1">
      <alignment horizontal="center"/>
      <protection hidden="1"/>
    </xf>
    <xf numFmtId="0" fontId="10" fillId="10" borderId="63" xfId="0" applyFont="1" applyFill="1" applyBorder="1" applyAlignment="1" applyProtection="1">
      <alignment horizontal="center"/>
      <protection locked="0"/>
    </xf>
    <xf numFmtId="0" fontId="28" fillId="0" borderId="36" xfId="0" applyFont="1" applyBorder="1" applyAlignment="1" applyProtection="1">
      <alignment horizontal="center" vertical="center"/>
      <protection locked="0"/>
    </xf>
    <xf numFmtId="0" fontId="28" fillId="0" borderId="65" xfId="0" applyFont="1" applyBorder="1" applyAlignment="1" applyProtection="1">
      <alignment horizontal="center" vertical="center"/>
      <protection locked="0"/>
    </xf>
    <xf numFmtId="0" fontId="28" fillId="0" borderId="44" xfId="0" applyFont="1" applyBorder="1" applyAlignment="1" applyProtection="1">
      <alignment horizontal="center" vertical="center"/>
      <protection locked="0"/>
    </xf>
    <xf numFmtId="0" fontId="28" fillId="0" borderId="66" xfId="0" applyFont="1" applyBorder="1" applyAlignment="1" applyProtection="1">
      <alignment horizontal="center" vertical="center"/>
      <protection locked="0"/>
    </xf>
    <xf numFmtId="0" fontId="28" fillId="0" borderId="67" xfId="0" applyFont="1" applyBorder="1" applyAlignment="1" applyProtection="1">
      <alignment horizontal="center" vertical="center"/>
      <protection locked="0"/>
    </xf>
    <xf numFmtId="0" fontId="10" fillId="10" borderId="68" xfId="0" applyFont="1" applyFill="1" applyBorder="1" applyAlignment="1" applyProtection="1">
      <alignment horizontal="center"/>
      <protection locked="0"/>
    </xf>
    <xf numFmtId="0" fontId="28" fillId="0" borderId="24" xfId="0" applyFont="1" applyBorder="1" applyAlignment="1" applyProtection="1">
      <alignment horizontal="center" vertical="center"/>
      <protection locked="0"/>
    </xf>
    <xf numFmtId="0" fontId="28" fillId="0" borderId="27" xfId="0" applyFont="1" applyBorder="1" applyAlignment="1" applyProtection="1">
      <alignment horizontal="center" vertical="center"/>
      <protection locked="0"/>
    </xf>
    <xf numFmtId="0" fontId="28" fillId="0" borderId="56" xfId="0" applyFont="1" applyBorder="1" applyAlignment="1" applyProtection="1">
      <alignment horizontal="center" vertical="center"/>
      <protection locked="0"/>
    </xf>
    <xf numFmtId="0" fontId="10" fillId="10" borderId="73" xfId="0" applyFont="1" applyFill="1" applyBorder="1" applyAlignment="1" applyProtection="1">
      <alignment horizontal="center"/>
      <protection locked="0"/>
    </xf>
    <xf numFmtId="0" fontId="10" fillId="12" borderId="42" xfId="0" applyFont="1" applyFill="1" applyBorder="1" applyAlignment="1" applyProtection="1">
      <alignment horizontal="center"/>
      <protection locked="0"/>
    </xf>
    <xf numFmtId="0" fontId="10" fillId="12" borderId="68" xfId="0" applyFont="1" applyFill="1" applyBorder="1" applyAlignment="1" applyProtection="1">
      <alignment horizontal="center"/>
      <protection locked="0"/>
    </xf>
    <xf numFmtId="0" fontId="10" fillId="12" borderId="73" xfId="0" applyFont="1" applyFill="1" applyBorder="1" applyAlignment="1" applyProtection="1">
      <alignment horizontal="center"/>
      <protection locked="0"/>
    </xf>
    <xf numFmtId="0" fontId="10" fillId="12" borderId="49" xfId="0" applyFont="1" applyFill="1" applyBorder="1" applyAlignment="1" applyProtection="1">
      <alignment horizontal="center"/>
      <protection locked="0"/>
    </xf>
    <xf numFmtId="0" fontId="25" fillId="0" borderId="69" xfId="0" applyFont="1" applyBorder="1" applyAlignment="1" applyProtection="1">
      <alignment horizontal="center" vertical="center"/>
      <protection hidden="1"/>
    </xf>
    <xf numFmtId="0" fontId="28" fillId="0" borderId="78" xfId="0" applyFont="1" applyBorder="1" applyAlignment="1" applyProtection="1">
      <alignment horizontal="center" vertical="center"/>
      <protection locked="0"/>
    </xf>
    <xf numFmtId="0" fontId="28" fillId="0" borderId="51" xfId="0" applyFont="1" applyBorder="1" applyAlignment="1" applyProtection="1">
      <alignment horizontal="center" vertical="center"/>
      <protection locked="0"/>
    </xf>
    <xf numFmtId="0" fontId="28" fillId="0" borderId="53" xfId="0" applyFont="1" applyBorder="1" applyAlignment="1" applyProtection="1">
      <alignment horizontal="center" vertical="center"/>
      <protection locked="0"/>
    </xf>
    <xf numFmtId="0" fontId="29" fillId="7" borderId="49" xfId="0" applyFont="1" applyFill="1" applyBorder="1" applyAlignment="1" applyProtection="1">
      <alignment horizontal="center" vertical="center"/>
      <protection hidden="1"/>
    </xf>
    <xf numFmtId="0" fontId="29" fillId="7" borderId="51" xfId="0" applyFont="1" applyFill="1" applyBorder="1" applyAlignment="1" applyProtection="1">
      <alignment horizontal="center" vertical="center"/>
      <protection hidden="1"/>
    </xf>
    <xf numFmtId="0" fontId="29" fillId="7" borderId="53" xfId="0" applyFont="1" applyFill="1" applyBorder="1" applyAlignment="1" applyProtection="1">
      <alignment horizontal="center" vertical="center"/>
      <protection hidden="1"/>
    </xf>
    <xf numFmtId="0" fontId="25" fillId="0" borderId="59" xfId="0" applyFont="1" applyBorder="1" applyAlignment="1" applyProtection="1">
      <alignment horizontal="center" vertical="center"/>
      <protection hidden="1"/>
    </xf>
    <xf numFmtId="0" fontId="8" fillId="5" borderId="27" xfId="0" applyFont="1" applyFill="1" applyBorder="1" applyAlignment="1">
      <alignment vertical="center"/>
    </xf>
    <xf numFmtId="1" fontId="24" fillId="7" borderId="55" xfId="0" applyNumberFormat="1" applyFont="1" applyFill="1" applyBorder="1" applyAlignment="1" applyProtection="1">
      <alignment horizontal="center" vertical="center"/>
      <protection hidden="1"/>
    </xf>
    <xf numFmtId="9" fontId="24" fillId="7" borderId="55" xfId="0" applyNumberFormat="1" applyFont="1" applyFill="1" applyBorder="1" applyAlignment="1" applyProtection="1">
      <alignment horizontal="center" vertical="center"/>
      <protection hidden="1"/>
    </xf>
    <xf numFmtId="0" fontId="24" fillId="6" borderId="44" xfId="0" applyFont="1" applyFill="1" applyBorder="1" applyAlignment="1" applyProtection="1">
      <alignment horizontal="center" vertical="center"/>
      <protection hidden="1"/>
    </xf>
    <xf numFmtId="0" fontId="24" fillId="6" borderId="45" xfId="0" applyFont="1" applyFill="1" applyBorder="1" applyAlignment="1" applyProtection="1">
      <alignment horizontal="center" vertical="center"/>
      <protection hidden="1"/>
    </xf>
    <xf numFmtId="0" fontId="24" fillId="7" borderId="47" xfId="0" applyFont="1" applyFill="1" applyBorder="1" applyAlignment="1" applyProtection="1">
      <alignment horizontal="center" vertical="center"/>
      <protection hidden="1"/>
    </xf>
    <xf numFmtId="0" fontId="24" fillId="7" borderId="42" xfId="0" applyFont="1" applyFill="1" applyBorder="1" applyAlignment="1" applyProtection="1">
      <alignment horizontal="center" vertical="center"/>
      <protection hidden="1"/>
    </xf>
    <xf numFmtId="0" fontId="24" fillId="7" borderId="44" xfId="0" applyFont="1" applyFill="1" applyBorder="1" applyAlignment="1" applyProtection="1">
      <alignment horizontal="center" vertical="center"/>
      <protection hidden="1"/>
    </xf>
    <xf numFmtId="0" fontId="24" fillId="7" borderId="48" xfId="0" applyFont="1" applyFill="1" applyBorder="1" applyAlignment="1" applyProtection="1">
      <alignment horizontal="center" vertical="center"/>
      <protection hidden="1"/>
    </xf>
    <xf numFmtId="0" fontId="10" fillId="0" borderId="46" xfId="0" applyFont="1" applyBorder="1" applyAlignment="1" applyProtection="1">
      <alignment horizontal="right" vertical="center"/>
      <protection hidden="1"/>
    </xf>
    <xf numFmtId="0" fontId="0" fillId="0" borderId="62" xfId="0" applyFont="1" applyBorder="1" applyAlignment="1"/>
    <xf numFmtId="0" fontId="33" fillId="0" borderId="62" xfId="0" applyFont="1" applyBorder="1" applyAlignment="1">
      <alignment horizontal="center" vertical="center"/>
    </xf>
    <xf numFmtId="0" fontId="33" fillId="0" borderId="62" xfId="0" applyFont="1" applyBorder="1" applyAlignment="1">
      <alignment horizontal="center"/>
    </xf>
    <xf numFmtId="0" fontId="33" fillId="0" borderId="62" xfId="0" applyFont="1" applyBorder="1" applyAlignment="1"/>
    <xf numFmtId="0" fontId="24" fillId="7" borderId="49" xfId="0" applyFont="1" applyFill="1" applyBorder="1" applyAlignment="1" applyProtection="1">
      <alignment horizontal="center" vertical="center"/>
      <protection hidden="1"/>
    </xf>
    <xf numFmtId="0" fontId="24" fillId="7" borderId="51" xfId="0" applyFont="1" applyFill="1" applyBorder="1" applyAlignment="1" applyProtection="1">
      <alignment horizontal="center" vertical="center"/>
      <protection hidden="1"/>
    </xf>
    <xf numFmtId="0" fontId="24" fillId="7" borderId="58" xfId="0" applyFont="1" applyFill="1" applyBorder="1" applyAlignment="1" applyProtection="1">
      <alignment horizontal="center" vertical="center"/>
      <protection hidden="1"/>
    </xf>
    <xf numFmtId="0" fontId="10" fillId="10" borderId="42" xfId="0" applyFont="1" applyFill="1" applyBorder="1" applyAlignment="1" applyProtection="1">
      <alignment horizontal="center"/>
      <protection locked="0"/>
    </xf>
    <xf numFmtId="0" fontId="2" fillId="0" borderId="47" xfId="0" applyFont="1" applyBorder="1" applyAlignment="1" applyProtection="1">
      <alignment vertical="center"/>
      <protection locked="0"/>
    </xf>
    <xf numFmtId="0" fontId="2" fillId="0" borderId="72" xfId="0" applyFont="1" applyBorder="1" applyAlignment="1" applyProtection="1">
      <alignment vertical="center"/>
      <protection locked="0"/>
    </xf>
    <xf numFmtId="0" fontId="10" fillId="10" borderId="49" xfId="0" applyFont="1" applyFill="1" applyBorder="1" applyAlignment="1" applyProtection="1">
      <alignment horizontal="center"/>
      <protection locked="0"/>
    </xf>
    <xf numFmtId="0" fontId="2" fillId="0" borderId="55" xfId="0" applyFont="1" applyBorder="1" applyAlignment="1" applyProtection="1">
      <alignment vertical="center"/>
      <protection locked="0"/>
    </xf>
    <xf numFmtId="0" fontId="3" fillId="0" borderId="0" xfId="0" applyFont="1" applyAlignment="1" applyProtection="1">
      <protection locked="0"/>
    </xf>
    <xf numFmtId="0" fontId="0" fillId="0" borderId="0" xfId="0" applyFont="1" applyAlignment="1" applyProtection="1">
      <protection locked="0"/>
    </xf>
    <xf numFmtId="0" fontId="3" fillId="0" borderId="0" xfId="0" applyFont="1" applyAlignment="1" applyProtection="1">
      <alignment horizontal="center" vertical="center"/>
      <protection locked="0"/>
    </xf>
    <xf numFmtId="0" fontId="2" fillId="0" borderId="0" xfId="0" applyFont="1" applyProtection="1">
      <protection locked="0"/>
    </xf>
    <xf numFmtId="0" fontId="2" fillId="0" borderId="0" xfId="0" applyFont="1" applyAlignment="1" applyProtection="1">
      <protection locked="0"/>
    </xf>
    <xf numFmtId="0" fontId="7" fillId="0" borderId="0" xfId="0" applyFont="1" applyAlignment="1" applyProtection="1">
      <alignment vertical="center"/>
      <protection locked="0"/>
    </xf>
    <xf numFmtId="0" fontId="2" fillId="0" borderId="0" xfId="0" applyFont="1" applyAlignment="1" applyProtection="1">
      <alignment vertical="center"/>
      <protection locked="0"/>
    </xf>
    <xf numFmtId="0" fontId="24" fillId="0" borderId="51" xfId="0" applyFont="1" applyBorder="1" applyAlignment="1" applyProtection="1">
      <alignment horizontal="center" vertical="center"/>
      <protection hidden="1"/>
    </xf>
    <xf numFmtId="0" fontId="24" fillId="0" borderId="53" xfId="0" applyFont="1" applyBorder="1" applyAlignment="1" applyProtection="1">
      <alignment horizontal="center" vertical="center"/>
      <protection hidden="1"/>
    </xf>
    <xf numFmtId="0" fontId="4" fillId="0" borderId="0" xfId="0" applyFont="1" applyAlignment="1" applyProtection="1">
      <alignment horizontal="right"/>
      <protection hidden="1"/>
    </xf>
    <xf numFmtId="0" fontId="2" fillId="0" borderId="0" xfId="0" applyFont="1" applyAlignment="1" applyProtection="1">
      <protection hidden="1"/>
    </xf>
    <xf numFmtId="0" fontId="30" fillId="0" borderId="28" xfId="0" applyFont="1" applyBorder="1" applyAlignment="1" applyProtection="1">
      <alignment horizontal="center"/>
      <protection hidden="1"/>
    </xf>
    <xf numFmtId="0" fontId="1" fillId="0" borderId="28" xfId="0" applyFont="1" applyBorder="1" applyAlignment="1" applyProtection="1">
      <alignment horizontal="center"/>
      <protection hidden="1"/>
    </xf>
    <xf numFmtId="0" fontId="4" fillId="0" borderId="0" xfId="0" applyFont="1" applyAlignment="1" applyProtection="1">
      <alignment horizontal="right" vertical="center"/>
      <protection hidden="1"/>
    </xf>
    <xf numFmtId="0" fontId="29" fillId="7" borderId="26" xfId="0" applyFont="1" applyFill="1" applyBorder="1" applyAlignment="1" applyProtection="1">
      <alignment horizontal="center" vertical="center"/>
      <protection hidden="1"/>
    </xf>
    <xf numFmtId="0" fontId="29" fillId="7" borderId="66" xfId="0" applyFont="1" applyFill="1" applyBorder="1" applyAlignment="1" applyProtection="1">
      <alignment horizontal="center" vertical="center"/>
      <protection hidden="1"/>
    </xf>
    <xf numFmtId="0" fontId="28" fillId="0" borderId="110" xfId="0" applyFont="1" applyBorder="1" applyAlignment="1" applyProtection="1">
      <alignment horizontal="center" vertical="center"/>
      <protection locked="0"/>
    </xf>
    <xf numFmtId="0" fontId="28" fillId="0" borderId="111" xfId="0" applyFont="1" applyBorder="1" applyAlignment="1" applyProtection="1">
      <alignment horizontal="center" vertical="center"/>
      <protection locked="0"/>
    </xf>
    <xf numFmtId="0" fontId="28" fillId="0" borderId="112" xfId="0" applyFont="1" applyBorder="1" applyAlignment="1" applyProtection="1">
      <alignment horizontal="center" vertical="center"/>
      <protection locked="0"/>
    </xf>
    <xf numFmtId="0" fontId="28" fillId="0" borderId="113" xfId="0" applyFont="1" applyBorder="1" applyAlignment="1" applyProtection="1">
      <alignment horizontal="center" vertical="center"/>
      <protection locked="0"/>
    </xf>
    <xf numFmtId="0" fontId="28" fillId="0" borderId="114" xfId="0" applyFont="1" applyBorder="1" applyAlignment="1" applyProtection="1">
      <alignment horizontal="center" vertical="center"/>
      <protection locked="0"/>
    </xf>
    <xf numFmtId="0" fontId="28" fillId="0" borderId="115" xfId="0" applyFont="1" applyBorder="1" applyAlignment="1" applyProtection="1">
      <alignment horizontal="center" vertical="center"/>
      <protection locked="0"/>
    </xf>
    <xf numFmtId="0" fontId="28" fillId="0" borderId="116" xfId="0" applyFont="1" applyBorder="1" applyAlignment="1" applyProtection="1">
      <alignment horizontal="center" vertical="center"/>
      <protection locked="0"/>
    </xf>
    <xf numFmtId="0" fontId="28" fillId="0" borderId="117" xfId="0" applyFont="1" applyBorder="1" applyAlignment="1" applyProtection="1">
      <alignment horizontal="center" vertical="center"/>
      <protection locked="0"/>
    </xf>
    <xf numFmtId="0" fontId="29" fillId="7" borderId="78" xfId="0" applyFont="1" applyFill="1" applyBorder="1" applyAlignment="1" applyProtection="1">
      <alignment horizontal="center" vertical="center"/>
      <protection hidden="1"/>
    </xf>
    <xf numFmtId="0" fontId="2" fillId="0" borderId="0" xfId="0" applyFont="1" applyProtection="1">
      <protection locked="0"/>
    </xf>
    <xf numFmtId="0" fontId="0" fillId="0" borderId="0" xfId="0" applyFont="1" applyAlignment="1" applyProtection="1">
      <protection locked="0"/>
    </xf>
    <xf numFmtId="0" fontId="29" fillId="7" borderId="120" xfId="0" applyFont="1" applyFill="1" applyBorder="1" applyAlignment="1" applyProtection="1">
      <alignment horizontal="center" vertical="center"/>
      <protection hidden="1"/>
    </xf>
    <xf numFmtId="0" fontId="24" fillId="6" borderId="67" xfId="0" applyFont="1" applyFill="1" applyBorder="1" applyAlignment="1" applyProtection="1">
      <alignment horizontal="center" vertical="center"/>
      <protection hidden="1"/>
    </xf>
    <xf numFmtId="0" fontId="24" fillId="0" borderId="78" xfId="0" applyFont="1" applyBorder="1" applyAlignment="1" applyProtection="1">
      <alignment horizontal="center" vertical="center"/>
      <protection hidden="1"/>
    </xf>
    <xf numFmtId="0" fontId="24" fillId="7" borderId="128" xfId="0" applyFont="1" applyFill="1" applyBorder="1" applyAlignment="1" applyProtection="1">
      <alignment horizontal="center" vertical="center"/>
      <protection hidden="1"/>
    </xf>
    <xf numFmtId="1" fontId="24" fillId="7" borderId="128" xfId="0" applyNumberFormat="1" applyFont="1" applyFill="1" applyBorder="1" applyAlignment="1" applyProtection="1">
      <alignment horizontal="center" vertical="center"/>
      <protection hidden="1"/>
    </xf>
    <xf numFmtId="9" fontId="24" fillId="7" borderId="129" xfId="0" applyNumberFormat="1" applyFont="1" applyFill="1" applyBorder="1" applyAlignment="1" applyProtection="1">
      <alignment horizontal="center" vertical="center"/>
      <protection hidden="1"/>
    </xf>
    <xf numFmtId="9" fontId="24" fillId="7" borderId="133" xfId="0" applyNumberFormat="1" applyFont="1" applyFill="1" applyBorder="1" applyAlignment="1" applyProtection="1">
      <alignment horizontal="center" vertical="center"/>
      <protection hidden="1"/>
    </xf>
    <xf numFmtId="0" fontId="24" fillId="6" borderId="120" xfId="0" applyFont="1" applyFill="1" applyBorder="1" applyAlignment="1" applyProtection="1">
      <alignment horizontal="center" vertical="center"/>
      <protection hidden="1"/>
    </xf>
    <xf numFmtId="0" fontId="24" fillId="7" borderId="120" xfId="0" applyFont="1" applyFill="1" applyBorder="1" applyAlignment="1" applyProtection="1">
      <alignment horizontal="center" vertical="center"/>
      <protection hidden="1"/>
    </xf>
    <xf numFmtId="0" fontId="24" fillId="6" borderId="126" xfId="0" applyFont="1" applyFill="1" applyBorder="1" applyAlignment="1" applyProtection="1">
      <alignment horizontal="center" vertical="center"/>
      <protection hidden="1"/>
    </xf>
    <xf numFmtId="0" fontId="24" fillId="7" borderId="114" xfId="0" applyFont="1" applyFill="1" applyBorder="1" applyAlignment="1" applyProtection="1">
      <alignment horizontal="center" vertical="center"/>
      <protection hidden="1"/>
    </xf>
    <xf numFmtId="0" fontId="24" fillId="0" borderId="134" xfId="0" applyFont="1" applyBorder="1" applyAlignment="1" applyProtection="1">
      <alignment horizontal="center" vertical="center"/>
      <protection hidden="1"/>
    </xf>
    <xf numFmtId="0" fontId="24" fillId="0" borderId="135" xfId="0" applyFont="1" applyBorder="1" applyAlignment="1" applyProtection="1">
      <alignment horizontal="center" vertical="center"/>
      <protection hidden="1"/>
    </xf>
    <xf numFmtId="0" fontId="24" fillId="7" borderId="135" xfId="0" applyFont="1" applyFill="1" applyBorder="1" applyAlignment="1" applyProtection="1">
      <alignment horizontal="center" vertical="center"/>
      <protection hidden="1"/>
    </xf>
    <xf numFmtId="1" fontId="24" fillId="7" borderId="135" xfId="0" applyNumberFormat="1" applyFont="1" applyFill="1" applyBorder="1" applyAlignment="1" applyProtection="1">
      <alignment horizontal="center" vertical="center"/>
      <protection hidden="1"/>
    </xf>
    <xf numFmtId="9" fontId="24" fillId="7" borderId="117" xfId="0" applyNumberFormat="1" applyFont="1" applyFill="1" applyBorder="1" applyAlignment="1" applyProtection="1">
      <alignment horizontal="center" vertical="center"/>
      <protection hidden="1"/>
    </xf>
    <xf numFmtId="0" fontId="29" fillId="7" borderId="131" xfId="0" applyFont="1" applyFill="1" applyBorder="1" applyAlignment="1" applyProtection="1">
      <alignment horizontal="center" vertical="center"/>
      <protection hidden="1"/>
    </xf>
    <xf numFmtId="0" fontId="29" fillId="7" borderId="112" xfId="0" applyFont="1" applyFill="1" applyBorder="1" applyAlignment="1" applyProtection="1">
      <alignment horizontal="center" vertical="center"/>
      <protection hidden="1"/>
    </xf>
    <xf numFmtId="0" fontId="29" fillId="7" borderId="114" xfId="0" applyFont="1" applyFill="1" applyBorder="1" applyAlignment="1" applyProtection="1">
      <alignment horizontal="center" vertical="center"/>
      <protection hidden="1"/>
    </xf>
    <xf numFmtId="0" fontId="29" fillId="7" borderId="135" xfId="0" applyFont="1" applyFill="1" applyBorder="1" applyAlignment="1" applyProtection="1">
      <alignment horizontal="center" vertical="center"/>
      <protection hidden="1"/>
    </xf>
    <xf numFmtId="0" fontId="29" fillId="7" borderId="117" xfId="0" applyFont="1" applyFill="1" applyBorder="1" applyAlignment="1" applyProtection="1">
      <alignment horizontal="center" vertical="center"/>
      <protection hidden="1"/>
    </xf>
    <xf numFmtId="0" fontId="29" fillId="7" borderId="139" xfId="0" applyFont="1" applyFill="1" applyBorder="1" applyAlignment="1" applyProtection="1">
      <alignment horizontal="center" vertical="center"/>
      <protection hidden="1"/>
    </xf>
    <xf numFmtId="0" fontId="29" fillId="7" borderId="140" xfId="0" applyFont="1" applyFill="1" applyBorder="1" applyAlignment="1" applyProtection="1">
      <alignment horizontal="center" vertical="center"/>
      <protection hidden="1"/>
    </xf>
    <xf numFmtId="0" fontId="29" fillId="7" borderId="141" xfId="0" applyFont="1" applyFill="1" applyBorder="1" applyAlignment="1" applyProtection="1">
      <alignment horizontal="center" vertical="center"/>
      <protection hidden="1"/>
    </xf>
    <xf numFmtId="0" fontId="29" fillId="7" borderId="126" xfId="0" applyFont="1" applyFill="1" applyBorder="1" applyAlignment="1" applyProtection="1">
      <alignment horizontal="center" vertical="center"/>
      <protection hidden="1"/>
    </xf>
    <xf numFmtId="0" fontId="29" fillId="7" borderId="134" xfId="0" applyFont="1" applyFill="1" applyBorder="1" applyAlignment="1" applyProtection="1">
      <alignment horizontal="center" vertical="center"/>
      <protection hidden="1"/>
    </xf>
    <xf numFmtId="0" fontId="29" fillId="7" borderId="130" xfId="0" applyFont="1" applyFill="1" applyBorder="1" applyAlignment="1" applyProtection="1">
      <alignment horizontal="center" vertical="center"/>
      <protection hidden="1"/>
    </xf>
    <xf numFmtId="0" fontId="1" fillId="0" borderId="130" xfId="0" applyFont="1" applyFill="1" applyBorder="1" applyAlignment="1" applyProtection="1">
      <alignment horizontal="left"/>
      <protection hidden="1"/>
    </xf>
    <xf numFmtId="0" fontId="1" fillId="0" borderId="131" xfId="0" applyFont="1" applyFill="1" applyBorder="1" applyAlignment="1" applyProtection="1">
      <alignment horizontal="left"/>
      <protection hidden="1"/>
    </xf>
    <xf numFmtId="0" fontId="1" fillId="0" borderId="132" xfId="0" applyFont="1" applyFill="1" applyBorder="1" applyAlignment="1" applyProtection="1">
      <alignment horizontal="left"/>
      <protection hidden="1"/>
    </xf>
    <xf numFmtId="0" fontId="8" fillId="0" borderId="126" xfId="0" applyFont="1" applyFill="1" applyBorder="1" applyAlignment="1" applyProtection="1">
      <alignment horizontal="left"/>
      <protection hidden="1"/>
    </xf>
    <xf numFmtId="0" fontId="8" fillId="0" borderId="120" xfId="0" applyFont="1" applyFill="1" applyBorder="1" applyAlignment="1" applyProtection="1">
      <alignment horizontal="left"/>
      <protection hidden="1"/>
    </xf>
    <xf numFmtId="0" fontId="8" fillId="0" borderId="136" xfId="0" applyFont="1" applyFill="1" applyBorder="1" applyAlignment="1" applyProtection="1">
      <alignment horizontal="left"/>
      <protection hidden="1"/>
    </xf>
    <xf numFmtId="0" fontId="8" fillId="0" borderId="134" xfId="0" applyFont="1" applyFill="1" applyBorder="1" applyAlignment="1" applyProtection="1">
      <alignment horizontal="left"/>
      <protection hidden="1"/>
    </xf>
    <xf numFmtId="0" fontId="8" fillId="0" borderId="135" xfId="0" applyFont="1" applyFill="1" applyBorder="1" applyAlignment="1" applyProtection="1">
      <alignment horizontal="left"/>
      <protection hidden="1"/>
    </xf>
    <xf numFmtId="0" fontId="8" fillId="0" borderId="137" xfId="0" applyFont="1" applyFill="1" applyBorder="1" applyAlignment="1" applyProtection="1">
      <alignment horizontal="left"/>
      <protection hidden="1"/>
    </xf>
    <xf numFmtId="0" fontId="24" fillId="0" borderId="145" xfId="0" applyFont="1" applyBorder="1" applyAlignment="1" applyProtection="1">
      <alignment horizontal="center" vertical="center"/>
      <protection hidden="1"/>
    </xf>
    <xf numFmtId="0" fontId="24" fillId="0" borderId="146" xfId="0" applyFont="1" applyBorder="1" applyAlignment="1" applyProtection="1">
      <alignment horizontal="center" vertical="center"/>
      <protection hidden="1"/>
    </xf>
    <xf numFmtId="0" fontId="24" fillId="0" borderId="147" xfId="0" applyFont="1" applyBorder="1" applyAlignment="1" applyProtection="1">
      <alignment horizontal="center" vertical="center"/>
      <protection hidden="1"/>
    </xf>
    <xf numFmtId="0" fontId="24" fillId="6" borderId="148" xfId="0" applyFont="1" applyFill="1" applyBorder="1" applyAlignment="1" applyProtection="1">
      <alignment horizontal="center" vertical="center"/>
      <protection hidden="1"/>
    </xf>
    <xf numFmtId="0" fontId="24" fillId="6" borderId="149" xfId="0" applyFont="1" applyFill="1" applyBorder="1" applyAlignment="1" applyProtection="1">
      <alignment horizontal="center" vertical="center"/>
      <protection hidden="1"/>
    </xf>
    <xf numFmtId="0" fontId="24" fillId="6" borderId="150" xfId="0" applyFont="1" applyFill="1" applyBorder="1" applyAlignment="1" applyProtection="1">
      <alignment horizontal="center" vertical="center"/>
      <protection hidden="1"/>
    </xf>
    <xf numFmtId="0" fontId="24" fillId="7" borderId="151" xfId="0" applyFont="1" applyFill="1" applyBorder="1" applyAlignment="1" applyProtection="1">
      <alignment horizontal="center" vertical="center"/>
      <protection hidden="1"/>
    </xf>
    <xf numFmtId="0" fontId="24" fillId="7" borderId="152" xfId="0" applyFont="1" applyFill="1" applyBorder="1" applyAlignment="1" applyProtection="1">
      <alignment horizontal="center" vertical="center"/>
      <protection hidden="1"/>
    </xf>
    <xf numFmtId="0" fontId="29" fillId="7" borderId="110" xfId="0" applyFont="1" applyFill="1" applyBorder="1" applyAlignment="1" applyProtection="1">
      <alignment horizontal="center" vertical="center"/>
      <protection hidden="1"/>
    </xf>
    <xf numFmtId="0" fontId="29" fillId="7" borderId="154" xfId="0" applyFont="1" applyFill="1" applyBorder="1" applyAlignment="1" applyProtection="1">
      <alignment horizontal="center" vertical="center"/>
      <protection hidden="1"/>
    </xf>
    <xf numFmtId="0" fontId="29" fillId="7" borderId="155" xfId="0" applyFont="1" applyFill="1" applyBorder="1" applyAlignment="1" applyProtection="1">
      <alignment horizontal="center" vertical="center"/>
      <protection hidden="1"/>
    </xf>
    <xf numFmtId="0" fontId="29" fillId="7" borderId="113" xfId="0" applyFont="1" applyFill="1" applyBorder="1" applyAlignment="1" applyProtection="1">
      <alignment horizontal="center" vertical="center"/>
      <protection hidden="1"/>
    </xf>
    <xf numFmtId="0" fontId="29" fillId="7" borderId="156" xfId="0" applyFont="1" applyFill="1" applyBorder="1" applyAlignment="1" applyProtection="1">
      <alignment horizontal="center" vertical="center"/>
      <protection hidden="1"/>
    </xf>
    <xf numFmtId="0" fontId="29" fillId="7" borderId="115" xfId="0" applyFont="1" applyFill="1" applyBorder="1" applyAlignment="1" applyProtection="1">
      <alignment horizontal="center" vertical="center"/>
      <protection hidden="1"/>
    </xf>
    <xf numFmtId="0" fontId="29" fillId="7" borderId="127" xfId="0" applyFont="1" applyFill="1" applyBorder="1" applyAlignment="1" applyProtection="1">
      <alignment horizontal="center" vertical="center"/>
      <protection hidden="1"/>
    </xf>
    <xf numFmtId="0" fontId="29" fillId="7" borderId="157" xfId="0" applyFont="1" applyFill="1" applyBorder="1" applyAlignment="1" applyProtection="1">
      <alignment horizontal="center" vertical="center"/>
      <protection hidden="1"/>
    </xf>
    <xf numFmtId="0" fontId="24" fillId="6" borderId="130" xfId="0" applyFont="1" applyFill="1" applyBorder="1" applyAlignment="1" applyProtection="1">
      <alignment horizontal="center" vertical="center"/>
      <protection hidden="1"/>
    </xf>
    <xf numFmtId="0" fontId="24" fillId="6" borderId="131" xfId="0" applyFont="1" applyFill="1" applyBorder="1" applyAlignment="1" applyProtection="1">
      <alignment horizontal="center" vertical="center"/>
      <protection hidden="1"/>
    </xf>
    <xf numFmtId="0" fontId="24" fillId="7" borderId="131" xfId="0" applyFont="1" applyFill="1" applyBorder="1" applyAlignment="1" applyProtection="1">
      <alignment horizontal="center" vertical="center"/>
      <protection hidden="1"/>
    </xf>
    <xf numFmtId="0" fontId="24" fillId="7" borderId="112" xfId="0" applyFont="1" applyFill="1" applyBorder="1" applyAlignment="1" applyProtection="1">
      <alignment horizontal="center" vertical="center"/>
      <protection hidden="1"/>
    </xf>
    <xf numFmtId="0" fontId="29" fillId="0" borderId="120" xfId="0" applyFont="1" applyFill="1" applyBorder="1" applyAlignment="1" applyProtection="1">
      <alignment horizontal="center" vertical="center"/>
      <protection hidden="1"/>
    </xf>
    <xf numFmtId="0" fontId="29" fillId="0" borderId="130" xfId="0" applyFont="1" applyFill="1" applyBorder="1" applyAlignment="1" applyProtection="1">
      <alignment horizontal="center" vertical="center"/>
      <protection hidden="1"/>
    </xf>
    <xf numFmtId="0" fontId="29" fillId="0" borderId="131" xfId="0" applyFont="1" applyFill="1" applyBorder="1" applyAlignment="1" applyProtection="1">
      <alignment horizontal="center" vertical="center"/>
      <protection hidden="1"/>
    </xf>
    <xf numFmtId="0" fontId="29" fillId="0" borderId="112" xfId="0" applyFont="1" applyFill="1" applyBorder="1" applyAlignment="1" applyProtection="1">
      <alignment horizontal="center" vertical="center"/>
      <protection hidden="1"/>
    </xf>
    <xf numFmtId="0" fontId="29" fillId="0" borderId="126" xfId="0" applyFont="1" applyFill="1" applyBorder="1" applyAlignment="1" applyProtection="1">
      <alignment horizontal="center" vertical="center"/>
      <protection hidden="1"/>
    </xf>
    <xf numFmtId="0" fontId="29" fillId="0" borderId="114" xfId="0" applyFont="1" applyFill="1" applyBorder="1" applyAlignment="1" applyProtection="1">
      <alignment horizontal="center" vertical="center"/>
      <protection hidden="1"/>
    </xf>
    <xf numFmtId="0" fontId="29" fillId="0" borderId="134" xfId="0" applyFont="1" applyFill="1" applyBorder="1" applyAlignment="1" applyProtection="1">
      <alignment horizontal="center" vertical="center"/>
      <protection hidden="1"/>
    </xf>
    <xf numFmtId="0" fontId="29" fillId="0" borderId="135" xfId="0" applyFont="1" applyFill="1" applyBorder="1" applyAlignment="1" applyProtection="1">
      <alignment horizontal="center" vertical="center"/>
      <protection hidden="1"/>
    </xf>
    <xf numFmtId="0" fontId="29" fillId="0" borderId="117" xfId="0" applyFont="1" applyFill="1" applyBorder="1" applyAlignment="1" applyProtection="1">
      <alignment horizontal="center" vertical="center"/>
      <protection hidden="1"/>
    </xf>
    <xf numFmtId="0" fontId="29" fillId="0" borderId="132" xfId="0" applyFont="1" applyFill="1" applyBorder="1" applyAlignment="1" applyProtection="1">
      <alignment horizontal="center" vertical="center"/>
      <protection hidden="1"/>
    </xf>
    <xf numFmtId="0" fontId="29" fillId="0" borderId="136" xfId="0" applyFont="1" applyFill="1" applyBorder="1" applyAlignment="1" applyProtection="1">
      <alignment horizontal="center" vertical="center"/>
      <protection hidden="1"/>
    </xf>
    <xf numFmtId="0" fontId="29" fillId="0" borderId="137" xfId="0" applyFont="1" applyFill="1" applyBorder="1" applyAlignment="1" applyProtection="1">
      <alignment horizontal="center" vertical="center"/>
      <protection hidden="1"/>
    </xf>
    <xf numFmtId="1" fontId="25" fillId="0" borderId="64" xfId="0" applyNumberFormat="1" applyFont="1" applyBorder="1" applyAlignment="1" applyProtection="1">
      <alignment horizontal="center" vertical="center"/>
      <protection hidden="1"/>
    </xf>
    <xf numFmtId="1" fontId="25" fillId="0" borderId="89" xfId="0" applyNumberFormat="1" applyFont="1" applyBorder="1" applyAlignment="1" applyProtection="1">
      <alignment horizontal="center" vertical="center"/>
      <protection hidden="1"/>
    </xf>
    <xf numFmtId="2" fontId="29" fillId="5" borderId="158" xfId="0" applyNumberFormat="1" applyFont="1" applyFill="1" applyBorder="1" applyAlignment="1" applyProtection="1">
      <alignment horizontal="center" vertical="center"/>
      <protection hidden="1"/>
    </xf>
    <xf numFmtId="2" fontId="29" fillId="5" borderId="159" xfId="0" applyNumberFormat="1" applyFont="1" applyFill="1" applyBorder="1" applyAlignment="1" applyProtection="1">
      <alignment horizontal="center" vertical="center"/>
      <protection hidden="1"/>
    </xf>
    <xf numFmtId="2" fontId="29" fillId="5" borderId="160" xfId="0" applyNumberFormat="1" applyFont="1" applyFill="1" applyBorder="1" applyAlignment="1" applyProtection="1">
      <alignment horizontal="center" vertical="center"/>
      <protection hidden="1"/>
    </xf>
    <xf numFmtId="0" fontId="1" fillId="0" borderId="126" xfId="0" applyFont="1" applyFill="1" applyBorder="1" applyAlignment="1" applyProtection="1">
      <alignment horizontal="center" vertical="center"/>
      <protection hidden="1"/>
    </xf>
    <xf numFmtId="0" fontId="1" fillId="0" borderId="120" xfId="0" applyFont="1" applyFill="1" applyBorder="1" applyAlignment="1" applyProtection="1">
      <alignment horizontal="center" vertical="center"/>
      <protection hidden="1"/>
    </xf>
    <xf numFmtId="0" fontId="1" fillId="0" borderId="136" xfId="0" applyFont="1" applyFill="1" applyBorder="1" applyAlignment="1" applyProtection="1">
      <alignment horizontal="center" vertical="center"/>
      <protection hidden="1"/>
    </xf>
    <xf numFmtId="0" fontId="1" fillId="0" borderId="134" xfId="0" applyFont="1" applyFill="1" applyBorder="1" applyAlignment="1" applyProtection="1">
      <alignment horizontal="center" vertical="center"/>
      <protection hidden="1"/>
    </xf>
    <xf numFmtId="0" fontId="1" fillId="0" borderId="135" xfId="0" applyFont="1" applyFill="1" applyBorder="1" applyAlignment="1" applyProtection="1">
      <alignment horizontal="center" vertical="center"/>
      <protection hidden="1"/>
    </xf>
    <xf numFmtId="0" fontId="1" fillId="0" borderId="137" xfId="0" applyFont="1" applyFill="1" applyBorder="1" applyAlignment="1" applyProtection="1">
      <alignment horizontal="center" vertical="center"/>
      <protection hidden="1"/>
    </xf>
    <xf numFmtId="0" fontId="1" fillId="0" borderId="130" xfId="0" applyFont="1" applyFill="1" applyBorder="1" applyAlignment="1" applyProtection="1">
      <alignment horizontal="center" vertical="center"/>
      <protection hidden="1"/>
    </xf>
    <xf numFmtId="0" fontId="1" fillId="0" borderId="131" xfId="0" applyFont="1" applyFill="1" applyBorder="1" applyAlignment="1" applyProtection="1">
      <alignment horizontal="center" vertical="center"/>
      <protection hidden="1"/>
    </xf>
    <xf numFmtId="0" fontId="1" fillId="0" borderId="132" xfId="0" applyFont="1" applyFill="1" applyBorder="1" applyAlignment="1" applyProtection="1">
      <alignment horizontal="center" vertical="center"/>
      <protection hidden="1"/>
    </xf>
    <xf numFmtId="0" fontId="4" fillId="0" borderId="62" xfId="0" applyFont="1" applyBorder="1" applyAlignment="1" applyProtection="1">
      <alignment horizontal="right"/>
      <protection hidden="1"/>
    </xf>
    <xf numFmtId="0" fontId="30" fillId="0" borderId="62" xfId="0" applyFont="1" applyBorder="1" applyAlignment="1" applyProtection="1">
      <alignment horizontal="center"/>
      <protection hidden="1"/>
    </xf>
    <xf numFmtId="0" fontId="1" fillId="0" borderId="62" xfId="0" applyFont="1" applyBorder="1" applyAlignment="1" applyProtection="1">
      <alignment horizontal="center"/>
      <protection hidden="1"/>
    </xf>
    <xf numFmtId="0" fontId="2" fillId="0" borderId="62" xfId="0" applyFont="1" applyBorder="1" applyAlignment="1" applyProtection="1">
      <protection hidden="1"/>
    </xf>
    <xf numFmtId="0" fontId="2" fillId="0" borderId="62" xfId="0" applyFont="1" applyBorder="1" applyProtection="1">
      <protection hidden="1"/>
    </xf>
    <xf numFmtId="0" fontId="30" fillId="0" borderId="62" xfId="0" applyFont="1" applyFill="1" applyBorder="1" applyAlignment="1" applyProtection="1">
      <protection hidden="1"/>
    </xf>
    <xf numFmtId="0" fontId="2" fillId="0" borderId="0" xfId="0" applyFont="1" applyAlignment="1" applyProtection="1">
      <alignment vertical="center"/>
      <protection hidden="1"/>
    </xf>
    <xf numFmtId="0" fontId="4" fillId="0" borderId="62" xfId="0" applyFont="1" applyFill="1" applyBorder="1" applyAlignment="1" applyProtection="1">
      <alignment horizontal="right"/>
      <protection hidden="1"/>
    </xf>
    <xf numFmtId="0" fontId="10" fillId="0" borderId="37" xfId="0" applyFont="1" applyBorder="1" applyAlignment="1" applyProtection="1">
      <alignment horizontal="right" vertical="center"/>
      <protection hidden="1"/>
    </xf>
    <xf numFmtId="0" fontId="10" fillId="0" borderId="121" xfId="0" applyFont="1" applyBorder="1" applyAlignment="1" applyProtection="1">
      <alignment horizontal="center" vertical="center"/>
      <protection hidden="1"/>
    </xf>
    <xf numFmtId="0" fontId="11" fillId="19" borderId="26" xfId="0" applyFont="1" applyFill="1" applyBorder="1" applyAlignment="1" applyProtection="1">
      <alignment horizontal="center" vertical="center"/>
      <protection hidden="1"/>
    </xf>
    <xf numFmtId="0" fontId="11" fillId="19" borderId="89" xfId="0" applyFont="1" applyFill="1" applyBorder="1" applyAlignment="1" applyProtection="1">
      <alignment horizontal="center" vertical="center"/>
      <protection hidden="1"/>
    </xf>
    <xf numFmtId="0" fontId="8" fillId="19" borderId="163" xfId="0" applyFont="1" applyFill="1" applyBorder="1" applyAlignment="1" applyProtection="1">
      <alignment horizontal="center" vertical="center"/>
      <protection hidden="1"/>
    </xf>
    <xf numFmtId="0" fontId="8" fillId="19" borderId="164" xfId="0" applyFont="1" applyFill="1" applyBorder="1" applyAlignment="1" applyProtection="1">
      <alignment horizontal="center" vertical="center"/>
      <protection hidden="1"/>
    </xf>
    <xf numFmtId="0" fontId="8" fillId="19" borderId="165" xfId="0" applyFont="1" applyFill="1" applyBorder="1" applyAlignment="1" applyProtection="1">
      <alignment horizontal="center" vertical="center"/>
      <protection hidden="1"/>
    </xf>
    <xf numFmtId="1" fontId="11" fillId="19" borderId="161" xfId="0" applyNumberFormat="1" applyFont="1" applyFill="1" applyBorder="1" applyAlignment="1" applyProtection="1">
      <alignment horizontal="center" vertical="center"/>
      <protection hidden="1"/>
    </xf>
    <xf numFmtId="1" fontId="11" fillId="19" borderId="166" xfId="0" applyNumberFormat="1" applyFont="1" applyFill="1" applyBorder="1" applyAlignment="1" applyProtection="1">
      <alignment horizontal="center" vertical="center"/>
      <protection hidden="1"/>
    </xf>
    <xf numFmtId="1" fontId="11" fillId="19" borderId="162" xfId="0" applyNumberFormat="1" applyFont="1" applyFill="1" applyBorder="1" applyAlignment="1" applyProtection="1">
      <alignment horizontal="center" vertical="center"/>
      <protection hidden="1"/>
    </xf>
    <xf numFmtId="0" fontId="8" fillId="19" borderId="167" xfId="0" applyFont="1" applyFill="1" applyBorder="1" applyAlignment="1" applyProtection="1">
      <alignment horizontal="center" vertical="center"/>
      <protection hidden="1"/>
    </xf>
    <xf numFmtId="0" fontId="8" fillId="19" borderId="168" xfId="0" applyFont="1" applyFill="1" applyBorder="1" applyAlignment="1" applyProtection="1">
      <alignment horizontal="center" vertical="center"/>
      <protection hidden="1"/>
    </xf>
    <xf numFmtId="0" fontId="8" fillId="19" borderId="169" xfId="0" applyFont="1" applyFill="1" applyBorder="1" applyAlignment="1" applyProtection="1">
      <alignment horizontal="center" vertical="center"/>
      <protection hidden="1"/>
    </xf>
    <xf numFmtId="0" fontId="8" fillId="19" borderId="170" xfId="0" applyFont="1" applyFill="1" applyBorder="1" applyAlignment="1" applyProtection="1">
      <alignment horizontal="center" vertical="center"/>
      <protection hidden="1"/>
    </xf>
    <xf numFmtId="0" fontId="8" fillId="19" borderId="171" xfId="0" applyFont="1" applyFill="1" applyBorder="1" applyAlignment="1" applyProtection="1">
      <alignment horizontal="center" vertical="center"/>
      <protection hidden="1"/>
    </xf>
    <xf numFmtId="0" fontId="8" fillId="19" borderId="172" xfId="0" applyFont="1" applyFill="1" applyBorder="1" applyAlignment="1" applyProtection="1">
      <alignment horizontal="center" vertical="center"/>
      <protection hidden="1"/>
    </xf>
    <xf numFmtId="0" fontId="34" fillId="2" borderId="1" xfId="0" applyFont="1" applyFill="1" applyBorder="1" applyAlignment="1">
      <alignment horizontal="center" vertical="center"/>
    </xf>
    <xf numFmtId="0" fontId="35" fillId="0" borderId="2" xfId="0" applyFont="1" applyBorder="1"/>
    <xf numFmtId="0" fontId="35" fillId="0" borderId="3" xfId="0" applyFont="1" applyBorder="1"/>
    <xf numFmtId="0" fontId="35" fillId="0" borderId="4" xfId="0" applyFont="1" applyBorder="1"/>
    <xf numFmtId="0" fontId="26" fillId="0" borderId="0" xfId="0" applyFont="1" applyAlignment="1"/>
    <xf numFmtId="0" fontId="35" fillId="0" borderId="5" xfId="0" applyFont="1" applyBorder="1"/>
    <xf numFmtId="0" fontId="35" fillId="0" borderId="6" xfId="0" applyFont="1" applyBorder="1"/>
    <xf numFmtId="0" fontId="35" fillId="0" borderId="7" xfId="0" applyFont="1" applyBorder="1"/>
    <xf numFmtId="0" fontId="35" fillId="0" borderId="8" xfId="0" applyFont="1" applyBorder="1"/>
    <xf numFmtId="0" fontId="5" fillId="3" borderId="9" xfId="0" applyFont="1" applyFill="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8" fillId="5" borderId="23" xfId="0" applyFont="1" applyFill="1" applyBorder="1" applyAlignment="1">
      <alignment horizontal="left"/>
    </xf>
    <xf numFmtId="0" fontId="1" fillId="0" borderId="24" xfId="0" applyFont="1" applyBorder="1"/>
    <xf numFmtId="0" fontId="12" fillId="8" borderId="1" xfId="0" applyFont="1" applyFill="1" applyBorder="1" applyAlignment="1">
      <alignment horizontal="left" vertical="center" wrapText="1"/>
    </xf>
    <xf numFmtId="0" fontId="5" fillId="3" borderId="56" xfId="0" applyFont="1" applyFill="1" applyBorder="1" applyAlignment="1">
      <alignment horizontal="center"/>
    </xf>
    <xf numFmtId="0" fontId="5" fillId="3" borderId="26" xfId="0" applyFont="1" applyFill="1" applyBorder="1" applyAlignment="1">
      <alignment horizontal="center"/>
    </xf>
    <xf numFmtId="0" fontId="8" fillId="5" borderId="1" xfId="0" applyFont="1" applyFill="1" applyBorder="1" applyAlignment="1">
      <alignment horizontal="left" vertical="center"/>
    </xf>
    <xf numFmtId="0" fontId="1" fillId="0" borderId="35" xfId="0" applyFont="1" applyBorder="1" applyAlignment="1">
      <alignment vertical="center"/>
    </xf>
    <xf numFmtId="0" fontId="1" fillId="0" borderId="24" xfId="0" applyFont="1" applyBorder="1" applyAlignment="1">
      <alignment horizontal="left"/>
    </xf>
    <xf numFmtId="0" fontId="8" fillId="5" borderId="57" xfId="0" applyFont="1" applyFill="1" applyBorder="1" applyAlignment="1">
      <alignment horizontal="left"/>
    </xf>
    <xf numFmtId="0" fontId="8" fillId="5" borderId="26" xfId="0" applyFont="1" applyFill="1" applyBorder="1" applyAlignment="1">
      <alignment horizontal="left"/>
    </xf>
    <xf numFmtId="0" fontId="30" fillId="19" borderId="90" xfId="0" applyFont="1" applyFill="1" applyBorder="1" applyAlignment="1" applyProtection="1">
      <alignment horizontal="center"/>
      <protection hidden="1"/>
    </xf>
    <xf numFmtId="0" fontId="30" fillId="19" borderId="91" xfId="0" applyFont="1" applyFill="1" applyBorder="1" applyAlignment="1" applyProtection="1">
      <alignment horizontal="center"/>
      <protection hidden="1"/>
    </xf>
    <xf numFmtId="0" fontId="30" fillId="19" borderId="92" xfId="0" applyFont="1" applyFill="1" applyBorder="1" applyAlignment="1" applyProtection="1">
      <alignment horizontal="center"/>
      <protection hidden="1"/>
    </xf>
    <xf numFmtId="0" fontId="2" fillId="0" borderId="90" xfId="0" applyFont="1" applyBorder="1" applyAlignment="1" applyProtection="1">
      <alignment horizontal="center"/>
      <protection hidden="1"/>
    </xf>
    <xf numFmtId="0" fontId="2" fillId="0" borderId="91" xfId="0" applyFont="1" applyBorder="1" applyAlignment="1" applyProtection="1">
      <alignment horizontal="center"/>
      <protection hidden="1"/>
    </xf>
    <xf numFmtId="0" fontId="2" fillId="0" borderId="92" xfId="0" applyFont="1" applyBorder="1" applyAlignment="1" applyProtection="1">
      <alignment horizontal="center"/>
      <protection hidden="1"/>
    </xf>
    <xf numFmtId="0" fontId="37" fillId="19" borderId="142" xfId="0" applyFont="1" applyFill="1" applyBorder="1" applyAlignment="1" applyProtection="1">
      <alignment horizontal="center" vertical="center"/>
      <protection hidden="1"/>
    </xf>
    <xf numFmtId="0" fontId="37" fillId="19" borderId="143" xfId="0" applyFont="1" applyFill="1" applyBorder="1" applyAlignment="1" applyProtection="1">
      <alignment horizontal="center" vertical="center"/>
      <protection hidden="1"/>
    </xf>
    <xf numFmtId="0" fontId="37" fillId="19" borderId="153" xfId="0" applyFont="1" applyFill="1" applyBorder="1" applyAlignment="1" applyProtection="1">
      <alignment horizontal="center" vertical="center"/>
      <protection hidden="1"/>
    </xf>
    <xf numFmtId="0" fontId="10" fillId="19" borderId="122" xfId="0" applyFont="1" applyFill="1" applyBorder="1" applyAlignment="1" applyProtection="1">
      <alignment horizontal="center" vertical="center" wrapText="1"/>
      <protection hidden="1"/>
    </xf>
    <xf numFmtId="0" fontId="10" fillId="19" borderId="118" xfId="0" applyFont="1" applyFill="1" applyBorder="1" applyAlignment="1" applyProtection="1">
      <alignment horizontal="center" vertical="center" wrapText="1"/>
      <protection hidden="1"/>
    </xf>
    <xf numFmtId="0" fontId="10" fillId="19" borderId="123" xfId="0" applyFont="1" applyFill="1" applyBorder="1" applyAlignment="1" applyProtection="1">
      <alignment horizontal="center" vertical="center" wrapText="1"/>
      <protection hidden="1"/>
    </xf>
    <xf numFmtId="0" fontId="10" fillId="19" borderId="124" xfId="0" applyFont="1" applyFill="1" applyBorder="1" applyAlignment="1" applyProtection="1">
      <alignment horizontal="center" vertical="center" wrapText="1"/>
      <protection hidden="1"/>
    </xf>
    <xf numFmtId="0" fontId="10" fillId="19" borderId="62" xfId="0" applyFont="1" applyFill="1" applyBorder="1" applyAlignment="1" applyProtection="1">
      <alignment horizontal="center" vertical="center" wrapText="1"/>
      <protection hidden="1"/>
    </xf>
    <xf numFmtId="0" fontId="10" fillId="19" borderId="125" xfId="0" applyFont="1" applyFill="1" applyBorder="1" applyAlignment="1" applyProtection="1">
      <alignment horizontal="center" vertical="center" wrapText="1"/>
      <protection hidden="1"/>
    </xf>
    <xf numFmtId="0" fontId="37" fillId="19" borderId="130" xfId="0" applyFont="1" applyFill="1" applyBorder="1" applyAlignment="1" applyProtection="1">
      <alignment horizontal="center" vertical="center"/>
      <protection hidden="1"/>
    </xf>
    <xf numFmtId="0" fontId="37" fillId="19" borderId="131" xfId="0" applyFont="1" applyFill="1" applyBorder="1" applyAlignment="1" applyProtection="1">
      <alignment horizontal="center" vertical="center"/>
      <protection hidden="1"/>
    </xf>
    <xf numFmtId="0" fontId="37" fillId="19" borderId="112" xfId="0" applyFont="1" applyFill="1" applyBorder="1" applyAlignment="1" applyProtection="1">
      <alignment horizontal="center" vertical="center"/>
      <protection hidden="1"/>
    </xf>
    <xf numFmtId="0" fontId="10" fillId="19" borderId="10" xfId="0" applyFont="1" applyFill="1" applyBorder="1" applyAlignment="1" applyProtection="1">
      <alignment horizontal="center" vertical="center" wrapText="1"/>
      <protection hidden="1"/>
    </xf>
    <xf numFmtId="0" fontId="10" fillId="19" borderId="11" xfId="0" applyFont="1" applyFill="1" applyBorder="1" applyAlignment="1" applyProtection="1">
      <alignment horizontal="center" vertical="center" wrapText="1"/>
      <protection hidden="1"/>
    </xf>
    <xf numFmtId="0" fontId="10" fillId="19" borderId="30" xfId="0" applyFont="1" applyFill="1" applyBorder="1" applyAlignment="1" applyProtection="1">
      <alignment horizontal="center" vertical="center" wrapText="1"/>
      <protection hidden="1"/>
    </xf>
    <xf numFmtId="0" fontId="10" fillId="19" borderId="138" xfId="0" applyFont="1" applyFill="1" applyBorder="1" applyAlignment="1" applyProtection="1">
      <alignment horizontal="center" vertical="center" wrapText="1"/>
      <protection hidden="1"/>
    </xf>
    <xf numFmtId="0" fontId="10" fillId="19" borderId="41" xfId="0" applyFont="1" applyFill="1" applyBorder="1" applyAlignment="1" applyProtection="1">
      <alignment horizontal="center" vertical="center" wrapText="1"/>
      <protection hidden="1"/>
    </xf>
    <xf numFmtId="0" fontId="10" fillId="19" borderId="43" xfId="0" applyFont="1" applyFill="1" applyBorder="1" applyAlignment="1" applyProtection="1">
      <alignment horizontal="center" vertical="center" wrapText="1"/>
      <protection hidden="1"/>
    </xf>
    <xf numFmtId="0" fontId="10" fillId="19" borderId="122" xfId="0" applyFont="1" applyFill="1" applyBorder="1" applyAlignment="1" applyProtection="1">
      <alignment horizontal="center" vertical="center"/>
      <protection hidden="1"/>
    </xf>
    <xf numFmtId="0" fontId="10" fillId="19" borderId="118" xfId="0" applyFont="1" applyFill="1" applyBorder="1" applyAlignment="1" applyProtection="1">
      <alignment horizontal="center" vertical="center"/>
      <protection hidden="1"/>
    </xf>
    <xf numFmtId="0" fontId="10" fillId="19" borderId="123" xfId="0" applyFont="1" applyFill="1" applyBorder="1" applyAlignment="1" applyProtection="1">
      <alignment horizontal="center" vertical="center"/>
      <protection hidden="1"/>
    </xf>
    <xf numFmtId="0" fontId="10" fillId="19" borderId="84" xfId="0" applyFont="1" applyFill="1" applyBorder="1" applyAlignment="1" applyProtection="1">
      <alignment horizontal="center" vertical="center"/>
      <protection hidden="1"/>
    </xf>
    <xf numFmtId="0" fontId="10" fillId="19" borderId="86" xfId="0" applyFont="1" applyFill="1" applyBorder="1" applyAlignment="1" applyProtection="1">
      <alignment horizontal="center" vertical="center"/>
      <protection hidden="1"/>
    </xf>
    <xf numFmtId="0" fontId="10" fillId="19" borderId="87" xfId="0" applyFont="1" applyFill="1" applyBorder="1" applyAlignment="1" applyProtection="1">
      <alignment horizontal="center" vertical="center"/>
      <protection hidden="1"/>
    </xf>
    <xf numFmtId="0" fontId="8" fillId="20" borderId="118" xfId="0" applyFont="1" applyFill="1" applyBorder="1" applyAlignment="1" applyProtection="1">
      <alignment horizontal="center" vertical="center"/>
      <protection hidden="1"/>
    </xf>
    <xf numFmtId="0" fontId="8" fillId="20" borderId="119" xfId="0" applyFont="1" applyFill="1" applyBorder="1" applyAlignment="1" applyProtection="1">
      <alignment horizontal="center" vertical="center"/>
      <protection hidden="1"/>
    </xf>
    <xf numFmtId="0" fontId="8" fillId="20" borderId="41" xfId="0" applyFont="1" applyFill="1" applyBorder="1" applyAlignment="1" applyProtection="1">
      <alignment horizontal="center" vertical="center"/>
      <protection hidden="1"/>
    </xf>
    <xf numFmtId="0" fontId="8" fillId="20" borderId="43" xfId="0" applyFont="1" applyFill="1" applyBorder="1" applyAlignment="1" applyProtection="1">
      <alignment horizontal="center" vertical="center"/>
      <protection hidden="1"/>
    </xf>
    <xf numFmtId="0" fontId="8" fillId="20" borderId="122" xfId="0" applyFont="1" applyFill="1" applyBorder="1" applyAlignment="1" applyProtection="1">
      <alignment horizontal="center" vertical="center"/>
      <protection hidden="1"/>
    </xf>
    <xf numFmtId="0" fontId="8" fillId="20" borderId="123" xfId="0" applyFont="1" applyFill="1" applyBorder="1" applyAlignment="1" applyProtection="1">
      <alignment horizontal="center" vertical="center"/>
      <protection hidden="1"/>
    </xf>
    <xf numFmtId="0" fontId="8" fillId="20" borderId="84" xfId="0" applyFont="1" applyFill="1" applyBorder="1" applyAlignment="1" applyProtection="1">
      <alignment horizontal="center" vertical="center"/>
      <protection hidden="1"/>
    </xf>
    <xf numFmtId="0" fontId="8" fillId="20" borderId="86" xfId="0" applyFont="1" applyFill="1" applyBorder="1" applyAlignment="1" applyProtection="1">
      <alignment horizontal="center" vertical="center"/>
      <protection hidden="1"/>
    </xf>
    <xf numFmtId="0" fontId="8" fillId="20" borderId="87" xfId="0" applyFont="1" applyFill="1" applyBorder="1" applyAlignment="1" applyProtection="1">
      <alignment horizontal="center" vertical="center"/>
      <protection hidden="1"/>
    </xf>
    <xf numFmtId="0" fontId="10" fillId="19" borderId="37" xfId="0" applyFont="1" applyFill="1" applyBorder="1" applyAlignment="1" applyProtection="1">
      <alignment horizontal="center" vertical="center" wrapText="1"/>
      <protection hidden="1"/>
    </xf>
    <xf numFmtId="0" fontId="1" fillId="19" borderId="39" xfId="0" applyFont="1" applyFill="1" applyBorder="1" applyAlignment="1" applyProtection="1">
      <alignment vertical="center"/>
      <protection hidden="1"/>
    </xf>
    <xf numFmtId="0" fontId="1" fillId="19" borderId="59" xfId="0" applyFont="1" applyFill="1" applyBorder="1" applyAlignment="1" applyProtection="1">
      <alignment vertical="center"/>
      <protection hidden="1"/>
    </xf>
    <xf numFmtId="0" fontId="30" fillId="19" borderId="13" xfId="0" applyFont="1" applyFill="1" applyBorder="1" applyAlignment="1" applyProtection="1">
      <alignment horizontal="center"/>
      <protection hidden="1"/>
    </xf>
    <xf numFmtId="0" fontId="1" fillId="19" borderId="15" xfId="0" applyFont="1" applyFill="1" applyBorder="1" applyAlignment="1" applyProtection="1">
      <alignment horizontal="center"/>
      <protection hidden="1"/>
    </xf>
    <xf numFmtId="0" fontId="1" fillId="19" borderId="16" xfId="0" applyFont="1" applyFill="1" applyBorder="1" applyAlignment="1" applyProtection="1">
      <alignment horizontal="center"/>
      <protection hidden="1"/>
    </xf>
    <xf numFmtId="0" fontId="8" fillId="19" borderId="56" xfId="0" applyFont="1" applyFill="1" applyBorder="1" applyAlignment="1" applyProtection="1">
      <alignment horizontal="left"/>
      <protection hidden="1"/>
    </xf>
    <xf numFmtId="0" fontId="8" fillId="19" borderId="57" xfId="0" applyFont="1" applyFill="1" applyBorder="1" applyAlignment="1" applyProtection="1">
      <alignment horizontal="left"/>
      <protection hidden="1"/>
    </xf>
    <xf numFmtId="0" fontId="27" fillId="0" borderId="0" xfId="0" applyFont="1" applyAlignment="1" applyProtection="1">
      <alignment horizontal="center"/>
      <protection locked="0"/>
    </xf>
    <xf numFmtId="0" fontId="0" fillId="0" borderId="0" xfId="0" applyFont="1" applyAlignment="1" applyProtection="1">
      <alignment horizontal="center"/>
      <protection locked="0"/>
    </xf>
    <xf numFmtId="0" fontId="22" fillId="16" borderId="90" xfId="0" applyFont="1" applyFill="1" applyBorder="1" applyAlignment="1" applyProtection="1">
      <alignment horizontal="center"/>
      <protection locked="0"/>
    </xf>
    <xf numFmtId="0" fontId="22" fillId="16" borderId="91" xfId="0" applyFont="1" applyFill="1" applyBorder="1" applyAlignment="1" applyProtection="1">
      <alignment horizontal="center"/>
      <protection locked="0"/>
    </xf>
    <xf numFmtId="0" fontId="22" fillId="16" borderId="92" xfId="0" applyFont="1" applyFill="1" applyBorder="1" applyAlignment="1" applyProtection="1">
      <alignment horizontal="center"/>
      <protection locked="0"/>
    </xf>
    <xf numFmtId="0" fontId="8" fillId="19" borderId="71" xfId="0" applyFont="1" applyFill="1" applyBorder="1" applyAlignment="1" applyProtection="1">
      <alignment horizontal="left"/>
      <protection hidden="1"/>
    </xf>
    <xf numFmtId="0" fontId="1" fillId="19" borderId="71" xfId="0" applyFont="1" applyFill="1" applyBorder="1" applyAlignment="1" applyProtection="1">
      <alignment horizontal="left"/>
      <protection hidden="1"/>
    </xf>
    <xf numFmtId="0" fontId="8" fillId="19" borderId="61" xfId="0" applyFont="1" applyFill="1" applyBorder="1" applyAlignment="1" applyProtection="1">
      <alignment horizontal="left" vertical="center"/>
      <protection hidden="1"/>
    </xf>
    <xf numFmtId="0" fontId="1" fillId="19" borderId="61" xfId="0" applyFont="1" applyFill="1" applyBorder="1" applyAlignment="1" applyProtection="1">
      <alignment horizontal="left" vertical="center"/>
      <protection hidden="1"/>
    </xf>
    <xf numFmtId="0" fontId="5" fillId="9" borderId="13" xfId="0" applyFont="1" applyFill="1" applyBorder="1" applyAlignment="1" applyProtection="1">
      <protection locked="0"/>
    </xf>
    <xf numFmtId="0" fontId="1" fillId="0" borderId="15" xfId="0" applyFont="1" applyBorder="1" applyProtection="1">
      <protection locked="0"/>
    </xf>
    <xf numFmtId="0" fontId="1" fillId="0" borderId="62" xfId="0" applyFont="1" applyBorder="1" applyProtection="1">
      <protection locked="0"/>
    </xf>
    <xf numFmtId="0" fontId="1" fillId="0" borderId="10" xfId="0" applyFont="1" applyBorder="1" applyProtection="1">
      <protection locked="0"/>
    </xf>
    <xf numFmtId="0" fontId="1" fillId="0" borderId="16" xfId="0" applyFont="1" applyBorder="1" applyProtection="1">
      <protection locked="0"/>
    </xf>
    <xf numFmtId="0" fontId="8" fillId="19" borderId="53" xfId="0" applyFont="1" applyFill="1" applyBorder="1" applyAlignment="1" applyProtection="1">
      <alignment horizontal="left"/>
      <protection hidden="1"/>
    </xf>
    <xf numFmtId="0" fontId="8" fillId="19" borderId="88" xfId="0" applyFont="1" applyFill="1" applyBorder="1" applyAlignment="1" applyProtection="1">
      <alignment horizontal="left"/>
      <protection hidden="1"/>
    </xf>
    <xf numFmtId="0" fontId="2" fillId="0" borderId="0" xfId="0" applyFont="1" applyProtection="1">
      <protection locked="0"/>
    </xf>
    <xf numFmtId="0" fontId="0" fillId="0" borderId="0" xfId="0" applyFont="1" applyAlignment="1" applyProtection="1">
      <protection locked="0"/>
    </xf>
    <xf numFmtId="0" fontId="5" fillId="17" borderId="13" xfId="0" applyFont="1" applyFill="1" applyBorder="1" applyProtection="1">
      <protection locked="0"/>
    </xf>
    <xf numFmtId="0" fontId="1" fillId="18" borderId="15" xfId="0" applyFont="1" applyFill="1" applyBorder="1" applyProtection="1">
      <protection locked="0"/>
    </xf>
    <xf numFmtId="0" fontId="1" fillId="18" borderId="41" xfId="0" applyFont="1" applyFill="1" applyBorder="1" applyProtection="1">
      <protection locked="0"/>
    </xf>
    <xf numFmtId="0" fontId="1" fillId="18" borderId="16" xfId="0" applyFont="1" applyFill="1" applyBorder="1" applyProtection="1">
      <protection locked="0"/>
    </xf>
    <xf numFmtId="0" fontId="5" fillId="9" borderId="13" xfId="0" applyFont="1" applyFill="1" applyBorder="1" applyProtection="1">
      <protection locked="0"/>
    </xf>
    <xf numFmtId="0" fontId="8" fillId="19" borderId="61" xfId="0" applyFont="1" applyFill="1" applyBorder="1" applyAlignment="1" applyProtection="1">
      <protection hidden="1"/>
    </xf>
    <xf numFmtId="0" fontId="1" fillId="19" borderId="61" xfId="0" applyFont="1" applyFill="1" applyBorder="1" applyProtection="1">
      <protection hidden="1"/>
    </xf>
    <xf numFmtId="0" fontId="9" fillId="19" borderId="50" xfId="0" applyFont="1" applyFill="1" applyBorder="1" applyAlignment="1" applyProtection="1">
      <alignment horizontal="center" vertical="center"/>
      <protection hidden="1"/>
    </xf>
    <xf numFmtId="0" fontId="1" fillId="19" borderId="62" xfId="0" applyFont="1" applyFill="1" applyBorder="1" applyAlignment="1" applyProtection="1">
      <alignment vertical="center"/>
      <protection hidden="1"/>
    </xf>
    <xf numFmtId="0" fontId="1" fillId="19" borderId="30" xfId="0" applyFont="1" applyFill="1" applyBorder="1" applyAlignment="1" applyProtection="1">
      <alignment vertical="center"/>
      <protection hidden="1"/>
    </xf>
    <xf numFmtId="0" fontId="1" fillId="19" borderId="29" xfId="0" applyFont="1" applyFill="1" applyBorder="1" applyAlignment="1" applyProtection="1">
      <alignment vertical="center"/>
      <protection hidden="1"/>
    </xf>
    <xf numFmtId="0" fontId="0" fillId="19" borderId="0" xfId="0" applyFont="1" applyFill="1" applyAlignment="1" applyProtection="1">
      <alignment vertical="center"/>
      <protection hidden="1"/>
    </xf>
    <xf numFmtId="0" fontId="1" fillId="19" borderId="50" xfId="0" applyFont="1" applyFill="1" applyBorder="1" applyAlignment="1" applyProtection="1">
      <alignment vertical="center"/>
      <protection hidden="1"/>
    </xf>
    <xf numFmtId="0" fontId="11" fillId="19" borderId="13" xfId="0" applyFont="1" applyFill="1" applyBorder="1" applyAlignment="1" applyProtection="1">
      <alignment horizontal="right"/>
      <protection hidden="1"/>
    </xf>
    <xf numFmtId="0" fontId="1" fillId="19" borderId="15" xfId="0" applyFont="1" applyFill="1" applyBorder="1" applyProtection="1">
      <protection hidden="1"/>
    </xf>
    <xf numFmtId="0" fontId="1" fillId="19" borderId="28" xfId="0" applyFont="1" applyFill="1" applyBorder="1" applyProtection="1">
      <protection hidden="1"/>
    </xf>
    <xf numFmtId="0" fontId="10" fillId="0" borderId="38" xfId="0" applyFont="1" applyBorder="1" applyAlignment="1" applyProtection="1">
      <alignment vertical="center"/>
      <protection hidden="1"/>
    </xf>
    <xf numFmtId="0" fontId="1" fillId="0" borderId="41" xfId="0" applyFont="1" applyBorder="1" applyAlignment="1" applyProtection="1">
      <alignment vertical="center"/>
      <protection hidden="1"/>
    </xf>
    <xf numFmtId="0" fontId="10" fillId="0" borderId="9" xfId="0" applyFont="1" applyBorder="1" applyAlignment="1" applyProtection="1">
      <alignment vertical="center"/>
      <protection hidden="1"/>
    </xf>
    <xf numFmtId="0" fontId="1" fillId="0" borderId="10" xfId="0" applyFont="1" applyBorder="1" applyAlignment="1" applyProtection="1">
      <alignment vertical="center"/>
      <protection hidden="1"/>
    </xf>
    <xf numFmtId="0" fontId="1" fillId="0" borderId="11" xfId="0" applyFont="1" applyBorder="1" applyAlignment="1" applyProtection="1">
      <alignment vertical="center"/>
      <protection hidden="1"/>
    </xf>
    <xf numFmtId="0" fontId="8" fillId="20" borderId="90" xfId="0" applyFont="1" applyFill="1" applyBorder="1" applyAlignment="1" applyProtection="1">
      <alignment horizontal="center" vertical="center"/>
      <protection hidden="1"/>
    </xf>
    <xf numFmtId="0" fontId="8" fillId="20" borderId="91" xfId="0" applyFont="1" applyFill="1" applyBorder="1" applyAlignment="1" applyProtection="1">
      <alignment horizontal="center" vertical="center"/>
      <protection hidden="1"/>
    </xf>
    <xf numFmtId="0" fontId="8" fillId="20" borderId="92" xfId="0" applyFont="1" applyFill="1" applyBorder="1" applyAlignment="1" applyProtection="1">
      <alignment horizontal="center" vertical="center"/>
      <protection hidden="1"/>
    </xf>
    <xf numFmtId="0" fontId="8" fillId="20" borderId="50" xfId="0" applyFont="1" applyFill="1" applyBorder="1" applyAlignment="1" applyProtection="1">
      <alignment horizontal="center" vertical="center"/>
      <protection hidden="1"/>
    </xf>
    <xf numFmtId="0" fontId="8" fillId="20" borderId="62" xfId="0" applyFont="1" applyFill="1" applyBorder="1" applyAlignment="1" applyProtection="1">
      <alignment horizontal="center" vertical="center"/>
      <protection hidden="1"/>
    </xf>
    <xf numFmtId="0" fontId="10" fillId="19" borderId="124" xfId="0" applyFont="1" applyFill="1" applyBorder="1" applyAlignment="1" applyProtection="1">
      <alignment horizontal="center" vertical="center"/>
      <protection hidden="1"/>
    </xf>
    <xf numFmtId="0" fontId="10" fillId="19" borderId="62" xfId="0" applyFont="1" applyFill="1" applyBorder="1" applyAlignment="1" applyProtection="1">
      <alignment horizontal="center" vertical="center"/>
      <protection hidden="1"/>
    </xf>
    <xf numFmtId="0" fontId="10" fillId="19" borderId="125" xfId="0" applyFont="1" applyFill="1" applyBorder="1" applyAlignment="1" applyProtection="1">
      <alignment horizontal="center" vertical="center"/>
      <protection hidden="1"/>
    </xf>
    <xf numFmtId="0" fontId="37" fillId="19" borderId="144" xfId="0" applyFont="1" applyFill="1" applyBorder="1" applyAlignment="1" applyProtection="1">
      <alignment horizontal="center" vertical="center"/>
      <protection hidden="1"/>
    </xf>
    <xf numFmtId="0" fontId="8" fillId="19" borderId="61" xfId="0" applyFont="1" applyFill="1" applyBorder="1" applyAlignment="1" applyProtection="1">
      <alignment vertical="center"/>
      <protection hidden="1"/>
    </xf>
    <xf numFmtId="0" fontId="1" fillId="19" borderId="61" xfId="0" applyFont="1" applyFill="1" applyBorder="1" applyAlignment="1" applyProtection="1">
      <alignment vertical="center"/>
      <protection hidden="1"/>
    </xf>
    <xf numFmtId="0" fontId="2" fillId="0" borderId="0" xfId="0" applyFont="1" applyAlignment="1"/>
    <xf numFmtId="0" fontId="0" fillId="0" borderId="0" xfId="0" applyFont="1" applyAlignment="1"/>
    <xf numFmtId="0" fontId="8" fillId="19" borderId="53" xfId="0" applyFont="1" applyFill="1" applyBorder="1" applyAlignment="1" applyProtection="1">
      <alignment vertical="center"/>
      <protection hidden="1"/>
    </xf>
    <xf numFmtId="0" fontId="1" fillId="19" borderId="88" xfId="0" applyFont="1" applyFill="1" applyBorder="1" applyAlignment="1" applyProtection="1">
      <alignment vertical="center"/>
      <protection hidden="1"/>
    </xf>
    <xf numFmtId="0" fontId="5" fillId="11" borderId="13" xfId="0" applyFont="1" applyFill="1" applyBorder="1" applyAlignment="1" applyProtection="1">
      <protection locked="0"/>
    </xf>
    <xf numFmtId="0" fontId="32" fillId="0" borderId="0" xfId="0" applyFont="1" applyAlignment="1">
      <alignment horizontal="center"/>
    </xf>
    <xf numFmtId="0" fontId="33" fillId="0" borderId="0" xfId="0" applyFont="1" applyAlignment="1">
      <alignment horizontal="center"/>
    </xf>
    <xf numFmtId="0" fontId="23" fillId="18" borderId="41" xfId="0" applyFont="1" applyFill="1" applyBorder="1" applyAlignment="1">
      <alignment horizontal="center"/>
    </xf>
    <xf numFmtId="0" fontId="10" fillId="0" borderId="13"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8" fillId="19" borderId="15" xfId="0" applyFont="1" applyFill="1" applyBorder="1" applyAlignment="1" applyProtection="1">
      <alignment horizontal="center" vertical="center"/>
      <protection hidden="1"/>
    </xf>
    <xf numFmtId="0" fontId="36" fillId="19" borderId="15" xfId="0" applyFont="1" applyFill="1" applyBorder="1" applyAlignment="1" applyProtection="1">
      <alignment horizontal="center" vertical="center"/>
      <protection hidden="1"/>
    </xf>
    <xf numFmtId="0" fontId="36" fillId="19" borderId="10" xfId="0" applyFont="1" applyFill="1" applyBorder="1" applyAlignment="1" applyProtection="1">
      <alignment horizontal="center" vertical="center"/>
      <protection hidden="1"/>
    </xf>
    <xf numFmtId="0" fontId="36" fillId="19" borderId="11" xfId="0" applyFont="1" applyFill="1" applyBorder="1" applyAlignment="1" applyProtection="1">
      <alignment horizontal="center" vertical="center"/>
      <protection hidden="1"/>
    </xf>
    <xf numFmtId="0" fontId="8" fillId="19" borderId="13" xfId="0" applyFont="1" applyFill="1" applyBorder="1" applyAlignment="1" applyProtection="1">
      <alignment horizontal="center" vertical="center"/>
      <protection hidden="1"/>
    </xf>
    <xf numFmtId="0" fontId="36" fillId="19" borderId="16" xfId="0" applyFont="1" applyFill="1" applyBorder="1" applyAlignment="1" applyProtection="1">
      <alignment horizontal="center" vertical="center"/>
      <protection hidden="1"/>
    </xf>
    <xf numFmtId="0" fontId="10" fillId="0" borderId="122" xfId="0" applyFont="1" applyBorder="1" applyAlignment="1" applyProtection="1">
      <alignment horizontal="center" vertical="center"/>
      <protection hidden="1"/>
    </xf>
    <xf numFmtId="0" fontId="1" fillId="0" borderId="118" xfId="0" applyFont="1" applyBorder="1" applyAlignment="1" applyProtection="1">
      <alignment vertical="center"/>
      <protection hidden="1"/>
    </xf>
    <xf numFmtId="0" fontId="1" fillId="0" borderId="123" xfId="0" applyFont="1" applyBorder="1" applyAlignment="1" applyProtection="1">
      <alignment vertical="center"/>
      <protection hidden="1"/>
    </xf>
    <xf numFmtId="0" fontId="10" fillId="0" borderId="11" xfId="0" applyFont="1" applyBorder="1" applyAlignment="1" applyProtection="1">
      <alignment horizontal="center" vertical="center"/>
      <protection hidden="1"/>
    </xf>
    <xf numFmtId="0" fontId="1" fillId="0" borderId="43" xfId="0" applyFont="1" applyBorder="1" applyAlignment="1" applyProtection="1">
      <alignment vertical="center"/>
      <protection hidden="1"/>
    </xf>
    <xf numFmtId="0" fontId="10" fillId="0" borderId="37" xfId="0" applyFont="1" applyBorder="1" applyAlignment="1" applyProtection="1">
      <alignment horizontal="center" vertical="center"/>
      <protection hidden="1"/>
    </xf>
    <xf numFmtId="0" fontId="1" fillId="0" borderId="59" xfId="0" applyFont="1" applyBorder="1" applyAlignment="1" applyProtection="1">
      <alignment vertical="center"/>
      <protection hidden="1"/>
    </xf>
    <xf numFmtId="0" fontId="10" fillId="0" borderId="9" xfId="0" applyFont="1" applyBorder="1" applyAlignment="1" applyProtection="1">
      <alignment horizontal="center" vertical="center"/>
      <protection hidden="1"/>
    </xf>
    <xf numFmtId="0" fontId="1" fillId="0" borderId="33" xfId="0" applyFont="1" applyBorder="1" applyAlignment="1" applyProtection="1">
      <alignment vertical="center"/>
      <protection hidden="1"/>
    </xf>
    <xf numFmtId="0" fontId="1" fillId="0" borderId="34" xfId="0" applyFont="1" applyBorder="1" applyAlignment="1" applyProtection="1">
      <alignment vertical="center"/>
      <protection hidden="1"/>
    </xf>
    <xf numFmtId="0" fontId="33" fillId="0" borderId="62" xfId="0" applyFont="1" applyBorder="1" applyAlignment="1">
      <alignment horizontal="center"/>
    </xf>
    <xf numFmtId="0" fontId="8" fillId="20" borderId="13" xfId="0" applyFont="1" applyFill="1" applyBorder="1" applyAlignment="1" applyProtection="1">
      <alignment horizontal="center" vertical="center"/>
      <protection hidden="1"/>
    </xf>
    <xf numFmtId="0" fontId="36" fillId="19" borderId="16" xfId="0" applyFont="1" applyFill="1" applyBorder="1" applyAlignment="1" applyProtection="1">
      <alignment vertical="center"/>
      <protection hidden="1"/>
    </xf>
    <xf numFmtId="0" fontId="5" fillId="11" borderId="13" xfId="0" applyFont="1" applyFill="1" applyBorder="1" applyAlignment="1"/>
    <xf numFmtId="0" fontId="1" fillId="0" borderId="15" xfId="0" applyFont="1" applyBorder="1"/>
    <xf numFmtId="0" fontId="1" fillId="0" borderId="62" xfId="0" applyFont="1" applyBorder="1"/>
    <xf numFmtId="0" fontId="1" fillId="0" borderId="10" xfId="0" applyFont="1" applyBorder="1"/>
    <xf numFmtId="0" fontId="1" fillId="0" borderId="16" xfId="0" applyFont="1" applyBorder="1"/>
    <xf numFmtId="0" fontId="17" fillId="0" borderId="76" xfId="0" applyFont="1" applyBorder="1" applyAlignment="1">
      <alignment horizontal="center" vertical="center" wrapText="1"/>
    </xf>
    <xf numFmtId="0" fontId="1" fillId="0" borderId="77" xfId="0" applyFont="1" applyBorder="1"/>
    <xf numFmtId="0" fontId="1" fillId="0" borderId="79" xfId="0" applyFont="1" applyBorder="1"/>
    <xf numFmtId="0" fontId="1" fillId="0" borderId="82" xfId="0" applyFont="1" applyBorder="1"/>
    <xf numFmtId="0" fontId="18" fillId="13" borderId="0" xfId="0" applyFont="1" applyFill="1" applyAlignment="1">
      <alignment horizontal="center"/>
    </xf>
    <xf numFmtId="0" fontId="18" fillId="14" borderId="9" xfId="0" applyFont="1" applyFill="1" applyBorder="1" applyAlignment="1">
      <alignment horizontal="center"/>
    </xf>
    <xf numFmtId="0" fontId="1" fillId="0" borderId="11" xfId="0" applyFont="1" applyBorder="1"/>
    <xf numFmtId="0" fontId="17" fillId="0" borderId="7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48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9AA8E434-13A7-4225-89DF-55387384F109}"/>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48</xdr:col>
      <xdr:colOff>40005</xdr:colOff>
      <xdr:row>1</xdr:row>
      <xdr:rowOff>85725</xdr:rowOff>
    </xdr:from>
    <xdr:ext cx="1624641" cy="821055"/>
    <xdr:pic>
      <xdr:nvPicPr>
        <xdr:cNvPr id="3" name="image1.png" title="Image">
          <a:extLst>
            <a:ext uri="{FF2B5EF4-FFF2-40B4-BE49-F238E27FC236}">
              <a16:creationId xmlns:a16="http://schemas.microsoft.com/office/drawing/2014/main" id="{9C34A858-BB51-4F1F-953E-A35AD7260F71}"/>
            </a:ext>
          </a:extLst>
        </xdr:cNvPr>
        <xdr:cNvPicPr preferRelativeResize="0"/>
      </xdr:nvPicPr>
      <xdr:blipFill>
        <a:blip xmlns:r="http://schemas.openxmlformats.org/officeDocument/2006/relationships" r:embed="rId2" cstate="print"/>
        <a:stretch>
          <a:fillRect/>
        </a:stretch>
      </xdr:blipFill>
      <xdr:spPr>
        <a:xfrm>
          <a:off x="1786318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95EA1C0A-214D-47C0-AB94-32E90611291D}"/>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48</xdr:col>
      <xdr:colOff>40005</xdr:colOff>
      <xdr:row>1</xdr:row>
      <xdr:rowOff>85725</xdr:rowOff>
    </xdr:from>
    <xdr:ext cx="1624641" cy="821055"/>
    <xdr:pic>
      <xdr:nvPicPr>
        <xdr:cNvPr id="3" name="image1.png" title="Image">
          <a:extLst>
            <a:ext uri="{FF2B5EF4-FFF2-40B4-BE49-F238E27FC236}">
              <a16:creationId xmlns:a16="http://schemas.microsoft.com/office/drawing/2014/main" id="{AFF7CC44-AE50-4124-9C63-943C86D9BE42}"/>
            </a:ext>
          </a:extLst>
        </xdr:cNvPr>
        <xdr:cNvPicPr preferRelativeResize="0"/>
      </xdr:nvPicPr>
      <xdr:blipFill>
        <a:blip xmlns:r="http://schemas.openxmlformats.org/officeDocument/2006/relationships" r:embed="rId2" cstate="print"/>
        <a:stretch>
          <a:fillRect/>
        </a:stretch>
      </xdr:blipFill>
      <xdr:spPr>
        <a:xfrm>
          <a:off x="1786318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6" activePane="bottomLeft" state="frozen"/>
      <selection pane="bottomLeft" activeCell="N11" sqref="N11:N13"/>
    </sheetView>
  </sheetViews>
  <sheetFormatPr defaultColWidth="12.6640625" defaultRowHeight="15.75" customHeight="1" x14ac:dyDescent="0.25"/>
  <cols>
    <col min="1" max="2" width="3.88671875" customWidth="1"/>
    <col min="3" max="3" width="19.6640625" customWidth="1"/>
    <col min="4" max="4" width="2.109375" customWidth="1"/>
    <col min="5" max="5" width="18.88671875" customWidth="1"/>
    <col min="6" max="6" width="30.21875" customWidth="1"/>
    <col min="7" max="10" width="3.88671875" customWidth="1"/>
    <col min="11" max="11" width="37.6640625" customWidth="1"/>
    <col min="12" max="13" width="3.88671875" customWidth="1"/>
    <col min="14" max="14" width="37.6640625" customWidth="1"/>
    <col min="15" max="16" width="3.88671875" customWidth="1"/>
  </cols>
  <sheetData>
    <row r="1" spans="1:17" ht="13.2" x14ac:dyDescent="0.25">
      <c r="A1" s="276" t="s">
        <v>0</v>
      </c>
      <c r="B1" s="277"/>
      <c r="C1" s="277"/>
      <c r="D1" s="277"/>
      <c r="E1" s="277"/>
      <c r="F1" s="277"/>
      <c r="G1" s="277"/>
      <c r="H1" s="277"/>
      <c r="I1" s="277"/>
      <c r="J1" s="277"/>
      <c r="K1" s="277"/>
      <c r="L1" s="277"/>
      <c r="M1" s="277"/>
      <c r="N1" s="277"/>
      <c r="O1" s="277"/>
      <c r="P1" s="278"/>
      <c r="Q1" s="1"/>
    </row>
    <row r="2" spans="1:17" ht="13.2" x14ac:dyDescent="0.25">
      <c r="A2" s="279"/>
      <c r="B2" s="280"/>
      <c r="C2" s="280"/>
      <c r="D2" s="280"/>
      <c r="E2" s="280"/>
      <c r="F2" s="280"/>
      <c r="G2" s="280"/>
      <c r="H2" s="280"/>
      <c r="I2" s="280"/>
      <c r="J2" s="280"/>
      <c r="K2" s="280"/>
      <c r="L2" s="280"/>
      <c r="M2" s="280"/>
      <c r="N2" s="280"/>
      <c r="O2" s="280"/>
      <c r="P2" s="281"/>
      <c r="Q2" s="1"/>
    </row>
    <row r="3" spans="1:17" ht="13.2" x14ac:dyDescent="0.25">
      <c r="A3" s="279"/>
      <c r="B3" s="280"/>
      <c r="C3" s="280"/>
      <c r="D3" s="280"/>
      <c r="E3" s="280"/>
      <c r="F3" s="280"/>
      <c r="G3" s="280"/>
      <c r="H3" s="280"/>
      <c r="I3" s="280"/>
      <c r="J3" s="280"/>
      <c r="K3" s="280"/>
      <c r="L3" s="280"/>
      <c r="M3" s="280"/>
      <c r="N3" s="280"/>
      <c r="O3" s="280"/>
      <c r="P3" s="281"/>
      <c r="Q3" s="1"/>
    </row>
    <row r="4" spans="1:17" ht="13.2" x14ac:dyDescent="0.25">
      <c r="A4" s="279"/>
      <c r="B4" s="280"/>
      <c r="C4" s="280"/>
      <c r="D4" s="280"/>
      <c r="E4" s="280"/>
      <c r="F4" s="280"/>
      <c r="G4" s="280"/>
      <c r="H4" s="280"/>
      <c r="I4" s="280"/>
      <c r="J4" s="280"/>
      <c r="K4" s="280"/>
      <c r="L4" s="280"/>
      <c r="M4" s="280"/>
      <c r="N4" s="280"/>
      <c r="O4" s="280"/>
      <c r="P4" s="281"/>
      <c r="Q4" s="1"/>
    </row>
    <row r="5" spans="1:17" ht="13.2" x14ac:dyDescent="0.25">
      <c r="A5" s="282"/>
      <c r="B5" s="283"/>
      <c r="C5" s="283"/>
      <c r="D5" s="283"/>
      <c r="E5" s="283"/>
      <c r="F5" s="283"/>
      <c r="G5" s="283"/>
      <c r="H5" s="283"/>
      <c r="I5" s="283"/>
      <c r="J5" s="283"/>
      <c r="K5" s="283"/>
      <c r="L5" s="283"/>
      <c r="M5" s="283"/>
      <c r="N5" s="283"/>
      <c r="O5" s="283"/>
      <c r="P5" s="284"/>
      <c r="Q5" s="1"/>
    </row>
    <row r="6" spans="1:17" ht="13.2" x14ac:dyDescent="0.25">
      <c r="A6" s="2"/>
      <c r="B6" s="2"/>
      <c r="C6" s="2"/>
      <c r="D6" s="2"/>
      <c r="E6" s="2"/>
      <c r="F6" s="2"/>
      <c r="G6" s="2"/>
      <c r="H6" s="2"/>
      <c r="I6" s="2"/>
      <c r="J6" s="2"/>
      <c r="K6" s="2"/>
      <c r="L6" s="2"/>
      <c r="M6" s="2"/>
      <c r="N6" s="2"/>
      <c r="O6" s="2"/>
      <c r="P6" s="2"/>
      <c r="Q6" s="1"/>
    </row>
    <row r="7" spans="1:17" ht="15.75" customHeight="1" x14ac:dyDescent="0.25">
      <c r="A7" s="2"/>
      <c r="B7" s="285" t="s">
        <v>57</v>
      </c>
      <c r="C7" s="286"/>
      <c r="D7" s="286"/>
      <c r="E7" s="286"/>
      <c r="F7" s="286"/>
      <c r="G7" s="287"/>
      <c r="H7" s="2"/>
      <c r="I7" s="285" t="s">
        <v>2</v>
      </c>
      <c r="J7" s="286"/>
      <c r="K7" s="286"/>
      <c r="L7" s="286"/>
      <c r="M7" s="286"/>
      <c r="N7" s="286"/>
      <c r="O7" s="287"/>
      <c r="P7" s="2"/>
      <c r="Q7" s="1"/>
    </row>
    <row r="8" spans="1:17" ht="15.75" customHeight="1" x14ac:dyDescent="0.25">
      <c r="A8" s="2"/>
      <c r="B8" s="288"/>
      <c r="C8" s="289"/>
      <c r="D8" s="289"/>
      <c r="E8" s="289"/>
      <c r="F8" s="289"/>
      <c r="G8" s="290"/>
      <c r="H8" s="2"/>
      <c r="I8" s="288"/>
      <c r="J8" s="289"/>
      <c r="K8" s="289"/>
      <c r="L8" s="289"/>
      <c r="M8" s="289"/>
      <c r="N8" s="289"/>
      <c r="O8" s="290"/>
      <c r="P8" s="2"/>
      <c r="Q8" s="1"/>
    </row>
    <row r="9" spans="1:17" ht="13.2" x14ac:dyDescent="0.25">
      <c r="A9" s="1"/>
      <c r="B9" s="4"/>
      <c r="C9" s="6"/>
      <c r="D9" s="6"/>
      <c r="E9" s="7"/>
      <c r="F9" s="7"/>
      <c r="G9" s="8"/>
      <c r="H9" s="1"/>
      <c r="I9" s="4"/>
      <c r="J9" s="6"/>
      <c r="K9" s="6"/>
      <c r="L9" s="6"/>
      <c r="M9" s="6"/>
      <c r="N9" s="6"/>
      <c r="O9" s="8"/>
      <c r="P9" s="1"/>
      <c r="Q9" s="1"/>
    </row>
    <row r="10" spans="1:17" ht="13.8" x14ac:dyDescent="0.25">
      <c r="A10" s="1"/>
      <c r="B10" s="4"/>
      <c r="C10" s="9" t="s">
        <v>1</v>
      </c>
      <c r="D10" s="10" t="s">
        <v>5</v>
      </c>
      <c r="E10" s="291"/>
      <c r="F10" s="292"/>
      <c r="G10" s="11"/>
      <c r="H10" s="1"/>
      <c r="I10" s="4"/>
      <c r="J10" s="294" t="s">
        <v>8</v>
      </c>
      <c r="K10" s="295"/>
      <c r="L10" s="6"/>
      <c r="M10" s="294" t="s">
        <v>9</v>
      </c>
      <c r="N10" s="295"/>
      <c r="O10" s="8"/>
      <c r="P10" s="1"/>
      <c r="Q10" s="1"/>
    </row>
    <row r="11" spans="1:17" ht="13.8" x14ac:dyDescent="0.25">
      <c r="A11" s="1"/>
      <c r="B11" s="4"/>
      <c r="C11" s="9" t="s">
        <v>3</v>
      </c>
      <c r="D11" s="10" t="s">
        <v>5</v>
      </c>
      <c r="E11" s="12"/>
      <c r="F11" s="13"/>
      <c r="G11" s="8"/>
      <c r="H11" s="1"/>
      <c r="I11" s="4"/>
      <c r="J11" s="52">
        <v>1</v>
      </c>
      <c r="K11" s="121"/>
      <c r="L11" s="14"/>
      <c r="M11" s="52">
        <v>1</v>
      </c>
      <c r="N11" s="121"/>
      <c r="O11" s="8"/>
      <c r="P11" s="1"/>
      <c r="Q11" s="1"/>
    </row>
    <row r="12" spans="1:17" ht="13.8" x14ac:dyDescent="0.25">
      <c r="A12" s="1"/>
      <c r="B12" s="4"/>
      <c r="C12" s="6"/>
      <c r="D12" s="6"/>
      <c r="E12" s="15"/>
      <c r="F12" s="15"/>
      <c r="G12" s="8"/>
      <c r="H12" s="1"/>
      <c r="I12" s="4"/>
      <c r="J12" s="52">
        <v>2</v>
      </c>
      <c r="K12" s="121"/>
      <c r="L12" s="14"/>
      <c r="M12" s="52">
        <v>2</v>
      </c>
      <c r="N12" s="121"/>
      <c r="O12" s="8"/>
      <c r="P12" s="1"/>
      <c r="Q12" s="1"/>
    </row>
    <row r="13" spans="1:17" ht="13.8" x14ac:dyDescent="0.25">
      <c r="A13" s="1"/>
      <c r="B13" s="4"/>
      <c r="C13" s="16" t="s">
        <v>4</v>
      </c>
      <c r="D13" s="17" t="s">
        <v>5</v>
      </c>
      <c r="E13" s="291"/>
      <c r="F13" s="292"/>
      <c r="G13" s="11"/>
      <c r="H13" s="1"/>
      <c r="I13" s="4"/>
      <c r="J13" s="52">
        <v>3</v>
      </c>
      <c r="K13" s="121"/>
      <c r="L13" s="14"/>
      <c r="M13" s="52">
        <v>3</v>
      </c>
      <c r="N13" s="121"/>
      <c r="O13" s="8"/>
      <c r="P13" s="1"/>
      <c r="Q13" s="1"/>
    </row>
    <row r="14" spans="1:17" ht="13.8" x14ac:dyDescent="0.25">
      <c r="A14" s="1"/>
      <c r="B14" s="4"/>
      <c r="C14" s="19" t="s">
        <v>6</v>
      </c>
      <c r="D14" s="20" t="s">
        <v>5</v>
      </c>
      <c r="E14" s="296"/>
      <c r="F14" s="297"/>
      <c r="G14" s="11"/>
      <c r="H14" s="1"/>
      <c r="I14" s="4"/>
      <c r="J14" s="52">
        <v>4</v>
      </c>
      <c r="K14" s="121"/>
      <c r="L14" s="14"/>
      <c r="M14" s="52">
        <v>4</v>
      </c>
      <c r="N14" s="121"/>
      <c r="O14" s="8"/>
      <c r="P14" s="1"/>
      <c r="Q14" s="1"/>
    </row>
    <row r="15" spans="1:17" ht="13.8" x14ac:dyDescent="0.25">
      <c r="A15" s="1"/>
      <c r="B15" s="4"/>
      <c r="C15" s="16" t="s">
        <v>7</v>
      </c>
      <c r="D15" s="21" t="s">
        <v>5</v>
      </c>
      <c r="E15" s="291"/>
      <c r="F15" s="292"/>
      <c r="G15" s="11"/>
      <c r="H15" s="1"/>
      <c r="I15" s="4"/>
      <c r="J15" s="52">
        <v>5</v>
      </c>
      <c r="K15" s="121"/>
      <c r="L15" s="6"/>
      <c r="M15" s="52">
        <v>5</v>
      </c>
      <c r="N15" s="121"/>
      <c r="O15" s="8"/>
      <c r="P15" s="1"/>
      <c r="Q15" s="1"/>
    </row>
    <row r="16" spans="1:17" ht="13.8" x14ac:dyDescent="0.25">
      <c r="A16" s="1"/>
      <c r="B16" s="4"/>
      <c r="C16" s="16" t="s">
        <v>18</v>
      </c>
      <c r="D16" s="21" t="s">
        <v>5</v>
      </c>
      <c r="E16" s="291"/>
      <c r="F16" s="292"/>
      <c r="G16" s="11"/>
      <c r="H16" s="1"/>
      <c r="I16" s="4"/>
      <c r="J16" s="52">
        <v>6</v>
      </c>
      <c r="K16" s="121"/>
      <c r="L16" s="6"/>
      <c r="M16" s="52">
        <v>6</v>
      </c>
      <c r="N16" s="121"/>
      <c r="O16" s="8"/>
      <c r="P16" s="1"/>
      <c r="Q16" s="1"/>
    </row>
    <row r="17" spans="1:17" ht="14.4" thickBot="1" x14ac:dyDescent="0.3">
      <c r="A17" s="1"/>
      <c r="B17" s="22"/>
      <c r="C17" s="23"/>
      <c r="D17" s="23"/>
      <c r="E17" s="24"/>
      <c r="F17" s="24"/>
      <c r="G17" s="25"/>
      <c r="H17" s="1"/>
      <c r="I17" s="4"/>
      <c r="J17" s="52">
        <v>7</v>
      </c>
      <c r="K17" s="121"/>
      <c r="L17" s="6"/>
      <c r="M17" s="52">
        <v>7</v>
      </c>
      <c r="N17" s="121"/>
      <c r="O17" s="8"/>
      <c r="P17" s="1"/>
      <c r="Q17" s="1"/>
    </row>
    <row r="18" spans="1:17" ht="13.8" x14ac:dyDescent="0.25">
      <c r="A18" s="3"/>
      <c r="B18" s="3"/>
      <c r="C18" s="3"/>
      <c r="D18" s="3"/>
      <c r="E18" s="3"/>
      <c r="F18" s="3"/>
      <c r="G18" s="3"/>
      <c r="H18" s="1"/>
      <c r="I18" s="4"/>
      <c r="J18" s="52">
        <v>8</v>
      </c>
      <c r="K18" s="121"/>
      <c r="L18" s="6"/>
      <c r="M18" s="52">
        <v>8</v>
      </c>
      <c r="N18" s="121"/>
      <c r="O18" s="8"/>
      <c r="P18" s="1"/>
      <c r="Q18" s="1"/>
    </row>
    <row r="19" spans="1:17" ht="14.4" thickBot="1" x14ac:dyDescent="0.3">
      <c r="A19" s="3"/>
      <c r="B19" s="3"/>
      <c r="C19" s="3"/>
      <c r="D19" s="3"/>
      <c r="E19" s="3"/>
      <c r="F19" s="3"/>
      <c r="G19" s="3"/>
      <c r="H19" s="1"/>
      <c r="I19" s="4"/>
      <c r="J19" s="52">
        <v>9</v>
      </c>
      <c r="K19" s="121"/>
      <c r="L19" s="6"/>
      <c r="M19" s="52">
        <v>9</v>
      </c>
      <c r="N19" s="121"/>
      <c r="O19" s="8"/>
      <c r="P19" s="1"/>
      <c r="Q19" s="1"/>
    </row>
    <row r="20" spans="1:17" ht="13.8" x14ac:dyDescent="0.25">
      <c r="A20" s="1"/>
      <c r="B20" s="285" t="s">
        <v>58</v>
      </c>
      <c r="C20" s="286"/>
      <c r="D20" s="286"/>
      <c r="E20" s="286"/>
      <c r="F20" s="286"/>
      <c r="G20" s="287"/>
      <c r="H20" s="1"/>
      <c r="I20" s="4"/>
      <c r="J20" s="52">
        <v>10</v>
      </c>
      <c r="K20" s="121"/>
      <c r="L20" s="6"/>
      <c r="M20" s="52">
        <v>10</v>
      </c>
      <c r="N20" s="121"/>
      <c r="O20" s="8"/>
      <c r="P20" s="1"/>
      <c r="Q20" s="1"/>
    </row>
    <row r="21" spans="1:17" ht="13.8" x14ac:dyDescent="0.25">
      <c r="A21" s="1"/>
      <c r="B21" s="288"/>
      <c r="C21" s="289"/>
      <c r="D21" s="289"/>
      <c r="E21" s="289"/>
      <c r="F21" s="289"/>
      <c r="G21" s="290"/>
      <c r="H21" s="1"/>
      <c r="I21" s="4"/>
      <c r="J21" s="52">
        <v>11</v>
      </c>
      <c r="K21" s="121"/>
      <c r="L21" s="6"/>
      <c r="M21" s="52">
        <v>11</v>
      </c>
      <c r="N21" s="121"/>
      <c r="O21" s="8"/>
      <c r="P21" s="1"/>
      <c r="Q21" s="1"/>
    </row>
    <row r="22" spans="1:17" ht="13.8" x14ac:dyDescent="0.25">
      <c r="A22" s="1"/>
      <c r="B22" s="4"/>
      <c r="C22" s="7"/>
      <c r="D22" s="7"/>
      <c r="E22" s="7"/>
      <c r="F22" s="7"/>
      <c r="G22" s="8"/>
      <c r="H22" s="1"/>
      <c r="I22" s="4"/>
      <c r="J22" s="52">
        <v>12</v>
      </c>
      <c r="K22" s="121"/>
      <c r="L22" s="6"/>
      <c r="M22" s="52">
        <v>12</v>
      </c>
      <c r="N22" s="121"/>
      <c r="O22" s="8"/>
      <c r="P22" s="1"/>
      <c r="Q22" s="1"/>
    </row>
    <row r="23" spans="1:17" ht="13.8" x14ac:dyDescent="0.25">
      <c r="A23" s="1"/>
      <c r="B23" s="26"/>
      <c r="C23" s="27" t="s">
        <v>29</v>
      </c>
      <c r="D23" s="28" t="s">
        <v>5</v>
      </c>
      <c r="E23" s="291"/>
      <c r="F23" s="298"/>
      <c r="G23" s="11"/>
      <c r="H23" s="1"/>
      <c r="I23" s="4"/>
      <c r="J23" s="52">
        <v>13</v>
      </c>
      <c r="K23" s="121"/>
      <c r="L23" s="6"/>
      <c r="M23" s="52">
        <v>13</v>
      </c>
      <c r="N23" s="121"/>
      <c r="O23" s="8"/>
      <c r="P23" s="1"/>
      <c r="Q23" s="1"/>
    </row>
    <row r="24" spans="1:17" ht="13.8" x14ac:dyDescent="0.25">
      <c r="A24" s="1"/>
      <c r="B24" s="26"/>
      <c r="C24" s="27" t="s">
        <v>13</v>
      </c>
      <c r="D24" s="29" t="s">
        <v>5</v>
      </c>
      <c r="E24" s="299"/>
      <c r="F24" s="300"/>
      <c r="G24" s="11"/>
      <c r="H24" s="1"/>
      <c r="I24" s="4"/>
      <c r="J24" s="52">
        <v>14</v>
      </c>
      <c r="K24" s="121"/>
      <c r="L24" s="6"/>
      <c r="M24" s="52">
        <v>14</v>
      </c>
      <c r="N24" s="121"/>
      <c r="O24" s="8"/>
      <c r="P24" s="1"/>
      <c r="Q24" s="1"/>
    </row>
    <row r="25" spans="1:17" ht="15.75" customHeight="1" x14ac:dyDescent="0.25">
      <c r="A25" s="1"/>
      <c r="B25" s="26"/>
      <c r="C25" s="30" t="s">
        <v>11</v>
      </c>
      <c r="D25" s="31" t="s">
        <v>5</v>
      </c>
      <c r="E25" s="299"/>
      <c r="F25" s="300"/>
      <c r="G25" s="11"/>
      <c r="H25" s="1"/>
      <c r="I25" s="4"/>
      <c r="J25" s="52">
        <v>15</v>
      </c>
      <c r="K25" s="121"/>
      <c r="L25" s="6"/>
      <c r="M25" s="52">
        <v>15</v>
      </c>
      <c r="N25" s="121"/>
      <c r="O25" s="8"/>
      <c r="P25" s="1"/>
      <c r="Q25" s="1"/>
    </row>
    <row r="26" spans="1:17" ht="13.8" x14ac:dyDescent="0.25">
      <c r="A26" s="1"/>
      <c r="B26" s="26"/>
      <c r="C26" s="32" t="s">
        <v>14</v>
      </c>
      <c r="D26" s="33" t="s">
        <v>5</v>
      </c>
      <c r="E26" s="291"/>
      <c r="F26" s="298"/>
      <c r="G26" s="11"/>
      <c r="H26" s="1"/>
      <c r="I26" s="4"/>
      <c r="J26" s="52">
        <v>16</v>
      </c>
      <c r="K26" s="121"/>
      <c r="L26" s="6"/>
      <c r="M26" s="52">
        <v>16</v>
      </c>
      <c r="N26" s="121"/>
      <c r="O26" s="8"/>
      <c r="P26" s="1"/>
      <c r="Q26" s="1"/>
    </row>
    <row r="27" spans="1:17" ht="13.8" x14ac:dyDescent="0.25">
      <c r="A27" s="1"/>
      <c r="B27" s="4"/>
      <c r="C27" s="34"/>
      <c r="D27" s="34"/>
      <c r="E27" s="34"/>
      <c r="F27" s="34"/>
      <c r="G27" s="8"/>
      <c r="H27" s="1"/>
      <c r="I27" s="4"/>
      <c r="J27" s="52">
        <v>17</v>
      </c>
      <c r="K27" s="121"/>
      <c r="L27" s="6"/>
      <c r="M27" s="52">
        <v>17</v>
      </c>
      <c r="N27" s="121"/>
      <c r="O27" s="8"/>
      <c r="P27" s="1"/>
      <c r="Q27" s="1"/>
    </row>
    <row r="28" spans="1:17" ht="13.8" customHeight="1" x14ac:dyDescent="0.25">
      <c r="A28" s="1"/>
      <c r="B28" s="35"/>
      <c r="C28" s="293" t="s">
        <v>59</v>
      </c>
      <c r="D28" s="293"/>
      <c r="E28" s="293"/>
      <c r="F28" s="293"/>
      <c r="G28" s="36"/>
      <c r="H28" s="1"/>
      <c r="I28" s="4"/>
      <c r="J28" s="52">
        <v>18</v>
      </c>
      <c r="K28" s="121"/>
      <c r="L28" s="6"/>
      <c r="M28" s="52">
        <v>18</v>
      </c>
      <c r="N28" s="121"/>
      <c r="O28" s="8"/>
      <c r="P28" s="1"/>
      <c r="Q28" s="1"/>
    </row>
    <row r="29" spans="1:17" ht="13.8" x14ac:dyDescent="0.25">
      <c r="A29" s="1"/>
      <c r="B29" s="35"/>
      <c r="C29" s="293"/>
      <c r="D29" s="293"/>
      <c r="E29" s="293"/>
      <c r="F29" s="293"/>
      <c r="G29" s="36"/>
      <c r="H29" s="1"/>
      <c r="I29" s="4"/>
      <c r="J29" s="52">
        <v>19</v>
      </c>
      <c r="K29" s="121"/>
      <c r="L29" s="6"/>
      <c r="M29" s="52">
        <v>19</v>
      </c>
      <c r="N29" s="121"/>
      <c r="O29" s="8"/>
      <c r="P29" s="1"/>
      <c r="Q29" s="1"/>
    </row>
    <row r="30" spans="1:17" ht="13.8" x14ac:dyDescent="0.25">
      <c r="A30" s="1"/>
      <c r="B30" s="35"/>
      <c r="C30" s="293"/>
      <c r="D30" s="293"/>
      <c r="E30" s="293"/>
      <c r="F30" s="293"/>
      <c r="G30" s="36"/>
      <c r="H30" s="1"/>
      <c r="I30" s="4"/>
      <c r="J30" s="52">
        <v>20</v>
      </c>
      <c r="K30" s="121"/>
      <c r="L30" s="6"/>
      <c r="M30" s="52">
        <v>20</v>
      </c>
      <c r="N30" s="121"/>
      <c r="O30" s="8"/>
      <c r="P30" s="1"/>
      <c r="Q30" s="1"/>
    </row>
    <row r="31" spans="1:17" ht="13.8" x14ac:dyDescent="0.25">
      <c r="A31" s="1"/>
      <c r="B31" s="60"/>
      <c r="C31" s="293"/>
      <c r="D31" s="293"/>
      <c r="E31" s="293"/>
      <c r="F31" s="293"/>
      <c r="G31" s="61"/>
      <c r="H31" s="1"/>
      <c r="I31" s="4"/>
      <c r="J31" s="52">
        <v>21</v>
      </c>
      <c r="K31" s="121"/>
      <c r="L31" s="6"/>
      <c r="M31" s="52">
        <v>21</v>
      </c>
      <c r="N31" s="121"/>
      <c r="O31" s="8"/>
      <c r="P31" s="1"/>
      <c r="Q31" s="1"/>
    </row>
    <row r="32" spans="1:17" ht="14.4" thickBot="1" x14ac:dyDescent="0.3">
      <c r="A32" s="1"/>
      <c r="B32" s="37"/>
      <c r="C32" s="38"/>
      <c r="D32" s="38"/>
      <c r="E32" s="38"/>
      <c r="F32" s="38"/>
      <c r="G32" s="39"/>
      <c r="H32" s="1"/>
      <c r="I32" s="4"/>
      <c r="J32" s="52">
        <v>22</v>
      </c>
      <c r="K32" s="121"/>
      <c r="L32" s="6"/>
      <c r="M32" s="52">
        <v>22</v>
      </c>
      <c r="N32" s="121"/>
      <c r="O32" s="8"/>
      <c r="P32" s="1"/>
      <c r="Q32" s="1"/>
    </row>
    <row r="33" spans="1:17" ht="13.8" x14ac:dyDescent="0.25">
      <c r="A33" s="1"/>
      <c r="B33" s="1"/>
      <c r="C33" s="1"/>
      <c r="D33" s="1"/>
      <c r="E33" s="1"/>
      <c r="F33" s="1"/>
      <c r="G33" s="1"/>
      <c r="H33" s="1"/>
      <c r="I33" s="4"/>
      <c r="J33" s="52">
        <v>23</v>
      </c>
      <c r="K33" s="121"/>
      <c r="L33" s="6"/>
      <c r="M33" s="52">
        <v>23</v>
      </c>
      <c r="N33" s="121"/>
      <c r="O33" s="8"/>
      <c r="P33" s="1"/>
      <c r="Q33" s="1"/>
    </row>
    <row r="34" spans="1:17" ht="13.8" x14ac:dyDescent="0.25">
      <c r="A34" s="1"/>
      <c r="B34" s="1"/>
      <c r="C34" s="1"/>
      <c r="D34" s="1"/>
      <c r="E34" s="1"/>
      <c r="F34" s="1"/>
      <c r="G34" s="1"/>
      <c r="H34" s="1"/>
      <c r="I34" s="4"/>
      <c r="J34" s="52">
        <v>24</v>
      </c>
      <c r="K34" s="121"/>
      <c r="L34" s="6"/>
      <c r="M34" s="52">
        <v>24</v>
      </c>
      <c r="N34" s="121"/>
      <c r="O34" s="8"/>
      <c r="P34" s="1"/>
      <c r="Q34" s="1"/>
    </row>
    <row r="35" spans="1:17" ht="13.8" x14ac:dyDescent="0.25">
      <c r="A35" s="1"/>
      <c r="B35" s="1"/>
      <c r="C35" s="1"/>
      <c r="D35" s="1"/>
      <c r="E35" s="1"/>
      <c r="F35" s="1"/>
      <c r="G35" s="1"/>
      <c r="H35" s="1"/>
      <c r="I35" s="4"/>
      <c r="J35" s="52">
        <v>25</v>
      </c>
      <c r="K35" s="121"/>
      <c r="L35" s="6"/>
      <c r="M35" s="52">
        <v>25</v>
      </c>
      <c r="N35" s="121"/>
      <c r="O35" s="8"/>
      <c r="P35" s="1"/>
      <c r="Q35" s="1"/>
    </row>
    <row r="36" spans="1:17" ht="13.8" x14ac:dyDescent="0.25">
      <c r="A36" s="1"/>
      <c r="B36" s="1"/>
      <c r="C36" s="1"/>
      <c r="D36" s="1"/>
      <c r="E36" s="1"/>
      <c r="F36" s="1"/>
      <c r="G36" s="1"/>
      <c r="H36" s="1"/>
      <c r="I36" s="4"/>
      <c r="J36" s="52">
        <v>26</v>
      </c>
      <c r="K36" s="121"/>
      <c r="L36" s="6"/>
      <c r="M36" s="52">
        <v>26</v>
      </c>
      <c r="N36" s="121"/>
      <c r="O36" s="8"/>
      <c r="P36" s="1"/>
      <c r="Q36" s="1"/>
    </row>
    <row r="37" spans="1:17" ht="13.8" x14ac:dyDescent="0.25">
      <c r="A37" s="1"/>
      <c r="B37" s="1"/>
      <c r="C37" s="1"/>
      <c r="D37" s="1"/>
      <c r="E37" s="1"/>
      <c r="F37" s="1"/>
      <c r="G37" s="1"/>
      <c r="H37" s="1"/>
      <c r="I37" s="4"/>
      <c r="J37" s="52">
        <v>27</v>
      </c>
      <c r="K37" s="121"/>
      <c r="L37" s="6"/>
      <c r="M37" s="52">
        <v>27</v>
      </c>
      <c r="N37" s="121"/>
      <c r="O37" s="8"/>
      <c r="P37" s="1"/>
      <c r="Q37" s="1"/>
    </row>
    <row r="38" spans="1:17" ht="13.8" x14ac:dyDescent="0.25">
      <c r="A38" s="1"/>
      <c r="B38" s="1"/>
      <c r="C38" s="1"/>
      <c r="D38" s="1"/>
      <c r="E38" s="1"/>
      <c r="F38" s="1"/>
      <c r="G38" s="1"/>
      <c r="H38" s="1"/>
      <c r="I38" s="4"/>
      <c r="J38" s="52">
        <v>28</v>
      </c>
      <c r="K38" s="121"/>
      <c r="L38" s="6"/>
      <c r="M38" s="52">
        <v>28</v>
      </c>
      <c r="N38" s="121"/>
      <c r="O38" s="8"/>
      <c r="P38" s="1"/>
      <c r="Q38" s="1"/>
    </row>
    <row r="39" spans="1:17" ht="13.8" x14ac:dyDescent="0.25">
      <c r="A39" s="1"/>
      <c r="B39" s="1"/>
      <c r="C39" s="1"/>
      <c r="D39" s="1"/>
      <c r="E39" s="1"/>
      <c r="F39" s="1"/>
      <c r="G39" s="1"/>
      <c r="H39" s="1"/>
      <c r="I39" s="4"/>
      <c r="J39" s="52">
        <v>29</v>
      </c>
      <c r="K39" s="121"/>
      <c r="L39" s="6"/>
      <c r="M39" s="52">
        <v>29</v>
      </c>
      <c r="N39" s="121"/>
      <c r="O39" s="8"/>
      <c r="P39" s="1"/>
      <c r="Q39" s="1"/>
    </row>
    <row r="40" spans="1:17" ht="13.8" x14ac:dyDescent="0.25">
      <c r="A40" s="1"/>
      <c r="B40" s="1"/>
      <c r="C40" s="1"/>
      <c r="D40" s="1"/>
      <c r="E40" s="1"/>
      <c r="F40" s="1"/>
      <c r="G40" s="1"/>
      <c r="H40" s="1"/>
      <c r="I40" s="4"/>
      <c r="J40" s="52">
        <v>30</v>
      </c>
      <c r="K40" s="121"/>
      <c r="L40" s="6"/>
      <c r="M40" s="52">
        <v>30</v>
      </c>
      <c r="N40" s="121"/>
      <c r="O40" s="8"/>
      <c r="P40" s="1"/>
      <c r="Q40" s="1"/>
    </row>
    <row r="41" spans="1:17" ht="13.8" x14ac:dyDescent="0.25">
      <c r="A41" s="1"/>
      <c r="B41" s="1"/>
      <c r="C41" s="1"/>
      <c r="D41" s="1"/>
      <c r="E41" s="1"/>
      <c r="F41" s="1"/>
      <c r="G41" s="1"/>
      <c r="H41" s="1"/>
      <c r="I41" s="4"/>
      <c r="J41" s="52">
        <v>31</v>
      </c>
      <c r="K41" s="121"/>
      <c r="L41" s="6"/>
      <c r="M41" s="52">
        <v>31</v>
      </c>
      <c r="N41" s="121"/>
      <c r="O41" s="8"/>
      <c r="P41" s="1"/>
      <c r="Q41" s="1"/>
    </row>
    <row r="42" spans="1:17" ht="13.8" x14ac:dyDescent="0.25">
      <c r="A42" s="1"/>
      <c r="B42" s="1"/>
      <c r="C42" s="1"/>
      <c r="D42" s="1"/>
      <c r="E42" s="1"/>
      <c r="F42" s="1"/>
      <c r="G42" s="1"/>
      <c r="H42" s="1"/>
      <c r="I42" s="4"/>
      <c r="J42" s="52">
        <v>32</v>
      </c>
      <c r="K42" s="121"/>
      <c r="L42" s="6"/>
      <c r="M42" s="52">
        <v>32</v>
      </c>
      <c r="N42" s="121"/>
      <c r="O42" s="8"/>
      <c r="P42" s="1"/>
      <c r="Q42" s="1"/>
    </row>
    <row r="43" spans="1:17" ht="13.8" x14ac:dyDescent="0.25">
      <c r="A43" s="1"/>
      <c r="B43" s="1"/>
      <c r="C43" s="1"/>
      <c r="D43" s="1"/>
      <c r="E43" s="1"/>
      <c r="F43" s="1"/>
      <c r="G43" s="1"/>
      <c r="H43" s="1"/>
      <c r="I43" s="4"/>
      <c r="J43" s="52">
        <v>33</v>
      </c>
      <c r="K43" s="121"/>
      <c r="L43" s="6"/>
      <c r="M43" s="52">
        <v>33</v>
      </c>
      <c r="N43" s="121"/>
      <c r="O43" s="8"/>
      <c r="P43" s="1"/>
      <c r="Q43" s="1"/>
    </row>
    <row r="44" spans="1:17" ht="13.8" x14ac:dyDescent="0.25">
      <c r="A44" s="1"/>
      <c r="B44" s="1"/>
      <c r="C44" s="1"/>
      <c r="D44" s="1"/>
      <c r="E44" s="1"/>
      <c r="F44" s="1"/>
      <c r="G44" s="1"/>
      <c r="H44" s="1"/>
      <c r="I44" s="4"/>
      <c r="J44" s="52">
        <v>34</v>
      </c>
      <c r="K44" s="121"/>
      <c r="L44" s="6"/>
      <c r="M44" s="52">
        <v>34</v>
      </c>
      <c r="N44" s="121"/>
      <c r="O44" s="8"/>
      <c r="P44" s="1"/>
      <c r="Q44" s="1"/>
    </row>
    <row r="45" spans="1:17" ht="13.8" x14ac:dyDescent="0.25">
      <c r="A45" s="1"/>
      <c r="B45" s="1"/>
      <c r="C45" s="1"/>
      <c r="D45" s="1"/>
      <c r="E45" s="1"/>
      <c r="F45" s="1"/>
      <c r="G45" s="1"/>
      <c r="H45" s="1"/>
      <c r="I45" s="4"/>
      <c r="J45" s="52">
        <v>35</v>
      </c>
      <c r="K45" s="121"/>
      <c r="L45" s="6"/>
      <c r="M45" s="52">
        <v>35</v>
      </c>
      <c r="N45" s="121"/>
      <c r="O45" s="8"/>
      <c r="P45" s="1"/>
      <c r="Q45" s="1"/>
    </row>
    <row r="46" spans="1:17" ht="13.8" x14ac:dyDescent="0.25">
      <c r="A46" s="1"/>
      <c r="B46" s="1"/>
      <c r="C46" s="1"/>
      <c r="D46" s="1"/>
      <c r="E46" s="1"/>
      <c r="F46" s="1"/>
      <c r="G46" s="1"/>
      <c r="H46" s="1"/>
      <c r="I46" s="4"/>
      <c r="J46" s="52">
        <v>36</v>
      </c>
      <c r="K46" s="121"/>
      <c r="L46" s="6"/>
      <c r="M46" s="52">
        <v>36</v>
      </c>
      <c r="N46" s="121"/>
      <c r="O46" s="8"/>
      <c r="P46" s="1"/>
      <c r="Q46" s="1"/>
    </row>
    <row r="47" spans="1:17" ht="13.8" x14ac:dyDescent="0.25">
      <c r="A47" s="1"/>
      <c r="B47" s="1"/>
      <c r="C47" s="1"/>
      <c r="D47" s="1"/>
      <c r="E47" s="1"/>
      <c r="F47" s="1"/>
      <c r="G47" s="1"/>
      <c r="H47" s="1"/>
      <c r="I47" s="4"/>
      <c r="J47" s="52">
        <v>37</v>
      </c>
      <c r="K47" s="121"/>
      <c r="L47" s="6"/>
      <c r="M47" s="52">
        <v>37</v>
      </c>
      <c r="N47" s="121"/>
      <c r="O47" s="8"/>
      <c r="P47" s="1"/>
      <c r="Q47" s="1"/>
    </row>
    <row r="48" spans="1:17" ht="13.8" x14ac:dyDescent="0.25">
      <c r="A48" s="1"/>
      <c r="B48" s="1"/>
      <c r="C48" s="1"/>
      <c r="D48" s="1"/>
      <c r="E48" s="1"/>
      <c r="F48" s="1"/>
      <c r="G48" s="1"/>
      <c r="H48" s="1"/>
      <c r="I48" s="4"/>
      <c r="J48" s="52">
        <v>38</v>
      </c>
      <c r="K48" s="121"/>
      <c r="L48" s="6"/>
      <c r="M48" s="52">
        <v>38</v>
      </c>
      <c r="N48" s="121"/>
      <c r="O48" s="8"/>
      <c r="P48" s="1"/>
      <c r="Q48" s="1"/>
    </row>
    <row r="49" spans="1:17" ht="13.8" x14ac:dyDescent="0.25">
      <c r="A49" s="1"/>
      <c r="B49" s="1"/>
      <c r="C49" s="1"/>
      <c r="D49" s="1"/>
      <c r="E49" s="1"/>
      <c r="F49" s="1"/>
      <c r="G49" s="1"/>
      <c r="H49" s="1"/>
      <c r="I49" s="4"/>
      <c r="J49" s="52">
        <v>39</v>
      </c>
      <c r="K49" s="121"/>
      <c r="L49" s="6"/>
      <c r="M49" s="52">
        <v>39</v>
      </c>
      <c r="N49" s="121"/>
      <c r="O49" s="8"/>
      <c r="P49" s="1"/>
      <c r="Q49" s="1"/>
    </row>
    <row r="50" spans="1:17" ht="13.8" x14ac:dyDescent="0.25">
      <c r="A50" s="1"/>
      <c r="B50" s="1"/>
      <c r="C50" s="1"/>
      <c r="D50" s="1"/>
      <c r="E50" s="1"/>
      <c r="F50" s="1"/>
      <c r="G50" s="1"/>
      <c r="H50" s="1"/>
      <c r="I50" s="4"/>
      <c r="J50" s="52">
        <v>40</v>
      </c>
      <c r="K50" s="121"/>
      <c r="L50" s="6"/>
      <c r="M50" s="52">
        <v>40</v>
      </c>
      <c r="N50" s="121"/>
      <c r="O50" s="8"/>
      <c r="P50" s="1"/>
      <c r="Q50" s="1"/>
    </row>
    <row r="51" spans="1:17" ht="13.8" x14ac:dyDescent="0.25">
      <c r="A51" s="1"/>
      <c r="B51" s="1"/>
      <c r="C51" s="1"/>
      <c r="D51" s="1"/>
      <c r="E51" s="1"/>
      <c r="F51" s="1"/>
      <c r="G51" s="1"/>
      <c r="H51" s="1"/>
      <c r="I51" s="4"/>
      <c r="J51" s="52">
        <v>41</v>
      </c>
      <c r="K51" s="121"/>
      <c r="L51" s="6"/>
      <c r="M51" s="52">
        <v>41</v>
      </c>
      <c r="N51" s="121"/>
      <c r="O51" s="8"/>
      <c r="P51" s="1"/>
      <c r="Q51" s="1"/>
    </row>
    <row r="52" spans="1:17" ht="13.8" x14ac:dyDescent="0.25">
      <c r="A52" s="1"/>
      <c r="B52" s="1"/>
      <c r="C52" s="1"/>
      <c r="D52" s="1"/>
      <c r="E52" s="1"/>
      <c r="F52" s="1"/>
      <c r="G52" s="1"/>
      <c r="H52" s="1"/>
      <c r="I52" s="4"/>
      <c r="J52" s="52">
        <v>42</v>
      </c>
      <c r="K52" s="121"/>
      <c r="L52" s="6"/>
      <c r="M52" s="52">
        <v>42</v>
      </c>
      <c r="N52" s="121"/>
      <c r="O52" s="8"/>
      <c r="P52" s="1"/>
      <c r="Q52" s="1"/>
    </row>
    <row r="53" spans="1:17" ht="13.8" x14ac:dyDescent="0.25">
      <c r="A53" s="1"/>
      <c r="B53" s="1"/>
      <c r="C53" s="1"/>
      <c r="D53" s="1"/>
      <c r="E53" s="1"/>
      <c r="F53" s="1"/>
      <c r="G53" s="1"/>
      <c r="H53" s="1"/>
      <c r="I53" s="4"/>
      <c r="J53" s="52">
        <v>43</v>
      </c>
      <c r="K53" s="121"/>
      <c r="L53" s="6"/>
      <c r="M53" s="52">
        <v>43</v>
      </c>
      <c r="N53" s="121"/>
      <c r="O53" s="8"/>
      <c r="P53" s="1"/>
      <c r="Q53" s="1"/>
    </row>
    <row r="54" spans="1:17" ht="13.8" x14ac:dyDescent="0.25">
      <c r="A54" s="1"/>
      <c r="B54" s="1"/>
      <c r="C54" s="1"/>
      <c r="D54" s="1"/>
      <c r="E54" s="1"/>
      <c r="F54" s="1"/>
      <c r="G54" s="1"/>
      <c r="H54" s="1"/>
      <c r="I54" s="4"/>
      <c r="J54" s="52">
        <v>44</v>
      </c>
      <c r="K54" s="121"/>
      <c r="L54" s="6"/>
      <c r="M54" s="52">
        <v>44</v>
      </c>
      <c r="N54" s="121"/>
      <c r="O54" s="8"/>
      <c r="P54" s="1"/>
      <c r="Q54" s="1"/>
    </row>
    <row r="55" spans="1:17" ht="13.8" x14ac:dyDescent="0.25">
      <c r="A55" s="1"/>
      <c r="B55" s="1"/>
      <c r="C55" s="1"/>
      <c r="D55" s="1"/>
      <c r="E55" s="1"/>
      <c r="F55" s="1"/>
      <c r="G55" s="1"/>
      <c r="H55" s="1"/>
      <c r="I55" s="4"/>
      <c r="J55" s="52">
        <v>45</v>
      </c>
      <c r="K55" s="121"/>
      <c r="L55" s="6"/>
      <c r="M55" s="52">
        <v>45</v>
      </c>
      <c r="N55" s="121"/>
      <c r="O55" s="8"/>
      <c r="P55" s="1"/>
      <c r="Q55" s="1"/>
    </row>
    <row r="56" spans="1:17" ht="13.8" x14ac:dyDescent="0.25">
      <c r="A56" s="1"/>
      <c r="B56" s="1"/>
      <c r="C56" s="1"/>
      <c r="D56" s="1"/>
      <c r="E56" s="1"/>
      <c r="F56" s="1"/>
      <c r="G56" s="1"/>
      <c r="H56" s="1"/>
      <c r="I56" s="4"/>
      <c r="J56" s="52">
        <v>46</v>
      </c>
      <c r="K56" s="121"/>
      <c r="L56" s="6"/>
      <c r="M56" s="52">
        <v>46</v>
      </c>
      <c r="N56" s="121"/>
      <c r="O56" s="8"/>
      <c r="P56" s="1"/>
      <c r="Q56" s="1"/>
    </row>
    <row r="57" spans="1:17" ht="13.8" x14ac:dyDescent="0.25">
      <c r="A57" s="1"/>
      <c r="B57" s="1"/>
      <c r="C57" s="1"/>
      <c r="D57" s="1"/>
      <c r="E57" s="1"/>
      <c r="F57" s="1"/>
      <c r="G57" s="1"/>
      <c r="H57" s="1"/>
      <c r="I57" s="4"/>
      <c r="J57" s="52">
        <v>47</v>
      </c>
      <c r="K57" s="121"/>
      <c r="L57" s="6"/>
      <c r="M57" s="52">
        <v>47</v>
      </c>
      <c r="N57" s="121"/>
      <c r="O57" s="8"/>
      <c r="P57" s="1"/>
      <c r="Q57" s="1"/>
    </row>
    <row r="58" spans="1:17" ht="13.8" x14ac:dyDescent="0.25">
      <c r="A58" s="1"/>
      <c r="B58" s="1"/>
      <c r="C58" s="1"/>
      <c r="D58" s="1"/>
      <c r="E58" s="1"/>
      <c r="F58" s="1"/>
      <c r="G58" s="1"/>
      <c r="H58" s="1"/>
      <c r="I58" s="4"/>
      <c r="J58" s="52">
        <v>48</v>
      </c>
      <c r="K58" s="121"/>
      <c r="L58" s="6"/>
      <c r="M58" s="52">
        <v>48</v>
      </c>
      <c r="N58" s="121"/>
      <c r="O58" s="8"/>
      <c r="P58" s="1"/>
      <c r="Q58" s="1"/>
    </row>
    <row r="59" spans="1:17" ht="13.8" x14ac:dyDescent="0.25">
      <c r="A59" s="1"/>
      <c r="B59" s="1"/>
      <c r="C59" s="1"/>
      <c r="D59" s="1"/>
      <c r="E59" s="1"/>
      <c r="F59" s="1"/>
      <c r="G59" s="1"/>
      <c r="H59" s="1"/>
      <c r="I59" s="4"/>
      <c r="J59" s="52">
        <v>49</v>
      </c>
      <c r="K59" s="121"/>
      <c r="L59" s="6"/>
      <c r="M59" s="52">
        <v>49</v>
      </c>
      <c r="N59" s="121"/>
      <c r="O59" s="8"/>
      <c r="P59" s="1"/>
      <c r="Q59" s="1"/>
    </row>
    <row r="60" spans="1:17" ht="13.8" x14ac:dyDescent="0.25">
      <c r="A60" s="1"/>
      <c r="B60" s="1"/>
      <c r="C60" s="1"/>
      <c r="D60" s="1"/>
      <c r="E60" s="1"/>
      <c r="F60" s="1"/>
      <c r="G60" s="1"/>
      <c r="H60" s="1"/>
      <c r="I60" s="53"/>
      <c r="J60" s="52">
        <v>50</v>
      </c>
      <c r="K60" s="121"/>
      <c r="L60" s="6"/>
      <c r="M60" s="52">
        <v>50</v>
      </c>
      <c r="N60" s="121"/>
      <c r="O60" s="54"/>
      <c r="P60" s="1"/>
      <c r="Q60" s="1"/>
    </row>
    <row r="61" spans="1:17" ht="13.8" thickBot="1" x14ac:dyDescent="0.3">
      <c r="A61" s="1"/>
      <c r="B61" s="1"/>
      <c r="C61" s="1"/>
      <c r="D61" s="1"/>
      <c r="E61" s="1"/>
      <c r="F61" s="1"/>
      <c r="G61" s="1"/>
      <c r="H61" s="1"/>
      <c r="I61" s="55"/>
      <c r="J61" s="56"/>
      <c r="K61" s="57"/>
      <c r="L61" s="57"/>
      <c r="M61" s="57"/>
      <c r="N61" s="56"/>
      <c r="O61" s="58"/>
      <c r="P61" s="1"/>
      <c r="Q61" s="1"/>
    </row>
    <row r="62" spans="1:17" ht="13.2" x14ac:dyDescent="0.25">
      <c r="A62" s="1"/>
      <c r="B62" s="1"/>
      <c r="C62" s="1"/>
      <c r="D62" s="1"/>
      <c r="E62" s="1"/>
      <c r="F62" s="1"/>
      <c r="G62" s="1"/>
      <c r="H62" s="1"/>
      <c r="I62" s="1"/>
      <c r="J62" s="1"/>
      <c r="K62" s="1"/>
      <c r="L62" s="1"/>
      <c r="M62" s="1"/>
      <c r="N62" s="18"/>
      <c r="O62" s="40" t="s">
        <v>30</v>
      </c>
      <c r="P62" s="1"/>
      <c r="Q62" s="1"/>
    </row>
    <row r="63" spans="1:17" ht="13.2" x14ac:dyDescent="0.25">
      <c r="A63" s="1"/>
      <c r="B63" s="1"/>
      <c r="C63" s="1"/>
      <c r="D63" s="1"/>
      <c r="E63" s="1"/>
      <c r="F63" s="1"/>
      <c r="G63" s="1"/>
      <c r="H63" s="1"/>
      <c r="I63" s="1"/>
      <c r="J63" s="1"/>
      <c r="K63" s="1"/>
      <c r="L63" s="1"/>
      <c r="M63" s="1"/>
      <c r="N63" s="1"/>
      <c r="O63" s="40"/>
      <c r="P63" s="1"/>
      <c r="Q63" s="1"/>
    </row>
    <row r="64" spans="1:17" ht="13.2" x14ac:dyDescent="0.25">
      <c r="A64" s="1"/>
      <c r="B64" s="1"/>
      <c r="C64" s="1"/>
      <c r="D64" s="1"/>
      <c r="E64" s="1"/>
      <c r="F64" s="1"/>
      <c r="G64" s="1"/>
      <c r="H64" s="1"/>
      <c r="I64" s="1"/>
      <c r="J64" s="1"/>
      <c r="K64" s="1"/>
      <c r="L64" s="1"/>
      <c r="M64" s="1"/>
      <c r="N64" s="1"/>
      <c r="O64" s="40"/>
      <c r="P64" s="1"/>
      <c r="Q64" s="1"/>
    </row>
  </sheetData>
  <mergeCells count="16">
    <mergeCell ref="C28:F31"/>
    <mergeCell ref="J10:K10"/>
    <mergeCell ref="M10:N10"/>
    <mergeCell ref="E14:F14"/>
    <mergeCell ref="E15:F15"/>
    <mergeCell ref="E16:F16"/>
    <mergeCell ref="B20:G21"/>
    <mergeCell ref="E23:F23"/>
    <mergeCell ref="E24:F24"/>
    <mergeCell ref="E26:F26"/>
    <mergeCell ref="E25:F25"/>
    <mergeCell ref="A1:P5"/>
    <mergeCell ref="B7:G8"/>
    <mergeCell ref="I7:O8"/>
    <mergeCell ref="E10:F10"/>
    <mergeCell ref="E13:F13"/>
  </mergeCells>
  <dataValidations count="4">
    <dataValidation type="list" allowBlank="1" showErrorMessage="1" sqref="E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ErrorMessage="1" sqref="E10" xr:uid="{00000000-0002-0000-0000-000002000000}">
      <formula1>"Select Region,CAR,NCR,Region I,Region II,Region III,Region IV-A,MIMAROPA,Region V,Region VI,Region VII,Region VIII,NIR,Region IX,Region X,Region XI,Region XII,CARAGA,BARMM"</formula1>
    </dataValidation>
    <dataValidation type="list" allowBlank="1" showErrorMessage="1" sqref="E24:F24" xr:uid="{81A9434D-1D98-4938-9819-26E834A7BA11}">
      <formula1>"GMRC, Values Education"</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Z121"/>
  <sheetViews>
    <sheetView showGridLines="0" zoomScale="85" zoomScaleNormal="85" workbookViewId="0">
      <pane ySplit="16" topLeftCell="A17" activePane="bottomLeft" state="frozen"/>
      <selection pane="bottomLeft" activeCell="B2" sqref="B2:AX3"/>
    </sheetView>
  </sheetViews>
  <sheetFormatPr defaultColWidth="12.6640625" defaultRowHeight="15.75" customHeight="1" x14ac:dyDescent="0.25"/>
  <cols>
    <col min="1" max="2" width="3.88671875" style="144" customWidth="1"/>
    <col min="3" max="5" width="12.6640625" style="144"/>
    <col min="6" max="10" width="3.88671875" style="169" customWidth="1"/>
    <col min="11" max="13" width="5.33203125" style="169" customWidth="1"/>
    <col min="14" max="18" width="3.88671875" style="144" customWidth="1"/>
    <col min="19" max="21" width="5.33203125" style="144" customWidth="1"/>
    <col min="22" max="24" width="3.88671875" style="169" customWidth="1"/>
    <col min="25" max="27" width="5.33203125" style="169" customWidth="1"/>
    <col min="28" max="30" width="3.88671875" style="169" customWidth="1"/>
    <col min="31" max="33" width="5.33203125" style="169" customWidth="1"/>
    <col min="34" max="36" width="3.88671875" style="144" customWidth="1"/>
    <col min="37" max="39" width="5.33203125" style="144" customWidth="1"/>
    <col min="40" max="42" width="5.77734375" style="144" customWidth="1"/>
    <col min="43" max="45" width="8" style="144" customWidth="1"/>
    <col min="46" max="47" width="5.77734375" style="144" customWidth="1"/>
    <col min="48" max="48" width="7.33203125" style="144" customWidth="1"/>
    <col min="49" max="49" width="10.109375" style="144" customWidth="1"/>
    <col min="50" max="50" width="14.5546875" style="144" customWidth="1"/>
    <col min="51" max="51" width="12.6640625" style="144" customWidth="1"/>
    <col min="52" max="52" width="3.88671875" style="144" customWidth="1"/>
    <col min="53" max="16384" width="12.6640625" style="144"/>
  </cols>
  <sheetData>
    <row r="1" spans="1:52" ht="15.75" customHeight="1" x14ac:dyDescent="0.5">
      <c r="A1" s="143"/>
      <c r="AZ1" s="145"/>
    </row>
    <row r="2" spans="1:52" ht="15.75" customHeight="1" x14ac:dyDescent="0.25">
      <c r="B2" s="348" t="s">
        <v>68</v>
      </c>
      <c r="C2" s="349"/>
      <c r="D2" s="349"/>
      <c r="E2" s="349"/>
      <c r="F2" s="349"/>
      <c r="G2" s="349"/>
      <c r="H2" s="349"/>
      <c r="I2" s="349"/>
      <c r="J2" s="349"/>
      <c r="K2" s="349"/>
      <c r="L2" s="349"/>
      <c r="M2" s="349"/>
      <c r="N2" s="349"/>
      <c r="O2" s="349"/>
      <c r="P2" s="349"/>
      <c r="Q2" s="349"/>
      <c r="R2" s="349"/>
      <c r="S2" s="349"/>
      <c r="T2" s="349"/>
      <c r="U2" s="349"/>
      <c r="V2" s="349"/>
      <c r="W2" s="349"/>
      <c r="X2" s="349"/>
      <c r="Y2" s="349"/>
      <c r="Z2" s="349"/>
      <c r="AA2" s="349"/>
      <c r="AB2" s="349"/>
      <c r="AC2" s="349"/>
      <c r="AD2" s="349"/>
      <c r="AE2" s="349"/>
      <c r="AF2" s="349"/>
      <c r="AG2" s="349"/>
      <c r="AH2" s="349"/>
      <c r="AI2" s="349"/>
      <c r="AJ2" s="349"/>
      <c r="AK2" s="349"/>
      <c r="AL2" s="349"/>
      <c r="AM2" s="349"/>
      <c r="AN2" s="349"/>
      <c r="AO2" s="349"/>
      <c r="AP2" s="349"/>
      <c r="AQ2" s="349"/>
      <c r="AR2" s="349"/>
      <c r="AS2" s="349"/>
      <c r="AT2" s="349"/>
      <c r="AU2" s="349"/>
      <c r="AV2" s="349"/>
      <c r="AW2" s="349"/>
      <c r="AX2" s="349"/>
      <c r="AZ2" s="145"/>
    </row>
    <row r="3" spans="1:52" ht="15.75" customHeight="1" x14ac:dyDescent="0.25">
      <c r="B3" s="349"/>
      <c r="C3" s="349"/>
      <c r="D3" s="349"/>
      <c r="E3" s="349"/>
      <c r="F3" s="349"/>
      <c r="G3" s="349"/>
      <c r="H3" s="349"/>
      <c r="I3" s="349"/>
      <c r="J3" s="349"/>
      <c r="K3" s="349"/>
      <c r="L3" s="349"/>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Z3" s="145"/>
    </row>
    <row r="4" spans="1:52" ht="15.75" customHeight="1" thickBot="1" x14ac:dyDescent="0.3">
      <c r="AZ4" s="145"/>
    </row>
    <row r="5" spans="1:52" ht="15.75" customHeight="1" thickBot="1" x14ac:dyDescent="0.35">
      <c r="A5" s="146"/>
      <c r="B5" s="146"/>
      <c r="C5" s="146"/>
      <c r="D5" s="147"/>
      <c r="E5" s="152" t="s">
        <v>1</v>
      </c>
      <c r="F5" s="301">
        <f>'INPUT DATA'!E10</f>
        <v>0</v>
      </c>
      <c r="G5" s="302"/>
      <c r="H5" s="302"/>
      <c r="I5" s="302"/>
      <c r="J5" s="302"/>
      <c r="K5" s="302"/>
      <c r="L5" s="302"/>
      <c r="M5" s="302"/>
      <c r="N5" s="302"/>
      <c r="O5" s="302"/>
      <c r="P5" s="302"/>
      <c r="Q5" s="302"/>
      <c r="R5" s="302"/>
      <c r="S5" s="302"/>
      <c r="T5" s="303"/>
      <c r="U5" s="153"/>
      <c r="V5" s="153"/>
      <c r="W5" s="153"/>
      <c r="X5" s="258"/>
      <c r="Y5" s="156" t="s">
        <v>3</v>
      </c>
      <c r="Z5" s="304">
        <f>'INPUT DATA'!E11</f>
        <v>0</v>
      </c>
      <c r="AA5" s="305"/>
      <c r="AB5" s="305"/>
      <c r="AC5" s="305"/>
      <c r="AD5" s="305"/>
      <c r="AE5" s="305"/>
      <c r="AF5" s="305"/>
      <c r="AG5" s="305"/>
      <c r="AH5" s="305"/>
      <c r="AI5" s="305"/>
      <c r="AJ5" s="306"/>
      <c r="AK5" s="259"/>
      <c r="AL5" s="257"/>
      <c r="AM5" s="257"/>
      <c r="AN5" s="257"/>
      <c r="AO5" s="257"/>
      <c r="AP5" s="152" t="s">
        <v>4</v>
      </c>
      <c r="AQ5" s="343">
        <f>'INPUT DATA'!E13</f>
        <v>0</v>
      </c>
      <c r="AR5" s="344"/>
      <c r="AS5" s="345"/>
      <c r="AW5" s="146"/>
      <c r="AX5" s="146"/>
      <c r="AY5" s="146"/>
      <c r="AZ5" s="148"/>
    </row>
    <row r="6" spans="1:52" ht="6" customHeight="1" thickBot="1" x14ac:dyDescent="0.35">
      <c r="A6" s="146"/>
      <c r="B6" s="146"/>
      <c r="C6" s="146"/>
      <c r="D6" s="147"/>
      <c r="E6" s="152"/>
      <c r="F6" s="252"/>
      <c r="G6" s="252"/>
      <c r="H6" s="252"/>
      <c r="I6" s="252"/>
      <c r="J6" s="252"/>
      <c r="K6" s="252"/>
      <c r="L6" s="252"/>
      <c r="M6" s="252"/>
      <c r="N6" s="253"/>
      <c r="O6" s="254"/>
      <c r="P6" s="254"/>
      <c r="Q6" s="254"/>
      <c r="R6" s="254"/>
      <c r="S6" s="254"/>
      <c r="T6" s="254"/>
      <c r="U6" s="255"/>
      <c r="V6" s="255"/>
      <c r="W6" s="255"/>
      <c r="X6" s="255"/>
      <c r="Y6" s="255"/>
      <c r="Z6" s="255"/>
      <c r="AA6" s="255"/>
      <c r="AB6" s="255"/>
      <c r="AC6" s="255"/>
      <c r="AD6" s="255"/>
      <c r="AE6" s="255"/>
      <c r="AF6" s="255"/>
      <c r="AG6" s="255"/>
      <c r="AH6" s="255"/>
      <c r="AI6" s="256"/>
      <c r="AJ6" s="256"/>
      <c r="AK6" s="252"/>
      <c r="AL6" s="253"/>
      <c r="AM6" s="254"/>
      <c r="AN6" s="254"/>
      <c r="AO6" s="254"/>
      <c r="AP6" s="152"/>
      <c r="AQ6" s="154"/>
      <c r="AR6" s="155"/>
      <c r="AS6" s="155"/>
      <c r="AW6" s="146"/>
      <c r="AX6" s="146"/>
      <c r="AY6" s="146"/>
      <c r="AZ6" s="148"/>
    </row>
    <row r="7" spans="1:52" ht="15.75" customHeight="1" thickBot="1" x14ac:dyDescent="0.35">
      <c r="A7" s="146"/>
      <c r="B7" s="146"/>
      <c r="C7" s="146"/>
      <c r="D7" s="147"/>
      <c r="E7" s="152" t="s">
        <v>6</v>
      </c>
      <c r="F7" s="301">
        <f>'INPUT DATA'!E14</f>
        <v>0</v>
      </c>
      <c r="G7" s="302"/>
      <c r="H7" s="302"/>
      <c r="I7" s="302"/>
      <c r="J7" s="302"/>
      <c r="K7" s="302"/>
      <c r="L7" s="302"/>
      <c r="M7" s="302"/>
      <c r="N7" s="302"/>
      <c r="O7" s="302"/>
      <c r="P7" s="302"/>
      <c r="Q7" s="302"/>
      <c r="R7" s="302"/>
      <c r="S7" s="302"/>
      <c r="T7" s="302"/>
      <c r="U7" s="302"/>
      <c r="V7" s="302"/>
      <c r="W7" s="302"/>
      <c r="X7" s="302"/>
      <c r="Y7" s="302"/>
      <c r="Z7" s="302"/>
      <c r="AA7" s="302"/>
      <c r="AB7" s="302"/>
      <c r="AC7" s="302"/>
      <c r="AD7" s="302"/>
      <c r="AE7" s="302"/>
      <c r="AF7" s="302"/>
      <c r="AG7" s="302"/>
      <c r="AH7" s="302"/>
      <c r="AI7" s="302"/>
      <c r="AJ7" s="303"/>
      <c r="AK7" s="257"/>
      <c r="AL7" s="257"/>
      <c r="AM7" s="257"/>
      <c r="AN7" s="257"/>
      <c r="AO7" s="257"/>
      <c r="AP7" s="152" t="s">
        <v>7</v>
      </c>
      <c r="AQ7" s="343">
        <f>'INPUT DATA'!E15</f>
        <v>0</v>
      </c>
      <c r="AR7" s="344"/>
      <c r="AS7" s="345"/>
      <c r="AW7" s="146"/>
      <c r="AX7" s="146"/>
      <c r="AY7" s="146"/>
      <c r="AZ7" s="148"/>
    </row>
    <row r="8" spans="1:52" ht="13.8" thickBot="1" x14ac:dyDescent="0.3">
      <c r="A8" s="146"/>
      <c r="B8" s="146"/>
      <c r="C8" s="146"/>
      <c r="D8" s="146"/>
      <c r="E8" s="146"/>
      <c r="F8" s="168"/>
      <c r="G8" s="168"/>
      <c r="H8" s="168"/>
      <c r="I8" s="168"/>
      <c r="J8" s="168"/>
      <c r="K8" s="168"/>
      <c r="L8" s="168"/>
      <c r="M8" s="168"/>
      <c r="N8" s="146"/>
      <c r="O8" s="146"/>
      <c r="P8" s="146"/>
      <c r="Q8" s="146"/>
      <c r="R8" s="146"/>
      <c r="S8" s="146"/>
      <c r="T8" s="146"/>
      <c r="U8" s="146"/>
      <c r="V8" s="168"/>
      <c r="W8" s="168"/>
      <c r="X8" s="168"/>
      <c r="Y8" s="168"/>
      <c r="Z8" s="168"/>
      <c r="AA8" s="168"/>
      <c r="AB8" s="168"/>
      <c r="AC8" s="168"/>
      <c r="AD8" s="168"/>
      <c r="AE8" s="168"/>
      <c r="AF8" s="168"/>
      <c r="AG8" s="168"/>
      <c r="AH8" s="146"/>
      <c r="AI8" s="146"/>
      <c r="AJ8" s="146"/>
      <c r="AK8" s="146"/>
      <c r="AL8" s="146"/>
      <c r="AM8" s="146"/>
      <c r="AN8" s="146"/>
      <c r="AO8" s="146"/>
      <c r="AP8" s="146"/>
      <c r="AQ8" s="146"/>
      <c r="AR8" s="146"/>
      <c r="AS8" s="146"/>
      <c r="AT8" s="146"/>
      <c r="AU8" s="146"/>
      <c r="AV8" s="146"/>
      <c r="AW8" s="146"/>
      <c r="AX8" s="146"/>
      <c r="AY8" s="146"/>
      <c r="AZ8" s="148"/>
    </row>
    <row r="9" spans="1:52" ht="15.75" customHeight="1" thickBot="1" x14ac:dyDescent="0.35">
      <c r="A9" s="146"/>
      <c r="B9" s="350"/>
      <c r="C9" s="351"/>
      <c r="D9" s="351"/>
      <c r="E9" s="351"/>
      <c r="F9" s="351"/>
      <c r="G9" s="351"/>
      <c r="H9" s="351"/>
      <c r="I9" s="351"/>
      <c r="J9" s="351"/>
      <c r="K9" s="351"/>
      <c r="L9" s="351"/>
      <c r="M9" s="351"/>
      <c r="N9" s="351"/>
      <c r="O9" s="351"/>
      <c r="P9" s="351"/>
      <c r="Q9" s="351"/>
      <c r="R9" s="351"/>
      <c r="S9" s="351"/>
      <c r="T9" s="351"/>
      <c r="U9" s="351"/>
      <c r="V9" s="351"/>
      <c r="W9" s="351"/>
      <c r="X9" s="351"/>
      <c r="Y9" s="351"/>
      <c r="Z9" s="351"/>
      <c r="AA9" s="351"/>
      <c r="AB9" s="351"/>
      <c r="AC9" s="351"/>
      <c r="AD9" s="351"/>
      <c r="AE9" s="351"/>
      <c r="AF9" s="351"/>
      <c r="AG9" s="351"/>
      <c r="AH9" s="351"/>
      <c r="AI9" s="351"/>
      <c r="AJ9" s="351"/>
      <c r="AK9" s="351"/>
      <c r="AL9" s="351"/>
      <c r="AM9" s="351"/>
      <c r="AN9" s="351"/>
      <c r="AO9" s="351"/>
      <c r="AP9" s="351"/>
      <c r="AQ9" s="351"/>
      <c r="AR9" s="351"/>
      <c r="AS9" s="351"/>
      <c r="AT9" s="351"/>
      <c r="AU9" s="351"/>
      <c r="AV9" s="351"/>
      <c r="AW9" s="351"/>
      <c r="AX9" s="352"/>
      <c r="AY9" s="146"/>
      <c r="AZ9" s="149"/>
    </row>
    <row r="10" spans="1:52" ht="14.4" thickBot="1" x14ac:dyDescent="0.3">
      <c r="A10" s="146"/>
      <c r="B10" s="373" t="s">
        <v>10</v>
      </c>
      <c r="C10" s="374"/>
      <c r="D10" s="374"/>
      <c r="E10" s="375"/>
      <c r="F10" s="382" t="s">
        <v>11</v>
      </c>
      <c r="G10" s="383"/>
      <c r="H10" s="383"/>
      <c r="I10" s="383"/>
      <c r="J10" s="387">
        <f>'INPUT DATA'!E25</f>
        <v>0</v>
      </c>
      <c r="K10" s="388"/>
      <c r="L10" s="388"/>
      <c r="M10" s="388"/>
      <c r="N10" s="388"/>
      <c r="O10" s="388"/>
      <c r="P10" s="388"/>
      <c r="Q10" s="388"/>
      <c r="R10" s="388"/>
      <c r="S10" s="388"/>
      <c r="T10" s="388"/>
      <c r="U10" s="389"/>
      <c r="V10" s="325" t="s">
        <v>12</v>
      </c>
      <c r="W10" s="326"/>
      <c r="X10" s="326"/>
      <c r="Y10" s="326"/>
      <c r="Z10" s="327"/>
      <c r="AA10" s="335">
        <f>'INPUT DATA'!E23</f>
        <v>0</v>
      </c>
      <c r="AB10" s="331"/>
      <c r="AC10" s="331"/>
      <c r="AD10" s="331"/>
      <c r="AE10" s="331"/>
      <c r="AF10" s="331"/>
      <c r="AG10" s="331"/>
      <c r="AH10" s="331"/>
      <c r="AI10" s="331"/>
      <c r="AJ10" s="331"/>
      <c r="AK10" s="331"/>
      <c r="AL10" s="331"/>
      <c r="AM10" s="336"/>
      <c r="AN10" s="325" t="s">
        <v>13</v>
      </c>
      <c r="AO10" s="326"/>
      <c r="AP10" s="326"/>
      <c r="AQ10" s="327"/>
      <c r="AR10" s="331">
        <f>'INPUT DATA'!E24</f>
        <v>0</v>
      </c>
      <c r="AS10" s="331"/>
      <c r="AT10" s="331"/>
      <c r="AU10" s="331"/>
      <c r="AV10" s="331"/>
      <c r="AW10" s="331"/>
      <c r="AX10" s="332"/>
      <c r="AY10" s="146"/>
      <c r="AZ10" s="148"/>
    </row>
    <row r="11" spans="1:52" ht="14.4" thickBot="1" x14ac:dyDescent="0.3">
      <c r="A11" s="146"/>
      <c r="B11" s="376"/>
      <c r="C11" s="377"/>
      <c r="D11" s="377"/>
      <c r="E11" s="375"/>
      <c r="F11" s="384" t="s">
        <v>14</v>
      </c>
      <c r="G11" s="385"/>
      <c r="H11" s="385"/>
      <c r="I11" s="386"/>
      <c r="J11" s="390">
        <f>'INPUT DATA'!E26</f>
        <v>0</v>
      </c>
      <c r="K11" s="391"/>
      <c r="L11" s="391"/>
      <c r="M11" s="391"/>
      <c r="N11" s="391"/>
      <c r="O11" s="391"/>
      <c r="P11" s="391"/>
      <c r="Q11" s="391"/>
      <c r="R11" s="391"/>
      <c r="S11" s="391"/>
      <c r="T11" s="391"/>
      <c r="U11" s="391"/>
      <c r="V11" s="328"/>
      <c r="W11" s="329"/>
      <c r="X11" s="329"/>
      <c r="Y11" s="329"/>
      <c r="Z11" s="330"/>
      <c r="AA11" s="337"/>
      <c r="AB11" s="338"/>
      <c r="AC11" s="338"/>
      <c r="AD11" s="338"/>
      <c r="AE11" s="338"/>
      <c r="AF11" s="338"/>
      <c r="AG11" s="338"/>
      <c r="AH11" s="338"/>
      <c r="AI11" s="338"/>
      <c r="AJ11" s="338"/>
      <c r="AK11" s="338"/>
      <c r="AL11" s="338"/>
      <c r="AM11" s="339"/>
      <c r="AN11" s="328"/>
      <c r="AO11" s="329"/>
      <c r="AP11" s="329"/>
      <c r="AQ11" s="330"/>
      <c r="AR11" s="333"/>
      <c r="AS11" s="333"/>
      <c r="AT11" s="333"/>
      <c r="AU11" s="333"/>
      <c r="AV11" s="333"/>
      <c r="AW11" s="333"/>
      <c r="AX11" s="334"/>
      <c r="AY11" s="146"/>
      <c r="AZ11" s="148"/>
    </row>
    <row r="12" spans="1:52" ht="13.2" customHeight="1" x14ac:dyDescent="0.25">
      <c r="A12" s="146"/>
      <c r="B12" s="376"/>
      <c r="C12" s="377"/>
      <c r="D12" s="377"/>
      <c r="E12" s="374"/>
      <c r="F12" s="325" t="s">
        <v>66</v>
      </c>
      <c r="G12" s="326"/>
      <c r="H12" s="326"/>
      <c r="I12" s="326"/>
      <c r="J12" s="326"/>
      <c r="K12" s="326"/>
      <c r="L12" s="326"/>
      <c r="M12" s="326"/>
      <c r="N12" s="326"/>
      <c r="O12" s="326"/>
      <c r="P12" s="326"/>
      <c r="Q12" s="326"/>
      <c r="R12" s="326"/>
      <c r="S12" s="326"/>
      <c r="T12" s="326"/>
      <c r="U12" s="327"/>
      <c r="V12" s="310" t="s">
        <v>64</v>
      </c>
      <c r="W12" s="311"/>
      <c r="X12" s="311"/>
      <c r="Y12" s="311"/>
      <c r="Z12" s="311"/>
      <c r="AA12" s="311"/>
      <c r="AB12" s="311"/>
      <c r="AC12" s="311"/>
      <c r="AD12" s="311"/>
      <c r="AE12" s="311"/>
      <c r="AF12" s="311"/>
      <c r="AG12" s="311"/>
      <c r="AH12" s="311"/>
      <c r="AI12" s="311"/>
      <c r="AJ12" s="311"/>
      <c r="AK12" s="311"/>
      <c r="AL12" s="311"/>
      <c r="AM12" s="312"/>
      <c r="AN12" s="313" t="s">
        <v>67</v>
      </c>
      <c r="AO12" s="314"/>
      <c r="AP12" s="314"/>
      <c r="AQ12" s="314"/>
      <c r="AR12" s="319"/>
      <c r="AS12" s="319"/>
      <c r="AT12" s="319"/>
      <c r="AU12" s="320"/>
      <c r="AV12" s="340" t="s">
        <v>15</v>
      </c>
      <c r="AW12" s="340" t="s">
        <v>16</v>
      </c>
      <c r="AX12" s="340" t="s">
        <v>17</v>
      </c>
      <c r="AY12" s="146"/>
      <c r="AZ12" s="148"/>
    </row>
    <row r="13" spans="1:52" ht="14.4" customHeight="1" thickBot="1" x14ac:dyDescent="0.3">
      <c r="A13" s="146"/>
      <c r="B13" s="376"/>
      <c r="C13" s="377"/>
      <c r="D13" s="377"/>
      <c r="E13" s="374"/>
      <c r="F13" s="392"/>
      <c r="G13" s="393"/>
      <c r="H13" s="393"/>
      <c r="I13" s="393"/>
      <c r="J13" s="393"/>
      <c r="K13" s="393"/>
      <c r="L13" s="393"/>
      <c r="M13" s="393"/>
      <c r="N13" s="393"/>
      <c r="O13" s="393"/>
      <c r="P13" s="393"/>
      <c r="Q13" s="393"/>
      <c r="R13" s="393"/>
      <c r="S13" s="393"/>
      <c r="T13" s="393"/>
      <c r="U13" s="394"/>
      <c r="V13" s="313"/>
      <c r="W13" s="314"/>
      <c r="X13" s="314"/>
      <c r="Y13" s="314"/>
      <c r="Z13" s="314"/>
      <c r="AA13" s="314"/>
      <c r="AB13" s="314"/>
      <c r="AC13" s="314"/>
      <c r="AD13" s="314"/>
      <c r="AE13" s="314"/>
      <c r="AF13" s="314"/>
      <c r="AG13" s="314"/>
      <c r="AH13" s="314"/>
      <c r="AI13" s="314"/>
      <c r="AJ13" s="314"/>
      <c r="AK13" s="314"/>
      <c r="AL13" s="314"/>
      <c r="AM13" s="315"/>
      <c r="AN13" s="313"/>
      <c r="AO13" s="314"/>
      <c r="AP13" s="314"/>
      <c r="AQ13" s="314"/>
      <c r="AR13" s="314"/>
      <c r="AS13" s="314"/>
      <c r="AT13" s="314"/>
      <c r="AU13" s="321"/>
      <c r="AV13" s="341"/>
      <c r="AW13" s="341"/>
      <c r="AX13" s="341"/>
      <c r="AY13" s="146"/>
      <c r="AZ13" s="148"/>
    </row>
    <row r="14" spans="1:52" s="169" customFormat="1" ht="13.8" thickBot="1" x14ac:dyDescent="0.3">
      <c r="A14" s="168"/>
      <c r="B14" s="378"/>
      <c r="C14" s="377"/>
      <c r="D14" s="377"/>
      <c r="E14" s="374"/>
      <c r="F14" s="307" t="s">
        <v>62</v>
      </c>
      <c r="G14" s="308"/>
      <c r="H14" s="308"/>
      <c r="I14" s="308"/>
      <c r="J14" s="308"/>
      <c r="K14" s="308"/>
      <c r="L14" s="308"/>
      <c r="M14" s="395"/>
      <c r="N14" s="307" t="s">
        <v>63</v>
      </c>
      <c r="O14" s="308"/>
      <c r="P14" s="308"/>
      <c r="Q14" s="308"/>
      <c r="R14" s="308"/>
      <c r="S14" s="308"/>
      <c r="T14" s="308"/>
      <c r="U14" s="309"/>
      <c r="V14" s="307" t="s">
        <v>62</v>
      </c>
      <c r="W14" s="308"/>
      <c r="X14" s="308"/>
      <c r="Y14" s="308"/>
      <c r="Z14" s="308"/>
      <c r="AA14" s="309"/>
      <c r="AB14" s="307" t="s">
        <v>63</v>
      </c>
      <c r="AC14" s="308"/>
      <c r="AD14" s="308"/>
      <c r="AE14" s="308"/>
      <c r="AF14" s="308"/>
      <c r="AG14" s="309"/>
      <c r="AH14" s="316" t="s">
        <v>65</v>
      </c>
      <c r="AI14" s="317"/>
      <c r="AJ14" s="317"/>
      <c r="AK14" s="317"/>
      <c r="AL14" s="317"/>
      <c r="AM14" s="318"/>
      <c r="AN14" s="322"/>
      <c r="AO14" s="323"/>
      <c r="AP14" s="323"/>
      <c r="AQ14" s="323"/>
      <c r="AR14" s="323"/>
      <c r="AS14" s="323"/>
      <c r="AT14" s="323"/>
      <c r="AU14" s="324"/>
      <c r="AV14" s="341"/>
      <c r="AW14" s="341"/>
      <c r="AX14" s="341"/>
      <c r="AY14" s="168"/>
      <c r="AZ14" s="148"/>
    </row>
    <row r="15" spans="1:52" ht="13.8" thickBot="1" x14ac:dyDescent="0.3">
      <c r="A15" s="146"/>
      <c r="B15" s="376"/>
      <c r="C15" s="377"/>
      <c r="D15" s="377"/>
      <c r="E15" s="374"/>
      <c r="F15" s="209">
        <v>1</v>
      </c>
      <c r="G15" s="210">
        <v>2</v>
      </c>
      <c r="H15" s="210">
        <v>3</v>
      </c>
      <c r="I15" s="210">
        <v>4</v>
      </c>
      <c r="J15" s="211">
        <v>5</v>
      </c>
      <c r="K15" s="212" t="s">
        <v>19</v>
      </c>
      <c r="L15" s="212" t="s">
        <v>20</v>
      </c>
      <c r="M15" s="213" t="s">
        <v>21</v>
      </c>
      <c r="N15" s="209">
        <v>1</v>
      </c>
      <c r="O15" s="210">
        <v>2</v>
      </c>
      <c r="P15" s="210">
        <v>3</v>
      </c>
      <c r="Q15" s="210">
        <v>4</v>
      </c>
      <c r="R15" s="211">
        <v>5</v>
      </c>
      <c r="S15" s="212" t="s">
        <v>19</v>
      </c>
      <c r="T15" s="212" t="s">
        <v>20</v>
      </c>
      <c r="U15" s="213" t="s">
        <v>21</v>
      </c>
      <c r="V15" s="222">
        <v>1</v>
      </c>
      <c r="W15" s="223">
        <v>2</v>
      </c>
      <c r="X15" s="223">
        <v>3</v>
      </c>
      <c r="Y15" s="224" t="s">
        <v>19</v>
      </c>
      <c r="Z15" s="224" t="s">
        <v>20</v>
      </c>
      <c r="AA15" s="225" t="s">
        <v>21</v>
      </c>
      <c r="AB15" s="222">
        <v>1</v>
      </c>
      <c r="AC15" s="223">
        <v>2</v>
      </c>
      <c r="AD15" s="223">
        <v>3</v>
      </c>
      <c r="AE15" s="224" t="s">
        <v>19</v>
      </c>
      <c r="AF15" s="224" t="s">
        <v>20</v>
      </c>
      <c r="AG15" s="225" t="s">
        <v>21</v>
      </c>
      <c r="AH15" s="179">
        <v>1</v>
      </c>
      <c r="AI15" s="177">
        <v>2</v>
      </c>
      <c r="AJ15" s="177">
        <v>3</v>
      </c>
      <c r="AK15" s="178" t="s">
        <v>19</v>
      </c>
      <c r="AL15" s="178" t="s">
        <v>20</v>
      </c>
      <c r="AM15" s="180" t="s">
        <v>21</v>
      </c>
      <c r="AN15" s="171" t="s">
        <v>22</v>
      </c>
      <c r="AO15" s="124" t="s">
        <v>23</v>
      </c>
      <c r="AP15" s="125" t="s">
        <v>24</v>
      </c>
      <c r="AQ15" s="127" t="s">
        <v>25</v>
      </c>
      <c r="AR15" s="128" t="s">
        <v>26</v>
      </c>
      <c r="AS15" s="129" t="s">
        <v>27</v>
      </c>
      <c r="AT15" s="126" t="s">
        <v>20</v>
      </c>
      <c r="AU15" s="126" t="s">
        <v>21</v>
      </c>
      <c r="AV15" s="341"/>
      <c r="AW15" s="341"/>
      <c r="AX15" s="341"/>
      <c r="AY15" s="146"/>
      <c r="AZ15" s="148"/>
    </row>
    <row r="16" spans="1:52" ht="14.4" thickBot="1" x14ac:dyDescent="0.3">
      <c r="A16" s="146"/>
      <c r="B16" s="379" t="s">
        <v>28</v>
      </c>
      <c r="C16" s="380"/>
      <c r="D16" s="380"/>
      <c r="E16" s="381"/>
      <c r="F16" s="206"/>
      <c r="G16" s="207"/>
      <c r="H16" s="207"/>
      <c r="I16" s="207"/>
      <c r="J16" s="208"/>
      <c r="K16" s="173" t="str">
        <f>IF(COUNT($F16:$J16)=0,"",SUM($F16:$J16))</f>
        <v/>
      </c>
      <c r="L16" s="174">
        <v>100</v>
      </c>
      <c r="M16" s="175">
        <v>0.1</v>
      </c>
      <c r="N16" s="206"/>
      <c r="O16" s="207"/>
      <c r="P16" s="207"/>
      <c r="Q16" s="207"/>
      <c r="R16" s="208"/>
      <c r="S16" s="173" t="str">
        <f>IF(COUNT($N16:$R16)=0,"",SUM($N16:$R16))</f>
        <v/>
      </c>
      <c r="T16" s="174">
        <v>100</v>
      </c>
      <c r="U16" s="176">
        <v>0.1</v>
      </c>
      <c r="V16" s="181"/>
      <c r="W16" s="182"/>
      <c r="X16" s="182"/>
      <c r="Y16" s="183" t="str">
        <f>IF(COUNT($V16:$X16)=0,"",SUM($V16:$X16))</f>
        <v/>
      </c>
      <c r="Z16" s="184">
        <v>100</v>
      </c>
      <c r="AA16" s="185">
        <v>0.1</v>
      </c>
      <c r="AB16" s="181"/>
      <c r="AC16" s="182"/>
      <c r="AD16" s="182"/>
      <c r="AE16" s="183" t="str">
        <f>IF(COUNT($AB16:$AD16)=0,"",SUM($AB16:$AD16))</f>
        <v/>
      </c>
      <c r="AF16" s="184">
        <v>100</v>
      </c>
      <c r="AG16" s="185">
        <v>0.1</v>
      </c>
      <c r="AH16" s="181"/>
      <c r="AI16" s="182"/>
      <c r="AJ16" s="182"/>
      <c r="AK16" s="183" t="str">
        <f>IF(COUNT($AH16:$AJ16)=0,"",SUM($AH16:$AJ16))</f>
        <v/>
      </c>
      <c r="AL16" s="184">
        <v>100</v>
      </c>
      <c r="AM16" s="185">
        <v>0.3</v>
      </c>
      <c r="AN16" s="172"/>
      <c r="AO16" s="150"/>
      <c r="AP16" s="151"/>
      <c r="AQ16" s="135">
        <v>30</v>
      </c>
      <c r="AR16" s="136">
        <v>30</v>
      </c>
      <c r="AS16" s="137">
        <v>40</v>
      </c>
      <c r="AT16" s="122">
        <v>100</v>
      </c>
      <c r="AU16" s="123">
        <v>0.3</v>
      </c>
      <c r="AV16" s="342"/>
      <c r="AW16" s="342"/>
      <c r="AX16" s="342"/>
      <c r="AY16" s="146"/>
      <c r="AZ16" s="148"/>
    </row>
    <row r="17" spans="1:52" ht="14.4" thickBot="1" x14ac:dyDescent="0.3">
      <c r="A17" s="146"/>
      <c r="B17" s="366" t="s">
        <v>2</v>
      </c>
      <c r="C17" s="367"/>
      <c r="D17" s="367"/>
      <c r="E17" s="367"/>
      <c r="F17" s="368"/>
      <c r="G17" s="368"/>
      <c r="H17" s="368"/>
      <c r="I17" s="368"/>
      <c r="J17" s="368"/>
      <c r="K17" s="368"/>
      <c r="L17" s="368"/>
      <c r="M17" s="368"/>
      <c r="N17" s="368"/>
      <c r="O17" s="368"/>
      <c r="P17" s="368"/>
      <c r="Q17" s="368"/>
      <c r="R17" s="368"/>
      <c r="S17" s="368"/>
      <c r="T17" s="368"/>
      <c r="U17" s="368"/>
      <c r="V17" s="368"/>
      <c r="W17" s="368"/>
      <c r="X17" s="368"/>
      <c r="Y17" s="368"/>
      <c r="Z17" s="368"/>
      <c r="AA17" s="368"/>
      <c r="AB17" s="368"/>
      <c r="AC17" s="368"/>
      <c r="AD17" s="368"/>
      <c r="AE17" s="368"/>
      <c r="AF17" s="368"/>
      <c r="AG17" s="368"/>
      <c r="AH17" s="368"/>
      <c r="AI17" s="368"/>
      <c r="AJ17" s="368"/>
      <c r="AK17" s="368"/>
      <c r="AL17" s="368"/>
      <c r="AM17" s="368"/>
      <c r="AN17" s="367"/>
      <c r="AO17" s="367"/>
      <c r="AP17" s="367"/>
      <c r="AQ17" s="367"/>
      <c r="AR17" s="367"/>
      <c r="AS17" s="367"/>
      <c r="AT17" s="367"/>
      <c r="AU17" s="367"/>
      <c r="AV17" s="367"/>
      <c r="AW17" s="367"/>
      <c r="AX17" s="369"/>
      <c r="AY17" s="146"/>
      <c r="AZ17" s="148"/>
    </row>
    <row r="18" spans="1:52" ht="14.4" thickBot="1" x14ac:dyDescent="0.3">
      <c r="A18" s="146"/>
      <c r="B18" s="370" t="s">
        <v>8</v>
      </c>
      <c r="C18" s="358"/>
      <c r="D18" s="358"/>
      <c r="E18" s="358"/>
      <c r="F18" s="360"/>
      <c r="G18" s="360"/>
      <c r="H18" s="360"/>
      <c r="I18" s="360"/>
      <c r="J18" s="360"/>
      <c r="K18" s="360"/>
      <c r="L18" s="360"/>
      <c r="M18" s="360"/>
      <c r="N18" s="358"/>
      <c r="O18" s="358"/>
      <c r="P18" s="358"/>
      <c r="Q18" s="358"/>
      <c r="R18" s="358"/>
      <c r="S18" s="360"/>
      <c r="T18" s="360"/>
      <c r="U18" s="360"/>
      <c r="V18" s="360"/>
      <c r="W18" s="360"/>
      <c r="X18" s="360"/>
      <c r="Y18" s="360"/>
      <c r="Z18" s="360"/>
      <c r="AA18" s="360"/>
      <c r="AB18" s="360"/>
      <c r="AC18" s="360"/>
      <c r="AD18" s="360"/>
      <c r="AE18" s="360"/>
      <c r="AF18" s="360"/>
      <c r="AG18" s="360"/>
      <c r="AH18" s="358"/>
      <c r="AI18" s="358"/>
      <c r="AJ18" s="358"/>
      <c r="AK18" s="358"/>
      <c r="AL18" s="358"/>
      <c r="AM18" s="358"/>
      <c r="AN18" s="360"/>
      <c r="AO18" s="360"/>
      <c r="AP18" s="360"/>
      <c r="AQ18" s="358"/>
      <c r="AR18" s="358"/>
      <c r="AS18" s="358"/>
      <c r="AT18" s="358"/>
      <c r="AU18" s="358"/>
      <c r="AV18" s="358"/>
      <c r="AW18" s="358"/>
      <c r="AX18" s="361"/>
      <c r="AY18" s="146"/>
      <c r="AZ18" s="148"/>
    </row>
    <row r="19" spans="1:52" ht="15" customHeight="1" x14ac:dyDescent="0.25">
      <c r="A19" s="146"/>
      <c r="B19" s="98">
        <v>1</v>
      </c>
      <c r="C19" s="371" t="str">
        <f>IF('INPUT DATA'!K11="","",'INPUT DATA'!K11)</f>
        <v/>
      </c>
      <c r="D19" s="372"/>
      <c r="E19" s="372"/>
      <c r="F19" s="249"/>
      <c r="G19" s="250"/>
      <c r="H19" s="250"/>
      <c r="I19" s="250"/>
      <c r="J19" s="251"/>
      <c r="K19" s="193" t="str">
        <f>IF(COUNT($F19:$J19)=0,"",SUM($F19:$J19))</f>
        <v/>
      </c>
      <c r="L19" s="191" t="str">
        <f>IF(ISERROR(IF($K19="","",ROUND(($K19/$K$16)*$L$16,2))),"",IF($K19="","",ROUND(($K19/$K$16)*$L$16,2)))</f>
        <v/>
      </c>
      <c r="M19" s="192" t="str">
        <f>IF($L19="","",ROUND($L19*$M$16,2))</f>
        <v/>
      </c>
      <c r="N19" s="99"/>
      <c r="O19" s="100"/>
      <c r="P19" s="101"/>
      <c r="Q19" s="101"/>
      <c r="R19" s="102"/>
      <c r="S19" s="214" t="str">
        <f t="shared" ref="S19:S68" si="0">IF(COUNT($N19:$R19)=0,"",SUM($N19:$R19))</f>
        <v/>
      </c>
      <c r="T19" s="215" t="str">
        <f t="shared" ref="T19:T68" si="1">IF(ISERROR(IF($S19="","",ROUND(($S19/$S$16)*$T$16,2))),"",IF($S19="","",ROUND(($S19/$S$16)*$T$16,2)))</f>
        <v/>
      </c>
      <c r="U19" s="216" t="str">
        <f t="shared" ref="U19:U68" si="2">IF($T19="","",ROUND($T19*$U$16,2))</f>
        <v/>
      </c>
      <c r="V19" s="227"/>
      <c r="W19" s="228"/>
      <c r="X19" s="235"/>
      <c r="Y19" s="196" t="str">
        <f>IF(COUNT($V19:$X19)=0,"",SUM($V19:$X19))</f>
        <v/>
      </c>
      <c r="Z19" s="186" t="str">
        <f>IF(ISERROR(IF($Y19="","",ROUND(($Y19/$Y$16)*$Z$16,2))),"",IF($Y19="","",ROUND(($Y19/$Y$16)*$Z$16,2)))</f>
        <v/>
      </c>
      <c r="AA19" s="187" t="str">
        <f>IF($Z19="","",ROUND($Z19*$AA$16,2))</f>
        <v/>
      </c>
      <c r="AB19" s="227"/>
      <c r="AC19" s="228"/>
      <c r="AD19" s="229"/>
      <c r="AE19" s="196" t="str">
        <f>IF(COUNT($AB19:$AD19)=0,"",SUM($AB19:$AD19))</f>
        <v/>
      </c>
      <c r="AF19" s="186" t="str">
        <f>IF(ISERROR(IF($AE19="","",ROUND(($AE19/$AE$16)*$AF$16,2))),"",IF($AE19="","",ROUND(($AE19/$AE$16)*$AF$16,2)))</f>
        <v/>
      </c>
      <c r="AG19" s="187" t="str">
        <f>IF($AF19="","",ROUND($AF19*$AG$16,2))</f>
        <v/>
      </c>
      <c r="AH19" s="103"/>
      <c r="AI19" s="101"/>
      <c r="AJ19" s="102"/>
      <c r="AK19" s="87" t="str">
        <f t="shared" ref="AK19:AK68" si="3">IF(COUNT($AH19:$AJ19)=0,"",SUM($AH19:$AJ19))</f>
        <v/>
      </c>
      <c r="AL19" s="88" t="str">
        <f t="shared" ref="AL19:AL68" si="4">IF(ISERROR(IF($AK19="","",ROUND(($AK19/$AK$16)*$AL$16,2))),"",IF($AK19="","",ROUND(($AK19/$AK$16)*$AL$16,2)))</f>
        <v/>
      </c>
      <c r="AM19" s="158" t="str">
        <f t="shared" ref="AM19:AM68" si="5">IF($AL19="","",ROUND($AL19*$AM$16,2))</f>
        <v/>
      </c>
      <c r="AN19" s="159"/>
      <c r="AO19" s="160"/>
      <c r="AP19" s="161"/>
      <c r="AQ19" s="157" t="str">
        <f t="shared" ref="AQ19:AQ68" si="6">IFERROR(IF(AN19="","",ROUND(AN19/$AN$16*$AQ$16,2)),"")</f>
        <v/>
      </c>
      <c r="AR19" s="91" t="str">
        <f t="shared" ref="AR19:AR68" si="7">IFERROR(IF(AO19="","",ROUND(AO19/$AO$16*$AR$16,2)),"")</f>
        <v/>
      </c>
      <c r="AS19" s="93" t="str">
        <f t="shared" ref="AS19:AS68" si="8">IFERROR(IF(AP19="","",ROUND(AP19/$AP$16*$AS$16,2)),"")</f>
        <v/>
      </c>
      <c r="AT19" s="87" t="str">
        <f t="shared" ref="AT19:AT68" si="9">IF(COUNT($AQ19:$AS19)=0,"",SUM($AQ19:$AS19))</f>
        <v/>
      </c>
      <c r="AU19" s="89" t="str">
        <f t="shared" ref="AU19:AU68" si="10">IFERROR(IF(AT19="","",ROUND(AT19*$AU$16,2)),"")</f>
        <v/>
      </c>
      <c r="AV19" s="94" t="str">
        <f>IF(C19="","",IFERROR(ROUND(M19+U19+AA19+AG19+AM19+AU19,2),""))</f>
        <v/>
      </c>
      <c r="AW19" s="95" t="str">
        <f>IF(C19="","",IFERROR(_xlfn.XLOOKUP(AV19,HELPER!$C$8:$C$48,HELPER!$D$8:$D$48,,1),""))</f>
        <v/>
      </c>
      <c r="AX19" s="96" t="str">
        <f>IF(C19="","",IFERROR(_xlfn.XLOOKUP(AW19,HELPER!$F$8:$F$48,HELPER!$G$8:$G$48,,1),""))</f>
        <v/>
      </c>
      <c r="AY19" s="146"/>
      <c r="AZ19" s="148"/>
    </row>
    <row r="20" spans="1:52" ht="15" customHeight="1" x14ac:dyDescent="0.25">
      <c r="A20" s="146"/>
      <c r="B20" s="104">
        <v>2</v>
      </c>
      <c r="C20" s="371" t="str">
        <f>IF('INPUT DATA'!K12="","",'INPUT DATA'!K12)</f>
        <v/>
      </c>
      <c r="D20" s="372"/>
      <c r="E20" s="372"/>
      <c r="F20" s="243"/>
      <c r="G20" s="244"/>
      <c r="H20" s="244"/>
      <c r="I20" s="244"/>
      <c r="J20" s="245"/>
      <c r="K20" s="194" t="str">
        <f t="shared" ref="K20:K83" si="11">IF(COUNT($F20:$J20)=0,"",SUM($F20:$J20))</f>
        <v/>
      </c>
      <c r="L20" s="170" t="str">
        <f t="shared" ref="L20:L83" si="12">IF(ISERROR(IF($K20="","",ROUND(($K20/$K$16)*$L$16,2))),"",IF($K20="","",ROUND(($K20/$K$16)*$L$16,2)))</f>
        <v/>
      </c>
      <c r="M20" s="188" t="str">
        <f t="shared" ref="M20:M83" si="13">IF($L20="","",ROUND($L20*$M$16,2))</f>
        <v/>
      </c>
      <c r="N20" s="99"/>
      <c r="O20" s="106"/>
      <c r="P20" s="106"/>
      <c r="Q20" s="106"/>
      <c r="R20" s="107"/>
      <c r="S20" s="217" t="str">
        <f t="shared" si="0"/>
        <v/>
      </c>
      <c r="T20" s="91" t="str">
        <f t="shared" si="1"/>
        <v/>
      </c>
      <c r="U20" s="218" t="str">
        <f t="shared" si="2"/>
        <v/>
      </c>
      <c r="V20" s="230"/>
      <c r="W20" s="226"/>
      <c r="X20" s="236"/>
      <c r="Y20" s="194" t="str">
        <f t="shared" ref="Y20:Y83" si="14">IF(COUNT($V20:$X20)=0,"",SUM($V20:$X20))</f>
        <v/>
      </c>
      <c r="Z20" s="170" t="str">
        <f t="shared" ref="Z20:Z83" si="15">IF(ISERROR(IF($Y20="","",ROUND(($Y20/$Y$16)*$Z$16,2))),"",IF($Y20="","",ROUND(($Y20/$Y$16)*$Z$16,2)))</f>
        <v/>
      </c>
      <c r="AA20" s="188" t="str">
        <f t="shared" ref="AA20:AA83" si="16">IF($Z20="","",ROUND($Z20*$AA$16,2))</f>
        <v/>
      </c>
      <c r="AB20" s="230"/>
      <c r="AC20" s="226"/>
      <c r="AD20" s="231"/>
      <c r="AE20" s="194" t="str">
        <f t="shared" ref="AE20:AE83" si="17">IF(COUNT($AB20:$AD20)=0,"",SUM($AB20:$AD20))</f>
        <v/>
      </c>
      <c r="AF20" s="170" t="str">
        <f t="shared" ref="AF20:AF83" si="18">IF(ISERROR(IF($AE20="","",ROUND(($AE20/$AE$16)*$AF$16,2))),"",IF($AE20="","",ROUND(($AE20/$AE$16)*$AF$16,2)))</f>
        <v/>
      </c>
      <c r="AG20" s="188" t="str">
        <f t="shared" ref="AG20:AG83" si="19">IF($AF20="","",ROUND($AF20*$AG$16,2))</f>
        <v/>
      </c>
      <c r="AH20" s="105"/>
      <c r="AI20" s="106"/>
      <c r="AJ20" s="107"/>
      <c r="AK20" s="90" t="str">
        <f t="shared" si="3"/>
        <v/>
      </c>
      <c r="AL20" s="91" t="str">
        <f t="shared" si="4"/>
        <v/>
      </c>
      <c r="AM20" s="93" t="str">
        <f t="shared" si="5"/>
        <v/>
      </c>
      <c r="AN20" s="162"/>
      <c r="AO20" s="107"/>
      <c r="AP20" s="163"/>
      <c r="AQ20" s="157" t="str">
        <f t="shared" si="6"/>
        <v/>
      </c>
      <c r="AR20" s="91" t="str">
        <f t="shared" si="7"/>
        <v/>
      </c>
      <c r="AS20" s="93" t="str">
        <f t="shared" si="8"/>
        <v/>
      </c>
      <c r="AT20" s="90" t="str">
        <f t="shared" si="9"/>
        <v/>
      </c>
      <c r="AU20" s="92" t="str">
        <f t="shared" si="10"/>
        <v/>
      </c>
      <c r="AV20" s="94" t="str">
        <f t="shared" ref="AV20:AV83" si="20">IF(C20="","",IFERROR(ROUND(M20+U20+AA20+AG20+AM20+AU20,2),""))</f>
        <v/>
      </c>
      <c r="AW20" s="95" t="str">
        <f>IF(C20="","",IFERROR(_xlfn.XLOOKUP(AV20,HELPER!$C$8:$C$48,HELPER!$D$8:$D$48,,1),""))</f>
        <v/>
      </c>
      <c r="AX20" s="96" t="str">
        <f>IF(C20="","",IFERROR(_xlfn.XLOOKUP(AW20,HELPER!$F$8:$F$48,HELPER!$G$8:$G$48,,1),""))</f>
        <v/>
      </c>
      <c r="AY20" s="146"/>
      <c r="AZ20" s="148"/>
    </row>
    <row r="21" spans="1:52" ht="15" customHeight="1" x14ac:dyDescent="0.25">
      <c r="A21" s="146"/>
      <c r="B21" s="104">
        <v>3</v>
      </c>
      <c r="C21" s="371" t="str">
        <f>IF('INPUT DATA'!K13="","",'INPUT DATA'!K13)</f>
        <v/>
      </c>
      <c r="D21" s="372"/>
      <c r="E21" s="372"/>
      <c r="F21" s="243"/>
      <c r="G21" s="244"/>
      <c r="H21" s="244"/>
      <c r="I21" s="244"/>
      <c r="J21" s="245"/>
      <c r="K21" s="194" t="str">
        <f t="shared" si="11"/>
        <v/>
      </c>
      <c r="L21" s="170" t="str">
        <f t="shared" si="12"/>
        <v/>
      </c>
      <c r="M21" s="188" t="str">
        <f t="shared" si="13"/>
        <v/>
      </c>
      <c r="N21" s="99"/>
      <c r="O21" s="106"/>
      <c r="P21" s="106"/>
      <c r="Q21" s="106"/>
      <c r="R21" s="107"/>
      <c r="S21" s="217" t="str">
        <f t="shared" si="0"/>
        <v/>
      </c>
      <c r="T21" s="91" t="str">
        <f t="shared" si="1"/>
        <v/>
      </c>
      <c r="U21" s="218" t="str">
        <f t="shared" si="2"/>
        <v/>
      </c>
      <c r="V21" s="230"/>
      <c r="W21" s="226"/>
      <c r="X21" s="236"/>
      <c r="Y21" s="194" t="str">
        <f t="shared" si="14"/>
        <v/>
      </c>
      <c r="Z21" s="170" t="str">
        <f t="shared" si="15"/>
        <v/>
      </c>
      <c r="AA21" s="188" t="str">
        <f t="shared" si="16"/>
        <v/>
      </c>
      <c r="AB21" s="230"/>
      <c r="AC21" s="226"/>
      <c r="AD21" s="231"/>
      <c r="AE21" s="194" t="str">
        <f t="shared" si="17"/>
        <v/>
      </c>
      <c r="AF21" s="170" t="str">
        <f t="shared" si="18"/>
        <v/>
      </c>
      <c r="AG21" s="188" t="str">
        <f t="shared" si="19"/>
        <v/>
      </c>
      <c r="AH21" s="105"/>
      <c r="AI21" s="106"/>
      <c r="AJ21" s="107"/>
      <c r="AK21" s="90" t="str">
        <f t="shared" si="3"/>
        <v/>
      </c>
      <c r="AL21" s="91" t="str">
        <f t="shared" si="4"/>
        <v/>
      </c>
      <c r="AM21" s="93" t="str">
        <f t="shared" si="5"/>
        <v/>
      </c>
      <c r="AN21" s="162"/>
      <c r="AO21" s="107"/>
      <c r="AP21" s="163"/>
      <c r="AQ21" s="157" t="str">
        <f t="shared" si="6"/>
        <v/>
      </c>
      <c r="AR21" s="91" t="str">
        <f t="shared" si="7"/>
        <v/>
      </c>
      <c r="AS21" s="93" t="str">
        <f t="shared" si="8"/>
        <v/>
      </c>
      <c r="AT21" s="90" t="str">
        <f t="shared" si="9"/>
        <v/>
      </c>
      <c r="AU21" s="92" t="str">
        <f t="shared" si="10"/>
        <v/>
      </c>
      <c r="AV21" s="94" t="str">
        <f t="shared" si="20"/>
        <v/>
      </c>
      <c r="AW21" s="95" t="str">
        <f>IF(C21="","",IFERROR(_xlfn.XLOOKUP(AV21,HELPER!$C$8:$C$48,HELPER!$D$8:$D$48,,1),""))</f>
        <v/>
      </c>
      <c r="AX21" s="96" t="str">
        <f>IF(C21="","",IFERROR(_xlfn.XLOOKUP(AW21,HELPER!$F$8:$F$48,HELPER!$G$8:$G$48,,1),""))</f>
        <v/>
      </c>
      <c r="AY21" s="146"/>
      <c r="AZ21" s="148"/>
    </row>
    <row r="22" spans="1:52" ht="15" customHeight="1" x14ac:dyDescent="0.25">
      <c r="A22" s="146"/>
      <c r="B22" s="104">
        <v>4</v>
      </c>
      <c r="C22" s="371" t="str">
        <f>IF('INPUT DATA'!K14="","",'INPUT DATA'!K14)</f>
        <v/>
      </c>
      <c r="D22" s="372"/>
      <c r="E22" s="372"/>
      <c r="F22" s="243"/>
      <c r="G22" s="244"/>
      <c r="H22" s="244"/>
      <c r="I22" s="244"/>
      <c r="J22" s="245"/>
      <c r="K22" s="194" t="str">
        <f t="shared" si="11"/>
        <v/>
      </c>
      <c r="L22" s="170" t="str">
        <f t="shared" si="12"/>
        <v/>
      </c>
      <c r="M22" s="188" t="str">
        <f t="shared" si="13"/>
        <v/>
      </c>
      <c r="N22" s="99"/>
      <c r="O22" s="106"/>
      <c r="P22" s="106"/>
      <c r="Q22" s="106"/>
      <c r="R22" s="107"/>
      <c r="S22" s="217" t="str">
        <f t="shared" si="0"/>
        <v/>
      </c>
      <c r="T22" s="91" t="str">
        <f t="shared" si="1"/>
        <v/>
      </c>
      <c r="U22" s="218" t="str">
        <f t="shared" si="2"/>
        <v/>
      </c>
      <c r="V22" s="230"/>
      <c r="W22" s="226"/>
      <c r="X22" s="236"/>
      <c r="Y22" s="194" t="str">
        <f t="shared" si="14"/>
        <v/>
      </c>
      <c r="Z22" s="170" t="str">
        <f t="shared" si="15"/>
        <v/>
      </c>
      <c r="AA22" s="188" t="str">
        <f t="shared" si="16"/>
        <v/>
      </c>
      <c r="AB22" s="230"/>
      <c r="AC22" s="226"/>
      <c r="AD22" s="231"/>
      <c r="AE22" s="194" t="str">
        <f t="shared" si="17"/>
        <v/>
      </c>
      <c r="AF22" s="170" t="str">
        <f t="shared" si="18"/>
        <v/>
      </c>
      <c r="AG22" s="188" t="str">
        <f t="shared" si="19"/>
        <v/>
      </c>
      <c r="AH22" s="105"/>
      <c r="AI22" s="106"/>
      <c r="AJ22" s="107"/>
      <c r="AK22" s="90" t="str">
        <f t="shared" si="3"/>
        <v/>
      </c>
      <c r="AL22" s="91" t="str">
        <f t="shared" si="4"/>
        <v/>
      </c>
      <c r="AM22" s="93" t="str">
        <f t="shared" si="5"/>
        <v/>
      </c>
      <c r="AN22" s="162"/>
      <c r="AO22" s="107"/>
      <c r="AP22" s="163"/>
      <c r="AQ22" s="157" t="str">
        <f t="shared" si="6"/>
        <v/>
      </c>
      <c r="AR22" s="91" t="str">
        <f t="shared" si="7"/>
        <v/>
      </c>
      <c r="AS22" s="93" t="str">
        <f t="shared" si="8"/>
        <v/>
      </c>
      <c r="AT22" s="90" t="str">
        <f t="shared" si="9"/>
        <v/>
      </c>
      <c r="AU22" s="92" t="str">
        <f t="shared" si="10"/>
        <v/>
      </c>
      <c r="AV22" s="94" t="str">
        <f t="shared" si="20"/>
        <v/>
      </c>
      <c r="AW22" s="95" t="str">
        <f>IF(C22="","",IFERROR(_xlfn.XLOOKUP(AV22,HELPER!$C$8:$C$48,HELPER!$D$8:$D$48,,1),""))</f>
        <v/>
      </c>
      <c r="AX22" s="96" t="str">
        <f>IF(C22="","",IFERROR(_xlfn.XLOOKUP(AW22,HELPER!$F$8:$F$48,HELPER!$G$8:$G$48,,1),""))</f>
        <v/>
      </c>
      <c r="AY22" s="146"/>
      <c r="AZ22" s="148"/>
    </row>
    <row r="23" spans="1:52" ht="15" customHeight="1" x14ac:dyDescent="0.25">
      <c r="A23" s="146"/>
      <c r="B23" s="104">
        <v>5</v>
      </c>
      <c r="C23" s="355" t="str">
        <f>IF('INPUT DATA'!K15="","",'INPUT DATA'!K15)</f>
        <v/>
      </c>
      <c r="D23" s="356"/>
      <c r="E23" s="356"/>
      <c r="F23" s="243"/>
      <c r="G23" s="244"/>
      <c r="H23" s="244"/>
      <c r="I23" s="244"/>
      <c r="J23" s="245"/>
      <c r="K23" s="194" t="str">
        <f t="shared" si="11"/>
        <v/>
      </c>
      <c r="L23" s="170" t="str">
        <f t="shared" si="12"/>
        <v/>
      </c>
      <c r="M23" s="188" t="str">
        <f t="shared" si="13"/>
        <v/>
      </c>
      <c r="N23" s="99"/>
      <c r="O23" s="106"/>
      <c r="P23" s="106"/>
      <c r="Q23" s="106"/>
      <c r="R23" s="107"/>
      <c r="S23" s="217" t="str">
        <f t="shared" si="0"/>
        <v/>
      </c>
      <c r="T23" s="91" t="str">
        <f t="shared" si="1"/>
        <v/>
      </c>
      <c r="U23" s="218" t="str">
        <f t="shared" si="2"/>
        <v/>
      </c>
      <c r="V23" s="230"/>
      <c r="W23" s="226"/>
      <c r="X23" s="236"/>
      <c r="Y23" s="194" t="str">
        <f t="shared" si="14"/>
        <v/>
      </c>
      <c r="Z23" s="170" t="str">
        <f t="shared" si="15"/>
        <v/>
      </c>
      <c r="AA23" s="188" t="str">
        <f t="shared" si="16"/>
        <v/>
      </c>
      <c r="AB23" s="230"/>
      <c r="AC23" s="226"/>
      <c r="AD23" s="231"/>
      <c r="AE23" s="194" t="str">
        <f t="shared" si="17"/>
        <v/>
      </c>
      <c r="AF23" s="170" t="str">
        <f t="shared" si="18"/>
        <v/>
      </c>
      <c r="AG23" s="188" t="str">
        <f t="shared" si="19"/>
        <v/>
      </c>
      <c r="AH23" s="105"/>
      <c r="AI23" s="106"/>
      <c r="AJ23" s="107"/>
      <c r="AK23" s="90" t="str">
        <f t="shared" si="3"/>
        <v/>
      </c>
      <c r="AL23" s="91" t="str">
        <f t="shared" si="4"/>
        <v/>
      </c>
      <c r="AM23" s="93" t="str">
        <f t="shared" si="5"/>
        <v/>
      </c>
      <c r="AN23" s="162"/>
      <c r="AO23" s="107"/>
      <c r="AP23" s="163"/>
      <c r="AQ23" s="157" t="str">
        <f t="shared" si="6"/>
        <v/>
      </c>
      <c r="AR23" s="91" t="str">
        <f t="shared" si="7"/>
        <v/>
      </c>
      <c r="AS23" s="93" t="str">
        <f t="shared" si="8"/>
        <v/>
      </c>
      <c r="AT23" s="90" t="str">
        <f t="shared" si="9"/>
        <v/>
      </c>
      <c r="AU23" s="92" t="str">
        <f t="shared" si="10"/>
        <v/>
      </c>
      <c r="AV23" s="94" t="str">
        <f t="shared" si="20"/>
        <v/>
      </c>
      <c r="AW23" s="95" t="str">
        <f>IF(C23="","",IFERROR(_xlfn.XLOOKUP(AV23,HELPER!$C$8:$C$48,HELPER!$D$8:$D$48,,1),""))</f>
        <v/>
      </c>
      <c r="AX23" s="96" t="str">
        <f>IF(C23="","",IFERROR(_xlfn.XLOOKUP(AW23,HELPER!$F$8:$F$48,HELPER!$G$8:$G$48,,1),""))</f>
        <v/>
      </c>
      <c r="AY23" s="146"/>
      <c r="AZ23" s="148"/>
    </row>
    <row r="24" spans="1:52" ht="15" customHeight="1" x14ac:dyDescent="0.25">
      <c r="A24" s="146"/>
      <c r="B24" s="104">
        <v>6</v>
      </c>
      <c r="C24" s="355" t="str">
        <f>IF('INPUT DATA'!K16="","",'INPUT DATA'!K16)</f>
        <v/>
      </c>
      <c r="D24" s="356"/>
      <c r="E24" s="356"/>
      <c r="F24" s="243"/>
      <c r="G24" s="244"/>
      <c r="H24" s="244"/>
      <c r="I24" s="244"/>
      <c r="J24" s="245"/>
      <c r="K24" s="194" t="str">
        <f t="shared" si="11"/>
        <v/>
      </c>
      <c r="L24" s="170" t="str">
        <f t="shared" si="12"/>
        <v/>
      </c>
      <c r="M24" s="188" t="str">
        <f t="shared" si="13"/>
        <v/>
      </c>
      <c r="N24" s="99"/>
      <c r="O24" s="106"/>
      <c r="P24" s="106"/>
      <c r="Q24" s="106"/>
      <c r="R24" s="107"/>
      <c r="S24" s="217" t="str">
        <f t="shared" si="0"/>
        <v/>
      </c>
      <c r="T24" s="91" t="str">
        <f t="shared" si="1"/>
        <v/>
      </c>
      <c r="U24" s="218" t="str">
        <f t="shared" si="2"/>
        <v/>
      </c>
      <c r="V24" s="230"/>
      <c r="W24" s="226"/>
      <c r="X24" s="236"/>
      <c r="Y24" s="194" t="str">
        <f t="shared" si="14"/>
        <v/>
      </c>
      <c r="Z24" s="170" t="str">
        <f t="shared" si="15"/>
        <v/>
      </c>
      <c r="AA24" s="188" t="str">
        <f t="shared" si="16"/>
        <v/>
      </c>
      <c r="AB24" s="230"/>
      <c r="AC24" s="226"/>
      <c r="AD24" s="231"/>
      <c r="AE24" s="194" t="str">
        <f t="shared" si="17"/>
        <v/>
      </c>
      <c r="AF24" s="170" t="str">
        <f t="shared" si="18"/>
        <v/>
      </c>
      <c r="AG24" s="188" t="str">
        <f t="shared" si="19"/>
        <v/>
      </c>
      <c r="AH24" s="105"/>
      <c r="AI24" s="106"/>
      <c r="AJ24" s="107"/>
      <c r="AK24" s="90" t="str">
        <f t="shared" si="3"/>
        <v/>
      </c>
      <c r="AL24" s="91" t="str">
        <f t="shared" si="4"/>
        <v/>
      </c>
      <c r="AM24" s="93" t="str">
        <f t="shared" si="5"/>
        <v/>
      </c>
      <c r="AN24" s="162"/>
      <c r="AO24" s="107"/>
      <c r="AP24" s="163"/>
      <c r="AQ24" s="157" t="str">
        <f t="shared" si="6"/>
        <v/>
      </c>
      <c r="AR24" s="91" t="str">
        <f t="shared" si="7"/>
        <v/>
      </c>
      <c r="AS24" s="93" t="str">
        <f t="shared" si="8"/>
        <v/>
      </c>
      <c r="AT24" s="90" t="str">
        <f t="shared" si="9"/>
        <v/>
      </c>
      <c r="AU24" s="92" t="str">
        <f t="shared" si="10"/>
        <v/>
      </c>
      <c r="AV24" s="94" t="str">
        <f t="shared" si="20"/>
        <v/>
      </c>
      <c r="AW24" s="95" t="str">
        <f>IF(C24="","",IFERROR(_xlfn.XLOOKUP(AV24,HELPER!$C$8:$C$48,HELPER!$D$8:$D$48,,1),""))</f>
        <v/>
      </c>
      <c r="AX24" s="96" t="str">
        <f>IF(C24="","",IFERROR(_xlfn.XLOOKUP(AW24,HELPER!$F$8:$F$48,HELPER!$G$8:$G$48,,1),""))</f>
        <v/>
      </c>
      <c r="AY24" s="146"/>
      <c r="AZ24" s="148"/>
    </row>
    <row r="25" spans="1:52" ht="15" customHeight="1" x14ac:dyDescent="0.25">
      <c r="A25" s="146"/>
      <c r="B25" s="104">
        <v>7</v>
      </c>
      <c r="C25" s="355" t="str">
        <f>IF('INPUT DATA'!K17="","",'INPUT DATA'!K17)</f>
        <v/>
      </c>
      <c r="D25" s="356"/>
      <c r="E25" s="356"/>
      <c r="F25" s="243"/>
      <c r="G25" s="244"/>
      <c r="H25" s="244"/>
      <c r="I25" s="244"/>
      <c r="J25" s="245"/>
      <c r="K25" s="194" t="str">
        <f t="shared" si="11"/>
        <v/>
      </c>
      <c r="L25" s="170" t="str">
        <f t="shared" si="12"/>
        <v/>
      </c>
      <c r="M25" s="188" t="str">
        <f t="shared" si="13"/>
        <v/>
      </c>
      <c r="N25" s="99"/>
      <c r="O25" s="106"/>
      <c r="P25" s="106"/>
      <c r="Q25" s="106"/>
      <c r="R25" s="107"/>
      <c r="S25" s="217" t="str">
        <f t="shared" si="0"/>
        <v/>
      </c>
      <c r="T25" s="91" t="str">
        <f t="shared" si="1"/>
        <v/>
      </c>
      <c r="U25" s="218" t="str">
        <f t="shared" si="2"/>
        <v/>
      </c>
      <c r="V25" s="230"/>
      <c r="W25" s="226"/>
      <c r="X25" s="236"/>
      <c r="Y25" s="194" t="str">
        <f t="shared" si="14"/>
        <v/>
      </c>
      <c r="Z25" s="170" t="str">
        <f t="shared" si="15"/>
        <v/>
      </c>
      <c r="AA25" s="188" t="str">
        <f t="shared" si="16"/>
        <v/>
      </c>
      <c r="AB25" s="230"/>
      <c r="AC25" s="226"/>
      <c r="AD25" s="231"/>
      <c r="AE25" s="194" t="str">
        <f t="shared" si="17"/>
        <v/>
      </c>
      <c r="AF25" s="170" t="str">
        <f t="shared" si="18"/>
        <v/>
      </c>
      <c r="AG25" s="188" t="str">
        <f t="shared" si="19"/>
        <v/>
      </c>
      <c r="AH25" s="105"/>
      <c r="AI25" s="106"/>
      <c r="AJ25" s="107"/>
      <c r="AK25" s="90" t="str">
        <f t="shared" si="3"/>
        <v/>
      </c>
      <c r="AL25" s="91" t="str">
        <f t="shared" si="4"/>
        <v/>
      </c>
      <c r="AM25" s="93" t="str">
        <f t="shared" si="5"/>
        <v/>
      </c>
      <c r="AN25" s="162"/>
      <c r="AO25" s="107"/>
      <c r="AP25" s="163"/>
      <c r="AQ25" s="157" t="str">
        <f t="shared" si="6"/>
        <v/>
      </c>
      <c r="AR25" s="91" t="str">
        <f t="shared" si="7"/>
        <v/>
      </c>
      <c r="AS25" s="93" t="str">
        <f t="shared" si="8"/>
        <v/>
      </c>
      <c r="AT25" s="90" t="str">
        <f t="shared" si="9"/>
        <v/>
      </c>
      <c r="AU25" s="92" t="str">
        <f t="shared" si="10"/>
        <v/>
      </c>
      <c r="AV25" s="94" t="str">
        <f t="shared" si="20"/>
        <v/>
      </c>
      <c r="AW25" s="95" t="str">
        <f>IF(C25="","",IFERROR(_xlfn.XLOOKUP(AV25,HELPER!$C$8:$C$48,HELPER!$D$8:$D$48,,1),""))</f>
        <v/>
      </c>
      <c r="AX25" s="96" t="str">
        <f>IF(C25="","",IFERROR(_xlfn.XLOOKUP(AW25,HELPER!$F$8:$F$48,HELPER!$G$8:$G$48,,1),""))</f>
        <v/>
      </c>
      <c r="AY25" s="146"/>
      <c r="AZ25" s="148"/>
    </row>
    <row r="26" spans="1:52" ht="15" customHeight="1" x14ac:dyDescent="0.25">
      <c r="A26" s="146"/>
      <c r="B26" s="104">
        <v>8</v>
      </c>
      <c r="C26" s="355" t="str">
        <f>IF('INPUT DATA'!K18="","",'INPUT DATA'!K18)</f>
        <v/>
      </c>
      <c r="D26" s="356"/>
      <c r="E26" s="356"/>
      <c r="F26" s="243"/>
      <c r="G26" s="244"/>
      <c r="H26" s="244"/>
      <c r="I26" s="244"/>
      <c r="J26" s="245"/>
      <c r="K26" s="194" t="str">
        <f t="shared" si="11"/>
        <v/>
      </c>
      <c r="L26" s="170" t="str">
        <f t="shared" si="12"/>
        <v/>
      </c>
      <c r="M26" s="188" t="str">
        <f t="shared" si="13"/>
        <v/>
      </c>
      <c r="N26" s="99"/>
      <c r="O26" s="106"/>
      <c r="P26" s="106"/>
      <c r="Q26" s="106"/>
      <c r="R26" s="107"/>
      <c r="S26" s="217" t="str">
        <f t="shared" si="0"/>
        <v/>
      </c>
      <c r="T26" s="91" t="str">
        <f t="shared" si="1"/>
        <v/>
      </c>
      <c r="U26" s="218" t="str">
        <f t="shared" si="2"/>
        <v/>
      </c>
      <c r="V26" s="230"/>
      <c r="W26" s="226"/>
      <c r="X26" s="236"/>
      <c r="Y26" s="194" t="str">
        <f t="shared" si="14"/>
        <v/>
      </c>
      <c r="Z26" s="170" t="str">
        <f t="shared" si="15"/>
        <v/>
      </c>
      <c r="AA26" s="188" t="str">
        <f t="shared" si="16"/>
        <v/>
      </c>
      <c r="AB26" s="230"/>
      <c r="AC26" s="226"/>
      <c r="AD26" s="231"/>
      <c r="AE26" s="194" t="str">
        <f t="shared" si="17"/>
        <v/>
      </c>
      <c r="AF26" s="170" t="str">
        <f t="shared" si="18"/>
        <v/>
      </c>
      <c r="AG26" s="188" t="str">
        <f t="shared" si="19"/>
        <v/>
      </c>
      <c r="AH26" s="105"/>
      <c r="AI26" s="106"/>
      <c r="AJ26" s="107"/>
      <c r="AK26" s="90" t="str">
        <f t="shared" si="3"/>
        <v/>
      </c>
      <c r="AL26" s="91" t="str">
        <f t="shared" si="4"/>
        <v/>
      </c>
      <c r="AM26" s="93" t="str">
        <f t="shared" si="5"/>
        <v/>
      </c>
      <c r="AN26" s="162"/>
      <c r="AO26" s="107"/>
      <c r="AP26" s="163"/>
      <c r="AQ26" s="157" t="str">
        <f t="shared" si="6"/>
        <v/>
      </c>
      <c r="AR26" s="91" t="str">
        <f t="shared" si="7"/>
        <v/>
      </c>
      <c r="AS26" s="93" t="str">
        <f t="shared" si="8"/>
        <v/>
      </c>
      <c r="AT26" s="90" t="str">
        <f t="shared" si="9"/>
        <v/>
      </c>
      <c r="AU26" s="92" t="str">
        <f t="shared" si="10"/>
        <v/>
      </c>
      <c r="AV26" s="94" t="str">
        <f t="shared" si="20"/>
        <v/>
      </c>
      <c r="AW26" s="95" t="str">
        <f>IF(C26="","",IFERROR(_xlfn.XLOOKUP(AV26,HELPER!$C$8:$C$48,HELPER!$D$8:$D$48,,1),""))</f>
        <v/>
      </c>
      <c r="AX26" s="96" t="str">
        <f>IF(C26="","",IFERROR(_xlfn.XLOOKUP(AW26,HELPER!$F$8:$F$48,HELPER!$G$8:$G$48,,1),""))</f>
        <v/>
      </c>
      <c r="AY26" s="146"/>
      <c r="AZ26" s="148"/>
    </row>
    <row r="27" spans="1:52" ht="15" customHeight="1" x14ac:dyDescent="0.25">
      <c r="A27" s="146"/>
      <c r="B27" s="104">
        <v>9</v>
      </c>
      <c r="C27" s="355" t="str">
        <f>IF('INPUT DATA'!K19="","",'INPUT DATA'!K19)</f>
        <v/>
      </c>
      <c r="D27" s="356"/>
      <c r="E27" s="356"/>
      <c r="F27" s="243"/>
      <c r="G27" s="244"/>
      <c r="H27" s="244"/>
      <c r="I27" s="244"/>
      <c r="J27" s="245"/>
      <c r="K27" s="194" t="str">
        <f t="shared" si="11"/>
        <v/>
      </c>
      <c r="L27" s="170" t="str">
        <f t="shared" si="12"/>
        <v/>
      </c>
      <c r="M27" s="188" t="str">
        <f t="shared" si="13"/>
        <v/>
      </c>
      <c r="N27" s="99"/>
      <c r="O27" s="106"/>
      <c r="P27" s="106"/>
      <c r="Q27" s="106"/>
      <c r="R27" s="107"/>
      <c r="S27" s="217" t="str">
        <f t="shared" si="0"/>
        <v/>
      </c>
      <c r="T27" s="91" t="str">
        <f t="shared" si="1"/>
        <v/>
      </c>
      <c r="U27" s="218" t="str">
        <f t="shared" si="2"/>
        <v/>
      </c>
      <c r="V27" s="230"/>
      <c r="W27" s="226"/>
      <c r="X27" s="236"/>
      <c r="Y27" s="194" t="str">
        <f t="shared" si="14"/>
        <v/>
      </c>
      <c r="Z27" s="170" t="str">
        <f t="shared" si="15"/>
        <v/>
      </c>
      <c r="AA27" s="188" t="str">
        <f t="shared" si="16"/>
        <v/>
      </c>
      <c r="AB27" s="230"/>
      <c r="AC27" s="226"/>
      <c r="AD27" s="231"/>
      <c r="AE27" s="194" t="str">
        <f t="shared" si="17"/>
        <v/>
      </c>
      <c r="AF27" s="170" t="str">
        <f t="shared" si="18"/>
        <v/>
      </c>
      <c r="AG27" s="188" t="str">
        <f t="shared" si="19"/>
        <v/>
      </c>
      <c r="AH27" s="105"/>
      <c r="AI27" s="106"/>
      <c r="AJ27" s="107"/>
      <c r="AK27" s="90" t="str">
        <f t="shared" si="3"/>
        <v/>
      </c>
      <c r="AL27" s="91" t="str">
        <f t="shared" si="4"/>
        <v/>
      </c>
      <c r="AM27" s="93" t="str">
        <f t="shared" si="5"/>
        <v/>
      </c>
      <c r="AN27" s="162"/>
      <c r="AO27" s="107"/>
      <c r="AP27" s="163"/>
      <c r="AQ27" s="157" t="str">
        <f t="shared" si="6"/>
        <v/>
      </c>
      <c r="AR27" s="91" t="str">
        <f t="shared" si="7"/>
        <v/>
      </c>
      <c r="AS27" s="93" t="str">
        <f t="shared" si="8"/>
        <v/>
      </c>
      <c r="AT27" s="90" t="str">
        <f t="shared" si="9"/>
        <v/>
      </c>
      <c r="AU27" s="92" t="str">
        <f t="shared" si="10"/>
        <v/>
      </c>
      <c r="AV27" s="94" t="str">
        <f t="shared" si="20"/>
        <v/>
      </c>
      <c r="AW27" s="95" t="str">
        <f>IF(C27="","",IFERROR(_xlfn.XLOOKUP(AV27,HELPER!$C$8:$C$48,HELPER!$D$8:$D$48,,1),""))</f>
        <v/>
      </c>
      <c r="AX27" s="96" t="str">
        <f>IF(C27="","",IFERROR(_xlfn.XLOOKUP(AW27,HELPER!$F$8:$F$48,HELPER!$G$8:$G$48,,1),""))</f>
        <v/>
      </c>
      <c r="AY27" s="146"/>
      <c r="AZ27" s="148"/>
    </row>
    <row r="28" spans="1:52" ht="15" customHeight="1" x14ac:dyDescent="0.25">
      <c r="A28" s="146"/>
      <c r="B28" s="104">
        <v>10</v>
      </c>
      <c r="C28" s="355" t="str">
        <f>IF('INPUT DATA'!K20="","",'INPUT DATA'!K20)</f>
        <v/>
      </c>
      <c r="D28" s="356"/>
      <c r="E28" s="356"/>
      <c r="F28" s="243"/>
      <c r="G28" s="244"/>
      <c r="H28" s="244"/>
      <c r="I28" s="244"/>
      <c r="J28" s="245"/>
      <c r="K28" s="194" t="str">
        <f t="shared" si="11"/>
        <v/>
      </c>
      <c r="L28" s="170" t="str">
        <f t="shared" si="12"/>
        <v/>
      </c>
      <c r="M28" s="188" t="str">
        <f t="shared" si="13"/>
        <v/>
      </c>
      <c r="N28" s="99"/>
      <c r="O28" s="106"/>
      <c r="P28" s="106"/>
      <c r="Q28" s="106"/>
      <c r="R28" s="107"/>
      <c r="S28" s="217" t="str">
        <f t="shared" si="0"/>
        <v/>
      </c>
      <c r="T28" s="91" t="str">
        <f t="shared" si="1"/>
        <v/>
      </c>
      <c r="U28" s="218" t="str">
        <f t="shared" si="2"/>
        <v/>
      </c>
      <c r="V28" s="230"/>
      <c r="W28" s="226"/>
      <c r="X28" s="236"/>
      <c r="Y28" s="194" t="str">
        <f t="shared" si="14"/>
        <v/>
      </c>
      <c r="Z28" s="170" t="str">
        <f t="shared" si="15"/>
        <v/>
      </c>
      <c r="AA28" s="188" t="str">
        <f t="shared" si="16"/>
        <v/>
      </c>
      <c r="AB28" s="230"/>
      <c r="AC28" s="226"/>
      <c r="AD28" s="231"/>
      <c r="AE28" s="194" t="str">
        <f t="shared" si="17"/>
        <v/>
      </c>
      <c r="AF28" s="170" t="str">
        <f t="shared" si="18"/>
        <v/>
      </c>
      <c r="AG28" s="188" t="str">
        <f t="shared" si="19"/>
        <v/>
      </c>
      <c r="AH28" s="105"/>
      <c r="AI28" s="106"/>
      <c r="AJ28" s="107"/>
      <c r="AK28" s="90" t="str">
        <f t="shared" si="3"/>
        <v/>
      </c>
      <c r="AL28" s="91" t="str">
        <f t="shared" si="4"/>
        <v/>
      </c>
      <c r="AM28" s="93" t="str">
        <f t="shared" si="5"/>
        <v/>
      </c>
      <c r="AN28" s="162"/>
      <c r="AO28" s="107"/>
      <c r="AP28" s="163"/>
      <c r="AQ28" s="157" t="str">
        <f t="shared" si="6"/>
        <v/>
      </c>
      <c r="AR28" s="91" t="str">
        <f t="shared" si="7"/>
        <v/>
      </c>
      <c r="AS28" s="93" t="str">
        <f t="shared" si="8"/>
        <v/>
      </c>
      <c r="AT28" s="90" t="str">
        <f t="shared" si="9"/>
        <v/>
      </c>
      <c r="AU28" s="92" t="str">
        <f t="shared" si="10"/>
        <v/>
      </c>
      <c r="AV28" s="94" t="str">
        <f t="shared" si="20"/>
        <v/>
      </c>
      <c r="AW28" s="95" t="str">
        <f>IF(C28="","",IFERROR(_xlfn.XLOOKUP(AV28,HELPER!$C$8:$C$48,HELPER!$D$8:$D$48,,1),""))</f>
        <v/>
      </c>
      <c r="AX28" s="96" t="str">
        <f>IF(C28="","",IFERROR(_xlfn.XLOOKUP(AW28,HELPER!$F$8:$F$48,HELPER!$G$8:$G$48,,1),""))</f>
        <v/>
      </c>
      <c r="AY28" s="146"/>
      <c r="AZ28" s="148"/>
    </row>
    <row r="29" spans="1:52" ht="15" customHeight="1" x14ac:dyDescent="0.25">
      <c r="A29" s="146"/>
      <c r="B29" s="104">
        <v>11</v>
      </c>
      <c r="C29" s="355" t="str">
        <f>IF('INPUT DATA'!K21="","",'INPUT DATA'!K21)</f>
        <v/>
      </c>
      <c r="D29" s="356"/>
      <c r="E29" s="356"/>
      <c r="F29" s="243"/>
      <c r="G29" s="244"/>
      <c r="H29" s="244"/>
      <c r="I29" s="244"/>
      <c r="J29" s="245"/>
      <c r="K29" s="194" t="str">
        <f t="shared" si="11"/>
        <v/>
      </c>
      <c r="L29" s="170" t="str">
        <f t="shared" si="12"/>
        <v/>
      </c>
      <c r="M29" s="188" t="str">
        <f t="shared" si="13"/>
        <v/>
      </c>
      <c r="N29" s="99"/>
      <c r="O29" s="106"/>
      <c r="P29" s="106"/>
      <c r="Q29" s="106"/>
      <c r="R29" s="107"/>
      <c r="S29" s="217" t="str">
        <f t="shared" si="0"/>
        <v/>
      </c>
      <c r="T29" s="91" t="str">
        <f t="shared" si="1"/>
        <v/>
      </c>
      <c r="U29" s="218" t="str">
        <f t="shared" si="2"/>
        <v/>
      </c>
      <c r="V29" s="230"/>
      <c r="W29" s="226"/>
      <c r="X29" s="236"/>
      <c r="Y29" s="194" t="str">
        <f t="shared" si="14"/>
        <v/>
      </c>
      <c r="Z29" s="170" t="str">
        <f t="shared" si="15"/>
        <v/>
      </c>
      <c r="AA29" s="188" t="str">
        <f t="shared" si="16"/>
        <v/>
      </c>
      <c r="AB29" s="230"/>
      <c r="AC29" s="226"/>
      <c r="AD29" s="231"/>
      <c r="AE29" s="194" t="str">
        <f t="shared" si="17"/>
        <v/>
      </c>
      <c r="AF29" s="170" t="str">
        <f t="shared" si="18"/>
        <v/>
      </c>
      <c r="AG29" s="188" t="str">
        <f t="shared" si="19"/>
        <v/>
      </c>
      <c r="AH29" s="105"/>
      <c r="AI29" s="106"/>
      <c r="AJ29" s="107"/>
      <c r="AK29" s="90" t="str">
        <f t="shared" si="3"/>
        <v/>
      </c>
      <c r="AL29" s="91" t="str">
        <f t="shared" si="4"/>
        <v/>
      </c>
      <c r="AM29" s="93" t="str">
        <f t="shared" si="5"/>
        <v/>
      </c>
      <c r="AN29" s="162"/>
      <c r="AO29" s="107"/>
      <c r="AP29" s="163"/>
      <c r="AQ29" s="157" t="str">
        <f t="shared" si="6"/>
        <v/>
      </c>
      <c r="AR29" s="91" t="str">
        <f t="shared" si="7"/>
        <v/>
      </c>
      <c r="AS29" s="93" t="str">
        <f t="shared" si="8"/>
        <v/>
      </c>
      <c r="AT29" s="90" t="str">
        <f t="shared" si="9"/>
        <v/>
      </c>
      <c r="AU29" s="92" t="str">
        <f t="shared" si="10"/>
        <v/>
      </c>
      <c r="AV29" s="94" t="str">
        <f t="shared" si="20"/>
        <v/>
      </c>
      <c r="AW29" s="95" t="str">
        <f>IF(C29="","",IFERROR(_xlfn.XLOOKUP(AV29,HELPER!$C$8:$C$48,HELPER!$D$8:$D$48,,1),""))</f>
        <v/>
      </c>
      <c r="AX29" s="96" t="str">
        <f>IF(C29="","",IFERROR(_xlfn.XLOOKUP(AW29,HELPER!$F$8:$F$48,HELPER!$G$8:$G$48,,1),""))</f>
        <v/>
      </c>
      <c r="AY29" s="146"/>
      <c r="AZ29" s="148"/>
    </row>
    <row r="30" spans="1:52" ht="15" customHeight="1" x14ac:dyDescent="0.25">
      <c r="A30" s="146"/>
      <c r="B30" s="104">
        <v>12</v>
      </c>
      <c r="C30" s="355" t="str">
        <f>IF('INPUT DATA'!K22="","",'INPUT DATA'!K22)</f>
        <v/>
      </c>
      <c r="D30" s="356"/>
      <c r="E30" s="356"/>
      <c r="F30" s="243"/>
      <c r="G30" s="244"/>
      <c r="H30" s="244"/>
      <c r="I30" s="244"/>
      <c r="J30" s="245"/>
      <c r="K30" s="194" t="str">
        <f t="shared" si="11"/>
        <v/>
      </c>
      <c r="L30" s="170" t="str">
        <f t="shared" si="12"/>
        <v/>
      </c>
      <c r="M30" s="188" t="str">
        <f t="shared" si="13"/>
        <v/>
      </c>
      <c r="N30" s="99"/>
      <c r="O30" s="106"/>
      <c r="P30" s="106"/>
      <c r="Q30" s="106"/>
      <c r="R30" s="107"/>
      <c r="S30" s="217" t="str">
        <f t="shared" si="0"/>
        <v/>
      </c>
      <c r="T30" s="91" t="str">
        <f t="shared" si="1"/>
        <v/>
      </c>
      <c r="U30" s="218" t="str">
        <f t="shared" si="2"/>
        <v/>
      </c>
      <c r="V30" s="230"/>
      <c r="W30" s="226"/>
      <c r="X30" s="236"/>
      <c r="Y30" s="194" t="str">
        <f t="shared" si="14"/>
        <v/>
      </c>
      <c r="Z30" s="170" t="str">
        <f t="shared" si="15"/>
        <v/>
      </c>
      <c r="AA30" s="188" t="str">
        <f t="shared" si="16"/>
        <v/>
      </c>
      <c r="AB30" s="230"/>
      <c r="AC30" s="226"/>
      <c r="AD30" s="231"/>
      <c r="AE30" s="194" t="str">
        <f t="shared" si="17"/>
        <v/>
      </c>
      <c r="AF30" s="170" t="str">
        <f t="shared" si="18"/>
        <v/>
      </c>
      <c r="AG30" s="188" t="str">
        <f t="shared" si="19"/>
        <v/>
      </c>
      <c r="AH30" s="105"/>
      <c r="AI30" s="106"/>
      <c r="AJ30" s="107"/>
      <c r="AK30" s="90" t="str">
        <f t="shared" si="3"/>
        <v/>
      </c>
      <c r="AL30" s="91" t="str">
        <f t="shared" si="4"/>
        <v/>
      </c>
      <c r="AM30" s="93" t="str">
        <f t="shared" si="5"/>
        <v/>
      </c>
      <c r="AN30" s="162"/>
      <c r="AO30" s="107"/>
      <c r="AP30" s="163"/>
      <c r="AQ30" s="157" t="str">
        <f t="shared" si="6"/>
        <v/>
      </c>
      <c r="AR30" s="91" t="str">
        <f t="shared" si="7"/>
        <v/>
      </c>
      <c r="AS30" s="93" t="str">
        <f t="shared" si="8"/>
        <v/>
      </c>
      <c r="AT30" s="90" t="str">
        <f t="shared" si="9"/>
        <v/>
      </c>
      <c r="AU30" s="92" t="str">
        <f t="shared" si="10"/>
        <v/>
      </c>
      <c r="AV30" s="94" t="str">
        <f t="shared" si="20"/>
        <v/>
      </c>
      <c r="AW30" s="95" t="str">
        <f>IF(C30="","",IFERROR(_xlfn.XLOOKUP(AV30,HELPER!$C$8:$C$48,HELPER!$D$8:$D$48,,1),""))</f>
        <v/>
      </c>
      <c r="AX30" s="96" t="str">
        <f>IF(C30="","",IFERROR(_xlfn.XLOOKUP(AW30,HELPER!$F$8:$F$48,HELPER!$G$8:$G$48,,1),""))</f>
        <v/>
      </c>
      <c r="AY30" s="146"/>
      <c r="AZ30" s="148"/>
    </row>
    <row r="31" spans="1:52" ht="15" customHeight="1" x14ac:dyDescent="0.25">
      <c r="A31" s="146"/>
      <c r="B31" s="104">
        <v>13</v>
      </c>
      <c r="C31" s="355" t="str">
        <f>IF('INPUT DATA'!K23="","",'INPUT DATA'!K23)</f>
        <v/>
      </c>
      <c r="D31" s="356"/>
      <c r="E31" s="356"/>
      <c r="F31" s="243"/>
      <c r="G31" s="244"/>
      <c r="H31" s="244"/>
      <c r="I31" s="244"/>
      <c r="J31" s="245"/>
      <c r="K31" s="194" t="str">
        <f t="shared" si="11"/>
        <v/>
      </c>
      <c r="L31" s="170" t="str">
        <f t="shared" si="12"/>
        <v/>
      </c>
      <c r="M31" s="188" t="str">
        <f t="shared" si="13"/>
        <v/>
      </c>
      <c r="N31" s="99"/>
      <c r="O31" s="106"/>
      <c r="P31" s="106"/>
      <c r="Q31" s="106"/>
      <c r="R31" s="107"/>
      <c r="S31" s="217" t="str">
        <f t="shared" si="0"/>
        <v/>
      </c>
      <c r="T31" s="91" t="str">
        <f t="shared" si="1"/>
        <v/>
      </c>
      <c r="U31" s="218" t="str">
        <f t="shared" si="2"/>
        <v/>
      </c>
      <c r="V31" s="230"/>
      <c r="W31" s="226"/>
      <c r="X31" s="236"/>
      <c r="Y31" s="194" t="str">
        <f t="shared" si="14"/>
        <v/>
      </c>
      <c r="Z31" s="170" t="str">
        <f t="shared" si="15"/>
        <v/>
      </c>
      <c r="AA31" s="188" t="str">
        <f t="shared" si="16"/>
        <v/>
      </c>
      <c r="AB31" s="230"/>
      <c r="AC31" s="226"/>
      <c r="AD31" s="231"/>
      <c r="AE31" s="194" t="str">
        <f t="shared" si="17"/>
        <v/>
      </c>
      <c r="AF31" s="170" t="str">
        <f t="shared" si="18"/>
        <v/>
      </c>
      <c r="AG31" s="188" t="str">
        <f t="shared" si="19"/>
        <v/>
      </c>
      <c r="AH31" s="105"/>
      <c r="AI31" s="106"/>
      <c r="AJ31" s="107"/>
      <c r="AK31" s="90" t="str">
        <f t="shared" si="3"/>
        <v/>
      </c>
      <c r="AL31" s="91" t="str">
        <f t="shared" si="4"/>
        <v/>
      </c>
      <c r="AM31" s="93" t="str">
        <f t="shared" si="5"/>
        <v/>
      </c>
      <c r="AN31" s="162"/>
      <c r="AO31" s="107"/>
      <c r="AP31" s="163"/>
      <c r="AQ31" s="157" t="str">
        <f t="shared" si="6"/>
        <v/>
      </c>
      <c r="AR31" s="91" t="str">
        <f t="shared" si="7"/>
        <v/>
      </c>
      <c r="AS31" s="93" t="str">
        <f t="shared" si="8"/>
        <v/>
      </c>
      <c r="AT31" s="90" t="str">
        <f t="shared" si="9"/>
        <v/>
      </c>
      <c r="AU31" s="92" t="str">
        <f t="shared" si="10"/>
        <v/>
      </c>
      <c r="AV31" s="94" t="str">
        <f t="shared" si="20"/>
        <v/>
      </c>
      <c r="AW31" s="95" t="str">
        <f>IF(C31="","",IFERROR(_xlfn.XLOOKUP(AV31,HELPER!$C$8:$C$48,HELPER!$D$8:$D$48,,1),""))</f>
        <v/>
      </c>
      <c r="AX31" s="96" t="str">
        <f>IF(C31="","",IFERROR(_xlfn.XLOOKUP(AW31,HELPER!$F$8:$F$48,HELPER!$G$8:$G$48,,1),""))</f>
        <v/>
      </c>
      <c r="AY31" s="146"/>
      <c r="AZ31" s="148"/>
    </row>
    <row r="32" spans="1:52" ht="15" customHeight="1" x14ac:dyDescent="0.25">
      <c r="A32" s="146"/>
      <c r="B32" s="104">
        <v>14</v>
      </c>
      <c r="C32" s="355" t="str">
        <f>IF('INPUT DATA'!K24="","",'INPUT DATA'!K24)</f>
        <v/>
      </c>
      <c r="D32" s="356"/>
      <c r="E32" s="356"/>
      <c r="F32" s="243"/>
      <c r="G32" s="244"/>
      <c r="H32" s="244"/>
      <c r="I32" s="244"/>
      <c r="J32" s="245"/>
      <c r="K32" s="194" t="str">
        <f t="shared" si="11"/>
        <v/>
      </c>
      <c r="L32" s="170" t="str">
        <f t="shared" si="12"/>
        <v/>
      </c>
      <c r="M32" s="188" t="str">
        <f t="shared" si="13"/>
        <v/>
      </c>
      <c r="N32" s="99"/>
      <c r="O32" s="106"/>
      <c r="P32" s="106"/>
      <c r="Q32" s="106"/>
      <c r="R32" s="107"/>
      <c r="S32" s="217" t="str">
        <f t="shared" si="0"/>
        <v/>
      </c>
      <c r="T32" s="91" t="str">
        <f t="shared" si="1"/>
        <v/>
      </c>
      <c r="U32" s="218" t="str">
        <f t="shared" si="2"/>
        <v/>
      </c>
      <c r="V32" s="230"/>
      <c r="W32" s="226"/>
      <c r="X32" s="236"/>
      <c r="Y32" s="194" t="str">
        <f t="shared" si="14"/>
        <v/>
      </c>
      <c r="Z32" s="170" t="str">
        <f t="shared" si="15"/>
        <v/>
      </c>
      <c r="AA32" s="188" t="str">
        <f t="shared" si="16"/>
        <v/>
      </c>
      <c r="AB32" s="230"/>
      <c r="AC32" s="226"/>
      <c r="AD32" s="231"/>
      <c r="AE32" s="194" t="str">
        <f t="shared" si="17"/>
        <v/>
      </c>
      <c r="AF32" s="170" t="str">
        <f t="shared" si="18"/>
        <v/>
      </c>
      <c r="AG32" s="188" t="str">
        <f t="shared" si="19"/>
        <v/>
      </c>
      <c r="AH32" s="105"/>
      <c r="AI32" s="106"/>
      <c r="AJ32" s="107"/>
      <c r="AK32" s="90" t="str">
        <f t="shared" si="3"/>
        <v/>
      </c>
      <c r="AL32" s="91" t="str">
        <f t="shared" si="4"/>
        <v/>
      </c>
      <c r="AM32" s="93" t="str">
        <f t="shared" si="5"/>
        <v/>
      </c>
      <c r="AN32" s="162"/>
      <c r="AO32" s="107"/>
      <c r="AP32" s="163"/>
      <c r="AQ32" s="157" t="str">
        <f t="shared" si="6"/>
        <v/>
      </c>
      <c r="AR32" s="91" t="str">
        <f t="shared" si="7"/>
        <v/>
      </c>
      <c r="AS32" s="93" t="str">
        <f t="shared" si="8"/>
        <v/>
      </c>
      <c r="AT32" s="90" t="str">
        <f t="shared" si="9"/>
        <v/>
      </c>
      <c r="AU32" s="92" t="str">
        <f t="shared" si="10"/>
        <v/>
      </c>
      <c r="AV32" s="94" t="str">
        <f t="shared" si="20"/>
        <v/>
      </c>
      <c r="AW32" s="95" t="str">
        <f>IF(C32="","",IFERROR(_xlfn.XLOOKUP(AV32,HELPER!$C$8:$C$48,HELPER!$D$8:$D$48,,1),""))</f>
        <v/>
      </c>
      <c r="AX32" s="96" t="str">
        <f>IF(C32="","",IFERROR(_xlfn.XLOOKUP(AW32,HELPER!$F$8:$F$48,HELPER!$G$8:$G$48,,1),""))</f>
        <v/>
      </c>
      <c r="AY32" s="146"/>
      <c r="AZ32" s="148"/>
    </row>
    <row r="33" spans="1:52" ht="15" customHeight="1" x14ac:dyDescent="0.25">
      <c r="A33" s="146"/>
      <c r="B33" s="104">
        <v>15</v>
      </c>
      <c r="C33" s="355" t="str">
        <f>IF('INPUT DATA'!K25="","",'INPUT DATA'!K25)</f>
        <v/>
      </c>
      <c r="D33" s="356"/>
      <c r="E33" s="356"/>
      <c r="F33" s="243"/>
      <c r="G33" s="244"/>
      <c r="H33" s="244"/>
      <c r="I33" s="244"/>
      <c r="J33" s="245"/>
      <c r="K33" s="194" t="str">
        <f t="shared" si="11"/>
        <v/>
      </c>
      <c r="L33" s="170" t="str">
        <f t="shared" si="12"/>
        <v/>
      </c>
      <c r="M33" s="188" t="str">
        <f t="shared" si="13"/>
        <v/>
      </c>
      <c r="N33" s="99"/>
      <c r="O33" s="106"/>
      <c r="P33" s="106"/>
      <c r="Q33" s="106"/>
      <c r="R33" s="107"/>
      <c r="S33" s="217" t="str">
        <f t="shared" si="0"/>
        <v/>
      </c>
      <c r="T33" s="91" t="str">
        <f t="shared" si="1"/>
        <v/>
      </c>
      <c r="U33" s="218" t="str">
        <f t="shared" si="2"/>
        <v/>
      </c>
      <c r="V33" s="230"/>
      <c r="W33" s="226"/>
      <c r="X33" s="236"/>
      <c r="Y33" s="194" t="str">
        <f t="shared" si="14"/>
        <v/>
      </c>
      <c r="Z33" s="170" t="str">
        <f t="shared" si="15"/>
        <v/>
      </c>
      <c r="AA33" s="188" t="str">
        <f t="shared" si="16"/>
        <v/>
      </c>
      <c r="AB33" s="230"/>
      <c r="AC33" s="226"/>
      <c r="AD33" s="231"/>
      <c r="AE33" s="194" t="str">
        <f t="shared" si="17"/>
        <v/>
      </c>
      <c r="AF33" s="170" t="str">
        <f t="shared" si="18"/>
        <v/>
      </c>
      <c r="AG33" s="188" t="str">
        <f t="shared" si="19"/>
        <v/>
      </c>
      <c r="AH33" s="105"/>
      <c r="AI33" s="106"/>
      <c r="AJ33" s="107"/>
      <c r="AK33" s="90" t="str">
        <f t="shared" si="3"/>
        <v/>
      </c>
      <c r="AL33" s="91" t="str">
        <f t="shared" si="4"/>
        <v/>
      </c>
      <c r="AM33" s="93" t="str">
        <f t="shared" si="5"/>
        <v/>
      </c>
      <c r="AN33" s="162"/>
      <c r="AO33" s="107"/>
      <c r="AP33" s="163"/>
      <c r="AQ33" s="157" t="str">
        <f t="shared" si="6"/>
        <v/>
      </c>
      <c r="AR33" s="91" t="str">
        <f t="shared" si="7"/>
        <v/>
      </c>
      <c r="AS33" s="93" t="str">
        <f t="shared" si="8"/>
        <v/>
      </c>
      <c r="AT33" s="90" t="str">
        <f t="shared" si="9"/>
        <v/>
      </c>
      <c r="AU33" s="92" t="str">
        <f t="shared" si="10"/>
        <v/>
      </c>
      <c r="AV33" s="94" t="str">
        <f t="shared" si="20"/>
        <v/>
      </c>
      <c r="AW33" s="95" t="str">
        <f>IF(C33="","",IFERROR(_xlfn.XLOOKUP(AV33,HELPER!$C$8:$C$48,HELPER!$D$8:$D$48,,1),""))</f>
        <v/>
      </c>
      <c r="AX33" s="96" t="str">
        <f>IF(C33="","",IFERROR(_xlfn.XLOOKUP(AW33,HELPER!$F$8:$F$48,HELPER!$G$8:$G$48,,1),""))</f>
        <v/>
      </c>
      <c r="AY33" s="146"/>
      <c r="AZ33" s="148"/>
    </row>
    <row r="34" spans="1:52" ht="15" customHeight="1" x14ac:dyDescent="0.25">
      <c r="A34" s="146"/>
      <c r="B34" s="104">
        <v>16</v>
      </c>
      <c r="C34" s="355" t="str">
        <f>IF('INPUT DATA'!K26="","",'INPUT DATA'!K26)</f>
        <v/>
      </c>
      <c r="D34" s="356"/>
      <c r="E34" s="356"/>
      <c r="F34" s="243"/>
      <c r="G34" s="244"/>
      <c r="H34" s="244"/>
      <c r="I34" s="244"/>
      <c r="J34" s="245"/>
      <c r="K34" s="194" t="str">
        <f t="shared" si="11"/>
        <v/>
      </c>
      <c r="L34" s="170" t="str">
        <f t="shared" si="12"/>
        <v/>
      </c>
      <c r="M34" s="188" t="str">
        <f t="shared" si="13"/>
        <v/>
      </c>
      <c r="N34" s="99"/>
      <c r="O34" s="106"/>
      <c r="P34" s="106"/>
      <c r="Q34" s="106"/>
      <c r="R34" s="107"/>
      <c r="S34" s="217" t="str">
        <f t="shared" si="0"/>
        <v/>
      </c>
      <c r="T34" s="91" t="str">
        <f t="shared" si="1"/>
        <v/>
      </c>
      <c r="U34" s="218" t="str">
        <f t="shared" si="2"/>
        <v/>
      </c>
      <c r="V34" s="230"/>
      <c r="W34" s="226"/>
      <c r="X34" s="236"/>
      <c r="Y34" s="194" t="str">
        <f t="shared" si="14"/>
        <v/>
      </c>
      <c r="Z34" s="170" t="str">
        <f t="shared" si="15"/>
        <v/>
      </c>
      <c r="AA34" s="188" t="str">
        <f t="shared" si="16"/>
        <v/>
      </c>
      <c r="AB34" s="230"/>
      <c r="AC34" s="226"/>
      <c r="AD34" s="231"/>
      <c r="AE34" s="194" t="str">
        <f t="shared" si="17"/>
        <v/>
      </c>
      <c r="AF34" s="170" t="str">
        <f t="shared" si="18"/>
        <v/>
      </c>
      <c r="AG34" s="188" t="str">
        <f t="shared" si="19"/>
        <v/>
      </c>
      <c r="AH34" s="105"/>
      <c r="AI34" s="106"/>
      <c r="AJ34" s="107"/>
      <c r="AK34" s="90" t="str">
        <f t="shared" si="3"/>
        <v/>
      </c>
      <c r="AL34" s="91" t="str">
        <f t="shared" si="4"/>
        <v/>
      </c>
      <c r="AM34" s="93" t="str">
        <f t="shared" si="5"/>
        <v/>
      </c>
      <c r="AN34" s="162"/>
      <c r="AO34" s="107"/>
      <c r="AP34" s="163"/>
      <c r="AQ34" s="157" t="str">
        <f t="shared" si="6"/>
        <v/>
      </c>
      <c r="AR34" s="91" t="str">
        <f t="shared" si="7"/>
        <v/>
      </c>
      <c r="AS34" s="93" t="str">
        <f t="shared" si="8"/>
        <v/>
      </c>
      <c r="AT34" s="90" t="str">
        <f t="shared" si="9"/>
        <v/>
      </c>
      <c r="AU34" s="92" t="str">
        <f t="shared" si="10"/>
        <v/>
      </c>
      <c r="AV34" s="94" t="str">
        <f t="shared" si="20"/>
        <v/>
      </c>
      <c r="AW34" s="95" t="str">
        <f>IF(C34="","",IFERROR(_xlfn.XLOOKUP(AV34,HELPER!$C$8:$C$48,HELPER!$D$8:$D$48,,1),""))</f>
        <v/>
      </c>
      <c r="AX34" s="96" t="str">
        <f>IF(C34="","",IFERROR(_xlfn.XLOOKUP(AW34,HELPER!$F$8:$F$48,HELPER!$G$8:$G$48,,1),""))</f>
        <v/>
      </c>
      <c r="AY34" s="146"/>
      <c r="AZ34" s="148"/>
    </row>
    <row r="35" spans="1:52" ht="15" customHeight="1" x14ac:dyDescent="0.25">
      <c r="A35" s="146"/>
      <c r="B35" s="104">
        <v>17</v>
      </c>
      <c r="C35" s="355" t="str">
        <f>IF('INPUT DATA'!K27="","",'INPUT DATA'!K27)</f>
        <v/>
      </c>
      <c r="D35" s="356"/>
      <c r="E35" s="356"/>
      <c r="F35" s="243"/>
      <c r="G35" s="244"/>
      <c r="H35" s="244"/>
      <c r="I35" s="244"/>
      <c r="J35" s="245"/>
      <c r="K35" s="194" t="str">
        <f t="shared" si="11"/>
        <v/>
      </c>
      <c r="L35" s="170" t="str">
        <f t="shared" si="12"/>
        <v/>
      </c>
      <c r="M35" s="188" t="str">
        <f t="shared" si="13"/>
        <v/>
      </c>
      <c r="N35" s="99"/>
      <c r="O35" s="106"/>
      <c r="P35" s="106"/>
      <c r="Q35" s="106"/>
      <c r="R35" s="107"/>
      <c r="S35" s="217" t="str">
        <f t="shared" si="0"/>
        <v/>
      </c>
      <c r="T35" s="91" t="str">
        <f t="shared" si="1"/>
        <v/>
      </c>
      <c r="U35" s="218" t="str">
        <f t="shared" si="2"/>
        <v/>
      </c>
      <c r="V35" s="230"/>
      <c r="W35" s="226"/>
      <c r="X35" s="236"/>
      <c r="Y35" s="194" t="str">
        <f t="shared" si="14"/>
        <v/>
      </c>
      <c r="Z35" s="170" t="str">
        <f t="shared" si="15"/>
        <v/>
      </c>
      <c r="AA35" s="188" t="str">
        <f t="shared" si="16"/>
        <v/>
      </c>
      <c r="AB35" s="230"/>
      <c r="AC35" s="226"/>
      <c r="AD35" s="231"/>
      <c r="AE35" s="194" t="str">
        <f t="shared" si="17"/>
        <v/>
      </c>
      <c r="AF35" s="170" t="str">
        <f t="shared" si="18"/>
        <v/>
      </c>
      <c r="AG35" s="188" t="str">
        <f t="shared" si="19"/>
        <v/>
      </c>
      <c r="AH35" s="105"/>
      <c r="AI35" s="106"/>
      <c r="AJ35" s="107"/>
      <c r="AK35" s="90" t="str">
        <f t="shared" si="3"/>
        <v/>
      </c>
      <c r="AL35" s="91" t="str">
        <f t="shared" si="4"/>
        <v/>
      </c>
      <c r="AM35" s="93" t="str">
        <f t="shared" si="5"/>
        <v/>
      </c>
      <c r="AN35" s="162"/>
      <c r="AO35" s="107"/>
      <c r="AP35" s="163"/>
      <c r="AQ35" s="157" t="str">
        <f t="shared" si="6"/>
        <v/>
      </c>
      <c r="AR35" s="91" t="str">
        <f t="shared" si="7"/>
        <v/>
      </c>
      <c r="AS35" s="93" t="str">
        <f t="shared" si="8"/>
        <v/>
      </c>
      <c r="AT35" s="90" t="str">
        <f t="shared" si="9"/>
        <v/>
      </c>
      <c r="AU35" s="92" t="str">
        <f t="shared" si="10"/>
        <v/>
      </c>
      <c r="AV35" s="94" t="str">
        <f t="shared" si="20"/>
        <v/>
      </c>
      <c r="AW35" s="95" t="str">
        <f>IF(C35="","",IFERROR(_xlfn.XLOOKUP(AV35,HELPER!$C$8:$C$48,HELPER!$D$8:$D$48,,1),""))</f>
        <v/>
      </c>
      <c r="AX35" s="96" t="str">
        <f>IF(C35="","",IFERROR(_xlfn.XLOOKUP(AW35,HELPER!$F$8:$F$48,HELPER!$G$8:$G$48,,1),""))</f>
        <v/>
      </c>
      <c r="AY35" s="146"/>
      <c r="AZ35" s="148"/>
    </row>
    <row r="36" spans="1:52" ht="15" customHeight="1" x14ac:dyDescent="0.25">
      <c r="A36" s="146"/>
      <c r="B36" s="104">
        <v>18</v>
      </c>
      <c r="C36" s="355" t="str">
        <f>IF('INPUT DATA'!K28="","",'INPUT DATA'!K28)</f>
        <v/>
      </c>
      <c r="D36" s="356"/>
      <c r="E36" s="356"/>
      <c r="F36" s="243"/>
      <c r="G36" s="244"/>
      <c r="H36" s="244"/>
      <c r="I36" s="244"/>
      <c r="J36" s="245"/>
      <c r="K36" s="194" t="str">
        <f t="shared" si="11"/>
        <v/>
      </c>
      <c r="L36" s="170" t="str">
        <f t="shared" si="12"/>
        <v/>
      </c>
      <c r="M36" s="188" t="str">
        <f t="shared" si="13"/>
        <v/>
      </c>
      <c r="N36" s="99"/>
      <c r="O36" s="106"/>
      <c r="P36" s="106"/>
      <c r="Q36" s="106"/>
      <c r="R36" s="107"/>
      <c r="S36" s="217" t="str">
        <f t="shared" si="0"/>
        <v/>
      </c>
      <c r="T36" s="91" t="str">
        <f t="shared" si="1"/>
        <v/>
      </c>
      <c r="U36" s="218" t="str">
        <f t="shared" si="2"/>
        <v/>
      </c>
      <c r="V36" s="230"/>
      <c r="W36" s="226"/>
      <c r="X36" s="236"/>
      <c r="Y36" s="194" t="str">
        <f t="shared" si="14"/>
        <v/>
      </c>
      <c r="Z36" s="170" t="str">
        <f t="shared" si="15"/>
        <v/>
      </c>
      <c r="AA36" s="188" t="str">
        <f t="shared" si="16"/>
        <v/>
      </c>
      <c r="AB36" s="230"/>
      <c r="AC36" s="226"/>
      <c r="AD36" s="231"/>
      <c r="AE36" s="194" t="str">
        <f t="shared" si="17"/>
        <v/>
      </c>
      <c r="AF36" s="170" t="str">
        <f t="shared" si="18"/>
        <v/>
      </c>
      <c r="AG36" s="188" t="str">
        <f t="shared" si="19"/>
        <v/>
      </c>
      <c r="AH36" s="105"/>
      <c r="AI36" s="106"/>
      <c r="AJ36" s="107"/>
      <c r="AK36" s="90" t="str">
        <f t="shared" si="3"/>
        <v/>
      </c>
      <c r="AL36" s="91" t="str">
        <f t="shared" si="4"/>
        <v/>
      </c>
      <c r="AM36" s="93" t="str">
        <f t="shared" si="5"/>
        <v/>
      </c>
      <c r="AN36" s="162"/>
      <c r="AO36" s="107"/>
      <c r="AP36" s="163"/>
      <c r="AQ36" s="157" t="str">
        <f t="shared" si="6"/>
        <v/>
      </c>
      <c r="AR36" s="91" t="str">
        <f t="shared" si="7"/>
        <v/>
      </c>
      <c r="AS36" s="93" t="str">
        <f t="shared" si="8"/>
        <v/>
      </c>
      <c r="AT36" s="90" t="str">
        <f t="shared" si="9"/>
        <v/>
      </c>
      <c r="AU36" s="92" t="str">
        <f t="shared" si="10"/>
        <v/>
      </c>
      <c r="AV36" s="94" t="str">
        <f t="shared" si="20"/>
        <v/>
      </c>
      <c r="AW36" s="95" t="str">
        <f>IF(C36="","",IFERROR(_xlfn.XLOOKUP(AV36,HELPER!$C$8:$C$48,HELPER!$D$8:$D$48,,1),""))</f>
        <v/>
      </c>
      <c r="AX36" s="96" t="str">
        <f>IF(C36="","",IFERROR(_xlfn.XLOOKUP(AW36,HELPER!$F$8:$F$48,HELPER!$G$8:$G$48,,1),""))</f>
        <v/>
      </c>
      <c r="AY36" s="146"/>
      <c r="AZ36" s="148"/>
    </row>
    <row r="37" spans="1:52" ht="15" customHeight="1" x14ac:dyDescent="0.25">
      <c r="A37" s="146"/>
      <c r="B37" s="104">
        <v>19</v>
      </c>
      <c r="C37" s="355" t="str">
        <f>IF('INPUT DATA'!K29="","",'INPUT DATA'!K29)</f>
        <v/>
      </c>
      <c r="D37" s="356"/>
      <c r="E37" s="356"/>
      <c r="F37" s="243"/>
      <c r="G37" s="244"/>
      <c r="H37" s="244"/>
      <c r="I37" s="244"/>
      <c r="J37" s="245"/>
      <c r="K37" s="194" t="str">
        <f t="shared" si="11"/>
        <v/>
      </c>
      <c r="L37" s="170" t="str">
        <f t="shared" si="12"/>
        <v/>
      </c>
      <c r="M37" s="188" t="str">
        <f t="shared" si="13"/>
        <v/>
      </c>
      <c r="N37" s="99"/>
      <c r="O37" s="106"/>
      <c r="P37" s="106"/>
      <c r="Q37" s="106"/>
      <c r="R37" s="107"/>
      <c r="S37" s="217" t="str">
        <f t="shared" si="0"/>
        <v/>
      </c>
      <c r="T37" s="91" t="str">
        <f t="shared" si="1"/>
        <v/>
      </c>
      <c r="U37" s="218" t="str">
        <f t="shared" si="2"/>
        <v/>
      </c>
      <c r="V37" s="230"/>
      <c r="W37" s="226"/>
      <c r="X37" s="236"/>
      <c r="Y37" s="194" t="str">
        <f t="shared" si="14"/>
        <v/>
      </c>
      <c r="Z37" s="170" t="str">
        <f t="shared" si="15"/>
        <v/>
      </c>
      <c r="AA37" s="188" t="str">
        <f t="shared" si="16"/>
        <v/>
      </c>
      <c r="AB37" s="230"/>
      <c r="AC37" s="226"/>
      <c r="AD37" s="231"/>
      <c r="AE37" s="194" t="str">
        <f t="shared" si="17"/>
        <v/>
      </c>
      <c r="AF37" s="170" t="str">
        <f t="shared" si="18"/>
        <v/>
      </c>
      <c r="AG37" s="188" t="str">
        <f t="shared" si="19"/>
        <v/>
      </c>
      <c r="AH37" s="105"/>
      <c r="AI37" s="106"/>
      <c r="AJ37" s="107"/>
      <c r="AK37" s="90" t="str">
        <f t="shared" si="3"/>
        <v/>
      </c>
      <c r="AL37" s="91" t="str">
        <f t="shared" si="4"/>
        <v/>
      </c>
      <c r="AM37" s="93" t="str">
        <f t="shared" si="5"/>
        <v/>
      </c>
      <c r="AN37" s="162"/>
      <c r="AO37" s="107"/>
      <c r="AP37" s="163"/>
      <c r="AQ37" s="157" t="str">
        <f t="shared" si="6"/>
        <v/>
      </c>
      <c r="AR37" s="91" t="str">
        <f t="shared" si="7"/>
        <v/>
      </c>
      <c r="AS37" s="93" t="str">
        <f t="shared" si="8"/>
        <v/>
      </c>
      <c r="AT37" s="90" t="str">
        <f t="shared" si="9"/>
        <v/>
      </c>
      <c r="AU37" s="92" t="str">
        <f t="shared" si="10"/>
        <v/>
      </c>
      <c r="AV37" s="94" t="str">
        <f t="shared" si="20"/>
        <v/>
      </c>
      <c r="AW37" s="95" t="str">
        <f>IF(C37="","",IFERROR(_xlfn.XLOOKUP(AV37,HELPER!$C$8:$C$48,HELPER!$D$8:$D$48,,1),""))</f>
        <v/>
      </c>
      <c r="AX37" s="96" t="str">
        <f>IF(C37="","",IFERROR(_xlfn.XLOOKUP(AW37,HELPER!$F$8:$F$48,HELPER!$G$8:$G$48,,1),""))</f>
        <v/>
      </c>
      <c r="AY37" s="146"/>
      <c r="AZ37" s="148"/>
    </row>
    <row r="38" spans="1:52" ht="15" customHeight="1" x14ac:dyDescent="0.25">
      <c r="A38" s="146"/>
      <c r="B38" s="108">
        <v>20</v>
      </c>
      <c r="C38" s="355" t="str">
        <f>IF('INPUT DATA'!K30="","",'INPUT DATA'!K30)</f>
        <v/>
      </c>
      <c r="D38" s="356"/>
      <c r="E38" s="356"/>
      <c r="F38" s="243"/>
      <c r="G38" s="244"/>
      <c r="H38" s="244"/>
      <c r="I38" s="244"/>
      <c r="J38" s="245"/>
      <c r="K38" s="194" t="str">
        <f t="shared" si="11"/>
        <v/>
      </c>
      <c r="L38" s="170" t="str">
        <f t="shared" si="12"/>
        <v/>
      </c>
      <c r="M38" s="188" t="str">
        <f t="shared" si="13"/>
        <v/>
      </c>
      <c r="N38" s="99"/>
      <c r="O38" s="106"/>
      <c r="P38" s="106"/>
      <c r="Q38" s="106"/>
      <c r="R38" s="107"/>
      <c r="S38" s="217" t="str">
        <f t="shared" si="0"/>
        <v/>
      </c>
      <c r="T38" s="91" t="str">
        <f t="shared" si="1"/>
        <v/>
      </c>
      <c r="U38" s="218" t="str">
        <f t="shared" si="2"/>
        <v/>
      </c>
      <c r="V38" s="230"/>
      <c r="W38" s="226"/>
      <c r="X38" s="236"/>
      <c r="Y38" s="194" t="str">
        <f t="shared" si="14"/>
        <v/>
      </c>
      <c r="Z38" s="170" t="str">
        <f t="shared" si="15"/>
        <v/>
      </c>
      <c r="AA38" s="188" t="str">
        <f t="shared" si="16"/>
        <v/>
      </c>
      <c r="AB38" s="230"/>
      <c r="AC38" s="226"/>
      <c r="AD38" s="231"/>
      <c r="AE38" s="194" t="str">
        <f t="shared" si="17"/>
        <v/>
      </c>
      <c r="AF38" s="170" t="str">
        <f t="shared" si="18"/>
        <v/>
      </c>
      <c r="AG38" s="188" t="str">
        <f t="shared" si="19"/>
        <v/>
      </c>
      <c r="AH38" s="105"/>
      <c r="AI38" s="106"/>
      <c r="AJ38" s="107"/>
      <c r="AK38" s="90" t="str">
        <f t="shared" si="3"/>
        <v/>
      </c>
      <c r="AL38" s="91" t="str">
        <f t="shared" si="4"/>
        <v/>
      </c>
      <c r="AM38" s="93" t="str">
        <f t="shared" si="5"/>
        <v/>
      </c>
      <c r="AN38" s="162"/>
      <c r="AO38" s="107"/>
      <c r="AP38" s="163"/>
      <c r="AQ38" s="157" t="str">
        <f t="shared" si="6"/>
        <v/>
      </c>
      <c r="AR38" s="91" t="str">
        <f t="shared" si="7"/>
        <v/>
      </c>
      <c r="AS38" s="93" t="str">
        <f t="shared" si="8"/>
        <v/>
      </c>
      <c r="AT38" s="90" t="str">
        <f t="shared" si="9"/>
        <v/>
      </c>
      <c r="AU38" s="92" t="str">
        <f t="shared" si="10"/>
        <v/>
      </c>
      <c r="AV38" s="94" t="str">
        <f t="shared" si="20"/>
        <v/>
      </c>
      <c r="AW38" s="95" t="str">
        <f>IF(C38="","",IFERROR(_xlfn.XLOOKUP(AV38,HELPER!$C$8:$C$48,HELPER!$D$8:$D$48,,1),""))</f>
        <v/>
      </c>
      <c r="AX38" s="96" t="str">
        <f>IF(C38="","",IFERROR(_xlfn.XLOOKUP(AW38,HELPER!$F$8:$F$48,HELPER!$G$8:$G$48,,1),""))</f>
        <v/>
      </c>
      <c r="AY38" s="146"/>
      <c r="AZ38" s="148"/>
    </row>
    <row r="39" spans="1:52" ht="15" customHeight="1" x14ac:dyDescent="0.25">
      <c r="A39" s="146"/>
      <c r="B39" s="108">
        <v>21</v>
      </c>
      <c r="C39" s="355" t="str">
        <f>IF('INPUT DATA'!K31="","",'INPUT DATA'!K31)</f>
        <v/>
      </c>
      <c r="D39" s="356"/>
      <c r="E39" s="356"/>
      <c r="F39" s="243"/>
      <c r="G39" s="244"/>
      <c r="H39" s="244"/>
      <c r="I39" s="244"/>
      <c r="J39" s="245"/>
      <c r="K39" s="194" t="str">
        <f t="shared" si="11"/>
        <v/>
      </c>
      <c r="L39" s="170" t="str">
        <f t="shared" si="12"/>
        <v/>
      </c>
      <c r="M39" s="188" t="str">
        <f t="shared" si="13"/>
        <v/>
      </c>
      <c r="N39" s="99"/>
      <c r="O39" s="106"/>
      <c r="P39" s="106"/>
      <c r="Q39" s="106"/>
      <c r="R39" s="107"/>
      <c r="S39" s="217" t="str">
        <f t="shared" si="0"/>
        <v/>
      </c>
      <c r="T39" s="91" t="str">
        <f t="shared" si="1"/>
        <v/>
      </c>
      <c r="U39" s="218" t="str">
        <f t="shared" si="2"/>
        <v/>
      </c>
      <c r="V39" s="230"/>
      <c r="W39" s="226"/>
      <c r="X39" s="236"/>
      <c r="Y39" s="194" t="str">
        <f t="shared" si="14"/>
        <v/>
      </c>
      <c r="Z39" s="170" t="str">
        <f t="shared" si="15"/>
        <v/>
      </c>
      <c r="AA39" s="188" t="str">
        <f t="shared" si="16"/>
        <v/>
      </c>
      <c r="AB39" s="230"/>
      <c r="AC39" s="226"/>
      <c r="AD39" s="231"/>
      <c r="AE39" s="194" t="str">
        <f t="shared" si="17"/>
        <v/>
      </c>
      <c r="AF39" s="170" t="str">
        <f t="shared" si="18"/>
        <v/>
      </c>
      <c r="AG39" s="188" t="str">
        <f t="shared" si="19"/>
        <v/>
      </c>
      <c r="AH39" s="105"/>
      <c r="AI39" s="106"/>
      <c r="AJ39" s="107"/>
      <c r="AK39" s="90" t="str">
        <f t="shared" si="3"/>
        <v/>
      </c>
      <c r="AL39" s="91" t="str">
        <f t="shared" si="4"/>
        <v/>
      </c>
      <c r="AM39" s="93" t="str">
        <f t="shared" si="5"/>
        <v/>
      </c>
      <c r="AN39" s="162"/>
      <c r="AO39" s="107"/>
      <c r="AP39" s="163"/>
      <c r="AQ39" s="157" t="str">
        <f t="shared" si="6"/>
        <v/>
      </c>
      <c r="AR39" s="91" t="str">
        <f t="shared" si="7"/>
        <v/>
      </c>
      <c r="AS39" s="93" t="str">
        <f t="shared" si="8"/>
        <v/>
      </c>
      <c r="AT39" s="90" t="str">
        <f t="shared" si="9"/>
        <v/>
      </c>
      <c r="AU39" s="92" t="str">
        <f t="shared" si="10"/>
        <v/>
      </c>
      <c r="AV39" s="94" t="str">
        <f t="shared" si="20"/>
        <v/>
      </c>
      <c r="AW39" s="95" t="str">
        <f>IF(C39="","",IFERROR(_xlfn.XLOOKUP(AV39,HELPER!$C$8:$C$48,HELPER!$D$8:$D$48,,1),""))</f>
        <v/>
      </c>
      <c r="AX39" s="96" t="str">
        <f>IF(C39="","",IFERROR(_xlfn.XLOOKUP(AW39,HELPER!$F$8:$F$48,HELPER!$G$8:$G$48,,1),""))</f>
        <v/>
      </c>
      <c r="AY39" s="146"/>
      <c r="AZ39" s="148"/>
    </row>
    <row r="40" spans="1:52" ht="15" customHeight="1" x14ac:dyDescent="0.25">
      <c r="A40" s="146"/>
      <c r="B40" s="108">
        <v>22</v>
      </c>
      <c r="C40" s="355" t="str">
        <f>IF('INPUT DATA'!K32="","",'INPUT DATA'!K32)</f>
        <v/>
      </c>
      <c r="D40" s="356"/>
      <c r="E40" s="356"/>
      <c r="F40" s="243"/>
      <c r="G40" s="244"/>
      <c r="H40" s="244"/>
      <c r="I40" s="244"/>
      <c r="J40" s="245"/>
      <c r="K40" s="194" t="str">
        <f t="shared" si="11"/>
        <v/>
      </c>
      <c r="L40" s="170" t="str">
        <f t="shared" si="12"/>
        <v/>
      </c>
      <c r="M40" s="188" t="str">
        <f t="shared" si="13"/>
        <v/>
      </c>
      <c r="N40" s="99"/>
      <c r="O40" s="106"/>
      <c r="P40" s="106"/>
      <c r="Q40" s="106"/>
      <c r="R40" s="107"/>
      <c r="S40" s="217" t="str">
        <f t="shared" si="0"/>
        <v/>
      </c>
      <c r="T40" s="91" t="str">
        <f t="shared" si="1"/>
        <v/>
      </c>
      <c r="U40" s="218" t="str">
        <f t="shared" si="2"/>
        <v/>
      </c>
      <c r="V40" s="230"/>
      <c r="W40" s="226"/>
      <c r="X40" s="236"/>
      <c r="Y40" s="194" t="str">
        <f t="shared" si="14"/>
        <v/>
      </c>
      <c r="Z40" s="170" t="str">
        <f t="shared" si="15"/>
        <v/>
      </c>
      <c r="AA40" s="188" t="str">
        <f t="shared" si="16"/>
        <v/>
      </c>
      <c r="AB40" s="230"/>
      <c r="AC40" s="226"/>
      <c r="AD40" s="231"/>
      <c r="AE40" s="194" t="str">
        <f t="shared" si="17"/>
        <v/>
      </c>
      <c r="AF40" s="170" t="str">
        <f t="shared" si="18"/>
        <v/>
      </c>
      <c r="AG40" s="188" t="str">
        <f t="shared" si="19"/>
        <v/>
      </c>
      <c r="AH40" s="105"/>
      <c r="AI40" s="106"/>
      <c r="AJ40" s="107"/>
      <c r="AK40" s="90" t="str">
        <f t="shared" si="3"/>
        <v/>
      </c>
      <c r="AL40" s="91" t="str">
        <f t="shared" si="4"/>
        <v/>
      </c>
      <c r="AM40" s="93" t="str">
        <f t="shared" si="5"/>
        <v/>
      </c>
      <c r="AN40" s="162"/>
      <c r="AO40" s="107"/>
      <c r="AP40" s="163"/>
      <c r="AQ40" s="157" t="str">
        <f t="shared" si="6"/>
        <v/>
      </c>
      <c r="AR40" s="91" t="str">
        <f t="shared" si="7"/>
        <v/>
      </c>
      <c r="AS40" s="93" t="str">
        <f t="shared" si="8"/>
        <v/>
      </c>
      <c r="AT40" s="90" t="str">
        <f t="shared" si="9"/>
        <v/>
      </c>
      <c r="AU40" s="92" t="str">
        <f t="shared" si="10"/>
        <v/>
      </c>
      <c r="AV40" s="94" t="str">
        <f t="shared" si="20"/>
        <v/>
      </c>
      <c r="AW40" s="95" t="str">
        <f>IF(C40="","",IFERROR(_xlfn.XLOOKUP(AV40,HELPER!$C$8:$C$48,HELPER!$D$8:$D$48,,1),""))</f>
        <v/>
      </c>
      <c r="AX40" s="96" t="str">
        <f>IF(C40="","",IFERROR(_xlfn.XLOOKUP(AW40,HELPER!$F$8:$F$48,HELPER!$G$8:$G$48,,1),""))</f>
        <v/>
      </c>
      <c r="AY40" s="146"/>
      <c r="AZ40" s="148"/>
    </row>
    <row r="41" spans="1:52" ht="15" customHeight="1" x14ac:dyDescent="0.25">
      <c r="A41" s="146"/>
      <c r="B41" s="108">
        <v>23</v>
      </c>
      <c r="C41" s="355" t="str">
        <f>IF('INPUT DATA'!K33="","",'INPUT DATA'!K33)</f>
        <v/>
      </c>
      <c r="D41" s="356"/>
      <c r="E41" s="356"/>
      <c r="F41" s="243"/>
      <c r="G41" s="244"/>
      <c r="H41" s="244"/>
      <c r="I41" s="244"/>
      <c r="J41" s="245"/>
      <c r="K41" s="194" t="str">
        <f t="shared" si="11"/>
        <v/>
      </c>
      <c r="L41" s="170" t="str">
        <f t="shared" si="12"/>
        <v/>
      </c>
      <c r="M41" s="188" t="str">
        <f t="shared" si="13"/>
        <v/>
      </c>
      <c r="N41" s="99"/>
      <c r="O41" s="106"/>
      <c r="P41" s="106"/>
      <c r="Q41" s="106"/>
      <c r="R41" s="107"/>
      <c r="S41" s="217" t="str">
        <f t="shared" si="0"/>
        <v/>
      </c>
      <c r="T41" s="91" t="str">
        <f t="shared" si="1"/>
        <v/>
      </c>
      <c r="U41" s="218" t="str">
        <f t="shared" si="2"/>
        <v/>
      </c>
      <c r="V41" s="230"/>
      <c r="W41" s="226"/>
      <c r="X41" s="236"/>
      <c r="Y41" s="194" t="str">
        <f t="shared" si="14"/>
        <v/>
      </c>
      <c r="Z41" s="170" t="str">
        <f t="shared" si="15"/>
        <v/>
      </c>
      <c r="AA41" s="188" t="str">
        <f t="shared" si="16"/>
        <v/>
      </c>
      <c r="AB41" s="230"/>
      <c r="AC41" s="226"/>
      <c r="AD41" s="231"/>
      <c r="AE41" s="194" t="str">
        <f t="shared" si="17"/>
        <v/>
      </c>
      <c r="AF41" s="170" t="str">
        <f t="shared" si="18"/>
        <v/>
      </c>
      <c r="AG41" s="188" t="str">
        <f t="shared" si="19"/>
        <v/>
      </c>
      <c r="AH41" s="105"/>
      <c r="AI41" s="106"/>
      <c r="AJ41" s="107"/>
      <c r="AK41" s="90" t="str">
        <f t="shared" si="3"/>
        <v/>
      </c>
      <c r="AL41" s="91" t="str">
        <f t="shared" si="4"/>
        <v/>
      </c>
      <c r="AM41" s="93" t="str">
        <f t="shared" si="5"/>
        <v/>
      </c>
      <c r="AN41" s="162"/>
      <c r="AO41" s="107"/>
      <c r="AP41" s="163"/>
      <c r="AQ41" s="157" t="str">
        <f t="shared" si="6"/>
        <v/>
      </c>
      <c r="AR41" s="91" t="str">
        <f t="shared" si="7"/>
        <v/>
      </c>
      <c r="AS41" s="93" t="str">
        <f t="shared" si="8"/>
        <v/>
      </c>
      <c r="AT41" s="90" t="str">
        <f t="shared" si="9"/>
        <v/>
      </c>
      <c r="AU41" s="92" t="str">
        <f t="shared" si="10"/>
        <v/>
      </c>
      <c r="AV41" s="94" t="str">
        <f t="shared" si="20"/>
        <v/>
      </c>
      <c r="AW41" s="95" t="str">
        <f>IF(C41="","",IFERROR(_xlfn.XLOOKUP(AV41,HELPER!$C$8:$C$48,HELPER!$D$8:$D$48,,1),""))</f>
        <v/>
      </c>
      <c r="AX41" s="96" t="str">
        <f>IF(C41="","",IFERROR(_xlfn.XLOOKUP(AW41,HELPER!$F$8:$F$48,HELPER!$G$8:$G$48,,1),""))</f>
        <v/>
      </c>
      <c r="AY41" s="146"/>
      <c r="AZ41" s="148"/>
    </row>
    <row r="42" spans="1:52" ht="15" customHeight="1" x14ac:dyDescent="0.25">
      <c r="A42" s="146"/>
      <c r="B42" s="108">
        <v>24</v>
      </c>
      <c r="C42" s="355" t="str">
        <f>IF('INPUT DATA'!K34="","",'INPUT DATA'!K34)</f>
        <v/>
      </c>
      <c r="D42" s="356"/>
      <c r="E42" s="356"/>
      <c r="F42" s="243"/>
      <c r="G42" s="244"/>
      <c r="H42" s="244"/>
      <c r="I42" s="244"/>
      <c r="J42" s="245"/>
      <c r="K42" s="194" t="str">
        <f t="shared" si="11"/>
        <v/>
      </c>
      <c r="L42" s="170" t="str">
        <f t="shared" si="12"/>
        <v/>
      </c>
      <c r="M42" s="188" t="str">
        <f t="shared" si="13"/>
        <v/>
      </c>
      <c r="N42" s="99"/>
      <c r="O42" s="106"/>
      <c r="P42" s="106"/>
      <c r="Q42" s="106"/>
      <c r="R42" s="107"/>
      <c r="S42" s="217" t="str">
        <f t="shared" si="0"/>
        <v/>
      </c>
      <c r="T42" s="91" t="str">
        <f t="shared" si="1"/>
        <v/>
      </c>
      <c r="U42" s="218" t="str">
        <f t="shared" si="2"/>
        <v/>
      </c>
      <c r="V42" s="230"/>
      <c r="W42" s="226"/>
      <c r="X42" s="236"/>
      <c r="Y42" s="194" t="str">
        <f t="shared" si="14"/>
        <v/>
      </c>
      <c r="Z42" s="170" t="str">
        <f t="shared" si="15"/>
        <v/>
      </c>
      <c r="AA42" s="188" t="str">
        <f t="shared" si="16"/>
        <v/>
      </c>
      <c r="AB42" s="230"/>
      <c r="AC42" s="226"/>
      <c r="AD42" s="231"/>
      <c r="AE42" s="194" t="str">
        <f t="shared" si="17"/>
        <v/>
      </c>
      <c r="AF42" s="170" t="str">
        <f t="shared" si="18"/>
        <v/>
      </c>
      <c r="AG42" s="188" t="str">
        <f t="shared" si="19"/>
        <v/>
      </c>
      <c r="AH42" s="105"/>
      <c r="AI42" s="106"/>
      <c r="AJ42" s="107"/>
      <c r="AK42" s="90" t="str">
        <f t="shared" si="3"/>
        <v/>
      </c>
      <c r="AL42" s="91" t="str">
        <f t="shared" si="4"/>
        <v/>
      </c>
      <c r="AM42" s="93" t="str">
        <f t="shared" si="5"/>
        <v/>
      </c>
      <c r="AN42" s="162"/>
      <c r="AO42" s="107"/>
      <c r="AP42" s="163"/>
      <c r="AQ42" s="157" t="str">
        <f t="shared" si="6"/>
        <v/>
      </c>
      <c r="AR42" s="91" t="str">
        <f t="shared" si="7"/>
        <v/>
      </c>
      <c r="AS42" s="93" t="str">
        <f t="shared" si="8"/>
        <v/>
      </c>
      <c r="AT42" s="90" t="str">
        <f t="shared" si="9"/>
        <v/>
      </c>
      <c r="AU42" s="92" t="str">
        <f t="shared" si="10"/>
        <v/>
      </c>
      <c r="AV42" s="94" t="str">
        <f t="shared" si="20"/>
        <v/>
      </c>
      <c r="AW42" s="95" t="str">
        <f>IF(C42="","",IFERROR(_xlfn.XLOOKUP(AV42,HELPER!$C$8:$C$48,HELPER!$D$8:$D$48,,1),""))</f>
        <v/>
      </c>
      <c r="AX42" s="96" t="str">
        <f>IF(C42="","",IFERROR(_xlfn.XLOOKUP(AW42,HELPER!$F$8:$F$48,HELPER!$G$8:$G$48,,1),""))</f>
        <v/>
      </c>
      <c r="AY42" s="146"/>
      <c r="AZ42" s="148"/>
    </row>
    <row r="43" spans="1:52" ht="15" customHeight="1" x14ac:dyDescent="0.25">
      <c r="A43" s="146"/>
      <c r="B43" s="108">
        <v>25</v>
      </c>
      <c r="C43" s="355" t="str">
        <f>IF('INPUT DATA'!K35="","",'INPUT DATA'!K35)</f>
        <v/>
      </c>
      <c r="D43" s="356"/>
      <c r="E43" s="356"/>
      <c r="F43" s="243"/>
      <c r="G43" s="244"/>
      <c r="H43" s="244"/>
      <c r="I43" s="244"/>
      <c r="J43" s="245"/>
      <c r="K43" s="194" t="str">
        <f t="shared" si="11"/>
        <v/>
      </c>
      <c r="L43" s="170" t="str">
        <f t="shared" si="12"/>
        <v/>
      </c>
      <c r="M43" s="188" t="str">
        <f t="shared" si="13"/>
        <v/>
      </c>
      <c r="N43" s="99"/>
      <c r="O43" s="106"/>
      <c r="P43" s="106"/>
      <c r="Q43" s="106"/>
      <c r="R43" s="107"/>
      <c r="S43" s="217" t="str">
        <f t="shared" si="0"/>
        <v/>
      </c>
      <c r="T43" s="91" t="str">
        <f t="shared" si="1"/>
        <v/>
      </c>
      <c r="U43" s="218" t="str">
        <f t="shared" si="2"/>
        <v/>
      </c>
      <c r="V43" s="230"/>
      <c r="W43" s="226"/>
      <c r="X43" s="236"/>
      <c r="Y43" s="194" t="str">
        <f t="shared" si="14"/>
        <v/>
      </c>
      <c r="Z43" s="170" t="str">
        <f t="shared" si="15"/>
        <v/>
      </c>
      <c r="AA43" s="188" t="str">
        <f t="shared" si="16"/>
        <v/>
      </c>
      <c r="AB43" s="230"/>
      <c r="AC43" s="226"/>
      <c r="AD43" s="231"/>
      <c r="AE43" s="194" t="str">
        <f t="shared" si="17"/>
        <v/>
      </c>
      <c r="AF43" s="170" t="str">
        <f t="shared" si="18"/>
        <v/>
      </c>
      <c r="AG43" s="188" t="str">
        <f t="shared" si="19"/>
        <v/>
      </c>
      <c r="AH43" s="105"/>
      <c r="AI43" s="106"/>
      <c r="AJ43" s="107"/>
      <c r="AK43" s="90" t="str">
        <f t="shared" si="3"/>
        <v/>
      </c>
      <c r="AL43" s="91" t="str">
        <f t="shared" si="4"/>
        <v/>
      </c>
      <c r="AM43" s="93" t="str">
        <f t="shared" si="5"/>
        <v/>
      </c>
      <c r="AN43" s="162"/>
      <c r="AO43" s="107"/>
      <c r="AP43" s="163"/>
      <c r="AQ43" s="157" t="str">
        <f t="shared" si="6"/>
        <v/>
      </c>
      <c r="AR43" s="91" t="str">
        <f t="shared" si="7"/>
        <v/>
      </c>
      <c r="AS43" s="93" t="str">
        <f t="shared" si="8"/>
        <v/>
      </c>
      <c r="AT43" s="90" t="str">
        <f t="shared" si="9"/>
        <v/>
      </c>
      <c r="AU43" s="92" t="str">
        <f t="shared" si="10"/>
        <v/>
      </c>
      <c r="AV43" s="94" t="str">
        <f t="shared" si="20"/>
        <v/>
      </c>
      <c r="AW43" s="95" t="str">
        <f>IF(C43="","",IFERROR(_xlfn.XLOOKUP(AV43,HELPER!$C$8:$C$48,HELPER!$D$8:$D$48,,1),""))</f>
        <v/>
      </c>
      <c r="AX43" s="96" t="str">
        <f>IF(C43="","",IFERROR(_xlfn.XLOOKUP(AW43,HELPER!$F$8:$F$48,HELPER!$G$8:$G$48,,1),""))</f>
        <v/>
      </c>
      <c r="AY43" s="146"/>
      <c r="AZ43" s="148"/>
    </row>
    <row r="44" spans="1:52" ht="15" customHeight="1" x14ac:dyDescent="0.25">
      <c r="A44" s="146"/>
      <c r="B44" s="108">
        <v>26</v>
      </c>
      <c r="C44" s="355" t="str">
        <f>IF('INPUT DATA'!K36="","",'INPUT DATA'!K36)</f>
        <v/>
      </c>
      <c r="D44" s="356"/>
      <c r="E44" s="356"/>
      <c r="F44" s="243"/>
      <c r="G44" s="244"/>
      <c r="H44" s="244"/>
      <c r="I44" s="244"/>
      <c r="J44" s="245"/>
      <c r="K44" s="194" t="str">
        <f t="shared" si="11"/>
        <v/>
      </c>
      <c r="L44" s="170" t="str">
        <f t="shared" si="12"/>
        <v/>
      </c>
      <c r="M44" s="188" t="str">
        <f t="shared" si="13"/>
        <v/>
      </c>
      <c r="N44" s="99"/>
      <c r="O44" s="106"/>
      <c r="P44" s="106"/>
      <c r="Q44" s="106"/>
      <c r="R44" s="107"/>
      <c r="S44" s="217" t="str">
        <f t="shared" si="0"/>
        <v/>
      </c>
      <c r="T44" s="91" t="str">
        <f t="shared" si="1"/>
        <v/>
      </c>
      <c r="U44" s="218" t="str">
        <f t="shared" si="2"/>
        <v/>
      </c>
      <c r="V44" s="230"/>
      <c r="W44" s="226"/>
      <c r="X44" s="236"/>
      <c r="Y44" s="194" t="str">
        <f t="shared" si="14"/>
        <v/>
      </c>
      <c r="Z44" s="170" t="str">
        <f t="shared" si="15"/>
        <v/>
      </c>
      <c r="AA44" s="188" t="str">
        <f t="shared" si="16"/>
        <v/>
      </c>
      <c r="AB44" s="230"/>
      <c r="AC44" s="226"/>
      <c r="AD44" s="231"/>
      <c r="AE44" s="194" t="str">
        <f t="shared" si="17"/>
        <v/>
      </c>
      <c r="AF44" s="170" t="str">
        <f t="shared" si="18"/>
        <v/>
      </c>
      <c r="AG44" s="188" t="str">
        <f t="shared" si="19"/>
        <v/>
      </c>
      <c r="AH44" s="105"/>
      <c r="AI44" s="106"/>
      <c r="AJ44" s="107"/>
      <c r="AK44" s="90" t="str">
        <f t="shared" si="3"/>
        <v/>
      </c>
      <c r="AL44" s="91" t="str">
        <f t="shared" si="4"/>
        <v/>
      </c>
      <c r="AM44" s="93" t="str">
        <f t="shared" si="5"/>
        <v/>
      </c>
      <c r="AN44" s="162"/>
      <c r="AO44" s="107"/>
      <c r="AP44" s="163"/>
      <c r="AQ44" s="157" t="str">
        <f t="shared" si="6"/>
        <v/>
      </c>
      <c r="AR44" s="91" t="str">
        <f t="shared" si="7"/>
        <v/>
      </c>
      <c r="AS44" s="93" t="str">
        <f t="shared" si="8"/>
        <v/>
      </c>
      <c r="AT44" s="90" t="str">
        <f t="shared" si="9"/>
        <v/>
      </c>
      <c r="AU44" s="92" t="str">
        <f t="shared" si="10"/>
        <v/>
      </c>
      <c r="AV44" s="94" t="str">
        <f t="shared" si="20"/>
        <v/>
      </c>
      <c r="AW44" s="95" t="str">
        <f>IF(C44="","",IFERROR(_xlfn.XLOOKUP(AV44,HELPER!$C$8:$C$48,HELPER!$D$8:$D$48,,1),""))</f>
        <v/>
      </c>
      <c r="AX44" s="96" t="str">
        <f>IF(C44="","",IFERROR(_xlfn.XLOOKUP(AW44,HELPER!$F$8:$F$48,HELPER!$G$8:$G$48,,1),""))</f>
        <v/>
      </c>
      <c r="AY44" s="146"/>
      <c r="AZ44" s="148"/>
    </row>
    <row r="45" spans="1:52" ht="15" customHeight="1" x14ac:dyDescent="0.25">
      <c r="A45" s="146"/>
      <c r="B45" s="108">
        <v>27</v>
      </c>
      <c r="C45" s="355" t="str">
        <f>IF('INPUT DATA'!K37="","",'INPUT DATA'!K37)</f>
        <v/>
      </c>
      <c r="D45" s="356"/>
      <c r="E45" s="356"/>
      <c r="F45" s="243"/>
      <c r="G45" s="244"/>
      <c r="H45" s="244"/>
      <c r="I45" s="244"/>
      <c r="J45" s="245"/>
      <c r="K45" s="194" t="str">
        <f t="shared" si="11"/>
        <v/>
      </c>
      <c r="L45" s="170" t="str">
        <f t="shared" si="12"/>
        <v/>
      </c>
      <c r="M45" s="188" t="str">
        <f t="shared" si="13"/>
        <v/>
      </c>
      <c r="N45" s="99"/>
      <c r="O45" s="106"/>
      <c r="P45" s="106"/>
      <c r="Q45" s="106"/>
      <c r="R45" s="107"/>
      <c r="S45" s="217" t="str">
        <f t="shared" si="0"/>
        <v/>
      </c>
      <c r="T45" s="91" t="str">
        <f t="shared" si="1"/>
        <v/>
      </c>
      <c r="U45" s="218" t="str">
        <f t="shared" si="2"/>
        <v/>
      </c>
      <c r="V45" s="230"/>
      <c r="W45" s="226"/>
      <c r="X45" s="236"/>
      <c r="Y45" s="194" t="str">
        <f t="shared" si="14"/>
        <v/>
      </c>
      <c r="Z45" s="170" t="str">
        <f t="shared" si="15"/>
        <v/>
      </c>
      <c r="AA45" s="188" t="str">
        <f t="shared" si="16"/>
        <v/>
      </c>
      <c r="AB45" s="230"/>
      <c r="AC45" s="226"/>
      <c r="AD45" s="231"/>
      <c r="AE45" s="194" t="str">
        <f t="shared" si="17"/>
        <v/>
      </c>
      <c r="AF45" s="170" t="str">
        <f t="shared" si="18"/>
        <v/>
      </c>
      <c r="AG45" s="188" t="str">
        <f t="shared" si="19"/>
        <v/>
      </c>
      <c r="AH45" s="105"/>
      <c r="AI45" s="106"/>
      <c r="AJ45" s="107"/>
      <c r="AK45" s="90" t="str">
        <f t="shared" si="3"/>
        <v/>
      </c>
      <c r="AL45" s="91" t="str">
        <f t="shared" si="4"/>
        <v/>
      </c>
      <c r="AM45" s="93" t="str">
        <f t="shared" si="5"/>
        <v/>
      </c>
      <c r="AN45" s="162"/>
      <c r="AO45" s="107"/>
      <c r="AP45" s="163"/>
      <c r="AQ45" s="157" t="str">
        <f t="shared" si="6"/>
        <v/>
      </c>
      <c r="AR45" s="91" t="str">
        <f t="shared" si="7"/>
        <v/>
      </c>
      <c r="AS45" s="93" t="str">
        <f t="shared" si="8"/>
        <v/>
      </c>
      <c r="AT45" s="90" t="str">
        <f t="shared" si="9"/>
        <v/>
      </c>
      <c r="AU45" s="92" t="str">
        <f t="shared" si="10"/>
        <v/>
      </c>
      <c r="AV45" s="94" t="str">
        <f t="shared" si="20"/>
        <v/>
      </c>
      <c r="AW45" s="95" t="str">
        <f>IF(C45="","",IFERROR(_xlfn.XLOOKUP(AV45,HELPER!$C$8:$C$48,HELPER!$D$8:$D$48,,1),""))</f>
        <v/>
      </c>
      <c r="AX45" s="96" t="str">
        <f>IF(C45="","",IFERROR(_xlfn.XLOOKUP(AW45,HELPER!$F$8:$F$48,HELPER!$G$8:$G$48,,1),""))</f>
        <v/>
      </c>
      <c r="AY45" s="146"/>
      <c r="AZ45" s="148"/>
    </row>
    <row r="46" spans="1:52" ht="15" customHeight="1" x14ac:dyDescent="0.25">
      <c r="A46" s="146"/>
      <c r="B46" s="108">
        <v>28</v>
      </c>
      <c r="C46" s="355" t="str">
        <f>IF('INPUT DATA'!K38="","",'INPUT DATA'!K38)</f>
        <v/>
      </c>
      <c r="D46" s="356"/>
      <c r="E46" s="356"/>
      <c r="F46" s="243"/>
      <c r="G46" s="244"/>
      <c r="H46" s="244"/>
      <c r="I46" s="244"/>
      <c r="J46" s="245"/>
      <c r="K46" s="194" t="str">
        <f t="shared" si="11"/>
        <v/>
      </c>
      <c r="L46" s="170" t="str">
        <f t="shared" si="12"/>
        <v/>
      </c>
      <c r="M46" s="188" t="str">
        <f t="shared" si="13"/>
        <v/>
      </c>
      <c r="N46" s="99"/>
      <c r="O46" s="106"/>
      <c r="P46" s="106"/>
      <c r="Q46" s="106"/>
      <c r="R46" s="107"/>
      <c r="S46" s="217" t="str">
        <f t="shared" si="0"/>
        <v/>
      </c>
      <c r="T46" s="91" t="str">
        <f t="shared" si="1"/>
        <v/>
      </c>
      <c r="U46" s="218" t="str">
        <f t="shared" si="2"/>
        <v/>
      </c>
      <c r="V46" s="230"/>
      <c r="W46" s="226"/>
      <c r="X46" s="236"/>
      <c r="Y46" s="194" t="str">
        <f t="shared" si="14"/>
        <v/>
      </c>
      <c r="Z46" s="170" t="str">
        <f t="shared" si="15"/>
        <v/>
      </c>
      <c r="AA46" s="188" t="str">
        <f t="shared" si="16"/>
        <v/>
      </c>
      <c r="AB46" s="230"/>
      <c r="AC46" s="226"/>
      <c r="AD46" s="231"/>
      <c r="AE46" s="194" t="str">
        <f t="shared" si="17"/>
        <v/>
      </c>
      <c r="AF46" s="170" t="str">
        <f t="shared" si="18"/>
        <v/>
      </c>
      <c r="AG46" s="188" t="str">
        <f t="shared" si="19"/>
        <v/>
      </c>
      <c r="AH46" s="105"/>
      <c r="AI46" s="106"/>
      <c r="AJ46" s="107"/>
      <c r="AK46" s="90" t="str">
        <f t="shared" si="3"/>
        <v/>
      </c>
      <c r="AL46" s="91" t="str">
        <f t="shared" si="4"/>
        <v/>
      </c>
      <c r="AM46" s="93" t="str">
        <f t="shared" si="5"/>
        <v/>
      </c>
      <c r="AN46" s="162"/>
      <c r="AO46" s="107"/>
      <c r="AP46" s="163"/>
      <c r="AQ46" s="157" t="str">
        <f t="shared" si="6"/>
        <v/>
      </c>
      <c r="AR46" s="91" t="str">
        <f t="shared" si="7"/>
        <v/>
      </c>
      <c r="AS46" s="93" t="str">
        <f t="shared" si="8"/>
        <v/>
      </c>
      <c r="AT46" s="90" t="str">
        <f t="shared" si="9"/>
        <v/>
      </c>
      <c r="AU46" s="92" t="str">
        <f t="shared" si="10"/>
        <v/>
      </c>
      <c r="AV46" s="94" t="str">
        <f t="shared" si="20"/>
        <v/>
      </c>
      <c r="AW46" s="95" t="str">
        <f>IF(C46="","",IFERROR(_xlfn.XLOOKUP(AV46,HELPER!$C$8:$C$48,HELPER!$D$8:$D$48,,1),""))</f>
        <v/>
      </c>
      <c r="AX46" s="96" t="str">
        <f>IF(C46="","",IFERROR(_xlfn.XLOOKUP(AW46,HELPER!$F$8:$F$48,HELPER!$G$8:$G$48,,1),""))</f>
        <v/>
      </c>
      <c r="AY46" s="146"/>
      <c r="AZ46" s="148"/>
    </row>
    <row r="47" spans="1:52" ht="15" customHeight="1" x14ac:dyDescent="0.25">
      <c r="A47" s="146"/>
      <c r="B47" s="108">
        <v>29</v>
      </c>
      <c r="C47" s="355" t="str">
        <f>IF('INPUT DATA'!K39="","",'INPUT DATA'!K39)</f>
        <v/>
      </c>
      <c r="D47" s="356"/>
      <c r="E47" s="356"/>
      <c r="F47" s="243"/>
      <c r="G47" s="244"/>
      <c r="H47" s="244"/>
      <c r="I47" s="244"/>
      <c r="J47" s="245"/>
      <c r="K47" s="194" t="str">
        <f t="shared" si="11"/>
        <v/>
      </c>
      <c r="L47" s="170" t="str">
        <f t="shared" si="12"/>
        <v/>
      </c>
      <c r="M47" s="188" t="str">
        <f t="shared" si="13"/>
        <v/>
      </c>
      <c r="N47" s="99"/>
      <c r="O47" s="106"/>
      <c r="P47" s="106"/>
      <c r="Q47" s="106"/>
      <c r="R47" s="107"/>
      <c r="S47" s="217" t="str">
        <f t="shared" si="0"/>
        <v/>
      </c>
      <c r="T47" s="91" t="str">
        <f t="shared" si="1"/>
        <v/>
      </c>
      <c r="U47" s="218" t="str">
        <f t="shared" si="2"/>
        <v/>
      </c>
      <c r="V47" s="230"/>
      <c r="W47" s="226"/>
      <c r="X47" s="236"/>
      <c r="Y47" s="194" t="str">
        <f t="shared" si="14"/>
        <v/>
      </c>
      <c r="Z47" s="170" t="str">
        <f t="shared" si="15"/>
        <v/>
      </c>
      <c r="AA47" s="188" t="str">
        <f t="shared" si="16"/>
        <v/>
      </c>
      <c r="AB47" s="230"/>
      <c r="AC47" s="226"/>
      <c r="AD47" s="231"/>
      <c r="AE47" s="194" t="str">
        <f t="shared" si="17"/>
        <v/>
      </c>
      <c r="AF47" s="170" t="str">
        <f t="shared" si="18"/>
        <v/>
      </c>
      <c r="AG47" s="188" t="str">
        <f t="shared" si="19"/>
        <v/>
      </c>
      <c r="AH47" s="105"/>
      <c r="AI47" s="106"/>
      <c r="AJ47" s="107"/>
      <c r="AK47" s="90" t="str">
        <f t="shared" si="3"/>
        <v/>
      </c>
      <c r="AL47" s="91" t="str">
        <f t="shared" si="4"/>
        <v/>
      </c>
      <c r="AM47" s="93" t="str">
        <f t="shared" si="5"/>
        <v/>
      </c>
      <c r="AN47" s="162"/>
      <c r="AO47" s="107"/>
      <c r="AP47" s="163"/>
      <c r="AQ47" s="157" t="str">
        <f t="shared" si="6"/>
        <v/>
      </c>
      <c r="AR47" s="91" t="str">
        <f t="shared" si="7"/>
        <v/>
      </c>
      <c r="AS47" s="93" t="str">
        <f t="shared" si="8"/>
        <v/>
      </c>
      <c r="AT47" s="90" t="str">
        <f t="shared" si="9"/>
        <v/>
      </c>
      <c r="AU47" s="92" t="str">
        <f t="shared" si="10"/>
        <v/>
      </c>
      <c r="AV47" s="94" t="str">
        <f t="shared" si="20"/>
        <v/>
      </c>
      <c r="AW47" s="95" t="str">
        <f>IF(C47="","",IFERROR(_xlfn.XLOOKUP(AV47,HELPER!$C$8:$C$48,HELPER!$D$8:$D$48,,1),""))</f>
        <v/>
      </c>
      <c r="AX47" s="96" t="str">
        <f>IF(C47="","",IFERROR(_xlfn.XLOOKUP(AW47,HELPER!$F$8:$F$48,HELPER!$G$8:$G$48,,1),""))</f>
        <v/>
      </c>
      <c r="AY47" s="146"/>
      <c r="AZ47" s="148"/>
    </row>
    <row r="48" spans="1:52" ht="15" customHeight="1" x14ac:dyDescent="0.25">
      <c r="A48" s="146"/>
      <c r="B48" s="108">
        <v>30</v>
      </c>
      <c r="C48" s="355" t="str">
        <f>IF('INPUT DATA'!K40="","",'INPUT DATA'!K40)</f>
        <v/>
      </c>
      <c r="D48" s="356"/>
      <c r="E48" s="356"/>
      <c r="F48" s="243"/>
      <c r="G48" s="244"/>
      <c r="H48" s="244"/>
      <c r="I48" s="244"/>
      <c r="J48" s="245"/>
      <c r="K48" s="194" t="str">
        <f t="shared" si="11"/>
        <v/>
      </c>
      <c r="L48" s="170" t="str">
        <f t="shared" si="12"/>
        <v/>
      </c>
      <c r="M48" s="188" t="str">
        <f t="shared" si="13"/>
        <v/>
      </c>
      <c r="N48" s="99"/>
      <c r="O48" s="106"/>
      <c r="P48" s="106"/>
      <c r="Q48" s="106"/>
      <c r="R48" s="107"/>
      <c r="S48" s="217" t="str">
        <f t="shared" si="0"/>
        <v/>
      </c>
      <c r="T48" s="91" t="str">
        <f t="shared" si="1"/>
        <v/>
      </c>
      <c r="U48" s="218" t="str">
        <f t="shared" si="2"/>
        <v/>
      </c>
      <c r="V48" s="230"/>
      <c r="W48" s="226"/>
      <c r="X48" s="236"/>
      <c r="Y48" s="194" t="str">
        <f t="shared" si="14"/>
        <v/>
      </c>
      <c r="Z48" s="170" t="str">
        <f t="shared" si="15"/>
        <v/>
      </c>
      <c r="AA48" s="188" t="str">
        <f t="shared" si="16"/>
        <v/>
      </c>
      <c r="AB48" s="230"/>
      <c r="AC48" s="226"/>
      <c r="AD48" s="231"/>
      <c r="AE48" s="194" t="str">
        <f t="shared" si="17"/>
        <v/>
      </c>
      <c r="AF48" s="170" t="str">
        <f t="shared" si="18"/>
        <v/>
      </c>
      <c r="AG48" s="188" t="str">
        <f t="shared" si="19"/>
        <v/>
      </c>
      <c r="AH48" s="105"/>
      <c r="AI48" s="106"/>
      <c r="AJ48" s="107"/>
      <c r="AK48" s="90" t="str">
        <f t="shared" si="3"/>
        <v/>
      </c>
      <c r="AL48" s="91" t="str">
        <f t="shared" si="4"/>
        <v/>
      </c>
      <c r="AM48" s="93" t="str">
        <f t="shared" si="5"/>
        <v/>
      </c>
      <c r="AN48" s="162"/>
      <c r="AO48" s="107"/>
      <c r="AP48" s="163"/>
      <c r="AQ48" s="157" t="str">
        <f t="shared" si="6"/>
        <v/>
      </c>
      <c r="AR48" s="91" t="str">
        <f t="shared" si="7"/>
        <v/>
      </c>
      <c r="AS48" s="93" t="str">
        <f t="shared" si="8"/>
        <v/>
      </c>
      <c r="AT48" s="90" t="str">
        <f t="shared" si="9"/>
        <v/>
      </c>
      <c r="AU48" s="92" t="str">
        <f t="shared" si="10"/>
        <v/>
      </c>
      <c r="AV48" s="94" t="str">
        <f t="shared" si="20"/>
        <v/>
      </c>
      <c r="AW48" s="95" t="str">
        <f>IF(C48="","",IFERROR(_xlfn.XLOOKUP(AV48,HELPER!$C$8:$C$48,HELPER!$D$8:$D$48,,1),""))</f>
        <v/>
      </c>
      <c r="AX48" s="96" t="str">
        <f>IF(C48="","",IFERROR(_xlfn.XLOOKUP(AW48,HELPER!$F$8:$F$48,HELPER!$G$8:$G$48,,1),""))</f>
        <v/>
      </c>
      <c r="AY48" s="146"/>
      <c r="AZ48" s="148"/>
    </row>
    <row r="49" spans="1:52" ht="15" customHeight="1" x14ac:dyDescent="0.25">
      <c r="A49" s="146"/>
      <c r="B49" s="108">
        <v>31</v>
      </c>
      <c r="C49" s="355" t="str">
        <f>IF('INPUT DATA'!K41="","",'INPUT DATA'!K41)</f>
        <v/>
      </c>
      <c r="D49" s="356"/>
      <c r="E49" s="356"/>
      <c r="F49" s="243"/>
      <c r="G49" s="244"/>
      <c r="H49" s="244"/>
      <c r="I49" s="244"/>
      <c r="J49" s="245"/>
      <c r="K49" s="194" t="str">
        <f t="shared" si="11"/>
        <v/>
      </c>
      <c r="L49" s="170" t="str">
        <f t="shared" si="12"/>
        <v/>
      </c>
      <c r="M49" s="188" t="str">
        <f t="shared" si="13"/>
        <v/>
      </c>
      <c r="N49" s="99"/>
      <c r="O49" s="106"/>
      <c r="P49" s="106"/>
      <c r="Q49" s="106"/>
      <c r="R49" s="107"/>
      <c r="S49" s="217" t="str">
        <f t="shared" si="0"/>
        <v/>
      </c>
      <c r="T49" s="91" t="str">
        <f t="shared" si="1"/>
        <v/>
      </c>
      <c r="U49" s="218" t="str">
        <f t="shared" si="2"/>
        <v/>
      </c>
      <c r="V49" s="230"/>
      <c r="W49" s="226"/>
      <c r="X49" s="236"/>
      <c r="Y49" s="194" t="str">
        <f t="shared" si="14"/>
        <v/>
      </c>
      <c r="Z49" s="170" t="str">
        <f t="shared" si="15"/>
        <v/>
      </c>
      <c r="AA49" s="188" t="str">
        <f t="shared" si="16"/>
        <v/>
      </c>
      <c r="AB49" s="230"/>
      <c r="AC49" s="226"/>
      <c r="AD49" s="231"/>
      <c r="AE49" s="194" t="str">
        <f t="shared" si="17"/>
        <v/>
      </c>
      <c r="AF49" s="170" t="str">
        <f t="shared" si="18"/>
        <v/>
      </c>
      <c r="AG49" s="188" t="str">
        <f t="shared" si="19"/>
        <v/>
      </c>
      <c r="AH49" s="105"/>
      <c r="AI49" s="106"/>
      <c r="AJ49" s="107"/>
      <c r="AK49" s="90" t="str">
        <f t="shared" si="3"/>
        <v/>
      </c>
      <c r="AL49" s="91" t="str">
        <f t="shared" si="4"/>
        <v/>
      </c>
      <c r="AM49" s="93" t="str">
        <f t="shared" si="5"/>
        <v/>
      </c>
      <c r="AN49" s="162"/>
      <c r="AO49" s="107"/>
      <c r="AP49" s="163"/>
      <c r="AQ49" s="157" t="str">
        <f t="shared" si="6"/>
        <v/>
      </c>
      <c r="AR49" s="91" t="str">
        <f t="shared" si="7"/>
        <v/>
      </c>
      <c r="AS49" s="93" t="str">
        <f t="shared" si="8"/>
        <v/>
      </c>
      <c r="AT49" s="90" t="str">
        <f t="shared" si="9"/>
        <v/>
      </c>
      <c r="AU49" s="92" t="str">
        <f t="shared" si="10"/>
        <v/>
      </c>
      <c r="AV49" s="94" t="str">
        <f t="shared" si="20"/>
        <v/>
      </c>
      <c r="AW49" s="95" t="str">
        <f>IF(C49="","",IFERROR(_xlfn.XLOOKUP(AV49,HELPER!$C$8:$C$48,HELPER!$D$8:$D$48,,1),""))</f>
        <v/>
      </c>
      <c r="AX49" s="96" t="str">
        <f>IF(C49="","",IFERROR(_xlfn.XLOOKUP(AW49,HELPER!$F$8:$F$48,HELPER!$G$8:$G$48,,1),""))</f>
        <v/>
      </c>
      <c r="AY49" s="146"/>
      <c r="AZ49" s="148"/>
    </row>
    <row r="50" spans="1:52" ht="15" customHeight="1" x14ac:dyDescent="0.25">
      <c r="A50" s="146"/>
      <c r="B50" s="108">
        <v>32</v>
      </c>
      <c r="C50" s="355" t="str">
        <f>IF('INPUT DATA'!K42="","",'INPUT DATA'!K42)</f>
        <v/>
      </c>
      <c r="D50" s="356"/>
      <c r="E50" s="356"/>
      <c r="F50" s="243"/>
      <c r="G50" s="244"/>
      <c r="H50" s="244"/>
      <c r="I50" s="244"/>
      <c r="J50" s="245"/>
      <c r="K50" s="194" t="str">
        <f t="shared" si="11"/>
        <v/>
      </c>
      <c r="L50" s="170" t="str">
        <f t="shared" si="12"/>
        <v/>
      </c>
      <c r="M50" s="188" t="str">
        <f t="shared" si="13"/>
        <v/>
      </c>
      <c r="N50" s="99"/>
      <c r="O50" s="106"/>
      <c r="P50" s="106"/>
      <c r="Q50" s="106"/>
      <c r="R50" s="107"/>
      <c r="S50" s="217" t="str">
        <f t="shared" si="0"/>
        <v/>
      </c>
      <c r="T50" s="91" t="str">
        <f t="shared" si="1"/>
        <v/>
      </c>
      <c r="U50" s="218" t="str">
        <f t="shared" si="2"/>
        <v/>
      </c>
      <c r="V50" s="230"/>
      <c r="W50" s="226"/>
      <c r="X50" s="236"/>
      <c r="Y50" s="194" t="str">
        <f t="shared" si="14"/>
        <v/>
      </c>
      <c r="Z50" s="170" t="str">
        <f t="shared" si="15"/>
        <v/>
      </c>
      <c r="AA50" s="188" t="str">
        <f t="shared" si="16"/>
        <v/>
      </c>
      <c r="AB50" s="230"/>
      <c r="AC50" s="226"/>
      <c r="AD50" s="231"/>
      <c r="AE50" s="194" t="str">
        <f t="shared" si="17"/>
        <v/>
      </c>
      <c r="AF50" s="170" t="str">
        <f t="shared" si="18"/>
        <v/>
      </c>
      <c r="AG50" s="188" t="str">
        <f t="shared" si="19"/>
        <v/>
      </c>
      <c r="AH50" s="105"/>
      <c r="AI50" s="106"/>
      <c r="AJ50" s="107"/>
      <c r="AK50" s="90" t="str">
        <f t="shared" si="3"/>
        <v/>
      </c>
      <c r="AL50" s="91" t="str">
        <f t="shared" si="4"/>
        <v/>
      </c>
      <c r="AM50" s="93" t="str">
        <f t="shared" si="5"/>
        <v/>
      </c>
      <c r="AN50" s="162"/>
      <c r="AO50" s="107"/>
      <c r="AP50" s="163"/>
      <c r="AQ50" s="157" t="str">
        <f t="shared" si="6"/>
        <v/>
      </c>
      <c r="AR50" s="91" t="str">
        <f t="shared" si="7"/>
        <v/>
      </c>
      <c r="AS50" s="93" t="str">
        <f t="shared" si="8"/>
        <v/>
      </c>
      <c r="AT50" s="90" t="str">
        <f t="shared" si="9"/>
        <v/>
      </c>
      <c r="AU50" s="92" t="str">
        <f t="shared" si="10"/>
        <v/>
      </c>
      <c r="AV50" s="94" t="str">
        <f t="shared" si="20"/>
        <v/>
      </c>
      <c r="AW50" s="95" t="str">
        <f>IF(C50="","",IFERROR(_xlfn.XLOOKUP(AV50,HELPER!$C$8:$C$48,HELPER!$D$8:$D$48,,1),""))</f>
        <v/>
      </c>
      <c r="AX50" s="96" t="str">
        <f>IF(C50="","",IFERROR(_xlfn.XLOOKUP(AW50,HELPER!$F$8:$F$48,HELPER!$G$8:$G$48,,1),""))</f>
        <v/>
      </c>
      <c r="AY50" s="146"/>
      <c r="AZ50" s="148"/>
    </row>
    <row r="51" spans="1:52" ht="15" customHeight="1" x14ac:dyDescent="0.25">
      <c r="A51" s="146"/>
      <c r="B51" s="108">
        <v>33</v>
      </c>
      <c r="C51" s="355" t="str">
        <f>IF('INPUT DATA'!K43="","",'INPUT DATA'!K43)</f>
        <v/>
      </c>
      <c r="D51" s="356"/>
      <c r="E51" s="356"/>
      <c r="F51" s="243"/>
      <c r="G51" s="244"/>
      <c r="H51" s="244"/>
      <c r="I51" s="244"/>
      <c r="J51" s="245"/>
      <c r="K51" s="194" t="str">
        <f t="shared" si="11"/>
        <v/>
      </c>
      <c r="L51" s="170" t="str">
        <f t="shared" si="12"/>
        <v/>
      </c>
      <c r="M51" s="188" t="str">
        <f t="shared" si="13"/>
        <v/>
      </c>
      <c r="N51" s="99"/>
      <c r="O51" s="106"/>
      <c r="P51" s="106"/>
      <c r="Q51" s="106"/>
      <c r="R51" s="107"/>
      <c r="S51" s="217" t="str">
        <f t="shared" si="0"/>
        <v/>
      </c>
      <c r="T51" s="91" t="str">
        <f t="shared" si="1"/>
        <v/>
      </c>
      <c r="U51" s="218" t="str">
        <f t="shared" si="2"/>
        <v/>
      </c>
      <c r="V51" s="230"/>
      <c r="W51" s="226"/>
      <c r="X51" s="236"/>
      <c r="Y51" s="194" t="str">
        <f t="shared" si="14"/>
        <v/>
      </c>
      <c r="Z51" s="170" t="str">
        <f t="shared" si="15"/>
        <v/>
      </c>
      <c r="AA51" s="188" t="str">
        <f t="shared" si="16"/>
        <v/>
      </c>
      <c r="AB51" s="230"/>
      <c r="AC51" s="226"/>
      <c r="AD51" s="231"/>
      <c r="AE51" s="194" t="str">
        <f t="shared" si="17"/>
        <v/>
      </c>
      <c r="AF51" s="170" t="str">
        <f t="shared" si="18"/>
        <v/>
      </c>
      <c r="AG51" s="188" t="str">
        <f t="shared" si="19"/>
        <v/>
      </c>
      <c r="AH51" s="105"/>
      <c r="AI51" s="106"/>
      <c r="AJ51" s="107"/>
      <c r="AK51" s="90" t="str">
        <f t="shared" si="3"/>
        <v/>
      </c>
      <c r="AL51" s="91" t="str">
        <f t="shared" si="4"/>
        <v/>
      </c>
      <c r="AM51" s="93" t="str">
        <f t="shared" si="5"/>
        <v/>
      </c>
      <c r="AN51" s="162"/>
      <c r="AO51" s="107"/>
      <c r="AP51" s="163"/>
      <c r="AQ51" s="157" t="str">
        <f t="shared" si="6"/>
        <v/>
      </c>
      <c r="AR51" s="91" t="str">
        <f t="shared" si="7"/>
        <v/>
      </c>
      <c r="AS51" s="93" t="str">
        <f t="shared" si="8"/>
        <v/>
      </c>
      <c r="AT51" s="90" t="str">
        <f t="shared" si="9"/>
        <v/>
      </c>
      <c r="AU51" s="92" t="str">
        <f t="shared" si="10"/>
        <v/>
      </c>
      <c r="AV51" s="94" t="str">
        <f t="shared" si="20"/>
        <v/>
      </c>
      <c r="AW51" s="95" t="str">
        <f>IF(C51="","",IFERROR(_xlfn.XLOOKUP(AV51,HELPER!$C$8:$C$48,HELPER!$D$8:$D$48,,1),""))</f>
        <v/>
      </c>
      <c r="AX51" s="96" t="str">
        <f>IF(C51="","",IFERROR(_xlfn.XLOOKUP(AW51,HELPER!$F$8:$F$48,HELPER!$G$8:$G$48,,1),""))</f>
        <v/>
      </c>
      <c r="AY51" s="146"/>
      <c r="AZ51" s="148"/>
    </row>
    <row r="52" spans="1:52" ht="15" customHeight="1" x14ac:dyDescent="0.25">
      <c r="A52" s="146"/>
      <c r="B52" s="108">
        <v>34</v>
      </c>
      <c r="C52" s="355" t="str">
        <f>IF('INPUT DATA'!K44="","",'INPUT DATA'!K44)</f>
        <v/>
      </c>
      <c r="D52" s="356"/>
      <c r="E52" s="356"/>
      <c r="F52" s="243"/>
      <c r="G52" s="244"/>
      <c r="H52" s="244"/>
      <c r="I52" s="244"/>
      <c r="J52" s="245"/>
      <c r="K52" s="194" t="str">
        <f t="shared" si="11"/>
        <v/>
      </c>
      <c r="L52" s="170" t="str">
        <f t="shared" si="12"/>
        <v/>
      </c>
      <c r="M52" s="188" t="str">
        <f t="shared" si="13"/>
        <v/>
      </c>
      <c r="N52" s="99"/>
      <c r="O52" s="106"/>
      <c r="P52" s="106"/>
      <c r="Q52" s="106"/>
      <c r="R52" s="107"/>
      <c r="S52" s="217" t="str">
        <f t="shared" si="0"/>
        <v/>
      </c>
      <c r="T52" s="91" t="str">
        <f t="shared" si="1"/>
        <v/>
      </c>
      <c r="U52" s="218" t="str">
        <f t="shared" si="2"/>
        <v/>
      </c>
      <c r="V52" s="230"/>
      <c r="W52" s="226"/>
      <c r="X52" s="236"/>
      <c r="Y52" s="194" t="str">
        <f t="shared" si="14"/>
        <v/>
      </c>
      <c r="Z52" s="170" t="str">
        <f t="shared" si="15"/>
        <v/>
      </c>
      <c r="AA52" s="188" t="str">
        <f t="shared" si="16"/>
        <v/>
      </c>
      <c r="AB52" s="230"/>
      <c r="AC52" s="226"/>
      <c r="AD52" s="231"/>
      <c r="AE52" s="194" t="str">
        <f t="shared" si="17"/>
        <v/>
      </c>
      <c r="AF52" s="170" t="str">
        <f t="shared" si="18"/>
        <v/>
      </c>
      <c r="AG52" s="188" t="str">
        <f t="shared" si="19"/>
        <v/>
      </c>
      <c r="AH52" s="105"/>
      <c r="AI52" s="106"/>
      <c r="AJ52" s="107"/>
      <c r="AK52" s="90" t="str">
        <f t="shared" si="3"/>
        <v/>
      </c>
      <c r="AL52" s="91" t="str">
        <f t="shared" si="4"/>
        <v/>
      </c>
      <c r="AM52" s="93" t="str">
        <f t="shared" si="5"/>
        <v/>
      </c>
      <c r="AN52" s="162"/>
      <c r="AO52" s="107"/>
      <c r="AP52" s="163"/>
      <c r="AQ52" s="157" t="str">
        <f t="shared" si="6"/>
        <v/>
      </c>
      <c r="AR52" s="91" t="str">
        <f t="shared" si="7"/>
        <v/>
      </c>
      <c r="AS52" s="93" t="str">
        <f t="shared" si="8"/>
        <v/>
      </c>
      <c r="AT52" s="90" t="str">
        <f t="shared" si="9"/>
        <v/>
      </c>
      <c r="AU52" s="92" t="str">
        <f t="shared" si="10"/>
        <v/>
      </c>
      <c r="AV52" s="94" t="str">
        <f t="shared" si="20"/>
        <v/>
      </c>
      <c r="AW52" s="95" t="str">
        <f>IF(C52="","",IFERROR(_xlfn.XLOOKUP(AV52,HELPER!$C$8:$C$48,HELPER!$D$8:$D$48,,1),""))</f>
        <v/>
      </c>
      <c r="AX52" s="96" t="str">
        <f>IF(C52="","",IFERROR(_xlfn.XLOOKUP(AW52,HELPER!$F$8:$F$48,HELPER!$G$8:$G$48,,1),""))</f>
        <v/>
      </c>
      <c r="AY52" s="146"/>
      <c r="AZ52" s="148"/>
    </row>
    <row r="53" spans="1:52" ht="15" customHeight="1" x14ac:dyDescent="0.25">
      <c r="A53" s="146"/>
      <c r="B53" s="108">
        <v>35</v>
      </c>
      <c r="C53" s="355" t="str">
        <f>IF('INPUT DATA'!K45="","",'INPUT DATA'!K45)</f>
        <v/>
      </c>
      <c r="D53" s="356"/>
      <c r="E53" s="356"/>
      <c r="F53" s="243"/>
      <c r="G53" s="244"/>
      <c r="H53" s="244"/>
      <c r="I53" s="244"/>
      <c r="J53" s="245"/>
      <c r="K53" s="194" t="str">
        <f t="shared" si="11"/>
        <v/>
      </c>
      <c r="L53" s="170" t="str">
        <f t="shared" si="12"/>
        <v/>
      </c>
      <c r="M53" s="188" t="str">
        <f t="shared" si="13"/>
        <v/>
      </c>
      <c r="N53" s="99"/>
      <c r="O53" s="106"/>
      <c r="P53" s="106"/>
      <c r="Q53" s="106"/>
      <c r="R53" s="107"/>
      <c r="S53" s="217" t="str">
        <f t="shared" si="0"/>
        <v/>
      </c>
      <c r="T53" s="91" t="str">
        <f t="shared" si="1"/>
        <v/>
      </c>
      <c r="U53" s="218" t="str">
        <f t="shared" si="2"/>
        <v/>
      </c>
      <c r="V53" s="230"/>
      <c r="W53" s="226"/>
      <c r="X53" s="236"/>
      <c r="Y53" s="194" t="str">
        <f t="shared" si="14"/>
        <v/>
      </c>
      <c r="Z53" s="170" t="str">
        <f t="shared" si="15"/>
        <v/>
      </c>
      <c r="AA53" s="188" t="str">
        <f t="shared" si="16"/>
        <v/>
      </c>
      <c r="AB53" s="230"/>
      <c r="AC53" s="226"/>
      <c r="AD53" s="231"/>
      <c r="AE53" s="194" t="str">
        <f t="shared" si="17"/>
        <v/>
      </c>
      <c r="AF53" s="170" t="str">
        <f t="shared" si="18"/>
        <v/>
      </c>
      <c r="AG53" s="188" t="str">
        <f t="shared" si="19"/>
        <v/>
      </c>
      <c r="AH53" s="105"/>
      <c r="AI53" s="106"/>
      <c r="AJ53" s="107"/>
      <c r="AK53" s="90" t="str">
        <f t="shared" si="3"/>
        <v/>
      </c>
      <c r="AL53" s="91" t="str">
        <f t="shared" si="4"/>
        <v/>
      </c>
      <c r="AM53" s="93" t="str">
        <f t="shared" si="5"/>
        <v/>
      </c>
      <c r="AN53" s="162"/>
      <c r="AO53" s="107"/>
      <c r="AP53" s="163"/>
      <c r="AQ53" s="157" t="str">
        <f t="shared" si="6"/>
        <v/>
      </c>
      <c r="AR53" s="91" t="str">
        <f t="shared" si="7"/>
        <v/>
      </c>
      <c r="AS53" s="93" t="str">
        <f t="shared" si="8"/>
        <v/>
      </c>
      <c r="AT53" s="90" t="str">
        <f t="shared" si="9"/>
        <v/>
      </c>
      <c r="AU53" s="92" t="str">
        <f t="shared" si="10"/>
        <v/>
      </c>
      <c r="AV53" s="94" t="str">
        <f t="shared" si="20"/>
        <v/>
      </c>
      <c r="AW53" s="95" t="str">
        <f>IF(C53="","",IFERROR(_xlfn.XLOOKUP(AV53,HELPER!$C$8:$C$48,HELPER!$D$8:$D$48,,1),""))</f>
        <v/>
      </c>
      <c r="AX53" s="96" t="str">
        <f>IF(C53="","",IFERROR(_xlfn.XLOOKUP(AW53,HELPER!$F$8:$F$48,HELPER!$G$8:$G$48,,1),""))</f>
        <v/>
      </c>
      <c r="AY53" s="146"/>
      <c r="AZ53" s="148"/>
    </row>
    <row r="54" spans="1:52" ht="15" customHeight="1" x14ac:dyDescent="0.25">
      <c r="A54" s="146"/>
      <c r="B54" s="108">
        <v>36</v>
      </c>
      <c r="C54" s="355" t="str">
        <f>IF('INPUT DATA'!K46="","",'INPUT DATA'!K46)</f>
        <v/>
      </c>
      <c r="D54" s="356"/>
      <c r="E54" s="356"/>
      <c r="F54" s="243"/>
      <c r="G54" s="244"/>
      <c r="H54" s="244"/>
      <c r="I54" s="244"/>
      <c r="J54" s="245"/>
      <c r="K54" s="194" t="str">
        <f t="shared" si="11"/>
        <v/>
      </c>
      <c r="L54" s="170" t="str">
        <f t="shared" si="12"/>
        <v/>
      </c>
      <c r="M54" s="188" t="str">
        <f t="shared" si="13"/>
        <v/>
      </c>
      <c r="N54" s="99"/>
      <c r="O54" s="106"/>
      <c r="P54" s="106"/>
      <c r="Q54" s="106"/>
      <c r="R54" s="107"/>
      <c r="S54" s="217" t="str">
        <f t="shared" si="0"/>
        <v/>
      </c>
      <c r="T54" s="91" t="str">
        <f t="shared" si="1"/>
        <v/>
      </c>
      <c r="U54" s="218" t="str">
        <f t="shared" si="2"/>
        <v/>
      </c>
      <c r="V54" s="230"/>
      <c r="W54" s="226"/>
      <c r="X54" s="236"/>
      <c r="Y54" s="194" t="str">
        <f t="shared" si="14"/>
        <v/>
      </c>
      <c r="Z54" s="170" t="str">
        <f t="shared" si="15"/>
        <v/>
      </c>
      <c r="AA54" s="188" t="str">
        <f t="shared" si="16"/>
        <v/>
      </c>
      <c r="AB54" s="230"/>
      <c r="AC54" s="226"/>
      <c r="AD54" s="231"/>
      <c r="AE54" s="194" t="str">
        <f t="shared" si="17"/>
        <v/>
      </c>
      <c r="AF54" s="170" t="str">
        <f t="shared" si="18"/>
        <v/>
      </c>
      <c r="AG54" s="188" t="str">
        <f t="shared" si="19"/>
        <v/>
      </c>
      <c r="AH54" s="105"/>
      <c r="AI54" s="106"/>
      <c r="AJ54" s="107"/>
      <c r="AK54" s="90" t="str">
        <f t="shared" si="3"/>
        <v/>
      </c>
      <c r="AL54" s="91" t="str">
        <f t="shared" si="4"/>
        <v/>
      </c>
      <c r="AM54" s="93" t="str">
        <f t="shared" si="5"/>
        <v/>
      </c>
      <c r="AN54" s="162"/>
      <c r="AO54" s="107"/>
      <c r="AP54" s="163"/>
      <c r="AQ54" s="157" t="str">
        <f t="shared" si="6"/>
        <v/>
      </c>
      <c r="AR54" s="91" t="str">
        <f t="shared" si="7"/>
        <v/>
      </c>
      <c r="AS54" s="93" t="str">
        <f t="shared" si="8"/>
        <v/>
      </c>
      <c r="AT54" s="90" t="str">
        <f t="shared" si="9"/>
        <v/>
      </c>
      <c r="AU54" s="92" t="str">
        <f t="shared" si="10"/>
        <v/>
      </c>
      <c r="AV54" s="94" t="str">
        <f t="shared" si="20"/>
        <v/>
      </c>
      <c r="AW54" s="95" t="str">
        <f>IF(C54="","",IFERROR(_xlfn.XLOOKUP(AV54,HELPER!$C$8:$C$48,HELPER!$D$8:$D$48,,1),""))</f>
        <v/>
      </c>
      <c r="AX54" s="96" t="str">
        <f>IF(C54="","",IFERROR(_xlfn.XLOOKUP(AW54,HELPER!$F$8:$F$48,HELPER!$G$8:$G$48,,1),""))</f>
        <v/>
      </c>
      <c r="AY54" s="146"/>
      <c r="AZ54" s="148"/>
    </row>
    <row r="55" spans="1:52" ht="15" customHeight="1" x14ac:dyDescent="0.25">
      <c r="A55" s="146"/>
      <c r="B55" s="108">
        <v>37</v>
      </c>
      <c r="C55" s="355" t="str">
        <f>IF('INPUT DATA'!K47="","",'INPUT DATA'!K47)</f>
        <v/>
      </c>
      <c r="D55" s="356"/>
      <c r="E55" s="356"/>
      <c r="F55" s="243"/>
      <c r="G55" s="244"/>
      <c r="H55" s="244"/>
      <c r="I55" s="244"/>
      <c r="J55" s="245"/>
      <c r="K55" s="194" t="str">
        <f t="shared" si="11"/>
        <v/>
      </c>
      <c r="L55" s="170" t="str">
        <f t="shared" si="12"/>
        <v/>
      </c>
      <c r="M55" s="188" t="str">
        <f t="shared" si="13"/>
        <v/>
      </c>
      <c r="N55" s="99"/>
      <c r="O55" s="106"/>
      <c r="P55" s="106"/>
      <c r="Q55" s="106"/>
      <c r="R55" s="107"/>
      <c r="S55" s="217" t="str">
        <f t="shared" si="0"/>
        <v/>
      </c>
      <c r="T55" s="91" t="str">
        <f t="shared" si="1"/>
        <v/>
      </c>
      <c r="U55" s="218" t="str">
        <f t="shared" si="2"/>
        <v/>
      </c>
      <c r="V55" s="230"/>
      <c r="W55" s="226"/>
      <c r="X55" s="236"/>
      <c r="Y55" s="194" t="str">
        <f t="shared" si="14"/>
        <v/>
      </c>
      <c r="Z55" s="170" t="str">
        <f t="shared" si="15"/>
        <v/>
      </c>
      <c r="AA55" s="188" t="str">
        <f t="shared" si="16"/>
        <v/>
      </c>
      <c r="AB55" s="230"/>
      <c r="AC55" s="226"/>
      <c r="AD55" s="231"/>
      <c r="AE55" s="194" t="str">
        <f t="shared" si="17"/>
        <v/>
      </c>
      <c r="AF55" s="170" t="str">
        <f t="shared" si="18"/>
        <v/>
      </c>
      <c r="AG55" s="188" t="str">
        <f t="shared" si="19"/>
        <v/>
      </c>
      <c r="AH55" s="105"/>
      <c r="AI55" s="106"/>
      <c r="AJ55" s="107"/>
      <c r="AK55" s="90" t="str">
        <f t="shared" si="3"/>
        <v/>
      </c>
      <c r="AL55" s="91" t="str">
        <f t="shared" si="4"/>
        <v/>
      </c>
      <c r="AM55" s="93" t="str">
        <f t="shared" si="5"/>
        <v/>
      </c>
      <c r="AN55" s="162"/>
      <c r="AO55" s="107"/>
      <c r="AP55" s="163"/>
      <c r="AQ55" s="157" t="str">
        <f t="shared" si="6"/>
        <v/>
      </c>
      <c r="AR55" s="91" t="str">
        <f t="shared" si="7"/>
        <v/>
      </c>
      <c r="AS55" s="93" t="str">
        <f t="shared" si="8"/>
        <v/>
      </c>
      <c r="AT55" s="90" t="str">
        <f t="shared" si="9"/>
        <v/>
      </c>
      <c r="AU55" s="92" t="str">
        <f t="shared" si="10"/>
        <v/>
      </c>
      <c r="AV55" s="94" t="str">
        <f t="shared" si="20"/>
        <v/>
      </c>
      <c r="AW55" s="95" t="str">
        <f>IF(C55="","",IFERROR(_xlfn.XLOOKUP(AV55,HELPER!$C$8:$C$48,HELPER!$D$8:$D$48,,1),""))</f>
        <v/>
      </c>
      <c r="AX55" s="96" t="str">
        <f>IF(C55="","",IFERROR(_xlfn.XLOOKUP(AW55,HELPER!$F$8:$F$48,HELPER!$G$8:$G$48,,1),""))</f>
        <v/>
      </c>
      <c r="AY55" s="146"/>
      <c r="AZ55" s="148"/>
    </row>
    <row r="56" spans="1:52" ht="15" customHeight="1" x14ac:dyDescent="0.25">
      <c r="A56" s="146"/>
      <c r="B56" s="108">
        <v>38</v>
      </c>
      <c r="C56" s="355" t="str">
        <f>IF('INPUT DATA'!K48="","",'INPUT DATA'!K48)</f>
        <v/>
      </c>
      <c r="D56" s="356"/>
      <c r="E56" s="356"/>
      <c r="F56" s="243"/>
      <c r="G56" s="244"/>
      <c r="H56" s="244"/>
      <c r="I56" s="244"/>
      <c r="J56" s="245"/>
      <c r="K56" s="194" t="str">
        <f t="shared" si="11"/>
        <v/>
      </c>
      <c r="L56" s="170" t="str">
        <f t="shared" si="12"/>
        <v/>
      </c>
      <c r="M56" s="188" t="str">
        <f t="shared" si="13"/>
        <v/>
      </c>
      <c r="N56" s="99"/>
      <c r="O56" s="106"/>
      <c r="P56" s="106"/>
      <c r="Q56" s="106"/>
      <c r="R56" s="107"/>
      <c r="S56" s="217" t="str">
        <f t="shared" si="0"/>
        <v/>
      </c>
      <c r="T56" s="91" t="str">
        <f t="shared" si="1"/>
        <v/>
      </c>
      <c r="U56" s="218" t="str">
        <f t="shared" si="2"/>
        <v/>
      </c>
      <c r="V56" s="230"/>
      <c r="W56" s="226"/>
      <c r="X56" s="236"/>
      <c r="Y56" s="194" t="str">
        <f t="shared" si="14"/>
        <v/>
      </c>
      <c r="Z56" s="170" t="str">
        <f t="shared" si="15"/>
        <v/>
      </c>
      <c r="AA56" s="188" t="str">
        <f t="shared" si="16"/>
        <v/>
      </c>
      <c r="AB56" s="230"/>
      <c r="AC56" s="226"/>
      <c r="AD56" s="231"/>
      <c r="AE56" s="194" t="str">
        <f t="shared" si="17"/>
        <v/>
      </c>
      <c r="AF56" s="170" t="str">
        <f t="shared" si="18"/>
        <v/>
      </c>
      <c r="AG56" s="188" t="str">
        <f t="shared" si="19"/>
        <v/>
      </c>
      <c r="AH56" s="105"/>
      <c r="AI56" s="106"/>
      <c r="AJ56" s="107"/>
      <c r="AK56" s="90" t="str">
        <f t="shared" si="3"/>
        <v/>
      </c>
      <c r="AL56" s="91" t="str">
        <f t="shared" si="4"/>
        <v/>
      </c>
      <c r="AM56" s="93" t="str">
        <f t="shared" si="5"/>
        <v/>
      </c>
      <c r="AN56" s="162"/>
      <c r="AO56" s="107"/>
      <c r="AP56" s="163"/>
      <c r="AQ56" s="157" t="str">
        <f t="shared" si="6"/>
        <v/>
      </c>
      <c r="AR56" s="91" t="str">
        <f t="shared" si="7"/>
        <v/>
      </c>
      <c r="AS56" s="93" t="str">
        <f t="shared" si="8"/>
        <v/>
      </c>
      <c r="AT56" s="90" t="str">
        <f t="shared" si="9"/>
        <v/>
      </c>
      <c r="AU56" s="92" t="str">
        <f t="shared" si="10"/>
        <v/>
      </c>
      <c r="AV56" s="94" t="str">
        <f t="shared" si="20"/>
        <v/>
      </c>
      <c r="AW56" s="95" t="str">
        <f>IF(C56="","",IFERROR(_xlfn.XLOOKUP(AV56,HELPER!$C$8:$C$48,HELPER!$D$8:$D$48,,1),""))</f>
        <v/>
      </c>
      <c r="AX56" s="96" t="str">
        <f>IF(C56="","",IFERROR(_xlfn.XLOOKUP(AW56,HELPER!$F$8:$F$48,HELPER!$G$8:$G$48,,1),""))</f>
        <v/>
      </c>
      <c r="AY56" s="146"/>
      <c r="AZ56" s="148"/>
    </row>
    <row r="57" spans="1:52" ht="15" customHeight="1" x14ac:dyDescent="0.25">
      <c r="A57" s="146"/>
      <c r="B57" s="108">
        <v>39</v>
      </c>
      <c r="C57" s="355" t="str">
        <f>IF('INPUT DATA'!K49="","",'INPUT DATA'!K49)</f>
        <v/>
      </c>
      <c r="D57" s="356"/>
      <c r="E57" s="356"/>
      <c r="F57" s="243"/>
      <c r="G57" s="244"/>
      <c r="H57" s="244"/>
      <c r="I57" s="244"/>
      <c r="J57" s="245"/>
      <c r="K57" s="194" t="str">
        <f t="shared" si="11"/>
        <v/>
      </c>
      <c r="L57" s="170" t="str">
        <f t="shared" si="12"/>
        <v/>
      </c>
      <c r="M57" s="188" t="str">
        <f t="shared" si="13"/>
        <v/>
      </c>
      <c r="N57" s="99"/>
      <c r="O57" s="106"/>
      <c r="P57" s="106"/>
      <c r="Q57" s="106"/>
      <c r="R57" s="107"/>
      <c r="S57" s="217" t="str">
        <f t="shared" si="0"/>
        <v/>
      </c>
      <c r="T57" s="91" t="str">
        <f t="shared" si="1"/>
        <v/>
      </c>
      <c r="U57" s="218" t="str">
        <f t="shared" si="2"/>
        <v/>
      </c>
      <c r="V57" s="230"/>
      <c r="W57" s="226"/>
      <c r="X57" s="236"/>
      <c r="Y57" s="194" t="str">
        <f t="shared" si="14"/>
        <v/>
      </c>
      <c r="Z57" s="170" t="str">
        <f t="shared" si="15"/>
        <v/>
      </c>
      <c r="AA57" s="188" t="str">
        <f t="shared" si="16"/>
        <v/>
      </c>
      <c r="AB57" s="230"/>
      <c r="AC57" s="226"/>
      <c r="AD57" s="231"/>
      <c r="AE57" s="194" t="str">
        <f t="shared" si="17"/>
        <v/>
      </c>
      <c r="AF57" s="170" t="str">
        <f t="shared" si="18"/>
        <v/>
      </c>
      <c r="AG57" s="188" t="str">
        <f t="shared" si="19"/>
        <v/>
      </c>
      <c r="AH57" s="105"/>
      <c r="AI57" s="106"/>
      <c r="AJ57" s="107"/>
      <c r="AK57" s="90" t="str">
        <f t="shared" si="3"/>
        <v/>
      </c>
      <c r="AL57" s="91" t="str">
        <f t="shared" si="4"/>
        <v/>
      </c>
      <c r="AM57" s="93" t="str">
        <f t="shared" si="5"/>
        <v/>
      </c>
      <c r="AN57" s="162"/>
      <c r="AO57" s="107"/>
      <c r="AP57" s="163"/>
      <c r="AQ57" s="157" t="str">
        <f t="shared" si="6"/>
        <v/>
      </c>
      <c r="AR57" s="91" t="str">
        <f t="shared" si="7"/>
        <v/>
      </c>
      <c r="AS57" s="93" t="str">
        <f t="shared" si="8"/>
        <v/>
      </c>
      <c r="AT57" s="90" t="str">
        <f t="shared" si="9"/>
        <v/>
      </c>
      <c r="AU57" s="92" t="str">
        <f t="shared" si="10"/>
        <v/>
      </c>
      <c r="AV57" s="94" t="str">
        <f t="shared" si="20"/>
        <v/>
      </c>
      <c r="AW57" s="95" t="str">
        <f>IF(C57="","",IFERROR(_xlfn.XLOOKUP(AV57,HELPER!$C$8:$C$48,HELPER!$D$8:$D$48,,1),""))</f>
        <v/>
      </c>
      <c r="AX57" s="96" t="str">
        <f>IF(C57="","",IFERROR(_xlfn.XLOOKUP(AW57,HELPER!$F$8:$F$48,HELPER!$G$8:$G$48,,1),""))</f>
        <v/>
      </c>
      <c r="AY57" s="146"/>
      <c r="AZ57" s="148"/>
    </row>
    <row r="58" spans="1:52" ht="15" customHeight="1" x14ac:dyDescent="0.25">
      <c r="A58" s="146"/>
      <c r="B58" s="108">
        <v>40</v>
      </c>
      <c r="C58" s="355" t="str">
        <f>IF('INPUT DATA'!K50="","",'INPUT DATA'!K50)</f>
        <v/>
      </c>
      <c r="D58" s="356"/>
      <c r="E58" s="356"/>
      <c r="F58" s="243"/>
      <c r="G58" s="244"/>
      <c r="H58" s="244"/>
      <c r="I58" s="244"/>
      <c r="J58" s="245"/>
      <c r="K58" s="194" t="str">
        <f t="shared" si="11"/>
        <v/>
      </c>
      <c r="L58" s="170" t="str">
        <f t="shared" si="12"/>
        <v/>
      </c>
      <c r="M58" s="188" t="str">
        <f t="shared" si="13"/>
        <v/>
      </c>
      <c r="N58" s="99"/>
      <c r="O58" s="106"/>
      <c r="P58" s="106"/>
      <c r="Q58" s="106"/>
      <c r="R58" s="107"/>
      <c r="S58" s="217" t="str">
        <f t="shared" si="0"/>
        <v/>
      </c>
      <c r="T58" s="91" t="str">
        <f t="shared" si="1"/>
        <v/>
      </c>
      <c r="U58" s="218" t="str">
        <f t="shared" si="2"/>
        <v/>
      </c>
      <c r="V58" s="230"/>
      <c r="W58" s="226"/>
      <c r="X58" s="236"/>
      <c r="Y58" s="194" t="str">
        <f t="shared" si="14"/>
        <v/>
      </c>
      <c r="Z58" s="170" t="str">
        <f t="shared" si="15"/>
        <v/>
      </c>
      <c r="AA58" s="188" t="str">
        <f t="shared" si="16"/>
        <v/>
      </c>
      <c r="AB58" s="230"/>
      <c r="AC58" s="226"/>
      <c r="AD58" s="231"/>
      <c r="AE58" s="194" t="str">
        <f t="shared" si="17"/>
        <v/>
      </c>
      <c r="AF58" s="170" t="str">
        <f t="shared" si="18"/>
        <v/>
      </c>
      <c r="AG58" s="188" t="str">
        <f t="shared" si="19"/>
        <v/>
      </c>
      <c r="AH58" s="105"/>
      <c r="AI58" s="106"/>
      <c r="AJ58" s="107"/>
      <c r="AK58" s="90" t="str">
        <f t="shared" si="3"/>
        <v/>
      </c>
      <c r="AL58" s="91" t="str">
        <f t="shared" si="4"/>
        <v/>
      </c>
      <c r="AM58" s="93" t="str">
        <f t="shared" si="5"/>
        <v/>
      </c>
      <c r="AN58" s="162"/>
      <c r="AO58" s="107"/>
      <c r="AP58" s="163"/>
      <c r="AQ58" s="157" t="str">
        <f t="shared" si="6"/>
        <v/>
      </c>
      <c r="AR58" s="91" t="str">
        <f t="shared" si="7"/>
        <v/>
      </c>
      <c r="AS58" s="93" t="str">
        <f t="shared" si="8"/>
        <v/>
      </c>
      <c r="AT58" s="90" t="str">
        <f t="shared" si="9"/>
        <v/>
      </c>
      <c r="AU58" s="92" t="str">
        <f t="shared" si="10"/>
        <v/>
      </c>
      <c r="AV58" s="94" t="str">
        <f t="shared" si="20"/>
        <v/>
      </c>
      <c r="AW58" s="95" t="str">
        <f>IF(C58="","",IFERROR(_xlfn.XLOOKUP(AV58,HELPER!$C$8:$C$48,HELPER!$D$8:$D$48,,1),""))</f>
        <v/>
      </c>
      <c r="AX58" s="96" t="str">
        <f>IF(C58="","",IFERROR(_xlfn.XLOOKUP(AW58,HELPER!$F$8:$F$48,HELPER!$G$8:$G$48,,1),""))</f>
        <v/>
      </c>
      <c r="AY58" s="146"/>
      <c r="AZ58" s="148"/>
    </row>
    <row r="59" spans="1:52" ht="15" customHeight="1" x14ac:dyDescent="0.25">
      <c r="A59" s="146"/>
      <c r="B59" s="108">
        <v>41</v>
      </c>
      <c r="C59" s="355" t="str">
        <f>IF('INPUT DATA'!K51="","",'INPUT DATA'!K51)</f>
        <v/>
      </c>
      <c r="D59" s="356"/>
      <c r="E59" s="356"/>
      <c r="F59" s="243"/>
      <c r="G59" s="244"/>
      <c r="H59" s="244"/>
      <c r="I59" s="244"/>
      <c r="J59" s="245"/>
      <c r="K59" s="194" t="str">
        <f t="shared" si="11"/>
        <v/>
      </c>
      <c r="L59" s="170" t="str">
        <f t="shared" si="12"/>
        <v/>
      </c>
      <c r="M59" s="188" t="str">
        <f t="shared" si="13"/>
        <v/>
      </c>
      <c r="N59" s="99"/>
      <c r="O59" s="106"/>
      <c r="P59" s="106"/>
      <c r="Q59" s="106"/>
      <c r="R59" s="107"/>
      <c r="S59" s="217" t="str">
        <f t="shared" si="0"/>
        <v/>
      </c>
      <c r="T59" s="91" t="str">
        <f t="shared" si="1"/>
        <v/>
      </c>
      <c r="U59" s="218" t="str">
        <f t="shared" si="2"/>
        <v/>
      </c>
      <c r="V59" s="230"/>
      <c r="W59" s="226"/>
      <c r="X59" s="236"/>
      <c r="Y59" s="194" t="str">
        <f t="shared" si="14"/>
        <v/>
      </c>
      <c r="Z59" s="170" t="str">
        <f t="shared" si="15"/>
        <v/>
      </c>
      <c r="AA59" s="188" t="str">
        <f t="shared" si="16"/>
        <v/>
      </c>
      <c r="AB59" s="230"/>
      <c r="AC59" s="226"/>
      <c r="AD59" s="231"/>
      <c r="AE59" s="194" t="str">
        <f t="shared" si="17"/>
        <v/>
      </c>
      <c r="AF59" s="170" t="str">
        <f t="shared" si="18"/>
        <v/>
      </c>
      <c r="AG59" s="188" t="str">
        <f t="shared" si="19"/>
        <v/>
      </c>
      <c r="AH59" s="105"/>
      <c r="AI59" s="106"/>
      <c r="AJ59" s="107"/>
      <c r="AK59" s="90" t="str">
        <f t="shared" si="3"/>
        <v/>
      </c>
      <c r="AL59" s="91" t="str">
        <f t="shared" si="4"/>
        <v/>
      </c>
      <c r="AM59" s="93" t="str">
        <f t="shared" si="5"/>
        <v/>
      </c>
      <c r="AN59" s="162"/>
      <c r="AO59" s="107"/>
      <c r="AP59" s="163"/>
      <c r="AQ59" s="157" t="str">
        <f t="shared" si="6"/>
        <v/>
      </c>
      <c r="AR59" s="91" t="str">
        <f t="shared" si="7"/>
        <v/>
      </c>
      <c r="AS59" s="93" t="str">
        <f t="shared" si="8"/>
        <v/>
      </c>
      <c r="AT59" s="90" t="str">
        <f t="shared" si="9"/>
        <v/>
      </c>
      <c r="AU59" s="92" t="str">
        <f t="shared" si="10"/>
        <v/>
      </c>
      <c r="AV59" s="94" t="str">
        <f t="shared" si="20"/>
        <v/>
      </c>
      <c r="AW59" s="95" t="str">
        <f>IF(C59="","",IFERROR(_xlfn.XLOOKUP(AV59,HELPER!$C$8:$C$48,HELPER!$D$8:$D$48,,1),""))</f>
        <v/>
      </c>
      <c r="AX59" s="96" t="str">
        <f>IF(C59="","",IFERROR(_xlfn.XLOOKUP(AW59,HELPER!$F$8:$F$48,HELPER!$G$8:$G$48,,1),""))</f>
        <v/>
      </c>
      <c r="AY59" s="146"/>
      <c r="AZ59" s="148"/>
    </row>
    <row r="60" spans="1:52" ht="15" customHeight="1" x14ac:dyDescent="0.25">
      <c r="A60" s="146"/>
      <c r="B60" s="108">
        <v>42</v>
      </c>
      <c r="C60" s="355" t="str">
        <f>IF('INPUT DATA'!K52="","",'INPUT DATA'!K52)</f>
        <v/>
      </c>
      <c r="D60" s="356"/>
      <c r="E60" s="356"/>
      <c r="F60" s="243"/>
      <c r="G60" s="244"/>
      <c r="H60" s="244"/>
      <c r="I60" s="244"/>
      <c r="J60" s="245"/>
      <c r="K60" s="194" t="str">
        <f t="shared" si="11"/>
        <v/>
      </c>
      <c r="L60" s="170" t="str">
        <f t="shared" si="12"/>
        <v/>
      </c>
      <c r="M60" s="188" t="str">
        <f t="shared" si="13"/>
        <v/>
      </c>
      <c r="N60" s="99"/>
      <c r="O60" s="106"/>
      <c r="P60" s="106"/>
      <c r="Q60" s="106"/>
      <c r="R60" s="107"/>
      <c r="S60" s="217" t="str">
        <f t="shared" si="0"/>
        <v/>
      </c>
      <c r="T60" s="91" t="str">
        <f t="shared" si="1"/>
        <v/>
      </c>
      <c r="U60" s="218" t="str">
        <f t="shared" si="2"/>
        <v/>
      </c>
      <c r="V60" s="230"/>
      <c r="W60" s="226"/>
      <c r="X60" s="236"/>
      <c r="Y60" s="194" t="str">
        <f t="shared" si="14"/>
        <v/>
      </c>
      <c r="Z60" s="170" t="str">
        <f t="shared" si="15"/>
        <v/>
      </c>
      <c r="AA60" s="188" t="str">
        <f t="shared" si="16"/>
        <v/>
      </c>
      <c r="AB60" s="230"/>
      <c r="AC60" s="226"/>
      <c r="AD60" s="231"/>
      <c r="AE60" s="194" t="str">
        <f t="shared" si="17"/>
        <v/>
      </c>
      <c r="AF60" s="170" t="str">
        <f t="shared" si="18"/>
        <v/>
      </c>
      <c r="AG60" s="188" t="str">
        <f t="shared" si="19"/>
        <v/>
      </c>
      <c r="AH60" s="105"/>
      <c r="AI60" s="106"/>
      <c r="AJ60" s="107"/>
      <c r="AK60" s="90" t="str">
        <f t="shared" si="3"/>
        <v/>
      </c>
      <c r="AL60" s="91" t="str">
        <f t="shared" si="4"/>
        <v/>
      </c>
      <c r="AM60" s="93" t="str">
        <f t="shared" si="5"/>
        <v/>
      </c>
      <c r="AN60" s="162"/>
      <c r="AO60" s="107"/>
      <c r="AP60" s="163"/>
      <c r="AQ60" s="157" t="str">
        <f t="shared" si="6"/>
        <v/>
      </c>
      <c r="AR60" s="91" t="str">
        <f t="shared" si="7"/>
        <v/>
      </c>
      <c r="AS60" s="93" t="str">
        <f t="shared" si="8"/>
        <v/>
      </c>
      <c r="AT60" s="90" t="str">
        <f t="shared" si="9"/>
        <v/>
      </c>
      <c r="AU60" s="92" t="str">
        <f t="shared" si="10"/>
        <v/>
      </c>
      <c r="AV60" s="94" t="str">
        <f t="shared" si="20"/>
        <v/>
      </c>
      <c r="AW60" s="95" t="str">
        <f>IF(C60="","",IFERROR(_xlfn.XLOOKUP(AV60,HELPER!$C$8:$C$48,HELPER!$D$8:$D$48,,1),""))</f>
        <v/>
      </c>
      <c r="AX60" s="96" t="str">
        <f>IF(C60="","",IFERROR(_xlfn.XLOOKUP(AW60,HELPER!$F$8:$F$48,HELPER!$G$8:$G$48,,1),""))</f>
        <v/>
      </c>
      <c r="AY60" s="146"/>
      <c r="AZ60" s="148"/>
    </row>
    <row r="61" spans="1:52" ht="15" customHeight="1" x14ac:dyDescent="0.25">
      <c r="A61" s="146"/>
      <c r="B61" s="108">
        <v>43</v>
      </c>
      <c r="C61" s="355" t="str">
        <f>IF('INPUT DATA'!K53="","",'INPUT DATA'!K53)</f>
        <v/>
      </c>
      <c r="D61" s="356"/>
      <c r="E61" s="356"/>
      <c r="F61" s="243"/>
      <c r="G61" s="244"/>
      <c r="H61" s="244"/>
      <c r="I61" s="244"/>
      <c r="J61" s="245"/>
      <c r="K61" s="194" t="str">
        <f t="shared" si="11"/>
        <v/>
      </c>
      <c r="L61" s="170" t="str">
        <f t="shared" si="12"/>
        <v/>
      </c>
      <c r="M61" s="188" t="str">
        <f t="shared" si="13"/>
        <v/>
      </c>
      <c r="N61" s="99"/>
      <c r="O61" s="106"/>
      <c r="P61" s="106"/>
      <c r="Q61" s="106"/>
      <c r="R61" s="107"/>
      <c r="S61" s="217" t="str">
        <f t="shared" si="0"/>
        <v/>
      </c>
      <c r="T61" s="91" t="str">
        <f t="shared" si="1"/>
        <v/>
      </c>
      <c r="U61" s="218" t="str">
        <f t="shared" si="2"/>
        <v/>
      </c>
      <c r="V61" s="230"/>
      <c r="W61" s="226"/>
      <c r="X61" s="236"/>
      <c r="Y61" s="194" t="str">
        <f t="shared" si="14"/>
        <v/>
      </c>
      <c r="Z61" s="170" t="str">
        <f t="shared" si="15"/>
        <v/>
      </c>
      <c r="AA61" s="188" t="str">
        <f t="shared" si="16"/>
        <v/>
      </c>
      <c r="AB61" s="230"/>
      <c r="AC61" s="226"/>
      <c r="AD61" s="231"/>
      <c r="AE61" s="194" t="str">
        <f t="shared" si="17"/>
        <v/>
      </c>
      <c r="AF61" s="170" t="str">
        <f t="shared" si="18"/>
        <v/>
      </c>
      <c r="AG61" s="188" t="str">
        <f t="shared" si="19"/>
        <v/>
      </c>
      <c r="AH61" s="105"/>
      <c r="AI61" s="106"/>
      <c r="AJ61" s="107"/>
      <c r="AK61" s="90" t="str">
        <f t="shared" si="3"/>
        <v/>
      </c>
      <c r="AL61" s="91" t="str">
        <f t="shared" si="4"/>
        <v/>
      </c>
      <c r="AM61" s="93" t="str">
        <f t="shared" si="5"/>
        <v/>
      </c>
      <c r="AN61" s="162"/>
      <c r="AO61" s="107"/>
      <c r="AP61" s="163"/>
      <c r="AQ61" s="157" t="str">
        <f t="shared" si="6"/>
        <v/>
      </c>
      <c r="AR61" s="91" t="str">
        <f t="shared" si="7"/>
        <v/>
      </c>
      <c r="AS61" s="93" t="str">
        <f t="shared" si="8"/>
        <v/>
      </c>
      <c r="AT61" s="90" t="str">
        <f t="shared" si="9"/>
        <v/>
      </c>
      <c r="AU61" s="92" t="str">
        <f t="shared" si="10"/>
        <v/>
      </c>
      <c r="AV61" s="94" t="str">
        <f t="shared" si="20"/>
        <v/>
      </c>
      <c r="AW61" s="95" t="str">
        <f>IF(C61="","",IFERROR(_xlfn.XLOOKUP(AV61,HELPER!$C$8:$C$48,HELPER!$D$8:$D$48,,1),""))</f>
        <v/>
      </c>
      <c r="AX61" s="96" t="str">
        <f>IF(C61="","",IFERROR(_xlfn.XLOOKUP(AW61,HELPER!$F$8:$F$48,HELPER!$G$8:$G$48,,1),""))</f>
        <v/>
      </c>
      <c r="AY61" s="146"/>
      <c r="AZ61" s="148"/>
    </row>
    <row r="62" spans="1:52" ht="15" customHeight="1" x14ac:dyDescent="0.25">
      <c r="A62" s="146"/>
      <c r="B62" s="108">
        <v>44</v>
      </c>
      <c r="C62" s="355" t="str">
        <f>IF('INPUT DATA'!K54="","",'INPUT DATA'!K54)</f>
        <v/>
      </c>
      <c r="D62" s="356"/>
      <c r="E62" s="356"/>
      <c r="F62" s="243"/>
      <c r="G62" s="244"/>
      <c r="H62" s="244"/>
      <c r="I62" s="244"/>
      <c r="J62" s="245"/>
      <c r="K62" s="194" t="str">
        <f t="shared" si="11"/>
        <v/>
      </c>
      <c r="L62" s="170" t="str">
        <f t="shared" si="12"/>
        <v/>
      </c>
      <c r="M62" s="188" t="str">
        <f t="shared" si="13"/>
        <v/>
      </c>
      <c r="N62" s="99"/>
      <c r="O62" s="106"/>
      <c r="P62" s="106"/>
      <c r="Q62" s="106"/>
      <c r="R62" s="107"/>
      <c r="S62" s="217" t="str">
        <f t="shared" si="0"/>
        <v/>
      </c>
      <c r="T62" s="91" t="str">
        <f t="shared" si="1"/>
        <v/>
      </c>
      <c r="U62" s="218" t="str">
        <f t="shared" si="2"/>
        <v/>
      </c>
      <c r="V62" s="230"/>
      <c r="W62" s="226"/>
      <c r="X62" s="236"/>
      <c r="Y62" s="194" t="str">
        <f t="shared" si="14"/>
        <v/>
      </c>
      <c r="Z62" s="170" t="str">
        <f t="shared" si="15"/>
        <v/>
      </c>
      <c r="AA62" s="188" t="str">
        <f t="shared" si="16"/>
        <v/>
      </c>
      <c r="AB62" s="230"/>
      <c r="AC62" s="226"/>
      <c r="AD62" s="231"/>
      <c r="AE62" s="194" t="str">
        <f t="shared" si="17"/>
        <v/>
      </c>
      <c r="AF62" s="170" t="str">
        <f t="shared" si="18"/>
        <v/>
      </c>
      <c r="AG62" s="188" t="str">
        <f t="shared" si="19"/>
        <v/>
      </c>
      <c r="AH62" s="105"/>
      <c r="AI62" s="106"/>
      <c r="AJ62" s="107"/>
      <c r="AK62" s="90" t="str">
        <f t="shared" si="3"/>
        <v/>
      </c>
      <c r="AL62" s="91" t="str">
        <f t="shared" si="4"/>
        <v/>
      </c>
      <c r="AM62" s="93" t="str">
        <f t="shared" si="5"/>
        <v/>
      </c>
      <c r="AN62" s="162"/>
      <c r="AO62" s="107"/>
      <c r="AP62" s="163"/>
      <c r="AQ62" s="157" t="str">
        <f t="shared" si="6"/>
        <v/>
      </c>
      <c r="AR62" s="91" t="str">
        <f t="shared" si="7"/>
        <v/>
      </c>
      <c r="AS62" s="93" t="str">
        <f t="shared" si="8"/>
        <v/>
      </c>
      <c r="AT62" s="90" t="str">
        <f t="shared" si="9"/>
        <v/>
      </c>
      <c r="AU62" s="92" t="str">
        <f t="shared" si="10"/>
        <v/>
      </c>
      <c r="AV62" s="94" t="str">
        <f t="shared" si="20"/>
        <v/>
      </c>
      <c r="AW62" s="95" t="str">
        <f>IF(C62="","",IFERROR(_xlfn.XLOOKUP(AV62,HELPER!$C$8:$C$48,HELPER!$D$8:$D$48,,1),""))</f>
        <v/>
      </c>
      <c r="AX62" s="96" t="str">
        <f>IF(C62="","",IFERROR(_xlfn.XLOOKUP(AW62,HELPER!$F$8:$F$48,HELPER!$G$8:$G$48,,1),""))</f>
        <v/>
      </c>
      <c r="AY62" s="146"/>
      <c r="AZ62" s="148"/>
    </row>
    <row r="63" spans="1:52" ht="15" customHeight="1" x14ac:dyDescent="0.25">
      <c r="A63" s="146"/>
      <c r="B63" s="108">
        <v>45</v>
      </c>
      <c r="C63" s="355" t="str">
        <f>IF('INPUT DATA'!K55="","",'INPUT DATA'!K55)</f>
        <v/>
      </c>
      <c r="D63" s="356"/>
      <c r="E63" s="356"/>
      <c r="F63" s="243"/>
      <c r="G63" s="244"/>
      <c r="H63" s="244"/>
      <c r="I63" s="244"/>
      <c r="J63" s="245"/>
      <c r="K63" s="194" t="str">
        <f t="shared" si="11"/>
        <v/>
      </c>
      <c r="L63" s="170" t="str">
        <f t="shared" si="12"/>
        <v/>
      </c>
      <c r="M63" s="188" t="str">
        <f t="shared" si="13"/>
        <v/>
      </c>
      <c r="N63" s="99"/>
      <c r="O63" s="106"/>
      <c r="P63" s="106"/>
      <c r="Q63" s="106"/>
      <c r="R63" s="107"/>
      <c r="S63" s="217" t="str">
        <f t="shared" si="0"/>
        <v/>
      </c>
      <c r="T63" s="91" t="str">
        <f t="shared" si="1"/>
        <v/>
      </c>
      <c r="U63" s="218" t="str">
        <f t="shared" si="2"/>
        <v/>
      </c>
      <c r="V63" s="230"/>
      <c r="W63" s="226"/>
      <c r="X63" s="236"/>
      <c r="Y63" s="194" t="str">
        <f t="shared" si="14"/>
        <v/>
      </c>
      <c r="Z63" s="170" t="str">
        <f t="shared" si="15"/>
        <v/>
      </c>
      <c r="AA63" s="188" t="str">
        <f t="shared" si="16"/>
        <v/>
      </c>
      <c r="AB63" s="230"/>
      <c r="AC63" s="226"/>
      <c r="AD63" s="231"/>
      <c r="AE63" s="194" t="str">
        <f t="shared" si="17"/>
        <v/>
      </c>
      <c r="AF63" s="170" t="str">
        <f t="shared" si="18"/>
        <v/>
      </c>
      <c r="AG63" s="188" t="str">
        <f t="shared" si="19"/>
        <v/>
      </c>
      <c r="AH63" s="105"/>
      <c r="AI63" s="106"/>
      <c r="AJ63" s="107"/>
      <c r="AK63" s="90" t="str">
        <f t="shared" si="3"/>
        <v/>
      </c>
      <c r="AL63" s="91" t="str">
        <f t="shared" si="4"/>
        <v/>
      </c>
      <c r="AM63" s="93" t="str">
        <f t="shared" si="5"/>
        <v/>
      </c>
      <c r="AN63" s="162"/>
      <c r="AO63" s="107"/>
      <c r="AP63" s="163"/>
      <c r="AQ63" s="157" t="str">
        <f t="shared" si="6"/>
        <v/>
      </c>
      <c r="AR63" s="91" t="str">
        <f t="shared" si="7"/>
        <v/>
      </c>
      <c r="AS63" s="93" t="str">
        <f t="shared" si="8"/>
        <v/>
      </c>
      <c r="AT63" s="90" t="str">
        <f t="shared" si="9"/>
        <v/>
      </c>
      <c r="AU63" s="92" t="str">
        <f t="shared" si="10"/>
        <v/>
      </c>
      <c r="AV63" s="94" t="str">
        <f t="shared" si="20"/>
        <v/>
      </c>
      <c r="AW63" s="95" t="str">
        <f>IF(C63="","",IFERROR(_xlfn.XLOOKUP(AV63,HELPER!$C$8:$C$48,HELPER!$D$8:$D$48,,1),""))</f>
        <v/>
      </c>
      <c r="AX63" s="96" t="str">
        <f>IF(C63="","",IFERROR(_xlfn.XLOOKUP(AW63,HELPER!$F$8:$F$48,HELPER!$G$8:$G$48,,1),""))</f>
        <v/>
      </c>
      <c r="AY63" s="146"/>
      <c r="AZ63" s="148"/>
    </row>
    <row r="64" spans="1:52" ht="15" customHeight="1" x14ac:dyDescent="0.25">
      <c r="A64" s="146"/>
      <c r="B64" s="108">
        <v>46</v>
      </c>
      <c r="C64" s="355" t="str">
        <f>IF('INPUT DATA'!K56="","",'INPUT DATA'!K56)</f>
        <v/>
      </c>
      <c r="D64" s="356"/>
      <c r="E64" s="356"/>
      <c r="F64" s="243"/>
      <c r="G64" s="244"/>
      <c r="H64" s="244"/>
      <c r="I64" s="244"/>
      <c r="J64" s="245"/>
      <c r="K64" s="194" t="str">
        <f t="shared" si="11"/>
        <v/>
      </c>
      <c r="L64" s="170" t="str">
        <f t="shared" si="12"/>
        <v/>
      </c>
      <c r="M64" s="188" t="str">
        <f t="shared" si="13"/>
        <v/>
      </c>
      <c r="N64" s="99"/>
      <c r="O64" s="106"/>
      <c r="P64" s="106"/>
      <c r="Q64" s="106"/>
      <c r="R64" s="107"/>
      <c r="S64" s="217" t="str">
        <f t="shared" si="0"/>
        <v/>
      </c>
      <c r="T64" s="91" t="str">
        <f t="shared" si="1"/>
        <v/>
      </c>
      <c r="U64" s="218" t="str">
        <f t="shared" si="2"/>
        <v/>
      </c>
      <c r="V64" s="230"/>
      <c r="W64" s="226"/>
      <c r="X64" s="236"/>
      <c r="Y64" s="194" t="str">
        <f t="shared" si="14"/>
        <v/>
      </c>
      <c r="Z64" s="170" t="str">
        <f t="shared" si="15"/>
        <v/>
      </c>
      <c r="AA64" s="188" t="str">
        <f t="shared" si="16"/>
        <v/>
      </c>
      <c r="AB64" s="230"/>
      <c r="AC64" s="226"/>
      <c r="AD64" s="231"/>
      <c r="AE64" s="194" t="str">
        <f t="shared" si="17"/>
        <v/>
      </c>
      <c r="AF64" s="170" t="str">
        <f t="shared" si="18"/>
        <v/>
      </c>
      <c r="AG64" s="188" t="str">
        <f t="shared" si="19"/>
        <v/>
      </c>
      <c r="AH64" s="105"/>
      <c r="AI64" s="106"/>
      <c r="AJ64" s="107"/>
      <c r="AK64" s="90" t="str">
        <f t="shared" si="3"/>
        <v/>
      </c>
      <c r="AL64" s="91" t="str">
        <f t="shared" si="4"/>
        <v/>
      </c>
      <c r="AM64" s="93" t="str">
        <f t="shared" si="5"/>
        <v/>
      </c>
      <c r="AN64" s="162"/>
      <c r="AO64" s="107"/>
      <c r="AP64" s="163"/>
      <c r="AQ64" s="157" t="str">
        <f t="shared" si="6"/>
        <v/>
      </c>
      <c r="AR64" s="91" t="str">
        <f t="shared" si="7"/>
        <v/>
      </c>
      <c r="AS64" s="93" t="str">
        <f t="shared" si="8"/>
        <v/>
      </c>
      <c r="AT64" s="90" t="str">
        <f t="shared" si="9"/>
        <v/>
      </c>
      <c r="AU64" s="92" t="str">
        <f t="shared" si="10"/>
        <v/>
      </c>
      <c r="AV64" s="94" t="str">
        <f t="shared" si="20"/>
        <v/>
      </c>
      <c r="AW64" s="95" t="str">
        <f>IF(C64="","",IFERROR(_xlfn.XLOOKUP(AV64,HELPER!$C$8:$C$48,HELPER!$D$8:$D$48,,1),""))</f>
        <v/>
      </c>
      <c r="AX64" s="96" t="str">
        <f>IF(C64="","",IFERROR(_xlfn.XLOOKUP(AW64,HELPER!$F$8:$F$48,HELPER!$G$8:$G$48,,1),""))</f>
        <v/>
      </c>
      <c r="AY64" s="146"/>
      <c r="AZ64" s="148"/>
    </row>
    <row r="65" spans="1:52" ht="15" customHeight="1" x14ac:dyDescent="0.25">
      <c r="A65" s="146"/>
      <c r="B65" s="108">
        <v>47</v>
      </c>
      <c r="C65" s="355" t="str">
        <f>IF('INPUT DATA'!K57="","",'INPUT DATA'!K57)</f>
        <v/>
      </c>
      <c r="D65" s="356"/>
      <c r="E65" s="356"/>
      <c r="F65" s="243"/>
      <c r="G65" s="244"/>
      <c r="H65" s="244"/>
      <c r="I65" s="244"/>
      <c r="J65" s="245"/>
      <c r="K65" s="194" t="str">
        <f t="shared" si="11"/>
        <v/>
      </c>
      <c r="L65" s="170" t="str">
        <f t="shared" si="12"/>
        <v/>
      </c>
      <c r="M65" s="188" t="str">
        <f t="shared" si="13"/>
        <v/>
      </c>
      <c r="N65" s="99"/>
      <c r="O65" s="106"/>
      <c r="P65" s="106"/>
      <c r="Q65" s="106"/>
      <c r="R65" s="107"/>
      <c r="S65" s="217" t="str">
        <f t="shared" si="0"/>
        <v/>
      </c>
      <c r="T65" s="91" t="str">
        <f t="shared" si="1"/>
        <v/>
      </c>
      <c r="U65" s="218" t="str">
        <f t="shared" si="2"/>
        <v/>
      </c>
      <c r="V65" s="230"/>
      <c r="W65" s="226"/>
      <c r="X65" s="236"/>
      <c r="Y65" s="194" t="str">
        <f t="shared" si="14"/>
        <v/>
      </c>
      <c r="Z65" s="170" t="str">
        <f t="shared" si="15"/>
        <v/>
      </c>
      <c r="AA65" s="188" t="str">
        <f t="shared" si="16"/>
        <v/>
      </c>
      <c r="AB65" s="230"/>
      <c r="AC65" s="226"/>
      <c r="AD65" s="231"/>
      <c r="AE65" s="194" t="str">
        <f t="shared" si="17"/>
        <v/>
      </c>
      <c r="AF65" s="170" t="str">
        <f t="shared" si="18"/>
        <v/>
      </c>
      <c r="AG65" s="188" t="str">
        <f t="shared" si="19"/>
        <v/>
      </c>
      <c r="AH65" s="105"/>
      <c r="AI65" s="106"/>
      <c r="AJ65" s="107"/>
      <c r="AK65" s="90" t="str">
        <f t="shared" si="3"/>
        <v/>
      </c>
      <c r="AL65" s="91" t="str">
        <f t="shared" si="4"/>
        <v/>
      </c>
      <c r="AM65" s="93" t="str">
        <f t="shared" si="5"/>
        <v/>
      </c>
      <c r="AN65" s="162"/>
      <c r="AO65" s="107"/>
      <c r="AP65" s="163"/>
      <c r="AQ65" s="157" t="str">
        <f t="shared" si="6"/>
        <v/>
      </c>
      <c r="AR65" s="91" t="str">
        <f t="shared" si="7"/>
        <v/>
      </c>
      <c r="AS65" s="93" t="str">
        <f t="shared" si="8"/>
        <v/>
      </c>
      <c r="AT65" s="90" t="str">
        <f t="shared" si="9"/>
        <v/>
      </c>
      <c r="AU65" s="92" t="str">
        <f t="shared" si="10"/>
        <v/>
      </c>
      <c r="AV65" s="94" t="str">
        <f t="shared" si="20"/>
        <v/>
      </c>
      <c r="AW65" s="95" t="str">
        <f>IF(C65="","",IFERROR(_xlfn.XLOOKUP(AV65,HELPER!$C$8:$C$48,HELPER!$D$8:$D$48,,1),""))</f>
        <v/>
      </c>
      <c r="AX65" s="96" t="str">
        <f>IF(C65="","",IFERROR(_xlfn.XLOOKUP(AW65,HELPER!$F$8:$F$48,HELPER!$G$8:$G$48,,1),""))</f>
        <v/>
      </c>
      <c r="AY65" s="146"/>
      <c r="AZ65" s="148"/>
    </row>
    <row r="66" spans="1:52" ht="15" customHeight="1" x14ac:dyDescent="0.25">
      <c r="A66" s="146"/>
      <c r="B66" s="108">
        <v>48</v>
      </c>
      <c r="C66" s="355" t="str">
        <f>IF('INPUT DATA'!K58="","",'INPUT DATA'!K58)</f>
        <v/>
      </c>
      <c r="D66" s="356"/>
      <c r="E66" s="356"/>
      <c r="F66" s="243"/>
      <c r="G66" s="244"/>
      <c r="H66" s="244"/>
      <c r="I66" s="244"/>
      <c r="J66" s="245"/>
      <c r="K66" s="194" t="str">
        <f t="shared" si="11"/>
        <v/>
      </c>
      <c r="L66" s="170" t="str">
        <f t="shared" si="12"/>
        <v/>
      </c>
      <c r="M66" s="188" t="str">
        <f t="shared" si="13"/>
        <v/>
      </c>
      <c r="N66" s="99"/>
      <c r="O66" s="106"/>
      <c r="P66" s="106"/>
      <c r="Q66" s="106"/>
      <c r="R66" s="107"/>
      <c r="S66" s="217" t="str">
        <f t="shared" si="0"/>
        <v/>
      </c>
      <c r="T66" s="91" t="str">
        <f t="shared" si="1"/>
        <v/>
      </c>
      <c r="U66" s="218" t="str">
        <f t="shared" si="2"/>
        <v/>
      </c>
      <c r="V66" s="230"/>
      <c r="W66" s="226"/>
      <c r="X66" s="236"/>
      <c r="Y66" s="194" t="str">
        <f t="shared" si="14"/>
        <v/>
      </c>
      <c r="Z66" s="170" t="str">
        <f t="shared" si="15"/>
        <v/>
      </c>
      <c r="AA66" s="188" t="str">
        <f t="shared" si="16"/>
        <v/>
      </c>
      <c r="AB66" s="230"/>
      <c r="AC66" s="226"/>
      <c r="AD66" s="231"/>
      <c r="AE66" s="194" t="str">
        <f t="shared" si="17"/>
        <v/>
      </c>
      <c r="AF66" s="170" t="str">
        <f t="shared" si="18"/>
        <v/>
      </c>
      <c r="AG66" s="188" t="str">
        <f t="shared" si="19"/>
        <v/>
      </c>
      <c r="AH66" s="105"/>
      <c r="AI66" s="106"/>
      <c r="AJ66" s="107"/>
      <c r="AK66" s="90" t="str">
        <f t="shared" si="3"/>
        <v/>
      </c>
      <c r="AL66" s="91" t="str">
        <f t="shared" si="4"/>
        <v/>
      </c>
      <c r="AM66" s="93" t="str">
        <f t="shared" si="5"/>
        <v/>
      </c>
      <c r="AN66" s="162"/>
      <c r="AO66" s="107"/>
      <c r="AP66" s="163"/>
      <c r="AQ66" s="157" t="str">
        <f t="shared" si="6"/>
        <v/>
      </c>
      <c r="AR66" s="91" t="str">
        <f t="shared" si="7"/>
        <v/>
      </c>
      <c r="AS66" s="93" t="str">
        <f t="shared" si="8"/>
        <v/>
      </c>
      <c r="AT66" s="90" t="str">
        <f t="shared" si="9"/>
        <v/>
      </c>
      <c r="AU66" s="92" t="str">
        <f t="shared" si="10"/>
        <v/>
      </c>
      <c r="AV66" s="94" t="str">
        <f t="shared" si="20"/>
        <v/>
      </c>
      <c r="AW66" s="95" t="str">
        <f>IF(C66="","",IFERROR(_xlfn.XLOOKUP(AV66,HELPER!$C$8:$C$48,HELPER!$D$8:$D$48,,1),""))</f>
        <v/>
      </c>
      <c r="AX66" s="96" t="str">
        <f>IF(C66="","",IFERROR(_xlfn.XLOOKUP(AW66,HELPER!$F$8:$F$48,HELPER!$G$8:$G$48,,1),""))</f>
        <v/>
      </c>
      <c r="AY66" s="146"/>
      <c r="AZ66" s="148"/>
    </row>
    <row r="67" spans="1:52" ht="15" customHeight="1" x14ac:dyDescent="0.25">
      <c r="A67" s="146"/>
      <c r="B67" s="108">
        <v>49</v>
      </c>
      <c r="C67" s="355" t="str">
        <f>IF('INPUT DATA'!K59="","",'INPUT DATA'!K59)</f>
        <v/>
      </c>
      <c r="D67" s="356"/>
      <c r="E67" s="356"/>
      <c r="F67" s="243"/>
      <c r="G67" s="244"/>
      <c r="H67" s="244"/>
      <c r="I67" s="244"/>
      <c r="J67" s="245"/>
      <c r="K67" s="194" t="str">
        <f t="shared" si="11"/>
        <v/>
      </c>
      <c r="L67" s="170" t="str">
        <f t="shared" si="12"/>
        <v/>
      </c>
      <c r="M67" s="188" t="str">
        <f t="shared" si="13"/>
        <v/>
      </c>
      <c r="N67" s="99"/>
      <c r="O67" s="106"/>
      <c r="P67" s="106"/>
      <c r="Q67" s="106"/>
      <c r="R67" s="107"/>
      <c r="S67" s="217" t="str">
        <f t="shared" si="0"/>
        <v/>
      </c>
      <c r="T67" s="91" t="str">
        <f t="shared" si="1"/>
        <v/>
      </c>
      <c r="U67" s="218" t="str">
        <f t="shared" si="2"/>
        <v/>
      </c>
      <c r="V67" s="230"/>
      <c r="W67" s="226"/>
      <c r="X67" s="236"/>
      <c r="Y67" s="194" t="str">
        <f t="shared" si="14"/>
        <v/>
      </c>
      <c r="Z67" s="170" t="str">
        <f t="shared" si="15"/>
        <v/>
      </c>
      <c r="AA67" s="188" t="str">
        <f t="shared" si="16"/>
        <v/>
      </c>
      <c r="AB67" s="230"/>
      <c r="AC67" s="226"/>
      <c r="AD67" s="231"/>
      <c r="AE67" s="194" t="str">
        <f t="shared" si="17"/>
        <v/>
      </c>
      <c r="AF67" s="170" t="str">
        <f t="shared" si="18"/>
        <v/>
      </c>
      <c r="AG67" s="188" t="str">
        <f t="shared" si="19"/>
        <v/>
      </c>
      <c r="AH67" s="105"/>
      <c r="AI67" s="106"/>
      <c r="AJ67" s="107"/>
      <c r="AK67" s="90" t="str">
        <f t="shared" si="3"/>
        <v/>
      </c>
      <c r="AL67" s="91" t="str">
        <f t="shared" si="4"/>
        <v/>
      </c>
      <c r="AM67" s="93" t="str">
        <f t="shared" si="5"/>
        <v/>
      </c>
      <c r="AN67" s="162"/>
      <c r="AO67" s="107"/>
      <c r="AP67" s="163"/>
      <c r="AQ67" s="157" t="str">
        <f t="shared" si="6"/>
        <v/>
      </c>
      <c r="AR67" s="91" t="str">
        <f t="shared" si="7"/>
        <v/>
      </c>
      <c r="AS67" s="93" t="str">
        <f t="shared" si="8"/>
        <v/>
      </c>
      <c r="AT67" s="90" t="str">
        <f t="shared" si="9"/>
        <v/>
      </c>
      <c r="AU67" s="92" t="str">
        <f t="shared" si="10"/>
        <v/>
      </c>
      <c r="AV67" s="94" t="str">
        <f t="shared" si="20"/>
        <v/>
      </c>
      <c r="AW67" s="95" t="str">
        <f>IF(C67="","",IFERROR(_xlfn.XLOOKUP(AV67,HELPER!$C$8:$C$48,HELPER!$D$8:$D$48,,1),""))</f>
        <v/>
      </c>
      <c r="AX67" s="96" t="str">
        <f>IF(C67="","",IFERROR(_xlfn.XLOOKUP(AW67,HELPER!$F$8:$F$48,HELPER!$G$8:$G$48,,1),""))</f>
        <v/>
      </c>
      <c r="AY67" s="146"/>
      <c r="AZ67" s="148"/>
    </row>
    <row r="68" spans="1:52" ht="15" customHeight="1" thickBot="1" x14ac:dyDescent="0.3">
      <c r="A68" s="146"/>
      <c r="B68" s="108">
        <v>50</v>
      </c>
      <c r="C68" s="355" t="str">
        <f>IF('INPUT DATA'!K60="","",'INPUT DATA'!K60)</f>
        <v/>
      </c>
      <c r="D68" s="356"/>
      <c r="E68" s="356"/>
      <c r="F68" s="246"/>
      <c r="G68" s="247"/>
      <c r="H68" s="247"/>
      <c r="I68" s="247"/>
      <c r="J68" s="248"/>
      <c r="K68" s="195" t="str">
        <f t="shared" si="11"/>
        <v/>
      </c>
      <c r="L68" s="189" t="str">
        <f t="shared" si="12"/>
        <v/>
      </c>
      <c r="M68" s="190" t="str">
        <f t="shared" si="13"/>
        <v/>
      </c>
      <c r="N68" s="99"/>
      <c r="O68" s="106"/>
      <c r="P68" s="106"/>
      <c r="Q68" s="106"/>
      <c r="R68" s="107"/>
      <c r="S68" s="219" t="str">
        <f t="shared" si="0"/>
        <v/>
      </c>
      <c r="T68" s="220" t="str">
        <f t="shared" si="1"/>
        <v/>
      </c>
      <c r="U68" s="221" t="str">
        <f t="shared" si="2"/>
        <v/>
      </c>
      <c r="V68" s="232"/>
      <c r="W68" s="233"/>
      <c r="X68" s="237"/>
      <c r="Y68" s="195" t="str">
        <f t="shared" si="14"/>
        <v/>
      </c>
      <c r="Z68" s="189" t="str">
        <f t="shared" si="15"/>
        <v/>
      </c>
      <c r="AA68" s="190" t="str">
        <f t="shared" si="16"/>
        <v/>
      </c>
      <c r="AB68" s="232"/>
      <c r="AC68" s="233"/>
      <c r="AD68" s="234"/>
      <c r="AE68" s="195" t="str">
        <f t="shared" si="17"/>
        <v/>
      </c>
      <c r="AF68" s="189" t="str">
        <f t="shared" si="18"/>
        <v/>
      </c>
      <c r="AG68" s="190" t="str">
        <f t="shared" si="19"/>
        <v/>
      </c>
      <c r="AH68" s="105"/>
      <c r="AI68" s="106"/>
      <c r="AJ68" s="107"/>
      <c r="AK68" s="90" t="str">
        <f t="shared" si="3"/>
        <v/>
      </c>
      <c r="AL68" s="91" t="str">
        <f t="shared" si="4"/>
        <v/>
      </c>
      <c r="AM68" s="93" t="str">
        <f t="shared" si="5"/>
        <v/>
      </c>
      <c r="AN68" s="164"/>
      <c r="AO68" s="165"/>
      <c r="AP68" s="166"/>
      <c r="AQ68" s="157" t="str">
        <f t="shared" si="6"/>
        <v/>
      </c>
      <c r="AR68" s="91" t="str">
        <f t="shared" si="7"/>
        <v/>
      </c>
      <c r="AS68" s="93" t="str">
        <f t="shared" si="8"/>
        <v/>
      </c>
      <c r="AT68" s="90" t="str">
        <f t="shared" si="9"/>
        <v/>
      </c>
      <c r="AU68" s="92" t="str">
        <f t="shared" si="10"/>
        <v/>
      </c>
      <c r="AV68" s="94" t="str">
        <f t="shared" si="20"/>
        <v/>
      </c>
      <c r="AW68" s="95" t="str">
        <f>IF(C68="","",IFERROR(_xlfn.XLOOKUP(AV68,HELPER!$C$8:$C$48,HELPER!$D$8:$D$48,,1),""))</f>
        <v/>
      </c>
      <c r="AX68" s="96" t="str">
        <f>IF(C68="","",IFERROR(_xlfn.XLOOKUP(AW68,HELPER!$F$8:$F$48,HELPER!$G$8:$G$48,,1),""))</f>
        <v/>
      </c>
      <c r="AY68" s="146"/>
      <c r="AZ68" s="148"/>
    </row>
    <row r="69" spans="1:52" ht="14.4" thickBot="1" x14ac:dyDescent="0.3">
      <c r="A69" s="146"/>
      <c r="B69" s="357" t="s">
        <v>9</v>
      </c>
      <c r="C69" s="358"/>
      <c r="D69" s="358"/>
      <c r="E69" s="358"/>
      <c r="F69" s="359"/>
      <c r="G69" s="359"/>
      <c r="H69" s="359"/>
      <c r="I69" s="359"/>
      <c r="J69" s="359"/>
      <c r="K69" s="359"/>
      <c r="L69" s="359"/>
      <c r="M69" s="359"/>
      <c r="N69" s="358"/>
      <c r="O69" s="358"/>
      <c r="P69" s="358"/>
      <c r="Q69" s="358"/>
      <c r="R69" s="358"/>
      <c r="S69" s="359"/>
      <c r="T69" s="359"/>
      <c r="U69" s="359"/>
      <c r="V69" s="359"/>
      <c r="W69" s="359"/>
      <c r="X69" s="359"/>
      <c r="Y69" s="359"/>
      <c r="Z69" s="359"/>
      <c r="AA69" s="359"/>
      <c r="AB69" s="359"/>
      <c r="AC69" s="359"/>
      <c r="AD69" s="359"/>
      <c r="AE69" s="359"/>
      <c r="AF69" s="359"/>
      <c r="AG69" s="359"/>
      <c r="AH69" s="358"/>
      <c r="AI69" s="358"/>
      <c r="AJ69" s="358"/>
      <c r="AK69" s="358"/>
      <c r="AL69" s="358"/>
      <c r="AM69" s="358"/>
      <c r="AN69" s="359"/>
      <c r="AO69" s="359"/>
      <c r="AP69" s="359"/>
      <c r="AQ69" s="358"/>
      <c r="AR69" s="358"/>
      <c r="AS69" s="358"/>
      <c r="AT69" s="358"/>
      <c r="AU69" s="358"/>
      <c r="AV69" s="360"/>
      <c r="AW69" s="358"/>
      <c r="AX69" s="361"/>
      <c r="AY69" s="146"/>
      <c r="AZ69" s="148"/>
    </row>
    <row r="70" spans="1:52" ht="15" customHeight="1" x14ac:dyDescent="0.25">
      <c r="A70" s="146"/>
      <c r="B70" s="109">
        <v>1</v>
      </c>
      <c r="C70" s="353" t="str">
        <f>IF('INPUT DATA'!N11="","",'INPUT DATA'!N11)</f>
        <v/>
      </c>
      <c r="D70" s="354"/>
      <c r="E70" s="354"/>
      <c r="F70" s="197"/>
      <c r="G70" s="198"/>
      <c r="H70" s="198"/>
      <c r="I70" s="198"/>
      <c r="J70" s="199"/>
      <c r="K70" s="196" t="str">
        <f t="shared" si="11"/>
        <v/>
      </c>
      <c r="L70" s="186" t="str">
        <f t="shared" si="12"/>
        <v/>
      </c>
      <c r="M70" s="187" t="str">
        <f t="shared" si="13"/>
        <v/>
      </c>
      <c r="N70" s="99"/>
      <c r="O70" s="100"/>
      <c r="P70" s="101"/>
      <c r="Q70" s="101"/>
      <c r="R70" s="102"/>
      <c r="S70" s="214" t="str">
        <f t="shared" ref="S70:S119" si="21">IF(COUNT($N70:$R70)=0,"",SUM($N70:$R70))</f>
        <v/>
      </c>
      <c r="T70" s="215" t="str">
        <f t="shared" ref="T70:T119" si="22">IF(ISERROR(IF($S70="","",ROUND(($S70/$S$16)*$T$16,2))),"",IF($S70="","",ROUND(($S70/$S$16)*$T$16,2)))</f>
        <v/>
      </c>
      <c r="U70" s="216" t="str">
        <f t="shared" ref="U70:U119" si="23">IF($T70="","",ROUND($T70*$U$16,2))</f>
        <v/>
      </c>
      <c r="V70" s="227"/>
      <c r="W70" s="228"/>
      <c r="X70" s="229"/>
      <c r="Y70" s="196" t="str">
        <f t="shared" si="14"/>
        <v/>
      </c>
      <c r="Z70" s="186" t="str">
        <f t="shared" si="15"/>
        <v/>
      </c>
      <c r="AA70" s="187" t="str">
        <f t="shared" si="16"/>
        <v/>
      </c>
      <c r="AB70" s="227"/>
      <c r="AC70" s="228"/>
      <c r="AD70" s="229"/>
      <c r="AE70" s="196" t="str">
        <f t="shared" si="17"/>
        <v/>
      </c>
      <c r="AF70" s="186" t="str">
        <f t="shared" si="18"/>
        <v/>
      </c>
      <c r="AG70" s="187" t="str">
        <f t="shared" si="19"/>
        <v/>
      </c>
      <c r="AH70" s="103"/>
      <c r="AI70" s="101"/>
      <c r="AJ70" s="102"/>
      <c r="AK70" s="87" t="str">
        <f t="shared" ref="AK70:AK119" si="24">IF(COUNT($AH70:$AJ70)=0,"",SUM($AH70:$AJ70))</f>
        <v/>
      </c>
      <c r="AL70" s="88" t="str">
        <f t="shared" ref="AL70:AL119" si="25">IF(ISERROR(IF($AK70="","",ROUND(($AK70/$AK$16)*$AL$16,2))),"",IF($AK70="","",ROUND(($AK70/$AK$16)*$AL$16,2)))</f>
        <v/>
      </c>
      <c r="AM70" s="158" t="str">
        <f t="shared" ref="AM70:AM119" si="26">IF($AL70="","",ROUND($AL70*$AM$16,2))</f>
        <v/>
      </c>
      <c r="AN70" s="159"/>
      <c r="AO70" s="160"/>
      <c r="AP70" s="161"/>
      <c r="AQ70" s="157" t="str">
        <f t="shared" ref="AQ70:AQ119" si="27">IFERROR(IF(AN70="","",ROUND(AN70/$AN$16*$AQ$16,2)),"")</f>
        <v/>
      </c>
      <c r="AR70" s="91" t="str">
        <f t="shared" ref="AR70:AR119" si="28">IFERROR(IF(AO70="","",ROUND(AO70/$AO$16*$AR$16,2)),"")</f>
        <v/>
      </c>
      <c r="AS70" s="93" t="str">
        <f t="shared" ref="AS70:AS119" si="29">IFERROR(IF(AP70="","",ROUND(AP70/$AP$16*$AS$16,2)),"")</f>
        <v/>
      </c>
      <c r="AT70" s="87" t="str">
        <f t="shared" ref="AT70:AT119" si="30">IF(COUNT($AQ70:$AS70)=0,"",SUM($AQ70:$AS70))</f>
        <v/>
      </c>
      <c r="AU70" s="158" t="str">
        <f t="shared" ref="AU70:AU119" si="31">IFERROR(IF(AT70="","",ROUND(AT70*$AU$16,2)),"")</f>
        <v/>
      </c>
      <c r="AV70" s="240" t="str">
        <f t="shared" si="20"/>
        <v/>
      </c>
      <c r="AW70" s="238" t="str">
        <f>IF(C70="","",IFERROR(_xlfn.XLOOKUP(AV70,HELPER!$C$8:$C$48,HELPER!$D$8:$D$48,,1),""))</f>
        <v/>
      </c>
      <c r="AX70" s="97" t="str">
        <f>IF(C70="","",IFERROR(_xlfn.XLOOKUP(AW70,HELPER!$F$8:$F$48,HELPER!$G$8:$G$48,,1),""))</f>
        <v/>
      </c>
      <c r="AY70" s="146"/>
      <c r="AZ70" s="148"/>
    </row>
    <row r="71" spans="1:52" ht="15" customHeight="1" x14ac:dyDescent="0.25">
      <c r="A71" s="146"/>
      <c r="B71" s="110">
        <v>2</v>
      </c>
      <c r="C71" s="346" t="str">
        <f>IF('INPUT DATA'!N12="","",'INPUT DATA'!N12)</f>
        <v/>
      </c>
      <c r="D71" s="347"/>
      <c r="E71" s="347"/>
      <c r="F71" s="200"/>
      <c r="G71" s="201"/>
      <c r="H71" s="201"/>
      <c r="I71" s="201"/>
      <c r="J71" s="202"/>
      <c r="K71" s="194" t="str">
        <f t="shared" si="11"/>
        <v/>
      </c>
      <c r="L71" s="170" t="str">
        <f t="shared" si="12"/>
        <v/>
      </c>
      <c r="M71" s="188" t="str">
        <f t="shared" si="13"/>
        <v/>
      </c>
      <c r="N71" s="105"/>
      <c r="O71" s="106"/>
      <c r="P71" s="106"/>
      <c r="Q71" s="106"/>
      <c r="R71" s="107"/>
      <c r="S71" s="217" t="str">
        <f t="shared" si="21"/>
        <v/>
      </c>
      <c r="T71" s="91" t="str">
        <f t="shared" si="22"/>
        <v/>
      </c>
      <c r="U71" s="218" t="str">
        <f t="shared" si="23"/>
        <v/>
      </c>
      <c r="V71" s="230"/>
      <c r="W71" s="226"/>
      <c r="X71" s="231"/>
      <c r="Y71" s="194" t="str">
        <f t="shared" si="14"/>
        <v/>
      </c>
      <c r="Z71" s="170" t="str">
        <f t="shared" si="15"/>
        <v/>
      </c>
      <c r="AA71" s="188" t="str">
        <f t="shared" si="16"/>
        <v/>
      </c>
      <c r="AB71" s="230"/>
      <c r="AC71" s="226"/>
      <c r="AD71" s="231"/>
      <c r="AE71" s="194" t="str">
        <f t="shared" si="17"/>
        <v/>
      </c>
      <c r="AF71" s="170" t="str">
        <f t="shared" si="18"/>
        <v/>
      </c>
      <c r="AG71" s="188" t="str">
        <f t="shared" si="19"/>
        <v/>
      </c>
      <c r="AH71" s="105"/>
      <c r="AI71" s="106"/>
      <c r="AJ71" s="107"/>
      <c r="AK71" s="90" t="str">
        <f t="shared" si="24"/>
        <v/>
      </c>
      <c r="AL71" s="91" t="str">
        <f t="shared" si="25"/>
        <v/>
      </c>
      <c r="AM71" s="93" t="str">
        <f t="shared" si="26"/>
        <v/>
      </c>
      <c r="AN71" s="162"/>
      <c r="AO71" s="107"/>
      <c r="AP71" s="163"/>
      <c r="AQ71" s="157" t="str">
        <f t="shared" si="27"/>
        <v/>
      </c>
      <c r="AR71" s="91" t="str">
        <f t="shared" si="28"/>
        <v/>
      </c>
      <c r="AS71" s="93" t="str">
        <f t="shared" si="29"/>
        <v/>
      </c>
      <c r="AT71" s="90" t="str">
        <f t="shared" si="30"/>
        <v/>
      </c>
      <c r="AU71" s="93" t="str">
        <f t="shared" si="31"/>
        <v/>
      </c>
      <c r="AV71" s="241" t="str">
        <f t="shared" si="20"/>
        <v/>
      </c>
      <c r="AW71" s="238" t="str">
        <f>IF(C71="","",IFERROR(_xlfn.XLOOKUP(AV71,HELPER!$C$8:$C$48,HELPER!$D$8:$D$48,,1),""))</f>
        <v/>
      </c>
      <c r="AX71" s="96" t="str">
        <f>IF(C71="","",IFERROR(_xlfn.XLOOKUP(AW71,HELPER!$F$8:$F$48,HELPER!$G$8:$G$48,,1),""))</f>
        <v/>
      </c>
      <c r="AY71" s="146"/>
      <c r="AZ71" s="148"/>
    </row>
    <row r="72" spans="1:52" ht="15" customHeight="1" x14ac:dyDescent="0.25">
      <c r="A72" s="146"/>
      <c r="B72" s="110">
        <v>3</v>
      </c>
      <c r="C72" s="346" t="str">
        <f>IF('INPUT DATA'!N13="","",'INPUT DATA'!N13)</f>
        <v/>
      </c>
      <c r="D72" s="347"/>
      <c r="E72" s="347"/>
      <c r="F72" s="200"/>
      <c r="G72" s="201"/>
      <c r="H72" s="201"/>
      <c r="I72" s="201"/>
      <c r="J72" s="202"/>
      <c r="K72" s="194" t="str">
        <f t="shared" si="11"/>
        <v/>
      </c>
      <c r="L72" s="170" t="str">
        <f t="shared" si="12"/>
        <v/>
      </c>
      <c r="M72" s="188" t="str">
        <f t="shared" si="13"/>
        <v/>
      </c>
      <c r="N72" s="105"/>
      <c r="O72" s="106"/>
      <c r="P72" s="106"/>
      <c r="Q72" s="106"/>
      <c r="R72" s="107"/>
      <c r="S72" s="217" t="str">
        <f t="shared" si="21"/>
        <v/>
      </c>
      <c r="T72" s="91" t="str">
        <f t="shared" si="22"/>
        <v/>
      </c>
      <c r="U72" s="218" t="str">
        <f t="shared" si="23"/>
        <v/>
      </c>
      <c r="V72" s="230"/>
      <c r="W72" s="226"/>
      <c r="X72" s="231"/>
      <c r="Y72" s="194" t="str">
        <f t="shared" si="14"/>
        <v/>
      </c>
      <c r="Z72" s="170" t="str">
        <f t="shared" si="15"/>
        <v/>
      </c>
      <c r="AA72" s="188" t="str">
        <f t="shared" si="16"/>
        <v/>
      </c>
      <c r="AB72" s="230"/>
      <c r="AC72" s="226"/>
      <c r="AD72" s="231"/>
      <c r="AE72" s="194" t="str">
        <f t="shared" si="17"/>
        <v/>
      </c>
      <c r="AF72" s="170" t="str">
        <f t="shared" si="18"/>
        <v/>
      </c>
      <c r="AG72" s="188" t="str">
        <f t="shared" si="19"/>
        <v/>
      </c>
      <c r="AH72" s="105"/>
      <c r="AI72" s="106"/>
      <c r="AJ72" s="107"/>
      <c r="AK72" s="90" t="str">
        <f t="shared" si="24"/>
        <v/>
      </c>
      <c r="AL72" s="91" t="str">
        <f t="shared" si="25"/>
        <v/>
      </c>
      <c r="AM72" s="93" t="str">
        <f t="shared" si="26"/>
        <v/>
      </c>
      <c r="AN72" s="162"/>
      <c r="AO72" s="107"/>
      <c r="AP72" s="163"/>
      <c r="AQ72" s="157" t="str">
        <f t="shared" si="27"/>
        <v/>
      </c>
      <c r="AR72" s="91" t="str">
        <f t="shared" si="28"/>
        <v/>
      </c>
      <c r="AS72" s="93" t="str">
        <f t="shared" si="29"/>
        <v/>
      </c>
      <c r="AT72" s="90" t="str">
        <f t="shared" si="30"/>
        <v/>
      </c>
      <c r="AU72" s="93" t="str">
        <f t="shared" si="31"/>
        <v/>
      </c>
      <c r="AV72" s="241" t="str">
        <f t="shared" si="20"/>
        <v/>
      </c>
      <c r="AW72" s="238" t="str">
        <f>IF(C72="","",IFERROR(_xlfn.XLOOKUP(AV72,HELPER!$C$8:$C$48,HELPER!$D$8:$D$48,,1),""))</f>
        <v/>
      </c>
      <c r="AX72" s="96" t="str">
        <f>IF(C72="","",IFERROR(_xlfn.XLOOKUP(AW72,HELPER!$F$8:$F$48,HELPER!$G$8:$G$48,,1),""))</f>
        <v/>
      </c>
      <c r="AY72" s="146"/>
      <c r="AZ72" s="148"/>
    </row>
    <row r="73" spans="1:52" ht="15" customHeight="1" x14ac:dyDescent="0.25">
      <c r="A73" s="146"/>
      <c r="B73" s="110">
        <v>4</v>
      </c>
      <c r="C73" s="346" t="str">
        <f>IF('INPUT DATA'!N14="","",'INPUT DATA'!N14)</f>
        <v/>
      </c>
      <c r="D73" s="347"/>
      <c r="E73" s="347"/>
      <c r="F73" s="200"/>
      <c r="G73" s="201"/>
      <c r="H73" s="201"/>
      <c r="I73" s="201"/>
      <c r="J73" s="202"/>
      <c r="K73" s="194" t="str">
        <f t="shared" si="11"/>
        <v/>
      </c>
      <c r="L73" s="170" t="str">
        <f t="shared" si="12"/>
        <v/>
      </c>
      <c r="M73" s="188" t="str">
        <f t="shared" si="13"/>
        <v/>
      </c>
      <c r="N73" s="105"/>
      <c r="O73" s="106"/>
      <c r="P73" s="106"/>
      <c r="Q73" s="106"/>
      <c r="R73" s="107"/>
      <c r="S73" s="217" t="str">
        <f t="shared" si="21"/>
        <v/>
      </c>
      <c r="T73" s="91" t="str">
        <f t="shared" si="22"/>
        <v/>
      </c>
      <c r="U73" s="218" t="str">
        <f t="shared" si="23"/>
        <v/>
      </c>
      <c r="V73" s="230"/>
      <c r="W73" s="226"/>
      <c r="X73" s="231"/>
      <c r="Y73" s="194" t="str">
        <f t="shared" si="14"/>
        <v/>
      </c>
      <c r="Z73" s="170" t="str">
        <f t="shared" si="15"/>
        <v/>
      </c>
      <c r="AA73" s="188" t="str">
        <f t="shared" si="16"/>
        <v/>
      </c>
      <c r="AB73" s="230"/>
      <c r="AC73" s="226"/>
      <c r="AD73" s="231"/>
      <c r="AE73" s="194" t="str">
        <f t="shared" si="17"/>
        <v/>
      </c>
      <c r="AF73" s="170" t="str">
        <f t="shared" si="18"/>
        <v/>
      </c>
      <c r="AG73" s="188" t="str">
        <f t="shared" si="19"/>
        <v/>
      </c>
      <c r="AH73" s="105"/>
      <c r="AI73" s="106"/>
      <c r="AJ73" s="107"/>
      <c r="AK73" s="90" t="str">
        <f t="shared" si="24"/>
        <v/>
      </c>
      <c r="AL73" s="91" t="str">
        <f t="shared" si="25"/>
        <v/>
      </c>
      <c r="AM73" s="93" t="str">
        <f t="shared" si="26"/>
        <v/>
      </c>
      <c r="AN73" s="162"/>
      <c r="AO73" s="107"/>
      <c r="AP73" s="163"/>
      <c r="AQ73" s="157" t="str">
        <f t="shared" si="27"/>
        <v/>
      </c>
      <c r="AR73" s="91" t="str">
        <f t="shared" si="28"/>
        <v/>
      </c>
      <c r="AS73" s="93" t="str">
        <f t="shared" si="29"/>
        <v/>
      </c>
      <c r="AT73" s="90" t="str">
        <f t="shared" si="30"/>
        <v/>
      </c>
      <c r="AU73" s="93" t="str">
        <f t="shared" si="31"/>
        <v/>
      </c>
      <c r="AV73" s="241" t="str">
        <f t="shared" si="20"/>
        <v/>
      </c>
      <c r="AW73" s="238" t="str">
        <f>IF(C73="","",IFERROR(_xlfn.XLOOKUP(AV73,HELPER!$C$8:$C$48,HELPER!$D$8:$D$48,,1),""))</f>
        <v/>
      </c>
      <c r="AX73" s="96" t="str">
        <f>IF(C73="","",IFERROR(_xlfn.XLOOKUP(AW73,HELPER!$F$8:$F$48,HELPER!$G$8:$G$48,,1),""))</f>
        <v/>
      </c>
      <c r="AY73" s="146"/>
      <c r="AZ73" s="148"/>
    </row>
    <row r="74" spans="1:52" ht="15" customHeight="1" x14ac:dyDescent="0.25">
      <c r="A74" s="146"/>
      <c r="B74" s="110">
        <v>5</v>
      </c>
      <c r="C74" s="346" t="str">
        <f>IF('INPUT DATA'!N15="","",'INPUT DATA'!N15)</f>
        <v/>
      </c>
      <c r="D74" s="347"/>
      <c r="E74" s="347"/>
      <c r="F74" s="200"/>
      <c r="G74" s="201"/>
      <c r="H74" s="201"/>
      <c r="I74" s="201"/>
      <c r="J74" s="202"/>
      <c r="K74" s="194" t="str">
        <f t="shared" si="11"/>
        <v/>
      </c>
      <c r="L74" s="170" t="str">
        <f t="shared" si="12"/>
        <v/>
      </c>
      <c r="M74" s="188" t="str">
        <f t="shared" si="13"/>
        <v/>
      </c>
      <c r="N74" s="105"/>
      <c r="O74" s="106"/>
      <c r="P74" s="106"/>
      <c r="Q74" s="106"/>
      <c r="R74" s="107"/>
      <c r="S74" s="217" t="str">
        <f t="shared" si="21"/>
        <v/>
      </c>
      <c r="T74" s="91" t="str">
        <f t="shared" si="22"/>
        <v/>
      </c>
      <c r="U74" s="218" t="str">
        <f t="shared" si="23"/>
        <v/>
      </c>
      <c r="V74" s="230"/>
      <c r="W74" s="226"/>
      <c r="X74" s="231"/>
      <c r="Y74" s="194" t="str">
        <f t="shared" si="14"/>
        <v/>
      </c>
      <c r="Z74" s="170" t="str">
        <f t="shared" si="15"/>
        <v/>
      </c>
      <c r="AA74" s="188" t="str">
        <f t="shared" si="16"/>
        <v/>
      </c>
      <c r="AB74" s="230"/>
      <c r="AC74" s="226"/>
      <c r="AD74" s="231"/>
      <c r="AE74" s="194" t="str">
        <f t="shared" si="17"/>
        <v/>
      </c>
      <c r="AF74" s="170" t="str">
        <f t="shared" si="18"/>
        <v/>
      </c>
      <c r="AG74" s="188" t="str">
        <f t="shared" si="19"/>
        <v/>
      </c>
      <c r="AH74" s="105"/>
      <c r="AI74" s="106"/>
      <c r="AJ74" s="107"/>
      <c r="AK74" s="90" t="str">
        <f t="shared" si="24"/>
        <v/>
      </c>
      <c r="AL74" s="91" t="str">
        <f t="shared" si="25"/>
        <v/>
      </c>
      <c r="AM74" s="93" t="str">
        <f t="shared" si="26"/>
        <v/>
      </c>
      <c r="AN74" s="162"/>
      <c r="AO74" s="107"/>
      <c r="AP74" s="163"/>
      <c r="AQ74" s="157" t="str">
        <f t="shared" si="27"/>
        <v/>
      </c>
      <c r="AR74" s="91" t="str">
        <f t="shared" si="28"/>
        <v/>
      </c>
      <c r="AS74" s="93" t="str">
        <f t="shared" si="29"/>
        <v/>
      </c>
      <c r="AT74" s="90" t="str">
        <f t="shared" si="30"/>
        <v/>
      </c>
      <c r="AU74" s="93" t="str">
        <f t="shared" si="31"/>
        <v/>
      </c>
      <c r="AV74" s="241" t="str">
        <f t="shared" si="20"/>
        <v/>
      </c>
      <c r="AW74" s="238" t="str">
        <f>IF(C74="","",IFERROR(_xlfn.XLOOKUP(AV74,HELPER!$C$8:$C$48,HELPER!$D$8:$D$48,,1),""))</f>
        <v/>
      </c>
      <c r="AX74" s="113" t="str">
        <f>IF(C74="","",IFERROR(_xlfn.XLOOKUP(AW74,HELPER!$F$8:$F$48,HELPER!$G$8:$G$48,,1),""))</f>
        <v/>
      </c>
      <c r="AY74" s="146"/>
      <c r="AZ74" s="148"/>
    </row>
    <row r="75" spans="1:52" ht="15" customHeight="1" x14ac:dyDescent="0.25">
      <c r="A75" s="146"/>
      <c r="B75" s="110">
        <v>6</v>
      </c>
      <c r="C75" s="346" t="str">
        <f>IF('INPUT DATA'!N16="","",'INPUT DATA'!N16)</f>
        <v/>
      </c>
      <c r="D75" s="347"/>
      <c r="E75" s="347"/>
      <c r="F75" s="200"/>
      <c r="G75" s="201"/>
      <c r="H75" s="201"/>
      <c r="I75" s="201"/>
      <c r="J75" s="202"/>
      <c r="K75" s="194" t="str">
        <f t="shared" si="11"/>
        <v/>
      </c>
      <c r="L75" s="170" t="str">
        <f t="shared" si="12"/>
        <v/>
      </c>
      <c r="M75" s="188" t="str">
        <f t="shared" si="13"/>
        <v/>
      </c>
      <c r="N75" s="105"/>
      <c r="O75" s="106"/>
      <c r="P75" s="106"/>
      <c r="Q75" s="106"/>
      <c r="R75" s="107"/>
      <c r="S75" s="217" t="str">
        <f t="shared" si="21"/>
        <v/>
      </c>
      <c r="T75" s="91" t="str">
        <f t="shared" si="22"/>
        <v/>
      </c>
      <c r="U75" s="218" t="str">
        <f t="shared" si="23"/>
        <v/>
      </c>
      <c r="V75" s="230"/>
      <c r="W75" s="226"/>
      <c r="X75" s="231"/>
      <c r="Y75" s="194" t="str">
        <f t="shared" si="14"/>
        <v/>
      </c>
      <c r="Z75" s="170" t="str">
        <f t="shared" si="15"/>
        <v/>
      </c>
      <c r="AA75" s="188" t="str">
        <f t="shared" si="16"/>
        <v/>
      </c>
      <c r="AB75" s="230"/>
      <c r="AC75" s="226"/>
      <c r="AD75" s="231"/>
      <c r="AE75" s="194" t="str">
        <f t="shared" si="17"/>
        <v/>
      </c>
      <c r="AF75" s="170" t="str">
        <f t="shared" si="18"/>
        <v/>
      </c>
      <c r="AG75" s="188" t="str">
        <f t="shared" si="19"/>
        <v/>
      </c>
      <c r="AH75" s="105"/>
      <c r="AI75" s="106"/>
      <c r="AJ75" s="107"/>
      <c r="AK75" s="90" t="str">
        <f t="shared" si="24"/>
        <v/>
      </c>
      <c r="AL75" s="91" t="str">
        <f t="shared" si="25"/>
        <v/>
      </c>
      <c r="AM75" s="93" t="str">
        <f t="shared" si="26"/>
        <v/>
      </c>
      <c r="AN75" s="162"/>
      <c r="AO75" s="107"/>
      <c r="AP75" s="163"/>
      <c r="AQ75" s="157" t="str">
        <f t="shared" si="27"/>
        <v/>
      </c>
      <c r="AR75" s="91" t="str">
        <f t="shared" si="28"/>
        <v/>
      </c>
      <c r="AS75" s="93" t="str">
        <f t="shared" si="29"/>
        <v/>
      </c>
      <c r="AT75" s="90" t="str">
        <f t="shared" si="30"/>
        <v/>
      </c>
      <c r="AU75" s="93" t="str">
        <f t="shared" si="31"/>
        <v/>
      </c>
      <c r="AV75" s="241" t="str">
        <f t="shared" si="20"/>
        <v/>
      </c>
      <c r="AW75" s="238" t="str">
        <f>IF(C75="","",IFERROR(_xlfn.XLOOKUP(AV75,HELPER!$C$8:$C$48,HELPER!$D$8:$D$48,,1),""))</f>
        <v/>
      </c>
      <c r="AX75" s="113" t="str">
        <f>IF(C75="","",IFERROR(_xlfn.XLOOKUP(AW75,HELPER!$F$8:$F$48,HELPER!$G$8:$G$48,,1),""))</f>
        <v/>
      </c>
      <c r="AY75" s="146"/>
      <c r="AZ75" s="148"/>
    </row>
    <row r="76" spans="1:52" ht="15" customHeight="1" x14ac:dyDescent="0.25">
      <c r="A76" s="146"/>
      <c r="B76" s="110">
        <v>7</v>
      </c>
      <c r="C76" s="346" t="str">
        <f>IF('INPUT DATA'!N17="","",'INPUT DATA'!N17)</f>
        <v/>
      </c>
      <c r="D76" s="347"/>
      <c r="E76" s="347"/>
      <c r="F76" s="200"/>
      <c r="G76" s="201"/>
      <c r="H76" s="201"/>
      <c r="I76" s="201"/>
      <c r="J76" s="202"/>
      <c r="K76" s="194" t="str">
        <f t="shared" si="11"/>
        <v/>
      </c>
      <c r="L76" s="170" t="str">
        <f t="shared" si="12"/>
        <v/>
      </c>
      <c r="M76" s="188" t="str">
        <f t="shared" si="13"/>
        <v/>
      </c>
      <c r="N76" s="105"/>
      <c r="O76" s="106"/>
      <c r="P76" s="106"/>
      <c r="Q76" s="106"/>
      <c r="R76" s="107"/>
      <c r="S76" s="217" t="str">
        <f t="shared" si="21"/>
        <v/>
      </c>
      <c r="T76" s="91" t="str">
        <f t="shared" si="22"/>
        <v/>
      </c>
      <c r="U76" s="218" t="str">
        <f t="shared" si="23"/>
        <v/>
      </c>
      <c r="V76" s="230"/>
      <c r="W76" s="226"/>
      <c r="X76" s="231"/>
      <c r="Y76" s="194" t="str">
        <f t="shared" si="14"/>
        <v/>
      </c>
      <c r="Z76" s="170" t="str">
        <f t="shared" si="15"/>
        <v/>
      </c>
      <c r="AA76" s="188" t="str">
        <f t="shared" si="16"/>
        <v/>
      </c>
      <c r="AB76" s="230"/>
      <c r="AC76" s="226"/>
      <c r="AD76" s="231"/>
      <c r="AE76" s="194" t="str">
        <f t="shared" si="17"/>
        <v/>
      </c>
      <c r="AF76" s="170" t="str">
        <f t="shared" si="18"/>
        <v/>
      </c>
      <c r="AG76" s="188" t="str">
        <f t="shared" si="19"/>
        <v/>
      </c>
      <c r="AH76" s="105"/>
      <c r="AI76" s="106"/>
      <c r="AJ76" s="107"/>
      <c r="AK76" s="90" t="str">
        <f t="shared" si="24"/>
        <v/>
      </c>
      <c r="AL76" s="91" t="str">
        <f t="shared" si="25"/>
        <v/>
      </c>
      <c r="AM76" s="93" t="str">
        <f t="shared" si="26"/>
        <v/>
      </c>
      <c r="AN76" s="162"/>
      <c r="AO76" s="107"/>
      <c r="AP76" s="163"/>
      <c r="AQ76" s="157" t="str">
        <f t="shared" si="27"/>
        <v/>
      </c>
      <c r="AR76" s="91" t="str">
        <f t="shared" si="28"/>
        <v/>
      </c>
      <c r="AS76" s="93" t="str">
        <f t="shared" si="29"/>
        <v/>
      </c>
      <c r="AT76" s="90" t="str">
        <f t="shared" si="30"/>
        <v/>
      </c>
      <c r="AU76" s="93" t="str">
        <f t="shared" si="31"/>
        <v/>
      </c>
      <c r="AV76" s="241" t="str">
        <f t="shared" si="20"/>
        <v/>
      </c>
      <c r="AW76" s="238" t="str">
        <f>IF(C76="","",IFERROR(_xlfn.XLOOKUP(AV76,HELPER!$C$8:$C$48,HELPER!$D$8:$D$48,,1),""))</f>
        <v/>
      </c>
      <c r="AX76" s="113" t="str">
        <f>IF(C76="","",IFERROR(_xlfn.XLOOKUP(AW76,HELPER!$F$8:$F$48,HELPER!$G$8:$G$48,,1),""))</f>
        <v/>
      </c>
      <c r="AY76" s="146"/>
      <c r="AZ76" s="148"/>
    </row>
    <row r="77" spans="1:52" ht="15" customHeight="1" x14ac:dyDescent="0.25">
      <c r="A77" s="146"/>
      <c r="B77" s="110">
        <v>8</v>
      </c>
      <c r="C77" s="346" t="str">
        <f>IF('INPUT DATA'!N18="","",'INPUT DATA'!N18)</f>
        <v/>
      </c>
      <c r="D77" s="347"/>
      <c r="E77" s="347"/>
      <c r="F77" s="200"/>
      <c r="G77" s="201"/>
      <c r="H77" s="201"/>
      <c r="I77" s="201"/>
      <c r="J77" s="202"/>
      <c r="K77" s="194" t="str">
        <f t="shared" si="11"/>
        <v/>
      </c>
      <c r="L77" s="170" t="str">
        <f t="shared" si="12"/>
        <v/>
      </c>
      <c r="M77" s="188" t="str">
        <f t="shared" si="13"/>
        <v/>
      </c>
      <c r="N77" s="105"/>
      <c r="O77" s="106"/>
      <c r="P77" s="106"/>
      <c r="Q77" s="106"/>
      <c r="R77" s="107"/>
      <c r="S77" s="217" t="str">
        <f t="shared" si="21"/>
        <v/>
      </c>
      <c r="T77" s="91" t="str">
        <f t="shared" si="22"/>
        <v/>
      </c>
      <c r="U77" s="218" t="str">
        <f t="shared" si="23"/>
        <v/>
      </c>
      <c r="V77" s="230"/>
      <c r="W77" s="226"/>
      <c r="X77" s="231"/>
      <c r="Y77" s="194" t="str">
        <f t="shared" si="14"/>
        <v/>
      </c>
      <c r="Z77" s="170" t="str">
        <f t="shared" si="15"/>
        <v/>
      </c>
      <c r="AA77" s="188" t="str">
        <f t="shared" si="16"/>
        <v/>
      </c>
      <c r="AB77" s="230"/>
      <c r="AC77" s="226"/>
      <c r="AD77" s="231"/>
      <c r="AE77" s="194" t="str">
        <f t="shared" si="17"/>
        <v/>
      </c>
      <c r="AF77" s="170" t="str">
        <f t="shared" si="18"/>
        <v/>
      </c>
      <c r="AG77" s="188" t="str">
        <f t="shared" si="19"/>
        <v/>
      </c>
      <c r="AH77" s="105"/>
      <c r="AI77" s="106"/>
      <c r="AJ77" s="107"/>
      <c r="AK77" s="90" t="str">
        <f t="shared" si="24"/>
        <v/>
      </c>
      <c r="AL77" s="91" t="str">
        <f t="shared" si="25"/>
        <v/>
      </c>
      <c r="AM77" s="93" t="str">
        <f t="shared" si="26"/>
        <v/>
      </c>
      <c r="AN77" s="162"/>
      <c r="AO77" s="107"/>
      <c r="AP77" s="163"/>
      <c r="AQ77" s="157" t="str">
        <f t="shared" si="27"/>
        <v/>
      </c>
      <c r="AR77" s="91" t="str">
        <f t="shared" si="28"/>
        <v/>
      </c>
      <c r="AS77" s="93" t="str">
        <f t="shared" si="29"/>
        <v/>
      </c>
      <c r="AT77" s="90" t="str">
        <f t="shared" si="30"/>
        <v/>
      </c>
      <c r="AU77" s="93" t="str">
        <f t="shared" si="31"/>
        <v/>
      </c>
      <c r="AV77" s="241" t="str">
        <f t="shared" si="20"/>
        <v/>
      </c>
      <c r="AW77" s="238" t="str">
        <f>IF(C77="","",IFERROR(_xlfn.XLOOKUP(AV77,HELPER!$C$8:$C$48,HELPER!$D$8:$D$48,,1),""))</f>
        <v/>
      </c>
      <c r="AX77" s="113" t="str">
        <f>IF(C77="","",IFERROR(_xlfn.XLOOKUP(AW77,HELPER!$F$8:$F$48,HELPER!$G$8:$G$48,,1),""))</f>
        <v/>
      </c>
      <c r="AY77" s="146"/>
      <c r="AZ77" s="148"/>
    </row>
    <row r="78" spans="1:52" ht="15" customHeight="1" x14ac:dyDescent="0.25">
      <c r="A78" s="146"/>
      <c r="B78" s="110">
        <v>9</v>
      </c>
      <c r="C78" s="346" t="str">
        <f>IF('INPUT DATA'!N19="","",'INPUT DATA'!N19)</f>
        <v/>
      </c>
      <c r="D78" s="347"/>
      <c r="E78" s="347"/>
      <c r="F78" s="200"/>
      <c r="G78" s="201"/>
      <c r="H78" s="201"/>
      <c r="I78" s="201"/>
      <c r="J78" s="202"/>
      <c r="K78" s="194" t="str">
        <f t="shared" si="11"/>
        <v/>
      </c>
      <c r="L78" s="170" t="str">
        <f t="shared" si="12"/>
        <v/>
      </c>
      <c r="M78" s="188" t="str">
        <f t="shared" si="13"/>
        <v/>
      </c>
      <c r="N78" s="105"/>
      <c r="O78" s="106"/>
      <c r="P78" s="106"/>
      <c r="Q78" s="106"/>
      <c r="R78" s="107"/>
      <c r="S78" s="217" t="str">
        <f t="shared" si="21"/>
        <v/>
      </c>
      <c r="T78" s="91" t="str">
        <f t="shared" si="22"/>
        <v/>
      </c>
      <c r="U78" s="218" t="str">
        <f t="shared" si="23"/>
        <v/>
      </c>
      <c r="V78" s="230"/>
      <c r="W78" s="226"/>
      <c r="X78" s="231"/>
      <c r="Y78" s="194" t="str">
        <f t="shared" si="14"/>
        <v/>
      </c>
      <c r="Z78" s="170" t="str">
        <f t="shared" si="15"/>
        <v/>
      </c>
      <c r="AA78" s="188" t="str">
        <f t="shared" si="16"/>
        <v/>
      </c>
      <c r="AB78" s="230"/>
      <c r="AC78" s="226"/>
      <c r="AD78" s="231"/>
      <c r="AE78" s="194" t="str">
        <f t="shared" si="17"/>
        <v/>
      </c>
      <c r="AF78" s="170" t="str">
        <f t="shared" si="18"/>
        <v/>
      </c>
      <c r="AG78" s="188" t="str">
        <f t="shared" si="19"/>
        <v/>
      </c>
      <c r="AH78" s="105"/>
      <c r="AI78" s="106"/>
      <c r="AJ78" s="107"/>
      <c r="AK78" s="90" t="str">
        <f t="shared" si="24"/>
        <v/>
      </c>
      <c r="AL78" s="91" t="str">
        <f t="shared" si="25"/>
        <v/>
      </c>
      <c r="AM78" s="93" t="str">
        <f t="shared" si="26"/>
        <v/>
      </c>
      <c r="AN78" s="162"/>
      <c r="AO78" s="107"/>
      <c r="AP78" s="163"/>
      <c r="AQ78" s="157" t="str">
        <f t="shared" si="27"/>
        <v/>
      </c>
      <c r="AR78" s="91" t="str">
        <f t="shared" si="28"/>
        <v/>
      </c>
      <c r="AS78" s="93" t="str">
        <f t="shared" si="29"/>
        <v/>
      </c>
      <c r="AT78" s="90" t="str">
        <f t="shared" si="30"/>
        <v/>
      </c>
      <c r="AU78" s="93" t="str">
        <f t="shared" si="31"/>
        <v/>
      </c>
      <c r="AV78" s="241" t="str">
        <f t="shared" si="20"/>
        <v/>
      </c>
      <c r="AW78" s="238" t="str">
        <f>IF(C78="","",IFERROR(_xlfn.XLOOKUP(AV78,HELPER!$C$8:$C$48,HELPER!$D$8:$D$48,,1),""))</f>
        <v/>
      </c>
      <c r="AX78" s="113" t="str">
        <f>IF(C78="","",IFERROR(_xlfn.XLOOKUP(AW78,HELPER!$F$8:$F$48,HELPER!$G$8:$G$48,,1),""))</f>
        <v/>
      </c>
      <c r="AY78" s="146"/>
      <c r="AZ78" s="148"/>
    </row>
    <row r="79" spans="1:52" ht="15" customHeight="1" x14ac:dyDescent="0.25">
      <c r="A79" s="146"/>
      <c r="B79" s="110">
        <v>10</v>
      </c>
      <c r="C79" s="346" t="str">
        <f>IF('INPUT DATA'!N20="","",'INPUT DATA'!N20)</f>
        <v/>
      </c>
      <c r="D79" s="347"/>
      <c r="E79" s="347"/>
      <c r="F79" s="200"/>
      <c r="G79" s="201"/>
      <c r="H79" s="201"/>
      <c r="I79" s="201"/>
      <c r="J79" s="202"/>
      <c r="K79" s="194" t="str">
        <f t="shared" si="11"/>
        <v/>
      </c>
      <c r="L79" s="170" t="str">
        <f t="shared" si="12"/>
        <v/>
      </c>
      <c r="M79" s="188" t="str">
        <f t="shared" si="13"/>
        <v/>
      </c>
      <c r="N79" s="105"/>
      <c r="O79" s="106"/>
      <c r="P79" s="106"/>
      <c r="Q79" s="106"/>
      <c r="R79" s="107"/>
      <c r="S79" s="217" t="str">
        <f t="shared" si="21"/>
        <v/>
      </c>
      <c r="T79" s="91" t="str">
        <f t="shared" si="22"/>
        <v/>
      </c>
      <c r="U79" s="218" t="str">
        <f t="shared" si="23"/>
        <v/>
      </c>
      <c r="V79" s="230"/>
      <c r="W79" s="226"/>
      <c r="X79" s="231"/>
      <c r="Y79" s="194" t="str">
        <f t="shared" si="14"/>
        <v/>
      </c>
      <c r="Z79" s="170" t="str">
        <f t="shared" si="15"/>
        <v/>
      </c>
      <c r="AA79" s="188" t="str">
        <f t="shared" si="16"/>
        <v/>
      </c>
      <c r="AB79" s="230"/>
      <c r="AC79" s="226"/>
      <c r="AD79" s="231"/>
      <c r="AE79" s="194" t="str">
        <f t="shared" si="17"/>
        <v/>
      </c>
      <c r="AF79" s="170" t="str">
        <f t="shared" si="18"/>
        <v/>
      </c>
      <c r="AG79" s="188" t="str">
        <f t="shared" si="19"/>
        <v/>
      </c>
      <c r="AH79" s="105"/>
      <c r="AI79" s="106"/>
      <c r="AJ79" s="107"/>
      <c r="AK79" s="90" t="str">
        <f t="shared" si="24"/>
        <v/>
      </c>
      <c r="AL79" s="91" t="str">
        <f t="shared" si="25"/>
        <v/>
      </c>
      <c r="AM79" s="93" t="str">
        <f t="shared" si="26"/>
        <v/>
      </c>
      <c r="AN79" s="162"/>
      <c r="AO79" s="107"/>
      <c r="AP79" s="163"/>
      <c r="AQ79" s="157" t="str">
        <f t="shared" si="27"/>
        <v/>
      </c>
      <c r="AR79" s="91" t="str">
        <f t="shared" si="28"/>
        <v/>
      </c>
      <c r="AS79" s="93" t="str">
        <f t="shared" si="29"/>
        <v/>
      </c>
      <c r="AT79" s="90" t="str">
        <f t="shared" si="30"/>
        <v/>
      </c>
      <c r="AU79" s="93" t="str">
        <f t="shared" si="31"/>
        <v/>
      </c>
      <c r="AV79" s="241" t="str">
        <f t="shared" si="20"/>
        <v/>
      </c>
      <c r="AW79" s="238" t="str">
        <f>IF(C79="","",IFERROR(_xlfn.XLOOKUP(AV79,HELPER!$C$8:$C$48,HELPER!$D$8:$D$48,,1),""))</f>
        <v/>
      </c>
      <c r="AX79" s="113" t="str">
        <f>IF(C79="","",IFERROR(_xlfn.XLOOKUP(AW79,HELPER!$F$8:$F$48,HELPER!$G$8:$G$48,,1),""))</f>
        <v/>
      </c>
      <c r="AY79" s="146"/>
      <c r="AZ79" s="148"/>
    </row>
    <row r="80" spans="1:52" ht="15" customHeight="1" x14ac:dyDescent="0.25">
      <c r="A80" s="146"/>
      <c r="B80" s="110">
        <v>11</v>
      </c>
      <c r="C80" s="346" t="str">
        <f>IF('INPUT DATA'!N21="","",'INPUT DATA'!N21)</f>
        <v/>
      </c>
      <c r="D80" s="347"/>
      <c r="E80" s="347"/>
      <c r="F80" s="200"/>
      <c r="G80" s="201"/>
      <c r="H80" s="201"/>
      <c r="I80" s="201"/>
      <c r="J80" s="202"/>
      <c r="K80" s="194" t="str">
        <f t="shared" si="11"/>
        <v/>
      </c>
      <c r="L80" s="170" t="str">
        <f t="shared" si="12"/>
        <v/>
      </c>
      <c r="M80" s="188" t="str">
        <f t="shared" si="13"/>
        <v/>
      </c>
      <c r="N80" s="105"/>
      <c r="O80" s="106"/>
      <c r="P80" s="106"/>
      <c r="Q80" s="106"/>
      <c r="R80" s="107"/>
      <c r="S80" s="217" t="str">
        <f t="shared" si="21"/>
        <v/>
      </c>
      <c r="T80" s="91" t="str">
        <f t="shared" si="22"/>
        <v/>
      </c>
      <c r="U80" s="218" t="str">
        <f t="shared" si="23"/>
        <v/>
      </c>
      <c r="V80" s="230"/>
      <c r="W80" s="226"/>
      <c r="X80" s="231"/>
      <c r="Y80" s="194" t="str">
        <f t="shared" si="14"/>
        <v/>
      </c>
      <c r="Z80" s="170" t="str">
        <f t="shared" si="15"/>
        <v/>
      </c>
      <c r="AA80" s="188" t="str">
        <f t="shared" si="16"/>
        <v/>
      </c>
      <c r="AB80" s="230"/>
      <c r="AC80" s="226"/>
      <c r="AD80" s="231"/>
      <c r="AE80" s="194" t="str">
        <f t="shared" si="17"/>
        <v/>
      </c>
      <c r="AF80" s="170" t="str">
        <f t="shared" si="18"/>
        <v/>
      </c>
      <c r="AG80" s="188" t="str">
        <f t="shared" si="19"/>
        <v/>
      </c>
      <c r="AH80" s="105"/>
      <c r="AI80" s="106"/>
      <c r="AJ80" s="107"/>
      <c r="AK80" s="90" t="str">
        <f t="shared" si="24"/>
        <v/>
      </c>
      <c r="AL80" s="91" t="str">
        <f t="shared" si="25"/>
        <v/>
      </c>
      <c r="AM80" s="93" t="str">
        <f t="shared" si="26"/>
        <v/>
      </c>
      <c r="AN80" s="162"/>
      <c r="AO80" s="107"/>
      <c r="AP80" s="163"/>
      <c r="AQ80" s="157" t="str">
        <f t="shared" si="27"/>
        <v/>
      </c>
      <c r="AR80" s="91" t="str">
        <f t="shared" si="28"/>
        <v/>
      </c>
      <c r="AS80" s="93" t="str">
        <f t="shared" si="29"/>
        <v/>
      </c>
      <c r="AT80" s="90" t="str">
        <f t="shared" si="30"/>
        <v/>
      </c>
      <c r="AU80" s="93" t="str">
        <f t="shared" si="31"/>
        <v/>
      </c>
      <c r="AV80" s="241" t="str">
        <f t="shared" si="20"/>
        <v/>
      </c>
      <c r="AW80" s="238" t="str">
        <f>IF(C80="","",IFERROR(_xlfn.XLOOKUP(AV80,HELPER!$C$8:$C$48,HELPER!$D$8:$D$48,,1),""))</f>
        <v/>
      </c>
      <c r="AX80" s="113" t="str">
        <f>IF(C80="","",IFERROR(_xlfn.XLOOKUP(AW80,HELPER!$F$8:$F$48,HELPER!$G$8:$G$48,,1),""))</f>
        <v/>
      </c>
      <c r="AY80" s="146"/>
      <c r="AZ80" s="148"/>
    </row>
    <row r="81" spans="1:52" ht="15" customHeight="1" x14ac:dyDescent="0.25">
      <c r="A81" s="146"/>
      <c r="B81" s="110">
        <v>12</v>
      </c>
      <c r="C81" s="346" t="str">
        <f>IF('INPUT DATA'!N22="","",'INPUT DATA'!N22)</f>
        <v/>
      </c>
      <c r="D81" s="347"/>
      <c r="E81" s="347"/>
      <c r="F81" s="200"/>
      <c r="G81" s="201"/>
      <c r="H81" s="201"/>
      <c r="I81" s="201"/>
      <c r="J81" s="202"/>
      <c r="K81" s="194" t="str">
        <f t="shared" si="11"/>
        <v/>
      </c>
      <c r="L81" s="170" t="str">
        <f t="shared" si="12"/>
        <v/>
      </c>
      <c r="M81" s="188" t="str">
        <f t="shared" si="13"/>
        <v/>
      </c>
      <c r="N81" s="105"/>
      <c r="O81" s="106"/>
      <c r="P81" s="106"/>
      <c r="Q81" s="106"/>
      <c r="R81" s="107"/>
      <c r="S81" s="217" t="str">
        <f t="shared" si="21"/>
        <v/>
      </c>
      <c r="T81" s="91" t="str">
        <f t="shared" si="22"/>
        <v/>
      </c>
      <c r="U81" s="218" t="str">
        <f t="shared" si="23"/>
        <v/>
      </c>
      <c r="V81" s="230"/>
      <c r="W81" s="226"/>
      <c r="X81" s="231"/>
      <c r="Y81" s="194" t="str">
        <f t="shared" si="14"/>
        <v/>
      </c>
      <c r="Z81" s="170" t="str">
        <f t="shared" si="15"/>
        <v/>
      </c>
      <c r="AA81" s="188" t="str">
        <f t="shared" si="16"/>
        <v/>
      </c>
      <c r="AB81" s="230"/>
      <c r="AC81" s="226"/>
      <c r="AD81" s="231"/>
      <c r="AE81" s="194" t="str">
        <f t="shared" si="17"/>
        <v/>
      </c>
      <c r="AF81" s="170" t="str">
        <f t="shared" si="18"/>
        <v/>
      </c>
      <c r="AG81" s="188" t="str">
        <f t="shared" si="19"/>
        <v/>
      </c>
      <c r="AH81" s="105"/>
      <c r="AI81" s="106"/>
      <c r="AJ81" s="107"/>
      <c r="AK81" s="90" t="str">
        <f t="shared" si="24"/>
        <v/>
      </c>
      <c r="AL81" s="91" t="str">
        <f t="shared" si="25"/>
        <v/>
      </c>
      <c r="AM81" s="93" t="str">
        <f t="shared" si="26"/>
        <v/>
      </c>
      <c r="AN81" s="162"/>
      <c r="AO81" s="107"/>
      <c r="AP81" s="163"/>
      <c r="AQ81" s="157" t="str">
        <f t="shared" si="27"/>
        <v/>
      </c>
      <c r="AR81" s="91" t="str">
        <f t="shared" si="28"/>
        <v/>
      </c>
      <c r="AS81" s="93" t="str">
        <f t="shared" si="29"/>
        <v/>
      </c>
      <c r="AT81" s="90" t="str">
        <f t="shared" si="30"/>
        <v/>
      </c>
      <c r="AU81" s="93" t="str">
        <f t="shared" si="31"/>
        <v/>
      </c>
      <c r="AV81" s="241" t="str">
        <f t="shared" si="20"/>
        <v/>
      </c>
      <c r="AW81" s="238" t="str">
        <f>IF(C81="","",IFERROR(_xlfn.XLOOKUP(AV81,HELPER!$C$8:$C$48,HELPER!$D$8:$D$48,,1),""))</f>
        <v/>
      </c>
      <c r="AX81" s="113" t="str">
        <f>IF(C81="","",IFERROR(_xlfn.XLOOKUP(AW81,HELPER!$F$8:$F$48,HELPER!$G$8:$G$48,,1),""))</f>
        <v/>
      </c>
      <c r="AY81" s="146"/>
      <c r="AZ81" s="148"/>
    </row>
    <row r="82" spans="1:52" ht="15" customHeight="1" x14ac:dyDescent="0.25">
      <c r="A82" s="146"/>
      <c r="B82" s="110">
        <v>13</v>
      </c>
      <c r="C82" s="346" t="str">
        <f>IF('INPUT DATA'!N23="","",'INPUT DATA'!N23)</f>
        <v/>
      </c>
      <c r="D82" s="347"/>
      <c r="E82" s="347"/>
      <c r="F82" s="200"/>
      <c r="G82" s="201"/>
      <c r="H82" s="201"/>
      <c r="I82" s="201"/>
      <c r="J82" s="202"/>
      <c r="K82" s="194" t="str">
        <f t="shared" si="11"/>
        <v/>
      </c>
      <c r="L82" s="170" t="str">
        <f t="shared" si="12"/>
        <v/>
      </c>
      <c r="M82" s="188" t="str">
        <f t="shared" si="13"/>
        <v/>
      </c>
      <c r="N82" s="105"/>
      <c r="O82" s="106"/>
      <c r="P82" s="106"/>
      <c r="Q82" s="106"/>
      <c r="R82" s="107"/>
      <c r="S82" s="217" t="str">
        <f t="shared" si="21"/>
        <v/>
      </c>
      <c r="T82" s="91" t="str">
        <f t="shared" si="22"/>
        <v/>
      </c>
      <c r="U82" s="218" t="str">
        <f t="shared" si="23"/>
        <v/>
      </c>
      <c r="V82" s="230"/>
      <c r="W82" s="226"/>
      <c r="X82" s="231"/>
      <c r="Y82" s="194" t="str">
        <f t="shared" si="14"/>
        <v/>
      </c>
      <c r="Z82" s="170" t="str">
        <f t="shared" si="15"/>
        <v/>
      </c>
      <c r="AA82" s="188" t="str">
        <f t="shared" si="16"/>
        <v/>
      </c>
      <c r="AB82" s="230"/>
      <c r="AC82" s="226"/>
      <c r="AD82" s="231"/>
      <c r="AE82" s="194" t="str">
        <f t="shared" si="17"/>
        <v/>
      </c>
      <c r="AF82" s="170" t="str">
        <f t="shared" si="18"/>
        <v/>
      </c>
      <c r="AG82" s="188" t="str">
        <f t="shared" si="19"/>
        <v/>
      </c>
      <c r="AH82" s="105"/>
      <c r="AI82" s="106"/>
      <c r="AJ82" s="107"/>
      <c r="AK82" s="90" t="str">
        <f t="shared" si="24"/>
        <v/>
      </c>
      <c r="AL82" s="91" t="str">
        <f t="shared" si="25"/>
        <v/>
      </c>
      <c r="AM82" s="93" t="str">
        <f t="shared" si="26"/>
        <v/>
      </c>
      <c r="AN82" s="162"/>
      <c r="AO82" s="107"/>
      <c r="AP82" s="163"/>
      <c r="AQ82" s="157" t="str">
        <f t="shared" si="27"/>
        <v/>
      </c>
      <c r="AR82" s="91" t="str">
        <f t="shared" si="28"/>
        <v/>
      </c>
      <c r="AS82" s="93" t="str">
        <f t="shared" si="29"/>
        <v/>
      </c>
      <c r="AT82" s="90" t="str">
        <f t="shared" si="30"/>
        <v/>
      </c>
      <c r="AU82" s="93" t="str">
        <f t="shared" si="31"/>
        <v/>
      </c>
      <c r="AV82" s="241" t="str">
        <f t="shared" si="20"/>
        <v/>
      </c>
      <c r="AW82" s="238" t="str">
        <f>IF(C82="","",IFERROR(_xlfn.XLOOKUP(AV82,HELPER!$C$8:$C$48,HELPER!$D$8:$D$48,,1),""))</f>
        <v/>
      </c>
      <c r="AX82" s="113" t="str">
        <f>IF(C82="","",IFERROR(_xlfn.XLOOKUP(AW82,HELPER!$F$8:$F$48,HELPER!$G$8:$G$48,,1),""))</f>
        <v/>
      </c>
      <c r="AY82" s="146"/>
      <c r="AZ82" s="148"/>
    </row>
    <row r="83" spans="1:52" ht="15" customHeight="1" x14ac:dyDescent="0.25">
      <c r="A83" s="146"/>
      <c r="B83" s="110">
        <v>14</v>
      </c>
      <c r="C83" s="346" t="str">
        <f>IF('INPUT DATA'!N24="","",'INPUT DATA'!N24)</f>
        <v/>
      </c>
      <c r="D83" s="347"/>
      <c r="E83" s="347"/>
      <c r="F83" s="200"/>
      <c r="G83" s="201"/>
      <c r="H83" s="201"/>
      <c r="I83" s="201"/>
      <c r="J83" s="202"/>
      <c r="K83" s="194" t="str">
        <f t="shared" si="11"/>
        <v/>
      </c>
      <c r="L83" s="170" t="str">
        <f t="shared" si="12"/>
        <v/>
      </c>
      <c r="M83" s="188" t="str">
        <f t="shared" si="13"/>
        <v/>
      </c>
      <c r="N83" s="105"/>
      <c r="O83" s="106"/>
      <c r="P83" s="106"/>
      <c r="Q83" s="106"/>
      <c r="R83" s="107"/>
      <c r="S83" s="217" t="str">
        <f t="shared" si="21"/>
        <v/>
      </c>
      <c r="T83" s="91" t="str">
        <f t="shared" si="22"/>
        <v/>
      </c>
      <c r="U83" s="218" t="str">
        <f t="shared" si="23"/>
        <v/>
      </c>
      <c r="V83" s="230"/>
      <c r="W83" s="226"/>
      <c r="X83" s="231"/>
      <c r="Y83" s="194" t="str">
        <f t="shared" si="14"/>
        <v/>
      </c>
      <c r="Z83" s="170" t="str">
        <f t="shared" si="15"/>
        <v/>
      </c>
      <c r="AA83" s="188" t="str">
        <f t="shared" si="16"/>
        <v/>
      </c>
      <c r="AB83" s="230"/>
      <c r="AC83" s="226"/>
      <c r="AD83" s="231"/>
      <c r="AE83" s="194" t="str">
        <f t="shared" si="17"/>
        <v/>
      </c>
      <c r="AF83" s="170" t="str">
        <f t="shared" si="18"/>
        <v/>
      </c>
      <c r="AG83" s="188" t="str">
        <f t="shared" si="19"/>
        <v/>
      </c>
      <c r="AH83" s="105"/>
      <c r="AI83" s="106"/>
      <c r="AJ83" s="107"/>
      <c r="AK83" s="90" t="str">
        <f t="shared" si="24"/>
        <v/>
      </c>
      <c r="AL83" s="91" t="str">
        <f t="shared" si="25"/>
        <v/>
      </c>
      <c r="AM83" s="93" t="str">
        <f t="shared" si="26"/>
        <v/>
      </c>
      <c r="AN83" s="162"/>
      <c r="AO83" s="107"/>
      <c r="AP83" s="163"/>
      <c r="AQ83" s="157" t="str">
        <f t="shared" si="27"/>
        <v/>
      </c>
      <c r="AR83" s="91" t="str">
        <f t="shared" si="28"/>
        <v/>
      </c>
      <c r="AS83" s="93" t="str">
        <f t="shared" si="29"/>
        <v/>
      </c>
      <c r="AT83" s="90" t="str">
        <f t="shared" si="30"/>
        <v/>
      </c>
      <c r="AU83" s="93" t="str">
        <f t="shared" si="31"/>
        <v/>
      </c>
      <c r="AV83" s="241" t="str">
        <f t="shared" si="20"/>
        <v/>
      </c>
      <c r="AW83" s="238" t="str">
        <f>IF(C83="","",IFERROR(_xlfn.XLOOKUP(AV83,HELPER!$C$8:$C$48,HELPER!$D$8:$D$48,,1),""))</f>
        <v/>
      </c>
      <c r="AX83" s="113" t="str">
        <f>IF(C83="","",IFERROR(_xlfn.XLOOKUP(AW83,HELPER!$F$8:$F$48,HELPER!$G$8:$G$48,,1),""))</f>
        <v/>
      </c>
      <c r="AY83" s="146"/>
      <c r="AZ83" s="148"/>
    </row>
    <row r="84" spans="1:52" ht="15" customHeight="1" x14ac:dyDescent="0.25">
      <c r="A84" s="146"/>
      <c r="B84" s="110">
        <v>15</v>
      </c>
      <c r="C84" s="346" t="str">
        <f>IF('INPUT DATA'!N25="","",'INPUT DATA'!N25)</f>
        <v/>
      </c>
      <c r="D84" s="347"/>
      <c r="E84" s="347"/>
      <c r="F84" s="200"/>
      <c r="G84" s="201"/>
      <c r="H84" s="201"/>
      <c r="I84" s="201"/>
      <c r="J84" s="202"/>
      <c r="K84" s="194" t="str">
        <f t="shared" ref="K84:K119" si="32">IF(COUNT($F84:$J84)=0,"",SUM($F84:$J84))</f>
        <v/>
      </c>
      <c r="L84" s="170" t="str">
        <f t="shared" ref="L84:L119" si="33">IF(ISERROR(IF($K84="","",ROUND(($K84/$K$16)*$L$16,2))),"",IF($K84="","",ROUND(($K84/$K$16)*$L$16,2)))</f>
        <v/>
      </c>
      <c r="M84" s="188" t="str">
        <f t="shared" ref="M84:M119" si="34">IF($L84="","",ROUND($L84*$M$16,2))</f>
        <v/>
      </c>
      <c r="N84" s="105"/>
      <c r="O84" s="106"/>
      <c r="P84" s="106"/>
      <c r="Q84" s="106"/>
      <c r="R84" s="107"/>
      <c r="S84" s="217" t="str">
        <f t="shared" si="21"/>
        <v/>
      </c>
      <c r="T84" s="91" t="str">
        <f t="shared" si="22"/>
        <v/>
      </c>
      <c r="U84" s="218" t="str">
        <f t="shared" si="23"/>
        <v/>
      </c>
      <c r="V84" s="230"/>
      <c r="W84" s="226"/>
      <c r="X84" s="231"/>
      <c r="Y84" s="194" t="str">
        <f t="shared" ref="Y84:Y119" si="35">IF(COUNT($V84:$X84)=0,"",SUM($V84:$X84))</f>
        <v/>
      </c>
      <c r="Z84" s="170" t="str">
        <f t="shared" ref="Z84:Z119" si="36">IF(ISERROR(IF($Y84="","",ROUND(($Y84/$Y$16)*$Z$16,2))),"",IF($Y84="","",ROUND(($Y84/$Y$16)*$Z$16,2)))</f>
        <v/>
      </c>
      <c r="AA84" s="188" t="str">
        <f t="shared" ref="AA84:AA119" si="37">IF($Z84="","",ROUND($Z84*$AA$16,2))</f>
        <v/>
      </c>
      <c r="AB84" s="230"/>
      <c r="AC84" s="226"/>
      <c r="AD84" s="231"/>
      <c r="AE84" s="194" t="str">
        <f t="shared" ref="AE84:AE119" si="38">IF(COUNT($AB84:$AD84)=0,"",SUM($AB84:$AD84))</f>
        <v/>
      </c>
      <c r="AF84" s="170" t="str">
        <f t="shared" ref="AF84:AF119" si="39">IF(ISERROR(IF($AE84="","",ROUND(($AE84/$AE$16)*$AF$16,2))),"",IF($AE84="","",ROUND(($AE84/$AE$16)*$AF$16,2)))</f>
        <v/>
      </c>
      <c r="AG84" s="188" t="str">
        <f t="shared" ref="AG84:AG119" si="40">IF($AF84="","",ROUND($AF84*$AG$16,2))</f>
        <v/>
      </c>
      <c r="AH84" s="105"/>
      <c r="AI84" s="106"/>
      <c r="AJ84" s="107"/>
      <c r="AK84" s="90" t="str">
        <f t="shared" si="24"/>
        <v/>
      </c>
      <c r="AL84" s="91" t="str">
        <f t="shared" si="25"/>
        <v/>
      </c>
      <c r="AM84" s="93" t="str">
        <f t="shared" si="26"/>
        <v/>
      </c>
      <c r="AN84" s="162"/>
      <c r="AO84" s="107"/>
      <c r="AP84" s="163"/>
      <c r="AQ84" s="157" t="str">
        <f t="shared" si="27"/>
        <v/>
      </c>
      <c r="AR84" s="91" t="str">
        <f t="shared" si="28"/>
        <v/>
      </c>
      <c r="AS84" s="93" t="str">
        <f t="shared" si="29"/>
        <v/>
      </c>
      <c r="AT84" s="90" t="str">
        <f t="shared" si="30"/>
        <v/>
      </c>
      <c r="AU84" s="93" t="str">
        <f t="shared" si="31"/>
        <v/>
      </c>
      <c r="AV84" s="241" t="str">
        <f t="shared" ref="AV84:AV119" si="41">IF(C84="","",IFERROR(ROUND(M84+U84+AA84+AG84+AM84+AU84,2),""))</f>
        <v/>
      </c>
      <c r="AW84" s="238" t="str">
        <f>IF(C84="","",IFERROR(_xlfn.XLOOKUP(AV84,HELPER!$C$8:$C$48,HELPER!$D$8:$D$48,,1),""))</f>
        <v/>
      </c>
      <c r="AX84" s="113" t="str">
        <f>IF(C84="","",IFERROR(_xlfn.XLOOKUP(AW84,HELPER!$F$8:$F$48,HELPER!$G$8:$G$48,,1),""))</f>
        <v/>
      </c>
      <c r="AY84" s="146"/>
      <c r="AZ84" s="148"/>
    </row>
    <row r="85" spans="1:52" ht="15" customHeight="1" x14ac:dyDescent="0.25">
      <c r="A85" s="146"/>
      <c r="B85" s="110">
        <v>16</v>
      </c>
      <c r="C85" s="346" t="str">
        <f>IF('INPUT DATA'!N26="","",'INPUT DATA'!N26)</f>
        <v/>
      </c>
      <c r="D85" s="347"/>
      <c r="E85" s="347"/>
      <c r="F85" s="200"/>
      <c r="G85" s="201"/>
      <c r="H85" s="201"/>
      <c r="I85" s="201"/>
      <c r="J85" s="202"/>
      <c r="K85" s="194" t="str">
        <f t="shared" si="32"/>
        <v/>
      </c>
      <c r="L85" s="170" t="str">
        <f t="shared" si="33"/>
        <v/>
      </c>
      <c r="M85" s="188" t="str">
        <f t="shared" si="34"/>
        <v/>
      </c>
      <c r="N85" s="105"/>
      <c r="O85" s="106"/>
      <c r="P85" s="106"/>
      <c r="Q85" s="106"/>
      <c r="R85" s="107"/>
      <c r="S85" s="217" t="str">
        <f t="shared" si="21"/>
        <v/>
      </c>
      <c r="T85" s="91" t="str">
        <f t="shared" si="22"/>
        <v/>
      </c>
      <c r="U85" s="218" t="str">
        <f t="shared" si="23"/>
        <v/>
      </c>
      <c r="V85" s="230"/>
      <c r="W85" s="226"/>
      <c r="X85" s="231"/>
      <c r="Y85" s="194" t="str">
        <f t="shared" si="35"/>
        <v/>
      </c>
      <c r="Z85" s="170" t="str">
        <f t="shared" si="36"/>
        <v/>
      </c>
      <c r="AA85" s="188" t="str">
        <f t="shared" si="37"/>
        <v/>
      </c>
      <c r="AB85" s="230"/>
      <c r="AC85" s="226"/>
      <c r="AD85" s="231"/>
      <c r="AE85" s="194" t="str">
        <f t="shared" si="38"/>
        <v/>
      </c>
      <c r="AF85" s="170" t="str">
        <f t="shared" si="39"/>
        <v/>
      </c>
      <c r="AG85" s="188" t="str">
        <f t="shared" si="40"/>
        <v/>
      </c>
      <c r="AH85" s="105"/>
      <c r="AI85" s="106"/>
      <c r="AJ85" s="107"/>
      <c r="AK85" s="90" t="str">
        <f t="shared" si="24"/>
        <v/>
      </c>
      <c r="AL85" s="91" t="str">
        <f t="shared" si="25"/>
        <v/>
      </c>
      <c r="AM85" s="93" t="str">
        <f t="shared" si="26"/>
        <v/>
      </c>
      <c r="AN85" s="162"/>
      <c r="AO85" s="107"/>
      <c r="AP85" s="163"/>
      <c r="AQ85" s="157" t="str">
        <f t="shared" si="27"/>
        <v/>
      </c>
      <c r="AR85" s="91" t="str">
        <f t="shared" si="28"/>
        <v/>
      </c>
      <c r="AS85" s="93" t="str">
        <f t="shared" si="29"/>
        <v/>
      </c>
      <c r="AT85" s="90" t="str">
        <f t="shared" si="30"/>
        <v/>
      </c>
      <c r="AU85" s="93" t="str">
        <f t="shared" si="31"/>
        <v/>
      </c>
      <c r="AV85" s="241" t="str">
        <f t="shared" si="41"/>
        <v/>
      </c>
      <c r="AW85" s="238" t="str">
        <f>IF(C85="","",IFERROR(_xlfn.XLOOKUP(AV85,HELPER!$C$8:$C$48,HELPER!$D$8:$D$48,,1),""))</f>
        <v/>
      </c>
      <c r="AX85" s="113" t="str">
        <f>IF(C85="","",IFERROR(_xlfn.XLOOKUP(AW85,HELPER!$F$8:$F$48,HELPER!$G$8:$G$48,,1),""))</f>
        <v/>
      </c>
      <c r="AY85" s="146"/>
      <c r="AZ85" s="148"/>
    </row>
    <row r="86" spans="1:52" ht="15" customHeight="1" x14ac:dyDescent="0.25">
      <c r="A86" s="146"/>
      <c r="B86" s="110">
        <v>17</v>
      </c>
      <c r="C86" s="346" t="str">
        <f>IF('INPUT DATA'!N27="","",'INPUT DATA'!N27)</f>
        <v/>
      </c>
      <c r="D86" s="347"/>
      <c r="E86" s="347"/>
      <c r="F86" s="200"/>
      <c r="G86" s="201"/>
      <c r="H86" s="201"/>
      <c r="I86" s="201"/>
      <c r="J86" s="202"/>
      <c r="K86" s="194" t="str">
        <f t="shared" si="32"/>
        <v/>
      </c>
      <c r="L86" s="170" t="str">
        <f t="shared" si="33"/>
        <v/>
      </c>
      <c r="M86" s="188" t="str">
        <f t="shared" si="34"/>
        <v/>
      </c>
      <c r="N86" s="105"/>
      <c r="O86" s="106"/>
      <c r="P86" s="106"/>
      <c r="Q86" s="106"/>
      <c r="R86" s="107"/>
      <c r="S86" s="217" t="str">
        <f t="shared" si="21"/>
        <v/>
      </c>
      <c r="T86" s="91" t="str">
        <f t="shared" si="22"/>
        <v/>
      </c>
      <c r="U86" s="218" t="str">
        <f t="shared" si="23"/>
        <v/>
      </c>
      <c r="V86" s="230"/>
      <c r="W86" s="226"/>
      <c r="X86" s="231"/>
      <c r="Y86" s="194" t="str">
        <f t="shared" si="35"/>
        <v/>
      </c>
      <c r="Z86" s="170" t="str">
        <f t="shared" si="36"/>
        <v/>
      </c>
      <c r="AA86" s="188" t="str">
        <f t="shared" si="37"/>
        <v/>
      </c>
      <c r="AB86" s="230"/>
      <c r="AC86" s="226"/>
      <c r="AD86" s="231"/>
      <c r="AE86" s="194" t="str">
        <f t="shared" si="38"/>
        <v/>
      </c>
      <c r="AF86" s="170" t="str">
        <f t="shared" si="39"/>
        <v/>
      </c>
      <c r="AG86" s="188" t="str">
        <f t="shared" si="40"/>
        <v/>
      </c>
      <c r="AH86" s="105"/>
      <c r="AI86" s="106"/>
      <c r="AJ86" s="107"/>
      <c r="AK86" s="90" t="str">
        <f t="shared" si="24"/>
        <v/>
      </c>
      <c r="AL86" s="91" t="str">
        <f t="shared" si="25"/>
        <v/>
      </c>
      <c r="AM86" s="93" t="str">
        <f t="shared" si="26"/>
        <v/>
      </c>
      <c r="AN86" s="162"/>
      <c r="AO86" s="107"/>
      <c r="AP86" s="163"/>
      <c r="AQ86" s="157" t="str">
        <f t="shared" si="27"/>
        <v/>
      </c>
      <c r="AR86" s="91" t="str">
        <f t="shared" si="28"/>
        <v/>
      </c>
      <c r="AS86" s="93" t="str">
        <f t="shared" si="29"/>
        <v/>
      </c>
      <c r="AT86" s="90" t="str">
        <f t="shared" si="30"/>
        <v/>
      </c>
      <c r="AU86" s="93" t="str">
        <f t="shared" si="31"/>
        <v/>
      </c>
      <c r="AV86" s="241" t="str">
        <f t="shared" si="41"/>
        <v/>
      </c>
      <c r="AW86" s="238" t="str">
        <f>IF(C86="","",IFERROR(_xlfn.XLOOKUP(AV86,HELPER!$C$8:$C$48,HELPER!$D$8:$D$48,,1),""))</f>
        <v/>
      </c>
      <c r="AX86" s="113" t="str">
        <f>IF(C86="","",IFERROR(_xlfn.XLOOKUP(AW86,HELPER!$F$8:$F$48,HELPER!$G$8:$G$48,,1),""))</f>
        <v/>
      </c>
      <c r="AY86" s="146"/>
      <c r="AZ86" s="148"/>
    </row>
    <row r="87" spans="1:52" ht="15" customHeight="1" x14ac:dyDescent="0.25">
      <c r="A87" s="146"/>
      <c r="B87" s="110">
        <v>18</v>
      </c>
      <c r="C87" s="346" t="str">
        <f>IF('INPUT DATA'!N28="","",'INPUT DATA'!N28)</f>
        <v/>
      </c>
      <c r="D87" s="347"/>
      <c r="E87" s="347"/>
      <c r="F87" s="200"/>
      <c r="G87" s="201"/>
      <c r="H87" s="201"/>
      <c r="I87" s="201"/>
      <c r="J87" s="202"/>
      <c r="K87" s="194" t="str">
        <f t="shared" si="32"/>
        <v/>
      </c>
      <c r="L87" s="170" t="str">
        <f t="shared" si="33"/>
        <v/>
      </c>
      <c r="M87" s="188" t="str">
        <f t="shared" si="34"/>
        <v/>
      </c>
      <c r="N87" s="105"/>
      <c r="O87" s="106"/>
      <c r="P87" s="106"/>
      <c r="Q87" s="106"/>
      <c r="R87" s="107"/>
      <c r="S87" s="217" t="str">
        <f t="shared" si="21"/>
        <v/>
      </c>
      <c r="T87" s="91" t="str">
        <f t="shared" si="22"/>
        <v/>
      </c>
      <c r="U87" s="218" t="str">
        <f t="shared" si="23"/>
        <v/>
      </c>
      <c r="V87" s="230"/>
      <c r="W87" s="226"/>
      <c r="X87" s="231"/>
      <c r="Y87" s="194" t="str">
        <f t="shared" si="35"/>
        <v/>
      </c>
      <c r="Z87" s="170" t="str">
        <f t="shared" si="36"/>
        <v/>
      </c>
      <c r="AA87" s="188" t="str">
        <f t="shared" si="37"/>
        <v/>
      </c>
      <c r="AB87" s="230"/>
      <c r="AC87" s="226"/>
      <c r="AD87" s="231"/>
      <c r="AE87" s="194" t="str">
        <f t="shared" si="38"/>
        <v/>
      </c>
      <c r="AF87" s="170" t="str">
        <f t="shared" si="39"/>
        <v/>
      </c>
      <c r="AG87" s="188" t="str">
        <f t="shared" si="40"/>
        <v/>
      </c>
      <c r="AH87" s="105"/>
      <c r="AI87" s="106"/>
      <c r="AJ87" s="107"/>
      <c r="AK87" s="90" t="str">
        <f t="shared" si="24"/>
        <v/>
      </c>
      <c r="AL87" s="91" t="str">
        <f t="shared" si="25"/>
        <v/>
      </c>
      <c r="AM87" s="93" t="str">
        <f t="shared" si="26"/>
        <v/>
      </c>
      <c r="AN87" s="162"/>
      <c r="AO87" s="107"/>
      <c r="AP87" s="163"/>
      <c r="AQ87" s="157" t="str">
        <f t="shared" si="27"/>
        <v/>
      </c>
      <c r="AR87" s="91" t="str">
        <f t="shared" si="28"/>
        <v/>
      </c>
      <c r="AS87" s="93" t="str">
        <f t="shared" si="29"/>
        <v/>
      </c>
      <c r="AT87" s="90" t="str">
        <f t="shared" si="30"/>
        <v/>
      </c>
      <c r="AU87" s="93" t="str">
        <f t="shared" si="31"/>
        <v/>
      </c>
      <c r="AV87" s="241" t="str">
        <f t="shared" si="41"/>
        <v/>
      </c>
      <c r="AW87" s="238" t="str">
        <f>IF(C87="","",IFERROR(_xlfn.XLOOKUP(AV87,HELPER!$C$8:$C$48,HELPER!$D$8:$D$48,,1),""))</f>
        <v/>
      </c>
      <c r="AX87" s="113" t="str">
        <f>IF(C87="","",IFERROR(_xlfn.XLOOKUP(AW87,HELPER!$F$8:$F$48,HELPER!$G$8:$G$48,,1),""))</f>
        <v/>
      </c>
      <c r="AY87" s="146"/>
      <c r="AZ87" s="148"/>
    </row>
    <row r="88" spans="1:52" ht="15" customHeight="1" x14ac:dyDescent="0.25">
      <c r="A88" s="146"/>
      <c r="B88" s="110">
        <v>19</v>
      </c>
      <c r="C88" s="346" t="str">
        <f>IF('INPUT DATA'!N29="","",'INPUT DATA'!N29)</f>
        <v/>
      </c>
      <c r="D88" s="347"/>
      <c r="E88" s="347"/>
      <c r="F88" s="200"/>
      <c r="G88" s="201"/>
      <c r="H88" s="201"/>
      <c r="I88" s="201"/>
      <c r="J88" s="202"/>
      <c r="K88" s="194" t="str">
        <f t="shared" si="32"/>
        <v/>
      </c>
      <c r="L88" s="170" t="str">
        <f t="shared" si="33"/>
        <v/>
      </c>
      <c r="M88" s="188" t="str">
        <f t="shared" si="34"/>
        <v/>
      </c>
      <c r="N88" s="105"/>
      <c r="O88" s="106"/>
      <c r="P88" s="106"/>
      <c r="Q88" s="106"/>
      <c r="R88" s="107"/>
      <c r="S88" s="217" t="str">
        <f t="shared" si="21"/>
        <v/>
      </c>
      <c r="T88" s="91" t="str">
        <f t="shared" si="22"/>
        <v/>
      </c>
      <c r="U88" s="218" t="str">
        <f t="shared" si="23"/>
        <v/>
      </c>
      <c r="V88" s="230"/>
      <c r="W88" s="226"/>
      <c r="X88" s="231"/>
      <c r="Y88" s="194" t="str">
        <f t="shared" si="35"/>
        <v/>
      </c>
      <c r="Z88" s="170" t="str">
        <f t="shared" si="36"/>
        <v/>
      </c>
      <c r="AA88" s="188" t="str">
        <f t="shared" si="37"/>
        <v/>
      </c>
      <c r="AB88" s="230"/>
      <c r="AC88" s="226"/>
      <c r="AD88" s="231"/>
      <c r="AE88" s="194" t="str">
        <f t="shared" si="38"/>
        <v/>
      </c>
      <c r="AF88" s="170" t="str">
        <f t="shared" si="39"/>
        <v/>
      </c>
      <c r="AG88" s="188" t="str">
        <f t="shared" si="40"/>
        <v/>
      </c>
      <c r="AH88" s="105"/>
      <c r="AI88" s="106"/>
      <c r="AJ88" s="107"/>
      <c r="AK88" s="90" t="str">
        <f t="shared" si="24"/>
        <v/>
      </c>
      <c r="AL88" s="91" t="str">
        <f t="shared" si="25"/>
        <v/>
      </c>
      <c r="AM88" s="93" t="str">
        <f t="shared" si="26"/>
        <v/>
      </c>
      <c r="AN88" s="162"/>
      <c r="AO88" s="107"/>
      <c r="AP88" s="163"/>
      <c r="AQ88" s="157" t="str">
        <f t="shared" si="27"/>
        <v/>
      </c>
      <c r="AR88" s="91" t="str">
        <f t="shared" si="28"/>
        <v/>
      </c>
      <c r="AS88" s="93" t="str">
        <f t="shared" si="29"/>
        <v/>
      </c>
      <c r="AT88" s="90" t="str">
        <f t="shared" si="30"/>
        <v/>
      </c>
      <c r="AU88" s="93" t="str">
        <f t="shared" si="31"/>
        <v/>
      </c>
      <c r="AV88" s="241" t="str">
        <f t="shared" si="41"/>
        <v/>
      </c>
      <c r="AW88" s="238" t="str">
        <f>IF(C88="","",IFERROR(_xlfn.XLOOKUP(AV88,HELPER!$C$8:$C$48,HELPER!$D$8:$D$48,,1),""))</f>
        <v/>
      </c>
      <c r="AX88" s="113" t="str">
        <f>IF(C88="","",IFERROR(_xlfn.XLOOKUP(AW88,HELPER!$F$8:$F$48,HELPER!$G$8:$G$48,,1),""))</f>
        <v/>
      </c>
      <c r="AY88" s="146"/>
      <c r="AZ88" s="148"/>
    </row>
    <row r="89" spans="1:52" ht="15" customHeight="1" x14ac:dyDescent="0.25">
      <c r="A89" s="146"/>
      <c r="B89" s="111">
        <v>20</v>
      </c>
      <c r="C89" s="346" t="str">
        <f>IF('INPUT DATA'!N30="","",'INPUT DATA'!N30)</f>
        <v/>
      </c>
      <c r="D89" s="347"/>
      <c r="E89" s="347"/>
      <c r="F89" s="200"/>
      <c r="G89" s="201"/>
      <c r="H89" s="201"/>
      <c r="I89" s="201"/>
      <c r="J89" s="202"/>
      <c r="K89" s="194" t="str">
        <f t="shared" si="32"/>
        <v/>
      </c>
      <c r="L89" s="170" t="str">
        <f t="shared" si="33"/>
        <v/>
      </c>
      <c r="M89" s="188" t="str">
        <f t="shared" si="34"/>
        <v/>
      </c>
      <c r="N89" s="105"/>
      <c r="O89" s="106"/>
      <c r="P89" s="106"/>
      <c r="Q89" s="106"/>
      <c r="R89" s="107"/>
      <c r="S89" s="217" t="str">
        <f t="shared" si="21"/>
        <v/>
      </c>
      <c r="T89" s="91" t="str">
        <f t="shared" si="22"/>
        <v/>
      </c>
      <c r="U89" s="218" t="str">
        <f t="shared" si="23"/>
        <v/>
      </c>
      <c r="V89" s="230"/>
      <c r="W89" s="226"/>
      <c r="X89" s="231"/>
      <c r="Y89" s="194" t="str">
        <f t="shared" si="35"/>
        <v/>
      </c>
      <c r="Z89" s="170" t="str">
        <f t="shared" si="36"/>
        <v/>
      </c>
      <c r="AA89" s="188" t="str">
        <f t="shared" si="37"/>
        <v/>
      </c>
      <c r="AB89" s="230"/>
      <c r="AC89" s="226"/>
      <c r="AD89" s="231"/>
      <c r="AE89" s="194" t="str">
        <f t="shared" si="38"/>
        <v/>
      </c>
      <c r="AF89" s="170" t="str">
        <f t="shared" si="39"/>
        <v/>
      </c>
      <c r="AG89" s="188" t="str">
        <f t="shared" si="40"/>
        <v/>
      </c>
      <c r="AH89" s="105"/>
      <c r="AI89" s="106"/>
      <c r="AJ89" s="107"/>
      <c r="AK89" s="90" t="str">
        <f t="shared" si="24"/>
        <v/>
      </c>
      <c r="AL89" s="91" t="str">
        <f t="shared" si="25"/>
        <v/>
      </c>
      <c r="AM89" s="93" t="str">
        <f t="shared" si="26"/>
        <v/>
      </c>
      <c r="AN89" s="162"/>
      <c r="AO89" s="107"/>
      <c r="AP89" s="163"/>
      <c r="AQ89" s="157" t="str">
        <f t="shared" si="27"/>
        <v/>
      </c>
      <c r="AR89" s="91" t="str">
        <f t="shared" si="28"/>
        <v/>
      </c>
      <c r="AS89" s="93" t="str">
        <f t="shared" si="29"/>
        <v/>
      </c>
      <c r="AT89" s="90" t="str">
        <f t="shared" si="30"/>
        <v/>
      </c>
      <c r="AU89" s="93" t="str">
        <f t="shared" si="31"/>
        <v/>
      </c>
      <c r="AV89" s="241" t="str">
        <f t="shared" si="41"/>
        <v/>
      </c>
      <c r="AW89" s="238" t="str">
        <f>IF(C89="","",IFERROR(_xlfn.XLOOKUP(AV89,HELPER!$C$8:$C$48,HELPER!$D$8:$D$48,,1),""))</f>
        <v/>
      </c>
      <c r="AX89" s="113" t="str">
        <f>IF(C89="","",IFERROR(_xlfn.XLOOKUP(AW89,HELPER!$F$8:$F$48,HELPER!$G$8:$G$48,,1),""))</f>
        <v/>
      </c>
      <c r="AY89" s="146"/>
      <c r="AZ89" s="148"/>
    </row>
    <row r="90" spans="1:52" ht="15" customHeight="1" x14ac:dyDescent="0.25">
      <c r="A90" s="146"/>
      <c r="B90" s="111">
        <v>21</v>
      </c>
      <c r="C90" s="346" t="str">
        <f>IF('INPUT DATA'!N31="","",'INPUT DATA'!N31)</f>
        <v/>
      </c>
      <c r="D90" s="347"/>
      <c r="E90" s="347"/>
      <c r="F90" s="200"/>
      <c r="G90" s="201"/>
      <c r="H90" s="201"/>
      <c r="I90" s="201"/>
      <c r="J90" s="202"/>
      <c r="K90" s="194" t="str">
        <f t="shared" si="32"/>
        <v/>
      </c>
      <c r="L90" s="170" t="str">
        <f t="shared" si="33"/>
        <v/>
      </c>
      <c r="M90" s="188" t="str">
        <f t="shared" si="34"/>
        <v/>
      </c>
      <c r="N90" s="105"/>
      <c r="O90" s="106"/>
      <c r="P90" s="106"/>
      <c r="Q90" s="106"/>
      <c r="R90" s="107"/>
      <c r="S90" s="217" t="str">
        <f t="shared" si="21"/>
        <v/>
      </c>
      <c r="T90" s="91" t="str">
        <f t="shared" si="22"/>
        <v/>
      </c>
      <c r="U90" s="218" t="str">
        <f t="shared" si="23"/>
        <v/>
      </c>
      <c r="V90" s="230"/>
      <c r="W90" s="226"/>
      <c r="X90" s="231"/>
      <c r="Y90" s="194" t="str">
        <f t="shared" si="35"/>
        <v/>
      </c>
      <c r="Z90" s="170" t="str">
        <f t="shared" si="36"/>
        <v/>
      </c>
      <c r="AA90" s="188" t="str">
        <f t="shared" si="37"/>
        <v/>
      </c>
      <c r="AB90" s="230"/>
      <c r="AC90" s="226"/>
      <c r="AD90" s="231"/>
      <c r="AE90" s="194" t="str">
        <f t="shared" si="38"/>
        <v/>
      </c>
      <c r="AF90" s="170" t="str">
        <f t="shared" si="39"/>
        <v/>
      </c>
      <c r="AG90" s="188" t="str">
        <f t="shared" si="40"/>
        <v/>
      </c>
      <c r="AH90" s="105"/>
      <c r="AI90" s="106"/>
      <c r="AJ90" s="107"/>
      <c r="AK90" s="90" t="str">
        <f t="shared" si="24"/>
        <v/>
      </c>
      <c r="AL90" s="91" t="str">
        <f t="shared" si="25"/>
        <v/>
      </c>
      <c r="AM90" s="93" t="str">
        <f t="shared" si="26"/>
        <v/>
      </c>
      <c r="AN90" s="162"/>
      <c r="AO90" s="107"/>
      <c r="AP90" s="163"/>
      <c r="AQ90" s="157" t="str">
        <f t="shared" si="27"/>
        <v/>
      </c>
      <c r="AR90" s="91" t="str">
        <f t="shared" si="28"/>
        <v/>
      </c>
      <c r="AS90" s="93" t="str">
        <f t="shared" si="29"/>
        <v/>
      </c>
      <c r="AT90" s="90" t="str">
        <f t="shared" si="30"/>
        <v/>
      </c>
      <c r="AU90" s="93" t="str">
        <f t="shared" si="31"/>
        <v/>
      </c>
      <c r="AV90" s="241" t="str">
        <f t="shared" si="41"/>
        <v/>
      </c>
      <c r="AW90" s="238" t="str">
        <f>IF(C90="","",IFERROR(_xlfn.XLOOKUP(AV90,HELPER!$C$8:$C$48,HELPER!$D$8:$D$48,,1),""))</f>
        <v/>
      </c>
      <c r="AX90" s="113" t="str">
        <f>IF(C90="","",IFERROR(_xlfn.XLOOKUP(AW90,HELPER!$F$8:$F$48,HELPER!$G$8:$G$48,,1),""))</f>
        <v/>
      </c>
      <c r="AY90" s="146"/>
      <c r="AZ90" s="148"/>
    </row>
    <row r="91" spans="1:52" ht="15" customHeight="1" x14ac:dyDescent="0.25">
      <c r="A91" s="146"/>
      <c r="B91" s="111">
        <v>22</v>
      </c>
      <c r="C91" s="346" t="str">
        <f>IF('INPUT DATA'!N32="","",'INPUT DATA'!N32)</f>
        <v/>
      </c>
      <c r="D91" s="347"/>
      <c r="E91" s="347"/>
      <c r="F91" s="200"/>
      <c r="G91" s="201"/>
      <c r="H91" s="201"/>
      <c r="I91" s="201"/>
      <c r="J91" s="202"/>
      <c r="K91" s="194" t="str">
        <f t="shared" si="32"/>
        <v/>
      </c>
      <c r="L91" s="170" t="str">
        <f t="shared" si="33"/>
        <v/>
      </c>
      <c r="M91" s="188" t="str">
        <f t="shared" si="34"/>
        <v/>
      </c>
      <c r="N91" s="105"/>
      <c r="O91" s="106"/>
      <c r="P91" s="106"/>
      <c r="Q91" s="106"/>
      <c r="R91" s="107"/>
      <c r="S91" s="217" t="str">
        <f t="shared" si="21"/>
        <v/>
      </c>
      <c r="T91" s="91" t="str">
        <f t="shared" si="22"/>
        <v/>
      </c>
      <c r="U91" s="218" t="str">
        <f t="shared" si="23"/>
        <v/>
      </c>
      <c r="V91" s="230"/>
      <c r="W91" s="226"/>
      <c r="X91" s="231"/>
      <c r="Y91" s="194" t="str">
        <f t="shared" si="35"/>
        <v/>
      </c>
      <c r="Z91" s="170" t="str">
        <f t="shared" si="36"/>
        <v/>
      </c>
      <c r="AA91" s="188" t="str">
        <f t="shared" si="37"/>
        <v/>
      </c>
      <c r="AB91" s="230"/>
      <c r="AC91" s="226"/>
      <c r="AD91" s="231"/>
      <c r="AE91" s="194" t="str">
        <f t="shared" si="38"/>
        <v/>
      </c>
      <c r="AF91" s="170" t="str">
        <f t="shared" si="39"/>
        <v/>
      </c>
      <c r="AG91" s="188" t="str">
        <f t="shared" si="40"/>
        <v/>
      </c>
      <c r="AH91" s="105"/>
      <c r="AI91" s="106"/>
      <c r="AJ91" s="107"/>
      <c r="AK91" s="90" t="str">
        <f t="shared" si="24"/>
        <v/>
      </c>
      <c r="AL91" s="91" t="str">
        <f t="shared" si="25"/>
        <v/>
      </c>
      <c r="AM91" s="93" t="str">
        <f t="shared" si="26"/>
        <v/>
      </c>
      <c r="AN91" s="162"/>
      <c r="AO91" s="107"/>
      <c r="AP91" s="163"/>
      <c r="AQ91" s="157" t="str">
        <f t="shared" si="27"/>
        <v/>
      </c>
      <c r="AR91" s="91" t="str">
        <f t="shared" si="28"/>
        <v/>
      </c>
      <c r="AS91" s="93" t="str">
        <f t="shared" si="29"/>
        <v/>
      </c>
      <c r="AT91" s="90" t="str">
        <f t="shared" si="30"/>
        <v/>
      </c>
      <c r="AU91" s="93" t="str">
        <f t="shared" si="31"/>
        <v/>
      </c>
      <c r="AV91" s="241" t="str">
        <f t="shared" si="41"/>
        <v/>
      </c>
      <c r="AW91" s="238" t="str">
        <f>IF(C91="","",IFERROR(_xlfn.XLOOKUP(AV91,HELPER!$C$8:$C$48,HELPER!$D$8:$D$48,,1),""))</f>
        <v/>
      </c>
      <c r="AX91" s="113" t="str">
        <f>IF(C91="","",IFERROR(_xlfn.XLOOKUP(AW91,HELPER!$F$8:$F$48,HELPER!$G$8:$G$48,,1),""))</f>
        <v/>
      </c>
      <c r="AY91" s="146"/>
      <c r="AZ91" s="148"/>
    </row>
    <row r="92" spans="1:52" ht="15" customHeight="1" x14ac:dyDescent="0.25">
      <c r="A92" s="146"/>
      <c r="B92" s="111">
        <v>23</v>
      </c>
      <c r="C92" s="346" t="str">
        <f>IF('INPUT DATA'!N33="","",'INPUT DATA'!N33)</f>
        <v/>
      </c>
      <c r="D92" s="347"/>
      <c r="E92" s="347"/>
      <c r="F92" s="200"/>
      <c r="G92" s="201"/>
      <c r="H92" s="201"/>
      <c r="I92" s="201"/>
      <c r="J92" s="202"/>
      <c r="K92" s="194" t="str">
        <f t="shared" si="32"/>
        <v/>
      </c>
      <c r="L92" s="170" t="str">
        <f t="shared" si="33"/>
        <v/>
      </c>
      <c r="M92" s="188" t="str">
        <f t="shared" si="34"/>
        <v/>
      </c>
      <c r="N92" s="105"/>
      <c r="O92" s="106"/>
      <c r="P92" s="106"/>
      <c r="Q92" s="106"/>
      <c r="R92" s="107"/>
      <c r="S92" s="217" t="str">
        <f t="shared" si="21"/>
        <v/>
      </c>
      <c r="T92" s="91" t="str">
        <f t="shared" si="22"/>
        <v/>
      </c>
      <c r="U92" s="218" t="str">
        <f t="shared" si="23"/>
        <v/>
      </c>
      <c r="V92" s="230"/>
      <c r="W92" s="226"/>
      <c r="X92" s="231"/>
      <c r="Y92" s="194" t="str">
        <f t="shared" si="35"/>
        <v/>
      </c>
      <c r="Z92" s="170" t="str">
        <f t="shared" si="36"/>
        <v/>
      </c>
      <c r="AA92" s="188" t="str">
        <f t="shared" si="37"/>
        <v/>
      </c>
      <c r="AB92" s="230"/>
      <c r="AC92" s="226"/>
      <c r="AD92" s="231"/>
      <c r="AE92" s="194" t="str">
        <f t="shared" si="38"/>
        <v/>
      </c>
      <c r="AF92" s="170" t="str">
        <f t="shared" si="39"/>
        <v/>
      </c>
      <c r="AG92" s="188" t="str">
        <f t="shared" si="40"/>
        <v/>
      </c>
      <c r="AH92" s="105"/>
      <c r="AI92" s="106"/>
      <c r="AJ92" s="107"/>
      <c r="AK92" s="90" t="str">
        <f t="shared" si="24"/>
        <v/>
      </c>
      <c r="AL92" s="91" t="str">
        <f t="shared" si="25"/>
        <v/>
      </c>
      <c r="AM92" s="93" t="str">
        <f t="shared" si="26"/>
        <v/>
      </c>
      <c r="AN92" s="162"/>
      <c r="AO92" s="107"/>
      <c r="AP92" s="163"/>
      <c r="AQ92" s="157" t="str">
        <f t="shared" si="27"/>
        <v/>
      </c>
      <c r="AR92" s="91" t="str">
        <f t="shared" si="28"/>
        <v/>
      </c>
      <c r="AS92" s="93" t="str">
        <f t="shared" si="29"/>
        <v/>
      </c>
      <c r="AT92" s="90" t="str">
        <f t="shared" si="30"/>
        <v/>
      </c>
      <c r="AU92" s="93" t="str">
        <f t="shared" si="31"/>
        <v/>
      </c>
      <c r="AV92" s="241" t="str">
        <f t="shared" si="41"/>
        <v/>
      </c>
      <c r="AW92" s="238" t="str">
        <f>IF(C92="","",IFERROR(_xlfn.XLOOKUP(AV92,HELPER!$C$8:$C$48,HELPER!$D$8:$D$48,,1),""))</f>
        <v/>
      </c>
      <c r="AX92" s="113" t="str">
        <f>IF(C92="","",IFERROR(_xlfn.XLOOKUP(AW92,HELPER!$F$8:$F$48,HELPER!$G$8:$G$48,,1),""))</f>
        <v/>
      </c>
      <c r="AY92" s="146"/>
      <c r="AZ92" s="148"/>
    </row>
    <row r="93" spans="1:52" ht="15" customHeight="1" x14ac:dyDescent="0.25">
      <c r="A93" s="146"/>
      <c r="B93" s="111">
        <v>24</v>
      </c>
      <c r="C93" s="346" t="str">
        <f>IF('INPUT DATA'!N34="","",'INPUT DATA'!N34)</f>
        <v/>
      </c>
      <c r="D93" s="347"/>
      <c r="E93" s="347"/>
      <c r="F93" s="200"/>
      <c r="G93" s="201"/>
      <c r="H93" s="201"/>
      <c r="I93" s="201"/>
      <c r="J93" s="202"/>
      <c r="K93" s="194" t="str">
        <f t="shared" si="32"/>
        <v/>
      </c>
      <c r="L93" s="170" t="str">
        <f t="shared" si="33"/>
        <v/>
      </c>
      <c r="M93" s="188" t="str">
        <f t="shared" si="34"/>
        <v/>
      </c>
      <c r="N93" s="105"/>
      <c r="O93" s="106"/>
      <c r="P93" s="106"/>
      <c r="Q93" s="106"/>
      <c r="R93" s="107"/>
      <c r="S93" s="217" t="str">
        <f t="shared" si="21"/>
        <v/>
      </c>
      <c r="T93" s="91" t="str">
        <f t="shared" si="22"/>
        <v/>
      </c>
      <c r="U93" s="218" t="str">
        <f t="shared" si="23"/>
        <v/>
      </c>
      <c r="V93" s="230"/>
      <c r="W93" s="226"/>
      <c r="X93" s="231"/>
      <c r="Y93" s="194" t="str">
        <f t="shared" si="35"/>
        <v/>
      </c>
      <c r="Z93" s="170" t="str">
        <f t="shared" si="36"/>
        <v/>
      </c>
      <c r="AA93" s="188" t="str">
        <f t="shared" si="37"/>
        <v/>
      </c>
      <c r="AB93" s="230"/>
      <c r="AC93" s="226"/>
      <c r="AD93" s="231"/>
      <c r="AE93" s="194" t="str">
        <f t="shared" si="38"/>
        <v/>
      </c>
      <c r="AF93" s="170" t="str">
        <f t="shared" si="39"/>
        <v/>
      </c>
      <c r="AG93" s="188" t="str">
        <f t="shared" si="40"/>
        <v/>
      </c>
      <c r="AH93" s="105"/>
      <c r="AI93" s="106"/>
      <c r="AJ93" s="107"/>
      <c r="AK93" s="90" t="str">
        <f t="shared" si="24"/>
        <v/>
      </c>
      <c r="AL93" s="91" t="str">
        <f t="shared" si="25"/>
        <v/>
      </c>
      <c r="AM93" s="93" t="str">
        <f t="shared" si="26"/>
        <v/>
      </c>
      <c r="AN93" s="162"/>
      <c r="AO93" s="107"/>
      <c r="AP93" s="163"/>
      <c r="AQ93" s="157" t="str">
        <f t="shared" si="27"/>
        <v/>
      </c>
      <c r="AR93" s="91" t="str">
        <f t="shared" si="28"/>
        <v/>
      </c>
      <c r="AS93" s="93" t="str">
        <f t="shared" si="29"/>
        <v/>
      </c>
      <c r="AT93" s="90" t="str">
        <f t="shared" si="30"/>
        <v/>
      </c>
      <c r="AU93" s="93" t="str">
        <f t="shared" si="31"/>
        <v/>
      </c>
      <c r="AV93" s="241" t="str">
        <f t="shared" si="41"/>
        <v/>
      </c>
      <c r="AW93" s="238" t="str">
        <f>IF(C93="","",IFERROR(_xlfn.XLOOKUP(AV93,HELPER!$C$8:$C$48,HELPER!$D$8:$D$48,,1),""))</f>
        <v/>
      </c>
      <c r="AX93" s="113" t="str">
        <f>IF(C93="","",IFERROR(_xlfn.XLOOKUP(AW93,HELPER!$F$8:$F$48,HELPER!$G$8:$G$48,,1),""))</f>
        <v/>
      </c>
      <c r="AY93" s="146"/>
      <c r="AZ93" s="148"/>
    </row>
    <row r="94" spans="1:52" ht="15" customHeight="1" x14ac:dyDescent="0.25">
      <c r="A94" s="146"/>
      <c r="B94" s="111">
        <v>25</v>
      </c>
      <c r="C94" s="346" t="str">
        <f>IF('INPUT DATA'!N35="","",'INPUT DATA'!N35)</f>
        <v/>
      </c>
      <c r="D94" s="347"/>
      <c r="E94" s="347"/>
      <c r="F94" s="200"/>
      <c r="G94" s="201"/>
      <c r="H94" s="201"/>
      <c r="I94" s="201"/>
      <c r="J94" s="202"/>
      <c r="K94" s="194" t="str">
        <f t="shared" si="32"/>
        <v/>
      </c>
      <c r="L94" s="170" t="str">
        <f t="shared" si="33"/>
        <v/>
      </c>
      <c r="M94" s="188" t="str">
        <f t="shared" si="34"/>
        <v/>
      </c>
      <c r="N94" s="105"/>
      <c r="O94" s="106"/>
      <c r="P94" s="106"/>
      <c r="Q94" s="106"/>
      <c r="R94" s="107"/>
      <c r="S94" s="217" t="str">
        <f t="shared" si="21"/>
        <v/>
      </c>
      <c r="T94" s="91" t="str">
        <f t="shared" si="22"/>
        <v/>
      </c>
      <c r="U94" s="218" t="str">
        <f t="shared" si="23"/>
        <v/>
      </c>
      <c r="V94" s="230"/>
      <c r="W94" s="226"/>
      <c r="X94" s="231"/>
      <c r="Y94" s="194" t="str">
        <f t="shared" si="35"/>
        <v/>
      </c>
      <c r="Z94" s="170" t="str">
        <f t="shared" si="36"/>
        <v/>
      </c>
      <c r="AA94" s="188" t="str">
        <f t="shared" si="37"/>
        <v/>
      </c>
      <c r="AB94" s="230"/>
      <c r="AC94" s="226"/>
      <c r="AD94" s="231"/>
      <c r="AE94" s="194" t="str">
        <f t="shared" si="38"/>
        <v/>
      </c>
      <c r="AF94" s="170" t="str">
        <f t="shared" si="39"/>
        <v/>
      </c>
      <c r="AG94" s="188" t="str">
        <f t="shared" si="40"/>
        <v/>
      </c>
      <c r="AH94" s="105"/>
      <c r="AI94" s="106"/>
      <c r="AJ94" s="107"/>
      <c r="AK94" s="90" t="str">
        <f t="shared" si="24"/>
        <v/>
      </c>
      <c r="AL94" s="91" t="str">
        <f t="shared" si="25"/>
        <v/>
      </c>
      <c r="AM94" s="93" t="str">
        <f t="shared" si="26"/>
        <v/>
      </c>
      <c r="AN94" s="162"/>
      <c r="AO94" s="107"/>
      <c r="AP94" s="163"/>
      <c r="AQ94" s="157" t="str">
        <f t="shared" si="27"/>
        <v/>
      </c>
      <c r="AR94" s="91" t="str">
        <f t="shared" si="28"/>
        <v/>
      </c>
      <c r="AS94" s="93" t="str">
        <f t="shared" si="29"/>
        <v/>
      </c>
      <c r="AT94" s="90" t="str">
        <f t="shared" si="30"/>
        <v/>
      </c>
      <c r="AU94" s="93" t="str">
        <f t="shared" si="31"/>
        <v/>
      </c>
      <c r="AV94" s="241" t="str">
        <f t="shared" si="41"/>
        <v/>
      </c>
      <c r="AW94" s="238" t="str">
        <f>IF(C94="","",IFERROR(_xlfn.XLOOKUP(AV94,HELPER!$C$8:$C$48,HELPER!$D$8:$D$48,,1),""))</f>
        <v/>
      </c>
      <c r="AX94" s="113" t="str">
        <f>IF(C94="","",IFERROR(_xlfn.XLOOKUP(AW94,HELPER!$F$8:$F$48,HELPER!$G$8:$G$48,,1),""))</f>
        <v/>
      </c>
      <c r="AY94" s="146"/>
      <c r="AZ94" s="148"/>
    </row>
    <row r="95" spans="1:52" ht="15" customHeight="1" x14ac:dyDescent="0.25">
      <c r="A95" s="146"/>
      <c r="B95" s="111">
        <v>26</v>
      </c>
      <c r="C95" s="346" t="str">
        <f>IF('INPUT DATA'!N36="","",'INPUT DATA'!N36)</f>
        <v/>
      </c>
      <c r="D95" s="347"/>
      <c r="E95" s="347"/>
      <c r="F95" s="200"/>
      <c r="G95" s="201"/>
      <c r="H95" s="201"/>
      <c r="I95" s="201"/>
      <c r="J95" s="202"/>
      <c r="K95" s="194" t="str">
        <f t="shared" si="32"/>
        <v/>
      </c>
      <c r="L95" s="170" t="str">
        <f t="shared" si="33"/>
        <v/>
      </c>
      <c r="M95" s="188" t="str">
        <f t="shared" si="34"/>
        <v/>
      </c>
      <c r="N95" s="105"/>
      <c r="O95" s="106"/>
      <c r="P95" s="106"/>
      <c r="Q95" s="106"/>
      <c r="R95" s="107"/>
      <c r="S95" s="217" t="str">
        <f t="shared" si="21"/>
        <v/>
      </c>
      <c r="T95" s="91" t="str">
        <f t="shared" si="22"/>
        <v/>
      </c>
      <c r="U95" s="218" t="str">
        <f t="shared" si="23"/>
        <v/>
      </c>
      <c r="V95" s="230"/>
      <c r="W95" s="226"/>
      <c r="X95" s="231"/>
      <c r="Y95" s="194" t="str">
        <f t="shared" si="35"/>
        <v/>
      </c>
      <c r="Z95" s="170" t="str">
        <f t="shared" si="36"/>
        <v/>
      </c>
      <c r="AA95" s="188" t="str">
        <f t="shared" si="37"/>
        <v/>
      </c>
      <c r="AB95" s="230"/>
      <c r="AC95" s="226"/>
      <c r="AD95" s="231"/>
      <c r="AE95" s="194" t="str">
        <f t="shared" si="38"/>
        <v/>
      </c>
      <c r="AF95" s="170" t="str">
        <f t="shared" si="39"/>
        <v/>
      </c>
      <c r="AG95" s="188" t="str">
        <f t="shared" si="40"/>
        <v/>
      </c>
      <c r="AH95" s="105"/>
      <c r="AI95" s="106"/>
      <c r="AJ95" s="107"/>
      <c r="AK95" s="90" t="str">
        <f t="shared" si="24"/>
        <v/>
      </c>
      <c r="AL95" s="91" t="str">
        <f t="shared" si="25"/>
        <v/>
      </c>
      <c r="AM95" s="93" t="str">
        <f t="shared" si="26"/>
        <v/>
      </c>
      <c r="AN95" s="162"/>
      <c r="AO95" s="107"/>
      <c r="AP95" s="163"/>
      <c r="AQ95" s="157" t="str">
        <f t="shared" si="27"/>
        <v/>
      </c>
      <c r="AR95" s="91" t="str">
        <f t="shared" si="28"/>
        <v/>
      </c>
      <c r="AS95" s="93" t="str">
        <f t="shared" si="29"/>
        <v/>
      </c>
      <c r="AT95" s="90" t="str">
        <f t="shared" si="30"/>
        <v/>
      </c>
      <c r="AU95" s="93" t="str">
        <f t="shared" si="31"/>
        <v/>
      </c>
      <c r="AV95" s="241" t="str">
        <f t="shared" si="41"/>
        <v/>
      </c>
      <c r="AW95" s="238" t="str">
        <f>IF(C95="","",IFERROR(_xlfn.XLOOKUP(AV95,HELPER!$C$8:$C$48,HELPER!$D$8:$D$48,,1),""))</f>
        <v/>
      </c>
      <c r="AX95" s="113" t="str">
        <f>IF(C95="","",IFERROR(_xlfn.XLOOKUP(AW95,HELPER!$F$8:$F$48,HELPER!$G$8:$G$48,,1),""))</f>
        <v/>
      </c>
      <c r="AY95" s="146"/>
      <c r="AZ95" s="148"/>
    </row>
    <row r="96" spans="1:52" ht="15" customHeight="1" x14ac:dyDescent="0.25">
      <c r="A96" s="146"/>
      <c r="B96" s="111">
        <v>27</v>
      </c>
      <c r="C96" s="346" t="str">
        <f>IF('INPUT DATA'!N37="","",'INPUT DATA'!N37)</f>
        <v/>
      </c>
      <c r="D96" s="347"/>
      <c r="E96" s="347"/>
      <c r="F96" s="200"/>
      <c r="G96" s="201"/>
      <c r="H96" s="201"/>
      <c r="I96" s="201"/>
      <c r="J96" s="202"/>
      <c r="K96" s="194" t="str">
        <f t="shared" si="32"/>
        <v/>
      </c>
      <c r="L96" s="170" t="str">
        <f t="shared" si="33"/>
        <v/>
      </c>
      <c r="M96" s="188" t="str">
        <f t="shared" si="34"/>
        <v/>
      </c>
      <c r="N96" s="105"/>
      <c r="O96" s="106"/>
      <c r="P96" s="106"/>
      <c r="Q96" s="106"/>
      <c r="R96" s="107"/>
      <c r="S96" s="217" t="str">
        <f t="shared" si="21"/>
        <v/>
      </c>
      <c r="T96" s="91" t="str">
        <f t="shared" si="22"/>
        <v/>
      </c>
      <c r="U96" s="218" t="str">
        <f t="shared" si="23"/>
        <v/>
      </c>
      <c r="V96" s="230"/>
      <c r="W96" s="226"/>
      <c r="X96" s="231"/>
      <c r="Y96" s="194" t="str">
        <f t="shared" si="35"/>
        <v/>
      </c>
      <c r="Z96" s="170" t="str">
        <f t="shared" si="36"/>
        <v/>
      </c>
      <c r="AA96" s="188" t="str">
        <f t="shared" si="37"/>
        <v/>
      </c>
      <c r="AB96" s="230"/>
      <c r="AC96" s="226"/>
      <c r="AD96" s="231"/>
      <c r="AE96" s="194" t="str">
        <f t="shared" si="38"/>
        <v/>
      </c>
      <c r="AF96" s="170" t="str">
        <f t="shared" si="39"/>
        <v/>
      </c>
      <c r="AG96" s="188" t="str">
        <f t="shared" si="40"/>
        <v/>
      </c>
      <c r="AH96" s="105"/>
      <c r="AI96" s="106"/>
      <c r="AJ96" s="107"/>
      <c r="AK96" s="90" t="str">
        <f t="shared" si="24"/>
        <v/>
      </c>
      <c r="AL96" s="91" t="str">
        <f t="shared" si="25"/>
        <v/>
      </c>
      <c r="AM96" s="93" t="str">
        <f t="shared" si="26"/>
        <v/>
      </c>
      <c r="AN96" s="162"/>
      <c r="AO96" s="107"/>
      <c r="AP96" s="163"/>
      <c r="AQ96" s="157" t="str">
        <f t="shared" si="27"/>
        <v/>
      </c>
      <c r="AR96" s="91" t="str">
        <f t="shared" si="28"/>
        <v/>
      </c>
      <c r="AS96" s="93" t="str">
        <f t="shared" si="29"/>
        <v/>
      </c>
      <c r="AT96" s="90" t="str">
        <f t="shared" si="30"/>
        <v/>
      </c>
      <c r="AU96" s="93" t="str">
        <f t="shared" si="31"/>
        <v/>
      </c>
      <c r="AV96" s="241" t="str">
        <f t="shared" si="41"/>
        <v/>
      </c>
      <c r="AW96" s="238" t="str">
        <f>IF(C96="","",IFERROR(_xlfn.XLOOKUP(AV96,HELPER!$C$8:$C$48,HELPER!$D$8:$D$48,,1),""))</f>
        <v/>
      </c>
      <c r="AX96" s="113" t="str">
        <f>IF(C96="","",IFERROR(_xlfn.XLOOKUP(AW96,HELPER!$F$8:$F$48,HELPER!$G$8:$G$48,,1),""))</f>
        <v/>
      </c>
      <c r="AY96" s="146"/>
      <c r="AZ96" s="148"/>
    </row>
    <row r="97" spans="1:52" ht="15" customHeight="1" x14ac:dyDescent="0.25">
      <c r="A97" s="146"/>
      <c r="B97" s="111">
        <v>28</v>
      </c>
      <c r="C97" s="346" t="str">
        <f>IF('INPUT DATA'!N38="","",'INPUT DATA'!N38)</f>
        <v/>
      </c>
      <c r="D97" s="347"/>
      <c r="E97" s="347"/>
      <c r="F97" s="200"/>
      <c r="G97" s="201"/>
      <c r="H97" s="201"/>
      <c r="I97" s="201"/>
      <c r="J97" s="202"/>
      <c r="K97" s="194" t="str">
        <f t="shared" si="32"/>
        <v/>
      </c>
      <c r="L97" s="170" t="str">
        <f t="shared" si="33"/>
        <v/>
      </c>
      <c r="M97" s="188" t="str">
        <f t="shared" si="34"/>
        <v/>
      </c>
      <c r="N97" s="105"/>
      <c r="O97" s="106"/>
      <c r="P97" s="106"/>
      <c r="Q97" s="106"/>
      <c r="R97" s="107"/>
      <c r="S97" s="217" t="str">
        <f t="shared" si="21"/>
        <v/>
      </c>
      <c r="T97" s="91" t="str">
        <f t="shared" si="22"/>
        <v/>
      </c>
      <c r="U97" s="218" t="str">
        <f t="shared" si="23"/>
        <v/>
      </c>
      <c r="V97" s="230"/>
      <c r="W97" s="226"/>
      <c r="X97" s="231"/>
      <c r="Y97" s="194" t="str">
        <f t="shared" si="35"/>
        <v/>
      </c>
      <c r="Z97" s="170" t="str">
        <f t="shared" si="36"/>
        <v/>
      </c>
      <c r="AA97" s="188" t="str">
        <f t="shared" si="37"/>
        <v/>
      </c>
      <c r="AB97" s="230"/>
      <c r="AC97" s="226"/>
      <c r="AD97" s="231"/>
      <c r="AE97" s="194" t="str">
        <f t="shared" si="38"/>
        <v/>
      </c>
      <c r="AF97" s="170" t="str">
        <f t="shared" si="39"/>
        <v/>
      </c>
      <c r="AG97" s="188" t="str">
        <f t="shared" si="40"/>
        <v/>
      </c>
      <c r="AH97" s="105"/>
      <c r="AI97" s="106"/>
      <c r="AJ97" s="107"/>
      <c r="AK97" s="90" t="str">
        <f t="shared" si="24"/>
        <v/>
      </c>
      <c r="AL97" s="91" t="str">
        <f t="shared" si="25"/>
        <v/>
      </c>
      <c r="AM97" s="93" t="str">
        <f t="shared" si="26"/>
        <v/>
      </c>
      <c r="AN97" s="162"/>
      <c r="AO97" s="107"/>
      <c r="AP97" s="163"/>
      <c r="AQ97" s="157" t="str">
        <f t="shared" si="27"/>
        <v/>
      </c>
      <c r="AR97" s="91" t="str">
        <f t="shared" si="28"/>
        <v/>
      </c>
      <c r="AS97" s="93" t="str">
        <f t="shared" si="29"/>
        <v/>
      </c>
      <c r="AT97" s="90" t="str">
        <f t="shared" si="30"/>
        <v/>
      </c>
      <c r="AU97" s="93" t="str">
        <f t="shared" si="31"/>
        <v/>
      </c>
      <c r="AV97" s="241" t="str">
        <f t="shared" si="41"/>
        <v/>
      </c>
      <c r="AW97" s="238" t="str">
        <f>IF(C97="","",IFERROR(_xlfn.XLOOKUP(AV97,HELPER!$C$8:$C$48,HELPER!$D$8:$D$48,,1),""))</f>
        <v/>
      </c>
      <c r="AX97" s="113" t="str">
        <f>IF(C97="","",IFERROR(_xlfn.XLOOKUP(AW97,HELPER!$F$8:$F$48,HELPER!$G$8:$G$48,,1),""))</f>
        <v/>
      </c>
      <c r="AY97" s="146"/>
      <c r="AZ97" s="148"/>
    </row>
    <row r="98" spans="1:52" ht="15" customHeight="1" x14ac:dyDescent="0.25">
      <c r="A98" s="146"/>
      <c r="B98" s="111">
        <v>29</v>
      </c>
      <c r="C98" s="346" t="str">
        <f>IF('INPUT DATA'!N39="","",'INPUT DATA'!N39)</f>
        <v/>
      </c>
      <c r="D98" s="347"/>
      <c r="E98" s="347"/>
      <c r="F98" s="200"/>
      <c r="G98" s="201"/>
      <c r="H98" s="201"/>
      <c r="I98" s="201"/>
      <c r="J98" s="202"/>
      <c r="K98" s="194" t="str">
        <f t="shared" si="32"/>
        <v/>
      </c>
      <c r="L98" s="170" t="str">
        <f t="shared" si="33"/>
        <v/>
      </c>
      <c r="M98" s="188" t="str">
        <f t="shared" si="34"/>
        <v/>
      </c>
      <c r="N98" s="105"/>
      <c r="O98" s="106"/>
      <c r="P98" s="106"/>
      <c r="Q98" s="106"/>
      <c r="R98" s="107"/>
      <c r="S98" s="217" t="str">
        <f t="shared" si="21"/>
        <v/>
      </c>
      <c r="T98" s="91" t="str">
        <f t="shared" si="22"/>
        <v/>
      </c>
      <c r="U98" s="218" t="str">
        <f t="shared" si="23"/>
        <v/>
      </c>
      <c r="V98" s="230"/>
      <c r="W98" s="226"/>
      <c r="X98" s="231"/>
      <c r="Y98" s="194" t="str">
        <f t="shared" si="35"/>
        <v/>
      </c>
      <c r="Z98" s="170" t="str">
        <f t="shared" si="36"/>
        <v/>
      </c>
      <c r="AA98" s="188" t="str">
        <f t="shared" si="37"/>
        <v/>
      </c>
      <c r="AB98" s="230"/>
      <c r="AC98" s="226"/>
      <c r="AD98" s="231"/>
      <c r="AE98" s="194" t="str">
        <f t="shared" si="38"/>
        <v/>
      </c>
      <c r="AF98" s="170" t="str">
        <f t="shared" si="39"/>
        <v/>
      </c>
      <c r="AG98" s="188" t="str">
        <f t="shared" si="40"/>
        <v/>
      </c>
      <c r="AH98" s="105"/>
      <c r="AI98" s="106"/>
      <c r="AJ98" s="107"/>
      <c r="AK98" s="90" t="str">
        <f t="shared" si="24"/>
        <v/>
      </c>
      <c r="AL98" s="91" t="str">
        <f t="shared" si="25"/>
        <v/>
      </c>
      <c r="AM98" s="93" t="str">
        <f t="shared" si="26"/>
        <v/>
      </c>
      <c r="AN98" s="162"/>
      <c r="AO98" s="107"/>
      <c r="AP98" s="163"/>
      <c r="AQ98" s="157" t="str">
        <f t="shared" si="27"/>
        <v/>
      </c>
      <c r="AR98" s="91" t="str">
        <f t="shared" si="28"/>
        <v/>
      </c>
      <c r="AS98" s="93" t="str">
        <f t="shared" si="29"/>
        <v/>
      </c>
      <c r="AT98" s="90" t="str">
        <f t="shared" si="30"/>
        <v/>
      </c>
      <c r="AU98" s="93" t="str">
        <f t="shared" si="31"/>
        <v/>
      </c>
      <c r="AV98" s="241" t="str">
        <f t="shared" si="41"/>
        <v/>
      </c>
      <c r="AW98" s="238" t="str">
        <f>IF(C98="","",IFERROR(_xlfn.XLOOKUP(AV98,HELPER!$C$8:$C$48,HELPER!$D$8:$D$48,,1),""))</f>
        <v/>
      </c>
      <c r="AX98" s="113" t="str">
        <f>IF(C98="","",IFERROR(_xlfn.XLOOKUP(AW98,HELPER!$F$8:$F$48,HELPER!$G$8:$G$48,,1),""))</f>
        <v/>
      </c>
      <c r="AY98" s="146"/>
      <c r="AZ98" s="148"/>
    </row>
    <row r="99" spans="1:52" ht="15" customHeight="1" x14ac:dyDescent="0.25">
      <c r="A99" s="146"/>
      <c r="B99" s="111">
        <v>30</v>
      </c>
      <c r="C99" s="346" t="str">
        <f>IF('INPUT DATA'!N40="","",'INPUT DATA'!N40)</f>
        <v/>
      </c>
      <c r="D99" s="347"/>
      <c r="E99" s="347"/>
      <c r="F99" s="200"/>
      <c r="G99" s="201"/>
      <c r="H99" s="201"/>
      <c r="I99" s="201"/>
      <c r="J99" s="202"/>
      <c r="K99" s="194" t="str">
        <f t="shared" si="32"/>
        <v/>
      </c>
      <c r="L99" s="170" t="str">
        <f t="shared" si="33"/>
        <v/>
      </c>
      <c r="M99" s="188" t="str">
        <f t="shared" si="34"/>
        <v/>
      </c>
      <c r="N99" s="105"/>
      <c r="O99" s="106"/>
      <c r="P99" s="106"/>
      <c r="Q99" s="106"/>
      <c r="R99" s="107"/>
      <c r="S99" s="217" t="str">
        <f t="shared" si="21"/>
        <v/>
      </c>
      <c r="T99" s="91" t="str">
        <f t="shared" si="22"/>
        <v/>
      </c>
      <c r="U99" s="218" t="str">
        <f t="shared" si="23"/>
        <v/>
      </c>
      <c r="V99" s="230"/>
      <c r="W99" s="226"/>
      <c r="X99" s="231"/>
      <c r="Y99" s="194" t="str">
        <f t="shared" si="35"/>
        <v/>
      </c>
      <c r="Z99" s="170" t="str">
        <f t="shared" si="36"/>
        <v/>
      </c>
      <c r="AA99" s="188" t="str">
        <f t="shared" si="37"/>
        <v/>
      </c>
      <c r="AB99" s="230"/>
      <c r="AC99" s="226"/>
      <c r="AD99" s="231"/>
      <c r="AE99" s="194" t="str">
        <f t="shared" si="38"/>
        <v/>
      </c>
      <c r="AF99" s="170" t="str">
        <f t="shared" si="39"/>
        <v/>
      </c>
      <c r="AG99" s="188" t="str">
        <f t="shared" si="40"/>
        <v/>
      </c>
      <c r="AH99" s="105"/>
      <c r="AI99" s="106"/>
      <c r="AJ99" s="107"/>
      <c r="AK99" s="90" t="str">
        <f t="shared" si="24"/>
        <v/>
      </c>
      <c r="AL99" s="91" t="str">
        <f t="shared" si="25"/>
        <v/>
      </c>
      <c r="AM99" s="93" t="str">
        <f t="shared" si="26"/>
        <v/>
      </c>
      <c r="AN99" s="162"/>
      <c r="AO99" s="107"/>
      <c r="AP99" s="163"/>
      <c r="AQ99" s="157" t="str">
        <f t="shared" si="27"/>
        <v/>
      </c>
      <c r="AR99" s="91" t="str">
        <f t="shared" si="28"/>
        <v/>
      </c>
      <c r="AS99" s="93" t="str">
        <f t="shared" si="29"/>
        <v/>
      </c>
      <c r="AT99" s="90" t="str">
        <f t="shared" si="30"/>
        <v/>
      </c>
      <c r="AU99" s="93" t="str">
        <f t="shared" si="31"/>
        <v/>
      </c>
      <c r="AV99" s="241" t="str">
        <f t="shared" si="41"/>
        <v/>
      </c>
      <c r="AW99" s="238" t="str">
        <f>IF(C99="","",IFERROR(_xlfn.XLOOKUP(AV99,HELPER!$C$8:$C$48,HELPER!$D$8:$D$48,,1),""))</f>
        <v/>
      </c>
      <c r="AX99" s="113" t="str">
        <f>IF(C99="","",IFERROR(_xlfn.XLOOKUP(AW99,HELPER!$F$8:$F$48,HELPER!$G$8:$G$48,,1),""))</f>
        <v/>
      </c>
      <c r="AY99" s="146"/>
      <c r="AZ99" s="148"/>
    </row>
    <row r="100" spans="1:52" ht="15" customHeight="1" x14ac:dyDescent="0.25">
      <c r="A100" s="146"/>
      <c r="B100" s="111">
        <v>31</v>
      </c>
      <c r="C100" s="346" t="str">
        <f>IF('INPUT DATA'!N41="","",'INPUT DATA'!N41)</f>
        <v/>
      </c>
      <c r="D100" s="347"/>
      <c r="E100" s="347"/>
      <c r="F100" s="200"/>
      <c r="G100" s="201"/>
      <c r="H100" s="201"/>
      <c r="I100" s="201"/>
      <c r="J100" s="202"/>
      <c r="K100" s="194" t="str">
        <f t="shared" si="32"/>
        <v/>
      </c>
      <c r="L100" s="170" t="str">
        <f t="shared" si="33"/>
        <v/>
      </c>
      <c r="M100" s="188" t="str">
        <f t="shared" si="34"/>
        <v/>
      </c>
      <c r="N100" s="105"/>
      <c r="O100" s="106"/>
      <c r="P100" s="106"/>
      <c r="Q100" s="106"/>
      <c r="R100" s="107"/>
      <c r="S100" s="217" t="str">
        <f t="shared" si="21"/>
        <v/>
      </c>
      <c r="T100" s="91" t="str">
        <f t="shared" si="22"/>
        <v/>
      </c>
      <c r="U100" s="218" t="str">
        <f t="shared" si="23"/>
        <v/>
      </c>
      <c r="V100" s="230"/>
      <c r="W100" s="226"/>
      <c r="X100" s="231"/>
      <c r="Y100" s="194" t="str">
        <f t="shared" si="35"/>
        <v/>
      </c>
      <c r="Z100" s="170" t="str">
        <f t="shared" si="36"/>
        <v/>
      </c>
      <c r="AA100" s="188" t="str">
        <f t="shared" si="37"/>
        <v/>
      </c>
      <c r="AB100" s="230"/>
      <c r="AC100" s="226"/>
      <c r="AD100" s="231"/>
      <c r="AE100" s="194" t="str">
        <f t="shared" si="38"/>
        <v/>
      </c>
      <c r="AF100" s="170" t="str">
        <f t="shared" si="39"/>
        <v/>
      </c>
      <c r="AG100" s="188" t="str">
        <f t="shared" si="40"/>
        <v/>
      </c>
      <c r="AH100" s="105"/>
      <c r="AI100" s="106"/>
      <c r="AJ100" s="107"/>
      <c r="AK100" s="90" t="str">
        <f t="shared" si="24"/>
        <v/>
      </c>
      <c r="AL100" s="91" t="str">
        <f t="shared" si="25"/>
        <v/>
      </c>
      <c r="AM100" s="93" t="str">
        <f t="shared" si="26"/>
        <v/>
      </c>
      <c r="AN100" s="162"/>
      <c r="AO100" s="107"/>
      <c r="AP100" s="163"/>
      <c r="AQ100" s="157" t="str">
        <f t="shared" si="27"/>
        <v/>
      </c>
      <c r="AR100" s="91" t="str">
        <f t="shared" si="28"/>
        <v/>
      </c>
      <c r="AS100" s="93" t="str">
        <f t="shared" si="29"/>
        <v/>
      </c>
      <c r="AT100" s="90" t="str">
        <f t="shared" si="30"/>
        <v/>
      </c>
      <c r="AU100" s="93" t="str">
        <f t="shared" si="31"/>
        <v/>
      </c>
      <c r="AV100" s="241" t="str">
        <f t="shared" si="41"/>
        <v/>
      </c>
      <c r="AW100" s="238" t="str">
        <f>IF(C100="","",IFERROR(_xlfn.XLOOKUP(AV100,HELPER!$C$8:$C$48,HELPER!$D$8:$D$48,,1),""))</f>
        <v/>
      </c>
      <c r="AX100" s="113" t="str">
        <f>IF(C100="","",IFERROR(_xlfn.XLOOKUP(AW100,HELPER!$F$8:$F$48,HELPER!$G$8:$G$48,,1),""))</f>
        <v/>
      </c>
      <c r="AY100" s="146"/>
      <c r="AZ100" s="148"/>
    </row>
    <row r="101" spans="1:52" ht="15" customHeight="1" x14ac:dyDescent="0.25">
      <c r="A101" s="146"/>
      <c r="B101" s="111">
        <v>32</v>
      </c>
      <c r="C101" s="346" t="str">
        <f>IF('INPUT DATA'!N42="","",'INPUT DATA'!N42)</f>
        <v/>
      </c>
      <c r="D101" s="347"/>
      <c r="E101" s="347"/>
      <c r="F101" s="200"/>
      <c r="G101" s="201"/>
      <c r="H101" s="201"/>
      <c r="I101" s="201"/>
      <c r="J101" s="202"/>
      <c r="K101" s="194" t="str">
        <f t="shared" si="32"/>
        <v/>
      </c>
      <c r="L101" s="170" t="str">
        <f t="shared" si="33"/>
        <v/>
      </c>
      <c r="M101" s="188" t="str">
        <f t="shared" si="34"/>
        <v/>
      </c>
      <c r="N101" s="105"/>
      <c r="O101" s="106"/>
      <c r="P101" s="106"/>
      <c r="Q101" s="106"/>
      <c r="R101" s="107"/>
      <c r="S101" s="217" t="str">
        <f t="shared" si="21"/>
        <v/>
      </c>
      <c r="T101" s="91" t="str">
        <f t="shared" si="22"/>
        <v/>
      </c>
      <c r="U101" s="218" t="str">
        <f t="shared" si="23"/>
        <v/>
      </c>
      <c r="V101" s="230"/>
      <c r="W101" s="226"/>
      <c r="X101" s="231"/>
      <c r="Y101" s="194" t="str">
        <f t="shared" si="35"/>
        <v/>
      </c>
      <c r="Z101" s="170" t="str">
        <f t="shared" si="36"/>
        <v/>
      </c>
      <c r="AA101" s="188" t="str">
        <f t="shared" si="37"/>
        <v/>
      </c>
      <c r="AB101" s="230"/>
      <c r="AC101" s="226"/>
      <c r="AD101" s="231"/>
      <c r="AE101" s="194" t="str">
        <f t="shared" si="38"/>
        <v/>
      </c>
      <c r="AF101" s="170" t="str">
        <f t="shared" si="39"/>
        <v/>
      </c>
      <c r="AG101" s="188" t="str">
        <f t="shared" si="40"/>
        <v/>
      </c>
      <c r="AH101" s="105"/>
      <c r="AI101" s="106"/>
      <c r="AJ101" s="107"/>
      <c r="AK101" s="90" t="str">
        <f t="shared" si="24"/>
        <v/>
      </c>
      <c r="AL101" s="91" t="str">
        <f t="shared" si="25"/>
        <v/>
      </c>
      <c r="AM101" s="93" t="str">
        <f t="shared" si="26"/>
        <v/>
      </c>
      <c r="AN101" s="162"/>
      <c r="AO101" s="107"/>
      <c r="AP101" s="163"/>
      <c r="AQ101" s="157" t="str">
        <f t="shared" si="27"/>
        <v/>
      </c>
      <c r="AR101" s="91" t="str">
        <f t="shared" si="28"/>
        <v/>
      </c>
      <c r="AS101" s="93" t="str">
        <f t="shared" si="29"/>
        <v/>
      </c>
      <c r="AT101" s="90" t="str">
        <f t="shared" si="30"/>
        <v/>
      </c>
      <c r="AU101" s="93" t="str">
        <f t="shared" si="31"/>
        <v/>
      </c>
      <c r="AV101" s="241" t="str">
        <f t="shared" si="41"/>
        <v/>
      </c>
      <c r="AW101" s="238" t="str">
        <f>IF(C101="","",IFERROR(_xlfn.XLOOKUP(AV101,HELPER!$C$8:$C$48,HELPER!$D$8:$D$48,,1),""))</f>
        <v/>
      </c>
      <c r="AX101" s="113" t="str">
        <f>IF(C101="","",IFERROR(_xlfn.XLOOKUP(AW101,HELPER!$F$8:$F$48,HELPER!$G$8:$G$48,,1),""))</f>
        <v/>
      </c>
      <c r="AY101" s="146"/>
      <c r="AZ101" s="148"/>
    </row>
    <row r="102" spans="1:52" ht="15" customHeight="1" x14ac:dyDescent="0.25">
      <c r="A102" s="146"/>
      <c r="B102" s="111">
        <v>33</v>
      </c>
      <c r="C102" s="346" t="str">
        <f>IF('INPUT DATA'!N43="","",'INPUT DATA'!N43)</f>
        <v/>
      </c>
      <c r="D102" s="347"/>
      <c r="E102" s="347"/>
      <c r="F102" s="200"/>
      <c r="G102" s="201"/>
      <c r="H102" s="201"/>
      <c r="I102" s="201"/>
      <c r="J102" s="202"/>
      <c r="K102" s="194" t="str">
        <f t="shared" si="32"/>
        <v/>
      </c>
      <c r="L102" s="170" t="str">
        <f t="shared" si="33"/>
        <v/>
      </c>
      <c r="M102" s="188" t="str">
        <f t="shared" si="34"/>
        <v/>
      </c>
      <c r="N102" s="105"/>
      <c r="O102" s="106"/>
      <c r="P102" s="106"/>
      <c r="Q102" s="106"/>
      <c r="R102" s="107"/>
      <c r="S102" s="217" t="str">
        <f t="shared" si="21"/>
        <v/>
      </c>
      <c r="T102" s="91" t="str">
        <f t="shared" si="22"/>
        <v/>
      </c>
      <c r="U102" s="218" t="str">
        <f t="shared" si="23"/>
        <v/>
      </c>
      <c r="V102" s="230"/>
      <c r="W102" s="226"/>
      <c r="X102" s="231"/>
      <c r="Y102" s="194" t="str">
        <f t="shared" si="35"/>
        <v/>
      </c>
      <c r="Z102" s="170" t="str">
        <f t="shared" si="36"/>
        <v/>
      </c>
      <c r="AA102" s="188" t="str">
        <f t="shared" si="37"/>
        <v/>
      </c>
      <c r="AB102" s="230"/>
      <c r="AC102" s="226"/>
      <c r="AD102" s="231"/>
      <c r="AE102" s="194" t="str">
        <f t="shared" si="38"/>
        <v/>
      </c>
      <c r="AF102" s="170" t="str">
        <f t="shared" si="39"/>
        <v/>
      </c>
      <c r="AG102" s="188" t="str">
        <f t="shared" si="40"/>
        <v/>
      </c>
      <c r="AH102" s="105"/>
      <c r="AI102" s="106"/>
      <c r="AJ102" s="107"/>
      <c r="AK102" s="90" t="str">
        <f t="shared" si="24"/>
        <v/>
      </c>
      <c r="AL102" s="91" t="str">
        <f t="shared" si="25"/>
        <v/>
      </c>
      <c r="AM102" s="93" t="str">
        <f t="shared" si="26"/>
        <v/>
      </c>
      <c r="AN102" s="162"/>
      <c r="AO102" s="107"/>
      <c r="AP102" s="163"/>
      <c r="AQ102" s="157" t="str">
        <f t="shared" si="27"/>
        <v/>
      </c>
      <c r="AR102" s="91" t="str">
        <f t="shared" si="28"/>
        <v/>
      </c>
      <c r="AS102" s="93" t="str">
        <f t="shared" si="29"/>
        <v/>
      </c>
      <c r="AT102" s="90" t="str">
        <f t="shared" si="30"/>
        <v/>
      </c>
      <c r="AU102" s="93" t="str">
        <f t="shared" si="31"/>
        <v/>
      </c>
      <c r="AV102" s="241" t="str">
        <f t="shared" si="41"/>
        <v/>
      </c>
      <c r="AW102" s="238" t="str">
        <f>IF(C102="","",IFERROR(_xlfn.XLOOKUP(AV102,HELPER!$C$8:$C$48,HELPER!$D$8:$D$48,,1),""))</f>
        <v/>
      </c>
      <c r="AX102" s="113" t="str">
        <f>IF(C102="","",IFERROR(_xlfn.XLOOKUP(AW102,HELPER!$F$8:$F$48,HELPER!$G$8:$G$48,,1),""))</f>
        <v/>
      </c>
      <c r="AY102" s="146"/>
      <c r="AZ102" s="148"/>
    </row>
    <row r="103" spans="1:52" ht="15" customHeight="1" x14ac:dyDescent="0.25">
      <c r="A103" s="146"/>
      <c r="B103" s="111">
        <v>34</v>
      </c>
      <c r="C103" s="346" t="str">
        <f>IF('INPUT DATA'!N44="","",'INPUT DATA'!N44)</f>
        <v/>
      </c>
      <c r="D103" s="347"/>
      <c r="E103" s="347"/>
      <c r="F103" s="200"/>
      <c r="G103" s="201"/>
      <c r="H103" s="201"/>
      <c r="I103" s="201"/>
      <c r="J103" s="202"/>
      <c r="K103" s="194" t="str">
        <f t="shared" si="32"/>
        <v/>
      </c>
      <c r="L103" s="170" t="str">
        <f t="shared" si="33"/>
        <v/>
      </c>
      <c r="M103" s="188" t="str">
        <f t="shared" si="34"/>
        <v/>
      </c>
      <c r="N103" s="105"/>
      <c r="O103" s="106"/>
      <c r="P103" s="106"/>
      <c r="Q103" s="106"/>
      <c r="R103" s="107"/>
      <c r="S103" s="217" t="str">
        <f t="shared" si="21"/>
        <v/>
      </c>
      <c r="T103" s="91" t="str">
        <f t="shared" si="22"/>
        <v/>
      </c>
      <c r="U103" s="218" t="str">
        <f t="shared" si="23"/>
        <v/>
      </c>
      <c r="V103" s="230"/>
      <c r="W103" s="226"/>
      <c r="X103" s="231"/>
      <c r="Y103" s="194" t="str">
        <f t="shared" si="35"/>
        <v/>
      </c>
      <c r="Z103" s="170" t="str">
        <f t="shared" si="36"/>
        <v/>
      </c>
      <c r="AA103" s="188" t="str">
        <f t="shared" si="37"/>
        <v/>
      </c>
      <c r="AB103" s="230"/>
      <c r="AC103" s="226"/>
      <c r="AD103" s="231"/>
      <c r="AE103" s="194" t="str">
        <f t="shared" si="38"/>
        <v/>
      </c>
      <c r="AF103" s="170" t="str">
        <f t="shared" si="39"/>
        <v/>
      </c>
      <c r="AG103" s="188" t="str">
        <f t="shared" si="40"/>
        <v/>
      </c>
      <c r="AH103" s="105"/>
      <c r="AI103" s="106"/>
      <c r="AJ103" s="107"/>
      <c r="AK103" s="90" t="str">
        <f t="shared" si="24"/>
        <v/>
      </c>
      <c r="AL103" s="91" t="str">
        <f t="shared" si="25"/>
        <v/>
      </c>
      <c r="AM103" s="93" t="str">
        <f t="shared" si="26"/>
        <v/>
      </c>
      <c r="AN103" s="162"/>
      <c r="AO103" s="107"/>
      <c r="AP103" s="163"/>
      <c r="AQ103" s="157" t="str">
        <f t="shared" si="27"/>
        <v/>
      </c>
      <c r="AR103" s="91" t="str">
        <f t="shared" si="28"/>
        <v/>
      </c>
      <c r="AS103" s="93" t="str">
        <f t="shared" si="29"/>
        <v/>
      </c>
      <c r="AT103" s="90" t="str">
        <f t="shared" si="30"/>
        <v/>
      </c>
      <c r="AU103" s="93" t="str">
        <f t="shared" si="31"/>
        <v/>
      </c>
      <c r="AV103" s="241" t="str">
        <f t="shared" si="41"/>
        <v/>
      </c>
      <c r="AW103" s="238" t="str">
        <f>IF(C103="","",IFERROR(_xlfn.XLOOKUP(AV103,HELPER!$C$8:$C$48,HELPER!$D$8:$D$48,,1),""))</f>
        <v/>
      </c>
      <c r="AX103" s="113" t="str">
        <f>IF(C103="","",IFERROR(_xlfn.XLOOKUP(AW103,HELPER!$F$8:$F$48,HELPER!$G$8:$G$48,,1),""))</f>
        <v/>
      </c>
      <c r="AY103" s="146"/>
      <c r="AZ103" s="148"/>
    </row>
    <row r="104" spans="1:52" ht="15" customHeight="1" x14ac:dyDescent="0.25">
      <c r="A104" s="146"/>
      <c r="B104" s="111">
        <v>35</v>
      </c>
      <c r="C104" s="346" t="str">
        <f>IF('INPUT DATA'!N45="","",'INPUT DATA'!N45)</f>
        <v/>
      </c>
      <c r="D104" s="347"/>
      <c r="E104" s="347"/>
      <c r="F104" s="200"/>
      <c r="G104" s="201"/>
      <c r="H104" s="201"/>
      <c r="I104" s="201"/>
      <c r="J104" s="202"/>
      <c r="K104" s="194" t="str">
        <f t="shared" si="32"/>
        <v/>
      </c>
      <c r="L104" s="170" t="str">
        <f t="shared" si="33"/>
        <v/>
      </c>
      <c r="M104" s="188" t="str">
        <f t="shared" si="34"/>
        <v/>
      </c>
      <c r="N104" s="105"/>
      <c r="O104" s="106"/>
      <c r="P104" s="106"/>
      <c r="Q104" s="106"/>
      <c r="R104" s="107"/>
      <c r="S104" s="217" t="str">
        <f t="shared" si="21"/>
        <v/>
      </c>
      <c r="T104" s="91" t="str">
        <f t="shared" si="22"/>
        <v/>
      </c>
      <c r="U104" s="218" t="str">
        <f t="shared" si="23"/>
        <v/>
      </c>
      <c r="V104" s="230"/>
      <c r="W104" s="226"/>
      <c r="X104" s="231"/>
      <c r="Y104" s="194" t="str">
        <f t="shared" si="35"/>
        <v/>
      </c>
      <c r="Z104" s="170" t="str">
        <f t="shared" si="36"/>
        <v/>
      </c>
      <c r="AA104" s="188" t="str">
        <f t="shared" si="37"/>
        <v/>
      </c>
      <c r="AB104" s="230"/>
      <c r="AC104" s="226"/>
      <c r="AD104" s="231"/>
      <c r="AE104" s="194" t="str">
        <f t="shared" si="38"/>
        <v/>
      </c>
      <c r="AF104" s="170" t="str">
        <f t="shared" si="39"/>
        <v/>
      </c>
      <c r="AG104" s="188" t="str">
        <f t="shared" si="40"/>
        <v/>
      </c>
      <c r="AH104" s="105"/>
      <c r="AI104" s="106"/>
      <c r="AJ104" s="107"/>
      <c r="AK104" s="90" t="str">
        <f t="shared" si="24"/>
        <v/>
      </c>
      <c r="AL104" s="91" t="str">
        <f t="shared" si="25"/>
        <v/>
      </c>
      <c r="AM104" s="93" t="str">
        <f t="shared" si="26"/>
        <v/>
      </c>
      <c r="AN104" s="162"/>
      <c r="AO104" s="107"/>
      <c r="AP104" s="163"/>
      <c r="AQ104" s="157" t="str">
        <f t="shared" si="27"/>
        <v/>
      </c>
      <c r="AR104" s="91" t="str">
        <f t="shared" si="28"/>
        <v/>
      </c>
      <c r="AS104" s="93" t="str">
        <f t="shared" si="29"/>
        <v/>
      </c>
      <c r="AT104" s="90" t="str">
        <f t="shared" si="30"/>
        <v/>
      </c>
      <c r="AU104" s="93" t="str">
        <f t="shared" si="31"/>
        <v/>
      </c>
      <c r="AV104" s="241" t="str">
        <f t="shared" si="41"/>
        <v/>
      </c>
      <c r="AW104" s="238" t="str">
        <f>IF(C104="","",IFERROR(_xlfn.XLOOKUP(AV104,HELPER!$C$8:$C$48,HELPER!$D$8:$D$48,,1),""))</f>
        <v/>
      </c>
      <c r="AX104" s="113" t="str">
        <f>IF(C104="","",IFERROR(_xlfn.XLOOKUP(AW104,HELPER!$F$8:$F$48,HELPER!$G$8:$G$48,,1),""))</f>
        <v/>
      </c>
      <c r="AY104" s="146"/>
      <c r="AZ104" s="148"/>
    </row>
    <row r="105" spans="1:52" ht="15" customHeight="1" x14ac:dyDescent="0.25">
      <c r="A105" s="146"/>
      <c r="B105" s="111">
        <v>36</v>
      </c>
      <c r="C105" s="346" t="str">
        <f>IF('INPUT DATA'!N46="","",'INPUT DATA'!N46)</f>
        <v/>
      </c>
      <c r="D105" s="347"/>
      <c r="E105" s="347"/>
      <c r="F105" s="200"/>
      <c r="G105" s="201"/>
      <c r="H105" s="201"/>
      <c r="I105" s="201"/>
      <c r="J105" s="202"/>
      <c r="K105" s="194" t="str">
        <f t="shared" si="32"/>
        <v/>
      </c>
      <c r="L105" s="170" t="str">
        <f t="shared" si="33"/>
        <v/>
      </c>
      <c r="M105" s="188" t="str">
        <f t="shared" si="34"/>
        <v/>
      </c>
      <c r="N105" s="105"/>
      <c r="O105" s="106"/>
      <c r="P105" s="106"/>
      <c r="Q105" s="106"/>
      <c r="R105" s="107"/>
      <c r="S105" s="217" t="str">
        <f t="shared" si="21"/>
        <v/>
      </c>
      <c r="T105" s="91" t="str">
        <f t="shared" si="22"/>
        <v/>
      </c>
      <c r="U105" s="218" t="str">
        <f t="shared" si="23"/>
        <v/>
      </c>
      <c r="V105" s="230"/>
      <c r="W105" s="226"/>
      <c r="X105" s="231"/>
      <c r="Y105" s="194" t="str">
        <f t="shared" si="35"/>
        <v/>
      </c>
      <c r="Z105" s="170" t="str">
        <f t="shared" si="36"/>
        <v/>
      </c>
      <c r="AA105" s="188" t="str">
        <f t="shared" si="37"/>
        <v/>
      </c>
      <c r="AB105" s="230"/>
      <c r="AC105" s="226"/>
      <c r="AD105" s="231"/>
      <c r="AE105" s="194" t="str">
        <f t="shared" si="38"/>
        <v/>
      </c>
      <c r="AF105" s="170" t="str">
        <f t="shared" si="39"/>
        <v/>
      </c>
      <c r="AG105" s="188" t="str">
        <f t="shared" si="40"/>
        <v/>
      </c>
      <c r="AH105" s="105"/>
      <c r="AI105" s="106"/>
      <c r="AJ105" s="107"/>
      <c r="AK105" s="90" t="str">
        <f t="shared" si="24"/>
        <v/>
      </c>
      <c r="AL105" s="91" t="str">
        <f t="shared" si="25"/>
        <v/>
      </c>
      <c r="AM105" s="93" t="str">
        <f t="shared" si="26"/>
        <v/>
      </c>
      <c r="AN105" s="162"/>
      <c r="AO105" s="107"/>
      <c r="AP105" s="163"/>
      <c r="AQ105" s="157" t="str">
        <f t="shared" si="27"/>
        <v/>
      </c>
      <c r="AR105" s="91" t="str">
        <f t="shared" si="28"/>
        <v/>
      </c>
      <c r="AS105" s="93" t="str">
        <f t="shared" si="29"/>
        <v/>
      </c>
      <c r="AT105" s="90" t="str">
        <f t="shared" si="30"/>
        <v/>
      </c>
      <c r="AU105" s="93" t="str">
        <f t="shared" si="31"/>
        <v/>
      </c>
      <c r="AV105" s="241" t="str">
        <f t="shared" si="41"/>
        <v/>
      </c>
      <c r="AW105" s="238" t="str">
        <f>IF(C105="","",IFERROR(_xlfn.XLOOKUP(AV105,HELPER!$C$8:$C$48,HELPER!$D$8:$D$48,,1),""))</f>
        <v/>
      </c>
      <c r="AX105" s="113" t="str">
        <f>IF(C105="","",IFERROR(_xlfn.XLOOKUP(AW105,HELPER!$F$8:$F$48,HELPER!$G$8:$G$48,,1),""))</f>
        <v/>
      </c>
      <c r="AY105" s="146"/>
      <c r="AZ105" s="148"/>
    </row>
    <row r="106" spans="1:52" ht="15" customHeight="1" x14ac:dyDescent="0.25">
      <c r="A106" s="146"/>
      <c r="B106" s="111">
        <v>37</v>
      </c>
      <c r="C106" s="346" t="str">
        <f>IF('INPUT DATA'!N47="","",'INPUT DATA'!N47)</f>
        <v/>
      </c>
      <c r="D106" s="347"/>
      <c r="E106" s="347"/>
      <c r="F106" s="200"/>
      <c r="G106" s="201"/>
      <c r="H106" s="201"/>
      <c r="I106" s="201"/>
      <c r="J106" s="202"/>
      <c r="K106" s="194" t="str">
        <f t="shared" si="32"/>
        <v/>
      </c>
      <c r="L106" s="170" t="str">
        <f t="shared" si="33"/>
        <v/>
      </c>
      <c r="M106" s="188" t="str">
        <f t="shared" si="34"/>
        <v/>
      </c>
      <c r="N106" s="105"/>
      <c r="O106" s="106"/>
      <c r="P106" s="106"/>
      <c r="Q106" s="106"/>
      <c r="R106" s="107"/>
      <c r="S106" s="217" t="str">
        <f t="shared" si="21"/>
        <v/>
      </c>
      <c r="T106" s="91" t="str">
        <f t="shared" si="22"/>
        <v/>
      </c>
      <c r="U106" s="218" t="str">
        <f t="shared" si="23"/>
        <v/>
      </c>
      <c r="V106" s="230"/>
      <c r="W106" s="226"/>
      <c r="X106" s="231"/>
      <c r="Y106" s="194" t="str">
        <f t="shared" si="35"/>
        <v/>
      </c>
      <c r="Z106" s="170" t="str">
        <f t="shared" si="36"/>
        <v/>
      </c>
      <c r="AA106" s="188" t="str">
        <f t="shared" si="37"/>
        <v/>
      </c>
      <c r="AB106" s="230"/>
      <c r="AC106" s="226"/>
      <c r="AD106" s="231"/>
      <c r="AE106" s="194" t="str">
        <f t="shared" si="38"/>
        <v/>
      </c>
      <c r="AF106" s="170" t="str">
        <f t="shared" si="39"/>
        <v/>
      </c>
      <c r="AG106" s="188" t="str">
        <f t="shared" si="40"/>
        <v/>
      </c>
      <c r="AH106" s="105"/>
      <c r="AI106" s="106"/>
      <c r="AJ106" s="107"/>
      <c r="AK106" s="90" t="str">
        <f t="shared" si="24"/>
        <v/>
      </c>
      <c r="AL106" s="91" t="str">
        <f t="shared" si="25"/>
        <v/>
      </c>
      <c r="AM106" s="93" t="str">
        <f t="shared" si="26"/>
        <v/>
      </c>
      <c r="AN106" s="162"/>
      <c r="AO106" s="107"/>
      <c r="AP106" s="163"/>
      <c r="AQ106" s="157" t="str">
        <f t="shared" si="27"/>
        <v/>
      </c>
      <c r="AR106" s="91" t="str">
        <f t="shared" si="28"/>
        <v/>
      </c>
      <c r="AS106" s="93" t="str">
        <f t="shared" si="29"/>
        <v/>
      </c>
      <c r="AT106" s="90" t="str">
        <f t="shared" si="30"/>
        <v/>
      </c>
      <c r="AU106" s="93" t="str">
        <f t="shared" si="31"/>
        <v/>
      </c>
      <c r="AV106" s="241" t="str">
        <f t="shared" si="41"/>
        <v/>
      </c>
      <c r="AW106" s="238" t="str">
        <f>IF(C106="","",IFERROR(_xlfn.XLOOKUP(AV106,HELPER!$C$8:$C$48,HELPER!$D$8:$D$48,,1),""))</f>
        <v/>
      </c>
      <c r="AX106" s="113" t="str">
        <f>IF(C106="","",IFERROR(_xlfn.XLOOKUP(AW106,HELPER!$F$8:$F$48,HELPER!$G$8:$G$48,,1),""))</f>
        <v/>
      </c>
      <c r="AY106" s="146"/>
      <c r="AZ106" s="148"/>
    </row>
    <row r="107" spans="1:52" ht="15" customHeight="1" x14ac:dyDescent="0.25">
      <c r="A107" s="146"/>
      <c r="B107" s="111">
        <v>38</v>
      </c>
      <c r="C107" s="346" t="str">
        <f>IF('INPUT DATA'!N48="","",'INPUT DATA'!N48)</f>
        <v/>
      </c>
      <c r="D107" s="347"/>
      <c r="E107" s="347"/>
      <c r="F107" s="200"/>
      <c r="G107" s="201"/>
      <c r="H107" s="201"/>
      <c r="I107" s="201"/>
      <c r="J107" s="202"/>
      <c r="K107" s="194" t="str">
        <f t="shared" si="32"/>
        <v/>
      </c>
      <c r="L107" s="170" t="str">
        <f t="shared" si="33"/>
        <v/>
      </c>
      <c r="M107" s="188" t="str">
        <f t="shared" si="34"/>
        <v/>
      </c>
      <c r="N107" s="105"/>
      <c r="O107" s="106"/>
      <c r="P107" s="106"/>
      <c r="Q107" s="106"/>
      <c r="R107" s="107"/>
      <c r="S107" s="217" t="str">
        <f t="shared" si="21"/>
        <v/>
      </c>
      <c r="T107" s="91" t="str">
        <f t="shared" si="22"/>
        <v/>
      </c>
      <c r="U107" s="218" t="str">
        <f t="shared" si="23"/>
        <v/>
      </c>
      <c r="V107" s="230"/>
      <c r="W107" s="226"/>
      <c r="X107" s="231"/>
      <c r="Y107" s="194" t="str">
        <f t="shared" si="35"/>
        <v/>
      </c>
      <c r="Z107" s="170" t="str">
        <f t="shared" si="36"/>
        <v/>
      </c>
      <c r="AA107" s="188" t="str">
        <f t="shared" si="37"/>
        <v/>
      </c>
      <c r="AB107" s="230"/>
      <c r="AC107" s="226"/>
      <c r="AD107" s="231"/>
      <c r="AE107" s="194" t="str">
        <f t="shared" si="38"/>
        <v/>
      </c>
      <c r="AF107" s="170" t="str">
        <f t="shared" si="39"/>
        <v/>
      </c>
      <c r="AG107" s="188" t="str">
        <f t="shared" si="40"/>
        <v/>
      </c>
      <c r="AH107" s="105"/>
      <c r="AI107" s="106"/>
      <c r="AJ107" s="107"/>
      <c r="AK107" s="90" t="str">
        <f t="shared" si="24"/>
        <v/>
      </c>
      <c r="AL107" s="91" t="str">
        <f t="shared" si="25"/>
        <v/>
      </c>
      <c r="AM107" s="93" t="str">
        <f t="shared" si="26"/>
        <v/>
      </c>
      <c r="AN107" s="162"/>
      <c r="AO107" s="107"/>
      <c r="AP107" s="163"/>
      <c r="AQ107" s="157" t="str">
        <f t="shared" si="27"/>
        <v/>
      </c>
      <c r="AR107" s="91" t="str">
        <f t="shared" si="28"/>
        <v/>
      </c>
      <c r="AS107" s="93" t="str">
        <f t="shared" si="29"/>
        <v/>
      </c>
      <c r="AT107" s="90" t="str">
        <f t="shared" si="30"/>
        <v/>
      </c>
      <c r="AU107" s="93" t="str">
        <f t="shared" si="31"/>
        <v/>
      </c>
      <c r="AV107" s="241" t="str">
        <f t="shared" si="41"/>
        <v/>
      </c>
      <c r="AW107" s="238" t="str">
        <f>IF(C107="","",IFERROR(_xlfn.XLOOKUP(AV107,HELPER!$C$8:$C$48,HELPER!$D$8:$D$48,,1),""))</f>
        <v/>
      </c>
      <c r="AX107" s="113" t="str">
        <f>IF(C107="","",IFERROR(_xlfn.XLOOKUP(AW107,HELPER!$F$8:$F$48,HELPER!$G$8:$G$48,,1),""))</f>
        <v/>
      </c>
      <c r="AY107" s="146"/>
      <c r="AZ107" s="148"/>
    </row>
    <row r="108" spans="1:52" ht="15" customHeight="1" x14ac:dyDescent="0.25">
      <c r="A108" s="146"/>
      <c r="B108" s="111">
        <v>39</v>
      </c>
      <c r="C108" s="346" t="str">
        <f>IF('INPUT DATA'!N49="","",'INPUT DATA'!N49)</f>
        <v/>
      </c>
      <c r="D108" s="347"/>
      <c r="E108" s="347"/>
      <c r="F108" s="200"/>
      <c r="G108" s="201"/>
      <c r="H108" s="201"/>
      <c r="I108" s="201"/>
      <c r="J108" s="202"/>
      <c r="K108" s="194" t="str">
        <f t="shared" si="32"/>
        <v/>
      </c>
      <c r="L108" s="170" t="str">
        <f t="shared" si="33"/>
        <v/>
      </c>
      <c r="M108" s="188" t="str">
        <f t="shared" si="34"/>
        <v/>
      </c>
      <c r="N108" s="105"/>
      <c r="O108" s="106"/>
      <c r="P108" s="106"/>
      <c r="Q108" s="106"/>
      <c r="R108" s="107"/>
      <c r="S108" s="217" t="str">
        <f t="shared" si="21"/>
        <v/>
      </c>
      <c r="T108" s="91" t="str">
        <f t="shared" si="22"/>
        <v/>
      </c>
      <c r="U108" s="218" t="str">
        <f t="shared" si="23"/>
        <v/>
      </c>
      <c r="V108" s="230"/>
      <c r="W108" s="226"/>
      <c r="X108" s="231"/>
      <c r="Y108" s="194" t="str">
        <f t="shared" si="35"/>
        <v/>
      </c>
      <c r="Z108" s="170" t="str">
        <f t="shared" si="36"/>
        <v/>
      </c>
      <c r="AA108" s="188" t="str">
        <f t="shared" si="37"/>
        <v/>
      </c>
      <c r="AB108" s="230"/>
      <c r="AC108" s="226"/>
      <c r="AD108" s="231"/>
      <c r="AE108" s="194" t="str">
        <f t="shared" si="38"/>
        <v/>
      </c>
      <c r="AF108" s="170" t="str">
        <f t="shared" si="39"/>
        <v/>
      </c>
      <c r="AG108" s="188" t="str">
        <f t="shared" si="40"/>
        <v/>
      </c>
      <c r="AH108" s="105"/>
      <c r="AI108" s="106"/>
      <c r="AJ108" s="107"/>
      <c r="AK108" s="90" t="str">
        <f t="shared" si="24"/>
        <v/>
      </c>
      <c r="AL108" s="91" t="str">
        <f t="shared" si="25"/>
        <v/>
      </c>
      <c r="AM108" s="93" t="str">
        <f t="shared" si="26"/>
        <v/>
      </c>
      <c r="AN108" s="162"/>
      <c r="AO108" s="107"/>
      <c r="AP108" s="163"/>
      <c r="AQ108" s="157" t="str">
        <f t="shared" si="27"/>
        <v/>
      </c>
      <c r="AR108" s="91" t="str">
        <f t="shared" si="28"/>
        <v/>
      </c>
      <c r="AS108" s="93" t="str">
        <f t="shared" si="29"/>
        <v/>
      </c>
      <c r="AT108" s="90" t="str">
        <f t="shared" si="30"/>
        <v/>
      </c>
      <c r="AU108" s="93" t="str">
        <f t="shared" si="31"/>
        <v/>
      </c>
      <c r="AV108" s="241" t="str">
        <f t="shared" si="41"/>
        <v/>
      </c>
      <c r="AW108" s="238" t="str">
        <f>IF(C108="","",IFERROR(_xlfn.XLOOKUP(AV108,HELPER!$C$8:$C$48,HELPER!$D$8:$D$48,,1),""))</f>
        <v/>
      </c>
      <c r="AX108" s="113" t="str">
        <f>IF(C108="","",IFERROR(_xlfn.XLOOKUP(AW108,HELPER!$F$8:$F$48,HELPER!$G$8:$G$48,,1),""))</f>
        <v/>
      </c>
      <c r="AY108" s="146"/>
      <c r="AZ108" s="148"/>
    </row>
    <row r="109" spans="1:52" ht="15" customHeight="1" x14ac:dyDescent="0.25">
      <c r="A109" s="146"/>
      <c r="B109" s="111">
        <v>40</v>
      </c>
      <c r="C109" s="346" t="str">
        <f>IF('INPUT DATA'!N50="","",'INPUT DATA'!N50)</f>
        <v/>
      </c>
      <c r="D109" s="347"/>
      <c r="E109" s="347"/>
      <c r="F109" s="200"/>
      <c r="G109" s="201"/>
      <c r="H109" s="201"/>
      <c r="I109" s="201"/>
      <c r="J109" s="202"/>
      <c r="K109" s="194" t="str">
        <f t="shared" si="32"/>
        <v/>
      </c>
      <c r="L109" s="170" t="str">
        <f t="shared" si="33"/>
        <v/>
      </c>
      <c r="M109" s="188" t="str">
        <f t="shared" si="34"/>
        <v/>
      </c>
      <c r="N109" s="105"/>
      <c r="O109" s="106"/>
      <c r="P109" s="106"/>
      <c r="Q109" s="106"/>
      <c r="R109" s="107"/>
      <c r="S109" s="217" t="str">
        <f t="shared" si="21"/>
        <v/>
      </c>
      <c r="T109" s="91" t="str">
        <f t="shared" si="22"/>
        <v/>
      </c>
      <c r="U109" s="218" t="str">
        <f t="shared" si="23"/>
        <v/>
      </c>
      <c r="V109" s="230"/>
      <c r="W109" s="226"/>
      <c r="X109" s="231"/>
      <c r="Y109" s="194" t="str">
        <f t="shared" si="35"/>
        <v/>
      </c>
      <c r="Z109" s="170" t="str">
        <f t="shared" si="36"/>
        <v/>
      </c>
      <c r="AA109" s="188" t="str">
        <f t="shared" si="37"/>
        <v/>
      </c>
      <c r="AB109" s="230"/>
      <c r="AC109" s="226"/>
      <c r="AD109" s="231"/>
      <c r="AE109" s="194" t="str">
        <f t="shared" si="38"/>
        <v/>
      </c>
      <c r="AF109" s="170" t="str">
        <f t="shared" si="39"/>
        <v/>
      </c>
      <c r="AG109" s="188" t="str">
        <f t="shared" si="40"/>
        <v/>
      </c>
      <c r="AH109" s="105"/>
      <c r="AI109" s="106"/>
      <c r="AJ109" s="107"/>
      <c r="AK109" s="90" t="str">
        <f t="shared" si="24"/>
        <v/>
      </c>
      <c r="AL109" s="91" t="str">
        <f t="shared" si="25"/>
        <v/>
      </c>
      <c r="AM109" s="93" t="str">
        <f t="shared" si="26"/>
        <v/>
      </c>
      <c r="AN109" s="162"/>
      <c r="AO109" s="107"/>
      <c r="AP109" s="163"/>
      <c r="AQ109" s="157" t="str">
        <f t="shared" si="27"/>
        <v/>
      </c>
      <c r="AR109" s="91" t="str">
        <f t="shared" si="28"/>
        <v/>
      </c>
      <c r="AS109" s="93" t="str">
        <f t="shared" si="29"/>
        <v/>
      </c>
      <c r="AT109" s="90" t="str">
        <f t="shared" si="30"/>
        <v/>
      </c>
      <c r="AU109" s="93" t="str">
        <f t="shared" si="31"/>
        <v/>
      </c>
      <c r="AV109" s="241" t="str">
        <f t="shared" si="41"/>
        <v/>
      </c>
      <c r="AW109" s="238" t="str">
        <f>IF(C109="","",IFERROR(_xlfn.XLOOKUP(AV109,HELPER!$C$8:$C$48,HELPER!$D$8:$D$48,,1),""))</f>
        <v/>
      </c>
      <c r="AX109" s="113" t="str">
        <f>IF(C109="","",IFERROR(_xlfn.XLOOKUP(AW109,HELPER!$F$8:$F$48,HELPER!$G$8:$G$48,,1),""))</f>
        <v/>
      </c>
      <c r="AY109" s="146"/>
      <c r="AZ109" s="148"/>
    </row>
    <row r="110" spans="1:52" ht="15" customHeight="1" x14ac:dyDescent="0.25">
      <c r="A110" s="146"/>
      <c r="B110" s="111">
        <v>41</v>
      </c>
      <c r="C110" s="346" t="str">
        <f>IF('INPUT DATA'!N51="","",'INPUT DATA'!N51)</f>
        <v/>
      </c>
      <c r="D110" s="347"/>
      <c r="E110" s="347"/>
      <c r="F110" s="200"/>
      <c r="G110" s="201"/>
      <c r="H110" s="201"/>
      <c r="I110" s="201"/>
      <c r="J110" s="202"/>
      <c r="K110" s="194" t="str">
        <f t="shared" si="32"/>
        <v/>
      </c>
      <c r="L110" s="170" t="str">
        <f t="shared" si="33"/>
        <v/>
      </c>
      <c r="M110" s="188" t="str">
        <f t="shared" si="34"/>
        <v/>
      </c>
      <c r="N110" s="105"/>
      <c r="O110" s="106"/>
      <c r="P110" s="106"/>
      <c r="Q110" s="106"/>
      <c r="R110" s="107"/>
      <c r="S110" s="217" t="str">
        <f t="shared" si="21"/>
        <v/>
      </c>
      <c r="T110" s="91" t="str">
        <f t="shared" si="22"/>
        <v/>
      </c>
      <c r="U110" s="218" t="str">
        <f t="shared" si="23"/>
        <v/>
      </c>
      <c r="V110" s="230"/>
      <c r="W110" s="226"/>
      <c r="X110" s="231"/>
      <c r="Y110" s="194" t="str">
        <f t="shared" si="35"/>
        <v/>
      </c>
      <c r="Z110" s="170" t="str">
        <f t="shared" si="36"/>
        <v/>
      </c>
      <c r="AA110" s="188" t="str">
        <f t="shared" si="37"/>
        <v/>
      </c>
      <c r="AB110" s="230"/>
      <c r="AC110" s="226"/>
      <c r="AD110" s="231"/>
      <c r="AE110" s="194" t="str">
        <f t="shared" si="38"/>
        <v/>
      </c>
      <c r="AF110" s="170" t="str">
        <f t="shared" si="39"/>
        <v/>
      </c>
      <c r="AG110" s="188" t="str">
        <f t="shared" si="40"/>
        <v/>
      </c>
      <c r="AH110" s="105"/>
      <c r="AI110" s="106"/>
      <c r="AJ110" s="107"/>
      <c r="AK110" s="90" t="str">
        <f t="shared" si="24"/>
        <v/>
      </c>
      <c r="AL110" s="91" t="str">
        <f t="shared" si="25"/>
        <v/>
      </c>
      <c r="AM110" s="93" t="str">
        <f t="shared" si="26"/>
        <v/>
      </c>
      <c r="AN110" s="162"/>
      <c r="AO110" s="107"/>
      <c r="AP110" s="163"/>
      <c r="AQ110" s="157" t="str">
        <f t="shared" si="27"/>
        <v/>
      </c>
      <c r="AR110" s="91" t="str">
        <f t="shared" si="28"/>
        <v/>
      </c>
      <c r="AS110" s="93" t="str">
        <f t="shared" si="29"/>
        <v/>
      </c>
      <c r="AT110" s="90" t="str">
        <f t="shared" si="30"/>
        <v/>
      </c>
      <c r="AU110" s="93" t="str">
        <f t="shared" si="31"/>
        <v/>
      </c>
      <c r="AV110" s="241" t="str">
        <f t="shared" si="41"/>
        <v/>
      </c>
      <c r="AW110" s="238" t="str">
        <f>IF(C110="","",IFERROR(_xlfn.XLOOKUP(AV110,HELPER!$C$8:$C$48,HELPER!$D$8:$D$48,,1),""))</f>
        <v/>
      </c>
      <c r="AX110" s="113" t="str">
        <f>IF(C110="","",IFERROR(_xlfn.XLOOKUP(AW110,HELPER!$F$8:$F$48,HELPER!$G$8:$G$48,,1),""))</f>
        <v/>
      </c>
      <c r="AY110" s="146"/>
      <c r="AZ110" s="148"/>
    </row>
    <row r="111" spans="1:52" ht="15" customHeight="1" x14ac:dyDescent="0.25">
      <c r="A111" s="146"/>
      <c r="B111" s="111">
        <v>42</v>
      </c>
      <c r="C111" s="346" t="str">
        <f>IF('INPUT DATA'!N52="","",'INPUT DATA'!N52)</f>
        <v/>
      </c>
      <c r="D111" s="347"/>
      <c r="E111" s="347"/>
      <c r="F111" s="200"/>
      <c r="G111" s="201"/>
      <c r="H111" s="201"/>
      <c r="I111" s="201"/>
      <c r="J111" s="202"/>
      <c r="K111" s="194" t="str">
        <f t="shared" si="32"/>
        <v/>
      </c>
      <c r="L111" s="170" t="str">
        <f t="shared" si="33"/>
        <v/>
      </c>
      <c r="M111" s="188" t="str">
        <f t="shared" si="34"/>
        <v/>
      </c>
      <c r="N111" s="105"/>
      <c r="O111" s="106"/>
      <c r="P111" s="106"/>
      <c r="Q111" s="106"/>
      <c r="R111" s="107"/>
      <c r="S111" s="217" t="str">
        <f t="shared" si="21"/>
        <v/>
      </c>
      <c r="T111" s="91" t="str">
        <f t="shared" si="22"/>
        <v/>
      </c>
      <c r="U111" s="218" t="str">
        <f t="shared" si="23"/>
        <v/>
      </c>
      <c r="V111" s="230"/>
      <c r="W111" s="226"/>
      <c r="X111" s="231"/>
      <c r="Y111" s="194" t="str">
        <f t="shared" si="35"/>
        <v/>
      </c>
      <c r="Z111" s="170" t="str">
        <f t="shared" si="36"/>
        <v/>
      </c>
      <c r="AA111" s="188" t="str">
        <f t="shared" si="37"/>
        <v/>
      </c>
      <c r="AB111" s="230"/>
      <c r="AC111" s="226"/>
      <c r="AD111" s="231"/>
      <c r="AE111" s="194" t="str">
        <f t="shared" si="38"/>
        <v/>
      </c>
      <c r="AF111" s="170" t="str">
        <f t="shared" si="39"/>
        <v/>
      </c>
      <c r="AG111" s="188" t="str">
        <f t="shared" si="40"/>
        <v/>
      </c>
      <c r="AH111" s="105"/>
      <c r="AI111" s="106"/>
      <c r="AJ111" s="107"/>
      <c r="AK111" s="90" t="str">
        <f t="shared" si="24"/>
        <v/>
      </c>
      <c r="AL111" s="91" t="str">
        <f t="shared" si="25"/>
        <v/>
      </c>
      <c r="AM111" s="93" t="str">
        <f t="shared" si="26"/>
        <v/>
      </c>
      <c r="AN111" s="162"/>
      <c r="AO111" s="107"/>
      <c r="AP111" s="163"/>
      <c r="AQ111" s="157" t="str">
        <f t="shared" si="27"/>
        <v/>
      </c>
      <c r="AR111" s="91" t="str">
        <f t="shared" si="28"/>
        <v/>
      </c>
      <c r="AS111" s="93" t="str">
        <f t="shared" si="29"/>
        <v/>
      </c>
      <c r="AT111" s="90" t="str">
        <f t="shared" si="30"/>
        <v/>
      </c>
      <c r="AU111" s="93" t="str">
        <f t="shared" si="31"/>
        <v/>
      </c>
      <c r="AV111" s="241" t="str">
        <f t="shared" si="41"/>
        <v/>
      </c>
      <c r="AW111" s="238" t="str">
        <f>IF(C111="","",IFERROR(_xlfn.XLOOKUP(AV111,HELPER!$C$8:$C$48,HELPER!$D$8:$D$48,,1),""))</f>
        <v/>
      </c>
      <c r="AX111" s="113" t="str">
        <f>IF(C111="","",IFERROR(_xlfn.XLOOKUP(AW111,HELPER!$F$8:$F$48,HELPER!$G$8:$G$48,,1),""))</f>
        <v/>
      </c>
      <c r="AY111" s="146"/>
      <c r="AZ111" s="148"/>
    </row>
    <row r="112" spans="1:52" ht="15" customHeight="1" x14ac:dyDescent="0.25">
      <c r="A112" s="146"/>
      <c r="B112" s="111">
        <v>43</v>
      </c>
      <c r="C112" s="346" t="str">
        <f>IF('INPUT DATA'!N53="","",'INPUT DATA'!N53)</f>
        <v/>
      </c>
      <c r="D112" s="347"/>
      <c r="E112" s="347"/>
      <c r="F112" s="200"/>
      <c r="G112" s="201"/>
      <c r="H112" s="201"/>
      <c r="I112" s="201"/>
      <c r="J112" s="202"/>
      <c r="K112" s="194" t="str">
        <f t="shared" si="32"/>
        <v/>
      </c>
      <c r="L112" s="170" t="str">
        <f t="shared" si="33"/>
        <v/>
      </c>
      <c r="M112" s="188" t="str">
        <f t="shared" si="34"/>
        <v/>
      </c>
      <c r="N112" s="105"/>
      <c r="O112" s="106"/>
      <c r="P112" s="106"/>
      <c r="Q112" s="106"/>
      <c r="R112" s="107"/>
      <c r="S112" s="217" t="str">
        <f t="shared" si="21"/>
        <v/>
      </c>
      <c r="T112" s="91" t="str">
        <f t="shared" si="22"/>
        <v/>
      </c>
      <c r="U112" s="218" t="str">
        <f t="shared" si="23"/>
        <v/>
      </c>
      <c r="V112" s="230"/>
      <c r="W112" s="226"/>
      <c r="X112" s="231"/>
      <c r="Y112" s="194" t="str">
        <f t="shared" si="35"/>
        <v/>
      </c>
      <c r="Z112" s="170" t="str">
        <f t="shared" si="36"/>
        <v/>
      </c>
      <c r="AA112" s="188" t="str">
        <f t="shared" si="37"/>
        <v/>
      </c>
      <c r="AB112" s="230"/>
      <c r="AC112" s="226"/>
      <c r="AD112" s="231"/>
      <c r="AE112" s="194" t="str">
        <f t="shared" si="38"/>
        <v/>
      </c>
      <c r="AF112" s="170" t="str">
        <f t="shared" si="39"/>
        <v/>
      </c>
      <c r="AG112" s="188" t="str">
        <f t="shared" si="40"/>
        <v/>
      </c>
      <c r="AH112" s="105"/>
      <c r="AI112" s="106"/>
      <c r="AJ112" s="107"/>
      <c r="AK112" s="90" t="str">
        <f t="shared" si="24"/>
        <v/>
      </c>
      <c r="AL112" s="91" t="str">
        <f t="shared" si="25"/>
        <v/>
      </c>
      <c r="AM112" s="93" t="str">
        <f t="shared" si="26"/>
        <v/>
      </c>
      <c r="AN112" s="162"/>
      <c r="AO112" s="107"/>
      <c r="AP112" s="163"/>
      <c r="AQ112" s="157" t="str">
        <f t="shared" si="27"/>
        <v/>
      </c>
      <c r="AR112" s="91" t="str">
        <f t="shared" si="28"/>
        <v/>
      </c>
      <c r="AS112" s="93" t="str">
        <f t="shared" si="29"/>
        <v/>
      </c>
      <c r="AT112" s="90" t="str">
        <f t="shared" si="30"/>
        <v/>
      </c>
      <c r="AU112" s="93" t="str">
        <f t="shared" si="31"/>
        <v/>
      </c>
      <c r="AV112" s="241" t="str">
        <f t="shared" si="41"/>
        <v/>
      </c>
      <c r="AW112" s="238" t="str">
        <f>IF(C112="","",IFERROR(_xlfn.XLOOKUP(AV112,HELPER!$C$8:$C$48,HELPER!$D$8:$D$48,,1),""))</f>
        <v/>
      </c>
      <c r="AX112" s="113" t="str">
        <f>IF(C112="","",IFERROR(_xlfn.XLOOKUP(AW112,HELPER!$F$8:$F$48,HELPER!$G$8:$G$48,,1),""))</f>
        <v/>
      </c>
      <c r="AY112" s="146"/>
      <c r="AZ112" s="148"/>
    </row>
    <row r="113" spans="1:52" ht="15" customHeight="1" x14ac:dyDescent="0.25">
      <c r="A113" s="146"/>
      <c r="B113" s="111">
        <v>44</v>
      </c>
      <c r="C113" s="346" t="str">
        <f>IF('INPUT DATA'!N54="","",'INPUT DATA'!N54)</f>
        <v/>
      </c>
      <c r="D113" s="347"/>
      <c r="E113" s="347"/>
      <c r="F113" s="200"/>
      <c r="G113" s="201"/>
      <c r="H113" s="201"/>
      <c r="I113" s="201"/>
      <c r="J113" s="202"/>
      <c r="K113" s="194" t="str">
        <f t="shared" si="32"/>
        <v/>
      </c>
      <c r="L113" s="170" t="str">
        <f t="shared" si="33"/>
        <v/>
      </c>
      <c r="M113" s="188" t="str">
        <f t="shared" si="34"/>
        <v/>
      </c>
      <c r="N113" s="105"/>
      <c r="O113" s="106"/>
      <c r="P113" s="106"/>
      <c r="Q113" s="106"/>
      <c r="R113" s="107"/>
      <c r="S113" s="217" t="str">
        <f t="shared" si="21"/>
        <v/>
      </c>
      <c r="T113" s="91" t="str">
        <f t="shared" si="22"/>
        <v/>
      </c>
      <c r="U113" s="218" t="str">
        <f t="shared" si="23"/>
        <v/>
      </c>
      <c r="V113" s="230"/>
      <c r="W113" s="226"/>
      <c r="X113" s="231"/>
      <c r="Y113" s="194" t="str">
        <f t="shared" si="35"/>
        <v/>
      </c>
      <c r="Z113" s="170" t="str">
        <f t="shared" si="36"/>
        <v/>
      </c>
      <c r="AA113" s="188" t="str">
        <f t="shared" si="37"/>
        <v/>
      </c>
      <c r="AB113" s="230"/>
      <c r="AC113" s="226"/>
      <c r="AD113" s="231"/>
      <c r="AE113" s="194" t="str">
        <f t="shared" si="38"/>
        <v/>
      </c>
      <c r="AF113" s="170" t="str">
        <f t="shared" si="39"/>
        <v/>
      </c>
      <c r="AG113" s="188" t="str">
        <f t="shared" si="40"/>
        <v/>
      </c>
      <c r="AH113" s="105"/>
      <c r="AI113" s="106"/>
      <c r="AJ113" s="107"/>
      <c r="AK113" s="90" t="str">
        <f t="shared" si="24"/>
        <v/>
      </c>
      <c r="AL113" s="91" t="str">
        <f t="shared" si="25"/>
        <v/>
      </c>
      <c r="AM113" s="93" t="str">
        <f t="shared" si="26"/>
        <v/>
      </c>
      <c r="AN113" s="162"/>
      <c r="AO113" s="107"/>
      <c r="AP113" s="163"/>
      <c r="AQ113" s="157" t="str">
        <f t="shared" si="27"/>
        <v/>
      </c>
      <c r="AR113" s="91" t="str">
        <f t="shared" si="28"/>
        <v/>
      </c>
      <c r="AS113" s="93" t="str">
        <f t="shared" si="29"/>
        <v/>
      </c>
      <c r="AT113" s="90" t="str">
        <f t="shared" si="30"/>
        <v/>
      </c>
      <c r="AU113" s="93" t="str">
        <f t="shared" si="31"/>
        <v/>
      </c>
      <c r="AV113" s="241" t="str">
        <f t="shared" si="41"/>
        <v/>
      </c>
      <c r="AW113" s="238" t="str">
        <f>IF(C113="","",IFERROR(_xlfn.XLOOKUP(AV113,HELPER!$C$8:$C$48,HELPER!$D$8:$D$48,,1),""))</f>
        <v/>
      </c>
      <c r="AX113" s="113" t="str">
        <f>IF(C113="","",IFERROR(_xlfn.XLOOKUP(AW113,HELPER!$F$8:$F$48,HELPER!$G$8:$G$48,,1),""))</f>
        <v/>
      </c>
      <c r="AY113" s="146"/>
      <c r="AZ113" s="148"/>
    </row>
    <row r="114" spans="1:52" ht="15" customHeight="1" x14ac:dyDescent="0.25">
      <c r="A114" s="146"/>
      <c r="B114" s="111">
        <v>45</v>
      </c>
      <c r="C114" s="346" t="str">
        <f>IF('INPUT DATA'!N55="","",'INPUT DATA'!N55)</f>
        <v/>
      </c>
      <c r="D114" s="347"/>
      <c r="E114" s="347"/>
      <c r="F114" s="200"/>
      <c r="G114" s="201"/>
      <c r="H114" s="201"/>
      <c r="I114" s="201"/>
      <c r="J114" s="202"/>
      <c r="K114" s="194" t="str">
        <f t="shared" si="32"/>
        <v/>
      </c>
      <c r="L114" s="170" t="str">
        <f t="shared" si="33"/>
        <v/>
      </c>
      <c r="M114" s="188" t="str">
        <f t="shared" si="34"/>
        <v/>
      </c>
      <c r="N114" s="105"/>
      <c r="O114" s="106"/>
      <c r="P114" s="106"/>
      <c r="Q114" s="106"/>
      <c r="R114" s="107"/>
      <c r="S114" s="217" t="str">
        <f t="shared" si="21"/>
        <v/>
      </c>
      <c r="T114" s="91" t="str">
        <f t="shared" si="22"/>
        <v/>
      </c>
      <c r="U114" s="218" t="str">
        <f t="shared" si="23"/>
        <v/>
      </c>
      <c r="V114" s="230"/>
      <c r="W114" s="226"/>
      <c r="X114" s="231"/>
      <c r="Y114" s="194" t="str">
        <f t="shared" si="35"/>
        <v/>
      </c>
      <c r="Z114" s="170" t="str">
        <f t="shared" si="36"/>
        <v/>
      </c>
      <c r="AA114" s="188" t="str">
        <f t="shared" si="37"/>
        <v/>
      </c>
      <c r="AB114" s="230"/>
      <c r="AC114" s="226"/>
      <c r="AD114" s="231"/>
      <c r="AE114" s="194" t="str">
        <f t="shared" si="38"/>
        <v/>
      </c>
      <c r="AF114" s="170" t="str">
        <f t="shared" si="39"/>
        <v/>
      </c>
      <c r="AG114" s="188" t="str">
        <f t="shared" si="40"/>
        <v/>
      </c>
      <c r="AH114" s="105"/>
      <c r="AI114" s="106"/>
      <c r="AJ114" s="107"/>
      <c r="AK114" s="90" t="str">
        <f t="shared" si="24"/>
        <v/>
      </c>
      <c r="AL114" s="91" t="str">
        <f t="shared" si="25"/>
        <v/>
      </c>
      <c r="AM114" s="93" t="str">
        <f t="shared" si="26"/>
        <v/>
      </c>
      <c r="AN114" s="162"/>
      <c r="AO114" s="107"/>
      <c r="AP114" s="163"/>
      <c r="AQ114" s="157" t="str">
        <f t="shared" si="27"/>
        <v/>
      </c>
      <c r="AR114" s="91" t="str">
        <f t="shared" si="28"/>
        <v/>
      </c>
      <c r="AS114" s="93" t="str">
        <f t="shared" si="29"/>
        <v/>
      </c>
      <c r="AT114" s="90" t="str">
        <f t="shared" si="30"/>
        <v/>
      </c>
      <c r="AU114" s="93" t="str">
        <f t="shared" si="31"/>
        <v/>
      </c>
      <c r="AV114" s="241" t="str">
        <f t="shared" si="41"/>
        <v/>
      </c>
      <c r="AW114" s="238" t="str">
        <f>IF(C114="","",IFERROR(_xlfn.XLOOKUP(AV114,HELPER!$C$8:$C$48,HELPER!$D$8:$D$48,,1),""))</f>
        <v/>
      </c>
      <c r="AX114" s="113" t="str">
        <f>IF(C114="","",IFERROR(_xlfn.XLOOKUP(AW114,HELPER!$F$8:$F$48,HELPER!$G$8:$G$48,,1),""))</f>
        <v/>
      </c>
      <c r="AY114" s="146"/>
      <c r="AZ114" s="148"/>
    </row>
    <row r="115" spans="1:52" ht="15" customHeight="1" x14ac:dyDescent="0.25">
      <c r="A115" s="146"/>
      <c r="B115" s="111">
        <v>46</v>
      </c>
      <c r="C115" s="346" t="str">
        <f>IF('INPUT DATA'!N56="","",'INPUT DATA'!N56)</f>
        <v/>
      </c>
      <c r="D115" s="347"/>
      <c r="E115" s="347"/>
      <c r="F115" s="200"/>
      <c r="G115" s="201"/>
      <c r="H115" s="201"/>
      <c r="I115" s="201"/>
      <c r="J115" s="202"/>
      <c r="K115" s="194" t="str">
        <f t="shared" si="32"/>
        <v/>
      </c>
      <c r="L115" s="170" t="str">
        <f t="shared" si="33"/>
        <v/>
      </c>
      <c r="M115" s="188" t="str">
        <f t="shared" si="34"/>
        <v/>
      </c>
      <c r="N115" s="105"/>
      <c r="O115" s="106"/>
      <c r="P115" s="106"/>
      <c r="Q115" s="106"/>
      <c r="R115" s="107"/>
      <c r="S115" s="217" t="str">
        <f t="shared" si="21"/>
        <v/>
      </c>
      <c r="T115" s="91" t="str">
        <f t="shared" si="22"/>
        <v/>
      </c>
      <c r="U115" s="218" t="str">
        <f t="shared" si="23"/>
        <v/>
      </c>
      <c r="V115" s="230"/>
      <c r="W115" s="226"/>
      <c r="X115" s="231"/>
      <c r="Y115" s="194" t="str">
        <f t="shared" si="35"/>
        <v/>
      </c>
      <c r="Z115" s="170" t="str">
        <f t="shared" si="36"/>
        <v/>
      </c>
      <c r="AA115" s="188" t="str">
        <f t="shared" si="37"/>
        <v/>
      </c>
      <c r="AB115" s="230"/>
      <c r="AC115" s="226"/>
      <c r="AD115" s="231"/>
      <c r="AE115" s="194" t="str">
        <f t="shared" si="38"/>
        <v/>
      </c>
      <c r="AF115" s="170" t="str">
        <f t="shared" si="39"/>
        <v/>
      </c>
      <c r="AG115" s="188" t="str">
        <f t="shared" si="40"/>
        <v/>
      </c>
      <c r="AH115" s="105"/>
      <c r="AI115" s="106"/>
      <c r="AJ115" s="107"/>
      <c r="AK115" s="90" t="str">
        <f t="shared" si="24"/>
        <v/>
      </c>
      <c r="AL115" s="91" t="str">
        <f t="shared" si="25"/>
        <v/>
      </c>
      <c r="AM115" s="93" t="str">
        <f t="shared" si="26"/>
        <v/>
      </c>
      <c r="AN115" s="162"/>
      <c r="AO115" s="107"/>
      <c r="AP115" s="163"/>
      <c r="AQ115" s="157" t="str">
        <f t="shared" si="27"/>
        <v/>
      </c>
      <c r="AR115" s="91" t="str">
        <f t="shared" si="28"/>
        <v/>
      </c>
      <c r="AS115" s="93" t="str">
        <f t="shared" si="29"/>
        <v/>
      </c>
      <c r="AT115" s="90" t="str">
        <f t="shared" si="30"/>
        <v/>
      </c>
      <c r="AU115" s="93" t="str">
        <f t="shared" si="31"/>
        <v/>
      </c>
      <c r="AV115" s="241" t="str">
        <f t="shared" si="41"/>
        <v/>
      </c>
      <c r="AW115" s="238" t="str">
        <f>IF(C115="","",IFERROR(_xlfn.XLOOKUP(AV115,HELPER!$C$8:$C$48,HELPER!$D$8:$D$48,,1),""))</f>
        <v/>
      </c>
      <c r="AX115" s="113" t="str">
        <f>IF(C115="","",IFERROR(_xlfn.XLOOKUP(AW115,HELPER!$F$8:$F$48,HELPER!$G$8:$G$48,,1),""))</f>
        <v/>
      </c>
      <c r="AY115" s="146"/>
      <c r="AZ115" s="148"/>
    </row>
    <row r="116" spans="1:52" ht="15" customHeight="1" x14ac:dyDescent="0.25">
      <c r="A116" s="146"/>
      <c r="B116" s="111">
        <v>47</v>
      </c>
      <c r="C116" s="346" t="str">
        <f>IF('INPUT DATA'!N57="","",'INPUT DATA'!N57)</f>
        <v/>
      </c>
      <c r="D116" s="347"/>
      <c r="E116" s="347"/>
      <c r="F116" s="200"/>
      <c r="G116" s="201"/>
      <c r="H116" s="201"/>
      <c r="I116" s="201"/>
      <c r="J116" s="202"/>
      <c r="K116" s="194" t="str">
        <f t="shared" si="32"/>
        <v/>
      </c>
      <c r="L116" s="170" t="str">
        <f t="shared" si="33"/>
        <v/>
      </c>
      <c r="M116" s="188" t="str">
        <f t="shared" si="34"/>
        <v/>
      </c>
      <c r="N116" s="105"/>
      <c r="O116" s="106"/>
      <c r="P116" s="106"/>
      <c r="Q116" s="106"/>
      <c r="R116" s="107"/>
      <c r="S116" s="217" t="str">
        <f t="shared" si="21"/>
        <v/>
      </c>
      <c r="T116" s="91" t="str">
        <f t="shared" si="22"/>
        <v/>
      </c>
      <c r="U116" s="218" t="str">
        <f t="shared" si="23"/>
        <v/>
      </c>
      <c r="V116" s="230"/>
      <c r="W116" s="226"/>
      <c r="X116" s="231"/>
      <c r="Y116" s="194" t="str">
        <f t="shared" si="35"/>
        <v/>
      </c>
      <c r="Z116" s="170" t="str">
        <f t="shared" si="36"/>
        <v/>
      </c>
      <c r="AA116" s="188" t="str">
        <f t="shared" si="37"/>
        <v/>
      </c>
      <c r="AB116" s="230"/>
      <c r="AC116" s="226"/>
      <c r="AD116" s="231"/>
      <c r="AE116" s="194" t="str">
        <f t="shared" si="38"/>
        <v/>
      </c>
      <c r="AF116" s="170" t="str">
        <f t="shared" si="39"/>
        <v/>
      </c>
      <c r="AG116" s="188" t="str">
        <f t="shared" si="40"/>
        <v/>
      </c>
      <c r="AH116" s="105"/>
      <c r="AI116" s="106"/>
      <c r="AJ116" s="107"/>
      <c r="AK116" s="90" t="str">
        <f t="shared" si="24"/>
        <v/>
      </c>
      <c r="AL116" s="91" t="str">
        <f t="shared" si="25"/>
        <v/>
      </c>
      <c r="AM116" s="93" t="str">
        <f t="shared" si="26"/>
        <v/>
      </c>
      <c r="AN116" s="162"/>
      <c r="AO116" s="107"/>
      <c r="AP116" s="163"/>
      <c r="AQ116" s="157" t="str">
        <f t="shared" si="27"/>
        <v/>
      </c>
      <c r="AR116" s="91" t="str">
        <f t="shared" si="28"/>
        <v/>
      </c>
      <c r="AS116" s="93" t="str">
        <f t="shared" si="29"/>
        <v/>
      </c>
      <c r="AT116" s="90" t="str">
        <f t="shared" si="30"/>
        <v/>
      </c>
      <c r="AU116" s="93" t="str">
        <f t="shared" si="31"/>
        <v/>
      </c>
      <c r="AV116" s="241" t="str">
        <f t="shared" si="41"/>
        <v/>
      </c>
      <c r="AW116" s="238" t="str">
        <f>IF(C116="","",IFERROR(_xlfn.XLOOKUP(AV116,HELPER!$C$8:$C$48,HELPER!$D$8:$D$48,,1),""))</f>
        <v/>
      </c>
      <c r="AX116" s="113" t="str">
        <f>IF(C116="","",IFERROR(_xlfn.XLOOKUP(AW116,HELPER!$F$8:$F$48,HELPER!$G$8:$G$48,,1),""))</f>
        <v/>
      </c>
      <c r="AY116" s="146"/>
      <c r="AZ116" s="148"/>
    </row>
    <row r="117" spans="1:52" ht="15" customHeight="1" x14ac:dyDescent="0.25">
      <c r="A117" s="146"/>
      <c r="B117" s="111">
        <v>48</v>
      </c>
      <c r="C117" s="346" t="str">
        <f>IF('INPUT DATA'!N58="","",'INPUT DATA'!N58)</f>
        <v/>
      </c>
      <c r="D117" s="347"/>
      <c r="E117" s="347"/>
      <c r="F117" s="200"/>
      <c r="G117" s="201"/>
      <c r="H117" s="201"/>
      <c r="I117" s="201"/>
      <c r="J117" s="202"/>
      <c r="K117" s="194" t="str">
        <f t="shared" si="32"/>
        <v/>
      </c>
      <c r="L117" s="170" t="str">
        <f t="shared" si="33"/>
        <v/>
      </c>
      <c r="M117" s="188" t="str">
        <f t="shared" si="34"/>
        <v/>
      </c>
      <c r="N117" s="105"/>
      <c r="O117" s="106"/>
      <c r="P117" s="106"/>
      <c r="Q117" s="106"/>
      <c r="R117" s="107"/>
      <c r="S117" s="217" t="str">
        <f t="shared" si="21"/>
        <v/>
      </c>
      <c r="T117" s="91" t="str">
        <f t="shared" si="22"/>
        <v/>
      </c>
      <c r="U117" s="218" t="str">
        <f t="shared" si="23"/>
        <v/>
      </c>
      <c r="V117" s="230"/>
      <c r="W117" s="226"/>
      <c r="X117" s="231"/>
      <c r="Y117" s="194" t="str">
        <f t="shared" si="35"/>
        <v/>
      </c>
      <c r="Z117" s="170" t="str">
        <f t="shared" si="36"/>
        <v/>
      </c>
      <c r="AA117" s="188" t="str">
        <f t="shared" si="37"/>
        <v/>
      </c>
      <c r="AB117" s="230"/>
      <c r="AC117" s="226"/>
      <c r="AD117" s="231"/>
      <c r="AE117" s="194" t="str">
        <f t="shared" si="38"/>
        <v/>
      </c>
      <c r="AF117" s="170" t="str">
        <f t="shared" si="39"/>
        <v/>
      </c>
      <c r="AG117" s="188" t="str">
        <f t="shared" si="40"/>
        <v/>
      </c>
      <c r="AH117" s="105"/>
      <c r="AI117" s="106"/>
      <c r="AJ117" s="107"/>
      <c r="AK117" s="90" t="str">
        <f t="shared" si="24"/>
        <v/>
      </c>
      <c r="AL117" s="91" t="str">
        <f t="shared" si="25"/>
        <v/>
      </c>
      <c r="AM117" s="93" t="str">
        <f t="shared" si="26"/>
        <v/>
      </c>
      <c r="AN117" s="162"/>
      <c r="AO117" s="107"/>
      <c r="AP117" s="163"/>
      <c r="AQ117" s="157" t="str">
        <f t="shared" si="27"/>
        <v/>
      </c>
      <c r="AR117" s="91" t="str">
        <f t="shared" si="28"/>
        <v/>
      </c>
      <c r="AS117" s="93" t="str">
        <f t="shared" si="29"/>
        <v/>
      </c>
      <c r="AT117" s="90" t="str">
        <f t="shared" si="30"/>
        <v/>
      </c>
      <c r="AU117" s="93" t="str">
        <f t="shared" si="31"/>
        <v/>
      </c>
      <c r="AV117" s="241" t="str">
        <f t="shared" si="41"/>
        <v/>
      </c>
      <c r="AW117" s="238" t="str">
        <f>IF(C117="","",IFERROR(_xlfn.XLOOKUP(AV117,HELPER!$C$8:$C$48,HELPER!$D$8:$D$48,,1),""))</f>
        <v/>
      </c>
      <c r="AX117" s="113" t="str">
        <f>IF(C117="","",IFERROR(_xlfn.XLOOKUP(AW117,HELPER!$F$8:$F$48,HELPER!$G$8:$G$48,,1),""))</f>
        <v/>
      </c>
      <c r="AY117" s="146"/>
      <c r="AZ117" s="148"/>
    </row>
    <row r="118" spans="1:52" ht="15" customHeight="1" x14ac:dyDescent="0.25">
      <c r="A118" s="146"/>
      <c r="B118" s="111">
        <v>49</v>
      </c>
      <c r="C118" s="346" t="str">
        <f>IF('INPUT DATA'!N59="","",'INPUT DATA'!N59)</f>
        <v/>
      </c>
      <c r="D118" s="347"/>
      <c r="E118" s="347"/>
      <c r="F118" s="200"/>
      <c r="G118" s="201"/>
      <c r="H118" s="201"/>
      <c r="I118" s="201"/>
      <c r="J118" s="202"/>
      <c r="K118" s="194" t="str">
        <f t="shared" si="32"/>
        <v/>
      </c>
      <c r="L118" s="170" t="str">
        <f t="shared" si="33"/>
        <v/>
      </c>
      <c r="M118" s="188" t="str">
        <f t="shared" si="34"/>
        <v/>
      </c>
      <c r="N118" s="105"/>
      <c r="O118" s="106"/>
      <c r="P118" s="106"/>
      <c r="Q118" s="106"/>
      <c r="R118" s="107"/>
      <c r="S118" s="217" t="str">
        <f t="shared" si="21"/>
        <v/>
      </c>
      <c r="T118" s="91" t="str">
        <f t="shared" si="22"/>
        <v/>
      </c>
      <c r="U118" s="218" t="str">
        <f t="shared" si="23"/>
        <v/>
      </c>
      <c r="V118" s="230"/>
      <c r="W118" s="226"/>
      <c r="X118" s="231"/>
      <c r="Y118" s="194" t="str">
        <f t="shared" si="35"/>
        <v/>
      </c>
      <c r="Z118" s="170" t="str">
        <f t="shared" si="36"/>
        <v/>
      </c>
      <c r="AA118" s="188" t="str">
        <f t="shared" si="37"/>
        <v/>
      </c>
      <c r="AB118" s="230"/>
      <c r="AC118" s="226"/>
      <c r="AD118" s="231"/>
      <c r="AE118" s="194" t="str">
        <f t="shared" si="38"/>
        <v/>
      </c>
      <c r="AF118" s="170" t="str">
        <f t="shared" si="39"/>
        <v/>
      </c>
      <c r="AG118" s="188" t="str">
        <f t="shared" si="40"/>
        <v/>
      </c>
      <c r="AH118" s="105"/>
      <c r="AI118" s="106"/>
      <c r="AJ118" s="107"/>
      <c r="AK118" s="90" t="str">
        <f t="shared" si="24"/>
        <v/>
      </c>
      <c r="AL118" s="91" t="str">
        <f t="shared" si="25"/>
        <v/>
      </c>
      <c r="AM118" s="93" t="str">
        <f t="shared" si="26"/>
        <v/>
      </c>
      <c r="AN118" s="162"/>
      <c r="AO118" s="107"/>
      <c r="AP118" s="163"/>
      <c r="AQ118" s="157" t="str">
        <f t="shared" si="27"/>
        <v/>
      </c>
      <c r="AR118" s="91" t="str">
        <f t="shared" si="28"/>
        <v/>
      </c>
      <c r="AS118" s="93" t="str">
        <f t="shared" si="29"/>
        <v/>
      </c>
      <c r="AT118" s="90" t="str">
        <f t="shared" si="30"/>
        <v/>
      </c>
      <c r="AU118" s="93" t="str">
        <f t="shared" si="31"/>
        <v/>
      </c>
      <c r="AV118" s="241" t="str">
        <f t="shared" si="41"/>
        <v/>
      </c>
      <c r="AW118" s="238" t="str">
        <f>IF(C118="","",IFERROR(_xlfn.XLOOKUP(AV118,HELPER!$C$8:$C$48,HELPER!$D$8:$D$48,,1),""))</f>
        <v/>
      </c>
      <c r="AX118" s="113" t="str">
        <f>IF(C118="","",IFERROR(_xlfn.XLOOKUP(AW118,HELPER!$F$8:$F$48,HELPER!$G$8:$G$48,,1),""))</f>
        <v/>
      </c>
      <c r="AY118" s="146"/>
      <c r="AZ118" s="148"/>
    </row>
    <row r="119" spans="1:52" ht="15" customHeight="1" thickBot="1" x14ac:dyDescent="0.3">
      <c r="A119" s="146"/>
      <c r="B119" s="112">
        <v>50</v>
      </c>
      <c r="C119" s="362" t="str">
        <f>IF('INPUT DATA'!N60="","",'INPUT DATA'!N60)</f>
        <v/>
      </c>
      <c r="D119" s="363"/>
      <c r="E119" s="363"/>
      <c r="F119" s="203"/>
      <c r="G119" s="204"/>
      <c r="H119" s="204"/>
      <c r="I119" s="204"/>
      <c r="J119" s="205"/>
      <c r="K119" s="195" t="str">
        <f t="shared" si="32"/>
        <v/>
      </c>
      <c r="L119" s="189" t="str">
        <f t="shared" si="33"/>
        <v/>
      </c>
      <c r="M119" s="190" t="str">
        <f t="shared" si="34"/>
        <v/>
      </c>
      <c r="N119" s="114"/>
      <c r="O119" s="115"/>
      <c r="P119" s="115"/>
      <c r="Q119" s="115"/>
      <c r="R119" s="116"/>
      <c r="S119" s="219" t="str">
        <f t="shared" si="21"/>
        <v/>
      </c>
      <c r="T119" s="220" t="str">
        <f t="shared" si="22"/>
        <v/>
      </c>
      <c r="U119" s="221" t="str">
        <f t="shared" si="23"/>
        <v/>
      </c>
      <c r="V119" s="232"/>
      <c r="W119" s="233"/>
      <c r="X119" s="234"/>
      <c r="Y119" s="195" t="str">
        <f t="shared" si="35"/>
        <v/>
      </c>
      <c r="Z119" s="189" t="str">
        <f t="shared" si="36"/>
        <v/>
      </c>
      <c r="AA119" s="190" t="str">
        <f t="shared" si="37"/>
        <v/>
      </c>
      <c r="AB119" s="232"/>
      <c r="AC119" s="233"/>
      <c r="AD119" s="234"/>
      <c r="AE119" s="195" t="str">
        <f t="shared" si="38"/>
        <v/>
      </c>
      <c r="AF119" s="189" t="str">
        <f t="shared" si="39"/>
        <v/>
      </c>
      <c r="AG119" s="190" t="str">
        <f t="shared" si="40"/>
        <v/>
      </c>
      <c r="AH119" s="114"/>
      <c r="AI119" s="115"/>
      <c r="AJ119" s="116"/>
      <c r="AK119" s="117" t="str">
        <f t="shared" si="24"/>
        <v/>
      </c>
      <c r="AL119" s="118" t="str">
        <f t="shared" si="25"/>
        <v/>
      </c>
      <c r="AM119" s="119" t="str">
        <f t="shared" si="26"/>
        <v/>
      </c>
      <c r="AN119" s="164"/>
      <c r="AO119" s="165"/>
      <c r="AP119" s="166"/>
      <c r="AQ119" s="167" t="str">
        <f t="shared" si="27"/>
        <v/>
      </c>
      <c r="AR119" s="118" t="str">
        <f t="shared" si="28"/>
        <v/>
      </c>
      <c r="AS119" s="119" t="str">
        <f t="shared" si="29"/>
        <v/>
      </c>
      <c r="AT119" s="117" t="str">
        <f t="shared" si="30"/>
        <v/>
      </c>
      <c r="AU119" s="119" t="str">
        <f t="shared" si="31"/>
        <v/>
      </c>
      <c r="AV119" s="242" t="str">
        <f t="shared" si="41"/>
        <v/>
      </c>
      <c r="AW119" s="239" t="str">
        <f>IF(C119="","",IFERROR(_xlfn.XLOOKUP(AV119,HELPER!$C$8:$C$48,HELPER!$D$8:$D$48,,1),""))</f>
        <v/>
      </c>
      <c r="AX119" s="120" t="str">
        <f>IF(C119="","",IFERROR(_xlfn.XLOOKUP(AW119,HELPER!$F$8:$F$48,HELPER!$G$8:$G$48,,1),""))</f>
        <v/>
      </c>
      <c r="AY119" s="146"/>
      <c r="AZ119" s="148"/>
    </row>
    <row r="120" spans="1:52" ht="13.2" x14ac:dyDescent="0.25">
      <c r="A120" s="146"/>
      <c r="B120" s="146"/>
      <c r="C120" s="364"/>
      <c r="D120" s="365"/>
      <c r="E120" s="365"/>
      <c r="N120" s="146"/>
      <c r="O120" s="146"/>
      <c r="P120" s="146"/>
      <c r="Q120" s="146"/>
      <c r="R120" s="146"/>
      <c r="S120" s="146"/>
      <c r="T120" s="146"/>
      <c r="U120" s="146"/>
      <c r="V120" s="168"/>
      <c r="W120" s="168"/>
      <c r="X120" s="168"/>
      <c r="Y120" s="168"/>
      <c r="Z120" s="168"/>
      <c r="AA120" s="168"/>
      <c r="AB120" s="168"/>
      <c r="AC120" s="168"/>
      <c r="AD120" s="168"/>
      <c r="AE120" s="168"/>
      <c r="AF120" s="168"/>
      <c r="AG120" s="168"/>
      <c r="AH120" s="146"/>
      <c r="AI120" s="146"/>
      <c r="AJ120" s="146"/>
      <c r="AK120" s="146"/>
      <c r="AL120" s="146"/>
      <c r="AM120" s="146"/>
      <c r="AN120" s="146"/>
      <c r="AO120" s="146"/>
      <c r="AP120" s="146"/>
      <c r="AQ120" s="146"/>
      <c r="AR120" s="146"/>
      <c r="AS120" s="146"/>
      <c r="AT120" s="146"/>
      <c r="AU120" s="146"/>
      <c r="AV120" s="146"/>
      <c r="AW120" s="146"/>
      <c r="AX120" s="146"/>
      <c r="AY120" s="146"/>
      <c r="AZ120" s="148"/>
    </row>
    <row r="121" spans="1:52" ht="13.2" x14ac:dyDescent="0.25">
      <c r="A121" s="146"/>
      <c r="B121" s="146"/>
      <c r="C121" s="364"/>
      <c r="D121" s="365"/>
      <c r="E121" s="365"/>
      <c r="N121" s="146"/>
      <c r="O121" s="146"/>
      <c r="P121" s="146"/>
      <c r="Q121" s="146"/>
      <c r="R121" s="146"/>
      <c r="S121" s="146"/>
      <c r="T121" s="146"/>
      <c r="U121" s="146"/>
      <c r="V121" s="168"/>
      <c r="W121" s="168"/>
      <c r="X121" s="168"/>
      <c r="Y121" s="168"/>
      <c r="Z121" s="168"/>
      <c r="AA121" s="168"/>
      <c r="AB121" s="168"/>
      <c r="AC121" s="168"/>
      <c r="AD121" s="168"/>
      <c r="AE121" s="168"/>
      <c r="AF121" s="168"/>
      <c r="AG121" s="168"/>
      <c r="AH121" s="146"/>
      <c r="AI121" s="146"/>
      <c r="AJ121" s="146"/>
      <c r="AK121" s="146"/>
      <c r="AL121" s="146"/>
      <c r="AM121" s="146"/>
      <c r="AN121" s="146"/>
      <c r="AO121" s="146"/>
      <c r="AP121" s="146"/>
      <c r="AQ121" s="146"/>
      <c r="AR121" s="146"/>
      <c r="AS121" s="146"/>
      <c r="AT121" s="146"/>
      <c r="AU121" s="146"/>
      <c r="AV121" s="146"/>
      <c r="AW121" s="146"/>
      <c r="AX121" s="146"/>
      <c r="AY121" s="146"/>
      <c r="AZ121" s="148"/>
    </row>
  </sheetData>
  <sheetProtection formatCells="0" formatColumns="0" formatRows="0"/>
  <mergeCells count="133">
    <mergeCell ref="B10:E15"/>
    <mergeCell ref="B16:E16"/>
    <mergeCell ref="F10:I10"/>
    <mergeCell ref="F11:I11"/>
    <mergeCell ref="AV12:AV16"/>
    <mergeCell ref="AW12:AW16"/>
    <mergeCell ref="J10:U10"/>
    <mergeCell ref="J11:U11"/>
    <mergeCell ref="F12:U13"/>
    <mergeCell ref="F14:M14"/>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91:E91"/>
    <mergeCell ref="C92:E92"/>
    <mergeCell ref="C93:E93"/>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62:E62"/>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9:E119"/>
    <mergeCell ref="C120:E120"/>
    <mergeCell ref="C121:E121"/>
    <mergeCell ref="C112:E112"/>
    <mergeCell ref="C113:E113"/>
    <mergeCell ref="C114:E114"/>
    <mergeCell ref="C115:E115"/>
    <mergeCell ref="C116:E116"/>
    <mergeCell ref="C117:E117"/>
    <mergeCell ref="C118:E118"/>
    <mergeCell ref="C64:E64"/>
    <mergeCell ref="C65:E65"/>
    <mergeCell ref="C66:E66"/>
    <mergeCell ref="C67:E67"/>
    <mergeCell ref="C68:E68"/>
    <mergeCell ref="B69:AX69"/>
    <mergeCell ref="C55:E55"/>
    <mergeCell ref="C56:E56"/>
    <mergeCell ref="C57:E57"/>
    <mergeCell ref="C58:E58"/>
    <mergeCell ref="C59:E59"/>
    <mergeCell ref="C60:E60"/>
    <mergeCell ref="C61:E61"/>
    <mergeCell ref="C88:E88"/>
    <mergeCell ref="C89:E89"/>
    <mergeCell ref="C90:E90"/>
    <mergeCell ref="B2:AX3"/>
    <mergeCell ref="B9:AX9"/>
    <mergeCell ref="C79:E79"/>
    <mergeCell ref="C80:E80"/>
    <mergeCell ref="C81:E81"/>
    <mergeCell ref="C82:E82"/>
    <mergeCell ref="C83:E83"/>
    <mergeCell ref="C84:E84"/>
    <mergeCell ref="C85:E85"/>
    <mergeCell ref="C86:E86"/>
    <mergeCell ref="C87:E87"/>
    <mergeCell ref="C70:E70"/>
    <mergeCell ref="C71:E71"/>
    <mergeCell ref="C72:E72"/>
    <mergeCell ref="C73:E73"/>
    <mergeCell ref="C74:E74"/>
    <mergeCell ref="C75:E75"/>
    <mergeCell ref="C76:E76"/>
    <mergeCell ref="C77:E77"/>
    <mergeCell ref="C78:E78"/>
    <mergeCell ref="C63:E63"/>
    <mergeCell ref="F5:T5"/>
    <mergeCell ref="Z5:AJ5"/>
    <mergeCell ref="F7:AJ7"/>
    <mergeCell ref="N14:U14"/>
    <mergeCell ref="V14:AA14"/>
    <mergeCell ref="V12:AM13"/>
    <mergeCell ref="AB14:AG14"/>
    <mergeCell ref="AH14:AM14"/>
    <mergeCell ref="AN12:AU14"/>
    <mergeCell ref="V10:Z11"/>
    <mergeCell ref="AR10:AX11"/>
    <mergeCell ref="AN10:AQ11"/>
    <mergeCell ref="AA10:AM11"/>
    <mergeCell ref="AX12:AX16"/>
    <mergeCell ref="AQ5:AS5"/>
    <mergeCell ref="AQ7:AS7"/>
  </mergeCells>
  <dataValidations disablePrompts="1" xWindow="657" yWindow="758" count="68">
    <dataValidation allowBlank="1" showInputMessage="1" showErrorMessage="1" prompt="Do not type name of learners here. Go to INPUT DATA sheet." sqref="C19:E68 C70:E119" xr:uid="{7F269EB1-1E2B-4B9F-A23A-00B4BEB488E0}"/>
    <dataValidation allowBlank="1" showInputMessage="1" showErrorMessage="1" prompt="Written/Oral Works' Highest Possible Score." sqref="S16 K16" xr:uid="{F79A07CD-5F7A-4BDF-9805-287C7A1E2F7B}"/>
    <dataValidation allowBlank="1" showInputMessage="1" showErrorMessage="1" prompt="Products/Performance Tasks' Highest Possible Score." sqref="AK16 AE16 Y16" xr:uid="{26483F2E-CA0C-41AC-B961-ACD06AF8FFB4}"/>
    <dataValidation allowBlank="1" showInputMessage="1" showErrorMessage="1" prompt="Written/Oral Works' Percentage Score." sqref="T16 L16" xr:uid="{2E065C7C-CE58-4AB3-B7E6-9D1280B23E9E}"/>
    <dataValidation allowBlank="1" showInputMessage="1" showErrorMessage="1" prompt="Written/Oral Works' Weighted Score." sqref="M16 U16" xr:uid="{C6DD5202-1B1B-48F6-93A6-02F333E9E7C9}"/>
    <dataValidation allowBlank="1" showInputMessage="1" showErrorMessage="1" prompt="Products/Performance Tasks' Percentage Score." sqref="AL16 AF16 Z16" xr:uid="{69AD92B5-4C46-4EC6-8AB7-910898BE16E2}"/>
    <dataValidation allowBlank="1" showInputMessage="1" showErrorMessage="1" prompt="Products/Performance Tasks' Weighted Score." sqref="AM16 AG16 AA16" xr:uid="{53543B6D-3C07-4B20-9C26-85D5A69253C9}"/>
    <dataValidation allowBlank="1" showInputMessage="1" showErrorMessage="1" prompt="Weighted Score for Summative Test 1" sqref="AQ70:AQ119 AQ16 AQ19:AQ68" xr:uid="{07B520F0-6F09-45E0-B5D1-E85FEE481DBA}"/>
    <dataValidation allowBlank="1" showInputMessage="1" showErrorMessage="1" prompt="Weighted Score for Summative Test 2" sqref="AR70:AR119 AR19:AR68 AR16" xr:uid="{5F2BE2DB-90A0-4FD9-ACFB-3DA406AD2698}"/>
    <dataValidation allowBlank="1" showInputMessage="1" showErrorMessage="1" prompt="Weighted Score for Term Exam" sqref="AS70:AS119 AS19:AS68 AS16" xr:uid="{B9BCC6B5-47EB-4CA5-8D0A-2F99FB08FA6E}"/>
    <dataValidation allowBlank="1" showInputMessage="1" showErrorMessage="1" prompt="Examinations' Percetage Score" sqref="AT16 AT19:AT68 AT70:AT119" xr:uid="{5AD980D1-9E21-460E-90C6-FA4D2096891F}"/>
    <dataValidation allowBlank="1" showInputMessage="1" showErrorMessage="1" prompt="Examinations' Weighted Score" sqref="AU16 AU19:AU68 AU70:AU119" xr:uid="{8E29C639-57C9-4BC3-B2C2-A861619C43A1}"/>
    <dataValidation allowBlank="1" showInputMessage="1" showErrorMessage="1" prompt="INITIAL GRADE" sqref="AV19:AV68 AV70:AV119" xr:uid="{0CE87794-8833-4AF3-8CAA-B0DF8A24B87D}"/>
    <dataValidation allowBlank="1" showInputMessage="1" showErrorMessage="1" prompt="Transmuted Term Grade" sqref="AW19:AW68 AW70:AW119" xr:uid="{918A7183-30E4-431D-A17E-625F8D6AC491}"/>
    <dataValidation type="whole" allowBlank="1" showInputMessage="1" showErrorMessage="1" prompt="Enter Highest Possible Score." sqref="AN16:AP16 AH16:AJ16 N16:R16 F16:J16 V16:X16 AB16:AD16" xr:uid="{EE592E0D-D95E-426C-90DD-C42506377ECC}">
      <formula1>0</formula1>
      <formula2>1000</formula2>
    </dataValidation>
    <dataValidation type="custom" allowBlank="1" showInputMessage="1" showErrorMessage="1" errorTitle="Invalid Input" error="The score cannot be greater than the Highest Possible Score." prompt="Encode learners' raw score." sqref="AH70:AH119 AH19:AH68" xr:uid="{E3A99962-35AD-4308-8CB4-F7FFFCAE9DF8}">
      <formula1>AH19&lt;=$AH$16</formula1>
    </dataValidation>
    <dataValidation type="custom" allowBlank="1" showInputMessage="1" showErrorMessage="1" errorTitle="Invalid Input" error="The score cannot be greater that the Highest Possible Score." prompt="Encode Learners' Raw Score." sqref="N70:N119" xr:uid="{1C2850D6-5865-4239-BCA7-5E5119B6F99F}">
      <formula1>N70&lt;=$N$16</formula1>
    </dataValidation>
    <dataValidation type="custom" allowBlank="1" showInputMessage="1" showErrorMessage="1" errorTitle="Invalid Input" error="The scoure cannot be greater than the Highest Possible Score." prompt="Encode Learners' Raw Score." sqref="O19:O68" xr:uid="{21BED7D4-46F5-45EE-AC7E-CFFBD65E349D}">
      <formula1>O19&lt;=$O$16</formula1>
    </dataValidation>
    <dataValidation type="custom" allowBlank="1" showInputMessage="1" showErrorMessage="1" errorTitle="Invalid Input" error="The score cannot be greater than the Highest Possible Score." prompt="Encode Learners' Raw Score." sqref="O70:O119" xr:uid="{3100D04F-B9DC-4661-A9EB-E09ACC7CCFD2}">
      <formula1>O70&lt;=$O$16</formula1>
    </dataValidation>
    <dataValidation type="custom" allowBlank="1" showInputMessage="1" showErrorMessage="1" errorTitle="Invalid Input" error="The score cannot be greater than the Highest Possible Score." prompt="Encode Learners' Raw Score." sqref="P70:P119" xr:uid="{2EEFA697-B6E5-4F02-BCA8-3B8E7827757E}">
      <formula1>P61&lt;=$P$16</formula1>
    </dataValidation>
    <dataValidation type="custom" allowBlank="1" showInputMessage="1" showErrorMessage="1" errorTitle="Invalid Input" error="The score cannot be greater than the Highest Possible Score." prompt="Encode Learners' Raw Score." sqref="Q70:Q119 Q19:Q68" xr:uid="{14026C9B-B02F-4B1A-8097-D8444A88EDA8}">
      <formula1>Q19&lt;=$Q$16</formula1>
    </dataValidation>
    <dataValidation type="custom" allowBlank="1" showInputMessage="1" showErrorMessage="1" errorTitle="Invalid Input" error="The score cannot be greater than the Highest Possible Score." prompt="Encode Learners' Raw Score." sqref="R70:R119 R19:R68" xr:uid="{3B03DCF1-B906-4473-9B9F-92CC23ECD12A}">
      <formula1>R19&lt;=$R$16</formula1>
    </dataValidation>
    <dataValidation type="custom" allowBlank="1" showInputMessage="1" showErrorMessage="1" errorTitle="Invalid Input" error="The score cannot be greater than the Highest Possible Score." prompt="Encode learners' raw score." sqref="AI70:AI119 AI19:AI68" xr:uid="{978043AC-4F3C-44CC-8100-431B779EC78E}">
      <formula1>AI19&lt;=$AI$16</formula1>
    </dataValidation>
    <dataValidation type="custom" allowBlank="1" showInputMessage="1" showErrorMessage="1" errorTitle="Invalid Input" error="The score cannot be greater than the Highest Possible Score." prompt="Encode learners' raw score." sqref="AJ70:AJ119 AJ19:AJ68" xr:uid="{5E8651A3-501B-4FAD-88F1-F121B4412CCE}">
      <formula1>AJ19&lt;=$AJ$16</formula1>
    </dataValidation>
    <dataValidation type="custom" allowBlank="1" showInputMessage="1" showErrorMessage="1" errorTitle="Invalid Input" error="The score cannot be greater than the Highest Possible Score." prompt="Encode learners' raw scores." sqref="AN19:AN68" xr:uid="{F54772F9-3BC8-4A37-98F7-F33176498A9E}">
      <formula1>AN19&lt;=$AN$16</formula1>
    </dataValidation>
    <dataValidation type="custom" allowBlank="1" showInputMessage="1" showErrorMessage="1" errorTitle="Invalid Input" error="The score cannot be greater than the Highest Possible Score." prompt="Encode learners' raw scores." sqref="AO19:AO68" xr:uid="{3A97B012-D044-4A94-B83C-6A6EC6D4511D}">
      <formula1>AO19&lt;=$AO$16</formula1>
    </dataValidation>
    <dataValidation type="custom" allowBlank="1" showInputMessage="1" showErrorMessage="1" errorTitle="Invalid Input" error="The score cannot be greater than the Highest Possible Score." sqref="AN70:AN119" xr:uid="{1630F96C-CD73-4931-85D2-742482F36B8B}">
      <formula1>AN70&lt;=$AN$16</formula1>
    </dataValidation>
    <dataValidation type="custom" allowBlank="1" showInputMessage="1" showErrorMessage="1" errorTitle="Invalid Input" error="The score cannot be greater than the Highest Possible Score." sqref="AO70:AO119" xr:uid="{8268F3B5-D623-44AB-8AF5-100C9A677BA5}">
      <formula1>AO70&lt;=$AO$16</formula1>
    </dataValidation>
    <dataValidation type="custom" allowBlank="1" showInputMessage="1" showErrorMessage="1" errorTitle="Invalid Input" error="The score cannot be greater than the Highest Possible Score." prompt="Encode learners' raw scores." sqref="AP19:AP68" xr:uid="{77310F7F-4439-4799-AF56-98B731B71D6F}">
      <formula1>AP19&lt;=$AP$16</formula1>
    </dataValidation>
    <dataValidation type="custom" allowBlank="1" showInputMessage="1" showErrorMessage="1" errorTitle="Invalid Input" error="The score cannot be greater than the Highest Possible Score." sqref="AP70:AP119" xr:uid="{41459BC5-BE95-489F-B099-C522921079E8}">
      <formula1>AP21&lt;=$AP$16</formula1>
    </dataValidation>
    <dataValidation type="custom" allowBlank="1" showInputMessage="1" showErrorMessage="1" errorTitle="Invalid Input" error="The score cannot be greater than the Highest Possible Score." prompt="Encode Learners' Raw Score." sqref="F19:F68" xr:uid="{115013BB-FA82-4DEE-97C9-9C147AD05030}">
      <formula1>F19&lt;=$F$16</formula1>
    </dataValidation>
    <dataValidation type="custom" allowBlank="1" showInputMessage="1" showErrorMessage="1" errorTitle="Invalid Input" error="The score cannot be greater than the Highest Possible Score." prompt="Encode Learners' Raw Score." sqref="G19:G68" xr:uid="{C6FE1ABC-6F11-4837-A8FB-DFFD5715B383}">
      <formula1>G19&lt;=$G$16</formula1>
    </dataValidation>
    <dataValidation type="custom" allowBlank="1" showInputMessage="1" showErrorMessage="1" errorTitle="Invalid Input" error="The score cannot be greater than the Highest Possible Score." prompt="Encode Learners' Raw Score." sqref="H19:H68" xr:uid="{691F6E1B-B02E-40E1-B685-B976BB8FB25D}">
      <formula1>H19&lt;=$H$16</formula1>
    </dataValidation>
    <dataValidation type="custom" allowBlank="1" showInputMessage="1" showErrorMessage="1" errorTitle="Invalid Input" error="The score cannot be greater that the Highest Possible Score." prompt="Encode Learners' Raw Score." sqref="G70:G119" xr:uid="{1395CB28-CD50-4C7D-AE05-F2FA9DB744F7}">
      <formula1>G70&lt;=$G$16</formula1>
    </dataValidation>
    <dataValidation type="custom" allowBlank="1" showInputMessage="1" showErrorMessage="1" errorTitle="Invalid Input" error="The score cannot be greater that the Highest Possible Score." prompt="Encode Learners' Raw Score." sqref="H70:H119" xr:uid="{D66CDF89-B7BE-4EC1-8375-E946ED0C3515}">
      <formula1>H70&lt;=$H$16</formula1>
    </dataValidation>
    <dataValidation type="custom" allowBlank="1" showInputMessage="1" showErrorMessage="1" errorTitle="Invalid Input" error="The score cannot be greater that the Highest Possible Score." prompt="Encode Learners' Raw Score." sqref="I70:I119" xr:uid="{3FD1E497-6268-450A-B339-A28E5F877965}">
      <formula1>I70&lt;=$I$16</formula1>
    </dataValidation>
    <dataValidation type="custom" allowBlank="1" showInputMessage="1" showErrorMessage="1" errorTitle="Invalid Input" error="The score cannot be greater that the Highest Possible Score." prompt="Encode Learners' Raw Score." sqref="J70:J119" xr:uid="{B84D34F1-5C1D-42D9-B48C-7E448D5993E9}">
      <formula1>J70&lt;=$J$16</formula1>
    </dataValidation>
    <dataValidation type="custom" allowBlank="1" showInputMessage="1" showErrorMessage="1" errorTitle="Invalid Input" error="The score cannot be greater that the Highest Possible Score." prompt="Encode Learners' Raw Score." sqref="F70:F119" xr:uid="{B7649AE3-B4CC-49A8-8A07-36750C9A5E6D}">
      <formula1>F70&lt;=$F$16</formula1>
    </dataValidation>
    <dataValidation type="custom" allowBlank="1" showInputMessage="1" showErrorMessage="1" errorTitle="Invalid Input" error="The score cannot be greater than the Highest Possible Score." prompt="Encode Learners' Raw Score." sqref="I19:I68" xr:uid="{CBD6EC28-76BD-49C4-83A7-67013738C054}">
      <formula1>I19&lt;=$I$16</formula1>
    </dataValidation>
    <dataValidation allowBlank="1" showInputMessage="1" showErrorMessage="1" prompt="Written/Oral Works' Total Score (Affective Domain) " sqref="S19:S68 S70:S119" xr:uid="{29BB9006-4499-415C-A918-2AD98A9F4B4F}"/>
    <dataValidation type="custom" allowBlank="1" showInputMessage="1" showErrorMessage="1" errorTitle="Invalid Input" error="The score cannot be greater than the Highest Possible Score." prompt="Encode Learners' Raw Score." sqref="N19:N68" xr:uid="{66DF7F95-6D02-4105-B26A-59D04F01CA2E}">
      <formula1>N19&lt;=$N$16</formula1>
    </dataValidation>
    <dataValidation type="custom" allowBlank="1" showInputMessage="1" showErrorMessage="1" errorTitle="Invalid Input" error="The score cannot be greater than the Highest Possible Score" prompt="Encode Learners' Raw Score." sqref="P19:P68" xr:uid="{2FADCF7C-2ECC-41C4-96B7-0EE82C254086}">
      <formula1>P19&lt;=$P$16</formula1>
    </dataValidation>
    <dataValidation type="custom" allowBlank="1" showInputMessage="1" showErrorMessage="1" errorTitle="Invalit Input" error="The score cannot be greater than the Highest Possible Score." prompt="Encode Learners' Raw Score." sqref="J19:J68" xr:uid="{B5323DFC-7E9A-4566-B642-3B4893A59F71}">
      <formula1>J19&lt;=$J$16</formula1>
    </dataValidation>
    <dataValidation type="custom" allowBlank="1" showInputMessage="1" showErrorMessage="1" errorTitle="Invalid Input" error="The score cannot be greater than the Highest Possible Score." prompt="Encode Learners' Raw Score." sqref="V19:V68 V70:V119" xr:uid="{F67EA02D-C93A-4148-8337-EDDF8080F528}">
      <formula1>V19&lt;=$V$16</formula1>
    </dataValidation>
    <dataValidation allowBlank="1" showInputMessage="1" showErrorMessage="1" prompt="Products/Performance Tasks' Total Score (Cognitive Domain)" sqref="Y19:Y68 Y70:Y119" xr:uid="{42269808-1F6C-4644-9915-0476DECAD02A}"/>
    <dataValidation allowBlank="1" showInputMessage="1" showErrorMessage="1" prompt="Products/Performance Tasks' Percentage Score (Cognitive Domain)" sqref="Z19:Z68 Z70:Z119" xr:uid="{8EB3F13A-1C18-4BE1-96B3-1C17DF605A3E}"/>
    <dataValidation allowBlank="1" showInputMessage="1" showErrorMessage="1" prompt="Products/Performance Tasks' Weighted Score (Cognitive Domain)" sqref="AA19:AA68 AA70:AA119" xr:uid="{8AF5FC5D-FE45-4E4D-8772-D61FE1F3FD4C}"/>
    <dataValidation type="custom" allowBlank="1" showInputMessage="1" showErrorMessage="1" errorTitle="Invalid Input" error="The score cannot be greater than the Highest Possible Score." prompt="Encode Learners' Raw Score." sqref="W70:W119" xr:uid="{EE97A709-1172-4804-8C0F-CF1776599885}">
      <formula1>W21&lt;=$W$16</formula1>
    </dataValidation>
    <dataValidation type="custom" allowBlank="1" showInputMessage="1" showErrorMessage="1" errorTitle="Invalid Input" error="The score cannot be greater than the Highest Possible Score." prompt="Encode learners' raw score." sqref="X70:X119" xr:uid="{26DDAB29-E7D4-4C91-94D7-91B8F6CDDC53}">
      <formula1>X70&lt;=$X$16</formula1>
    </dataValidation>
    <dataValidation allowBlank="1" showInputMessage="1" showErrorMessage="1" prompt="Written/Oral Works' Total Score (Cognitive Domain)" sqref="K19:K68 K70:K119" xr:uid="{6797E03A-5826-4156-854D-69DAFD125CAE}"/>
    <dataValidation allowBlank="1" showInputMessage="1" showErrorMessage="1" prompt="Written/Oral Works' Percentage Score (Cognitive Domain)." sqref="L19:L68" xr:uid="{0F1595B6-4575-4504-B487-FC0FE5F07214}"/>
    <dataValidation allowBlank="1" showInputMessage="1" showErrorMessage="1" prompt="Written/Oral Works' Weighted Score (Cognitive Domain)" sqref="M19:M68 M70:M119" xr:uid="{13790108-8E48-4679-A4A9-9854B68A2DEC}"/>
    <dataValidation allowBlank="1" showInputMessage="1" showErrorMessage="1" prompt="Written/Oral Works' Percentage Score (Cognitive Domain)" sqref="L70:L119" xr:uid="{A07923FE-9251-43E6-9044-0EBEA8564AE7}"/>
    <dataValidation allowBlank="1" showInputMessage="1" showErrorMessage="1" prompt="Written/Oral Works' Percentage Score (Affective Domain)" sqref="T70:T119 T19:T68" xr:uid="{A08DFA08-78AB-4C44-845F-6A3E306D3618}"/>
    <dataValidation allowBlank="1" showInputMessage="1" showErrorMessage="1" prompt="Written/Oral Works' Weighted Score (Affective Domain)" sqref="U70:U119" xr:uid="{379380B7-F01E-4180-A03B-B665DF8D4E89}"/>
    <dataValidation allowBlank="1" showInputMessage="1" showErrorMessage="1" prompt="Written/Oral Works' Weighted Score (Affective Domain) " sqref="U19:U68" xr:uid="{DB5AD139-977D-41F7-B23F-D11C65CE6561}"/>
    <dataValidation type="custom" allowBlank="1" showInputMessage="1" showErrorMessage="1" errorTitle="Invalid Input" error="The score cannot be greater than the Highest Possible Score." prompt="Encode learners' raw score." sqref="W19:W68" xr:uid="{EFA7D8B8-198B-467E-ABBB-13864BABF8CF}">
      <formula1>W19&lt;=$W$16</formula1>
    </dataValidation>
    <dataValidation type="custom" allowBlank="1" showInputMessage="1" showErrorMessage="1" errorTitle="Invalid Input" error="The score cannot be greater than the Highest Possible Score." prompt="Encode learners' raw score." sqref="X19:X68" xr:uid="{33AB4F4B-3AAE-459E-9468-B9889A269C87}">
      <formula1>X1048546&lt;=$X$16</formula1>
    </dataValidation>
    <dataValidation type="custom" allowBlank="1" showInputMessage="1" showErrorMessage="1" errorTitle="Invalid Input" error="The score cannot be greater than the Highest Possible Score." prompt="Encode learners' raw score." sqref="AB70:AB119 AB19:AB68" xr:uid="{98BCAF98-D0D3-4E12-BC86-EFF7F1F9BFCA}">
      <formula1>AB19&lt;=$AB$16</formula1>
    </dataValidation>
    <dataValidation type="custom" allowBlank="1" showInputMessage="1" showErrorMessage="1" errorTitle="Invalid Input" error="The score cannot be greater than the Highest Possible Score." prompt="Encode learners' raw score." sqref="AC70:AC119 AC19:AC68" xr:uid="{6E5217AE-7E36-40AE-9ACE-708F1F8EFEB7}">
      <formula1>AC19&lt;=$AC$16</formula1>
    </dataValidation>
    <dataValidation type="custom" allowBlank="1" showInputMessage="1" showErrorMessage="1" errorTitle="Invalid Input" error="The score cannot be greater than the Highest Possible Score." prompt="Encode learners' raw score." sqref="AD70:AD119" xr:uid="{65C4ECB6-8C3F-4824-BA7C-52FAE96E1D33}">
      <formula1>AD21&lt;=$AD$16</formula1>
    </dataValidation>
    <dataValidation type="custom" allowBlank="1" showInputMessage="1" showErrorMessage="1" errorTitle="Invalid Input" error="The score cannot be greater than the Highest Possible Score." prompt="Encode learner's raw score." sqref="AD19:AD68" xr:uid="{35E0AFDB-926F-4459-9CEC-198D2863F5C0}">
      <formula1>AD1048546&lt;=$AD$16</formula1>
    </dataValidation>
    <dataValidation allowBlank="1" showInputMessage="1" showErrorMessage="1" prompt="Products/Performance Tasks' Highest Possible Score (Affective Domain)" sqref="AE70:AE119 AE19:AE68" xr:uid="{DA144E7F-DB50-48C1-B6B5-2BDBADD5BF38}"/>
    <dataValidation allowBlank="1" showInputMessage="1" showErrorMessage="1" prompt="Products/Performance Tasks' Percentage Score (Affective Domain)" sqref="AF70:AF119 AF19:AF68" xr:uid="{1FC4B680-0987-46F6-924E-28FA27A6D5BD}"/>
    <dataValidation allowBlank="1" showInputMessage="1" showErrorMessage="1" prompt="Products/Performance Tasks' Weighted Score (Affective Domain)" sqref="AG70:AG119 AG19:AG68" xr:uid="{9C6A615A-4CA8-4AAA-895B-670196365571}"/>
    <dataValidation allowBlank="1" showInputMessage="1" showErrorMessage="1" prompt="Products/Performance Tasks' Highest Possible Score (Behavioral Domain)" sqref="AK19:AK68 AK70:AK119" xr:uid="{24263312-635A-4F67-8E1E-AF0DB57A87B5}"/>
    <dataValidation allowBlank="1" showInputMessage="1" showErrorMessage="1" prompt="Products/Performance Tasks' Percentage Score (Behavioral Domain)" sqref="AL19:AL68 AL70:AL119" xr:uid="{EB1F635D-33FE-4F70-B63B-4D859563C62F}"/>
    <dataValidation allowBlank="1" showInputMessage="1" showErrorMessage="1" prompt="Products/Performance Tasks' Weighted Score (Behavioral Domain)" sqref="AM19:AM68 AM70:AM119" xr:uid="{26BD0B95-D05C-4150-A2B5-4D0049E99A2E}"/>
  </dataValidations>
  <pageMargins left="0.23622047244094491" right="0.23622047244094491" top="0.39370078740157483" bottom="0.39370078740157483" header="0.31496062992125984" footer="0.31496062992125984"/>
  <pageSetup paperSize="9" scale="76" fitToHeight="0" orientation="landscape" r:id="rId1"/>
  <ignoredErrors>
    <ignoredError sqref="C19:E68 AQ20:AU68 C70:E119 AQ71:AU119 AQ19:AU19 AW19:AX19 AW20:AX68 AQ70:AU70 AW70:AX70 AW71:AX119"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FC33-44EE-4E06-A42A-F8E05445A31D}">
  <sheetPr>
    <tabColor rgb="FFFFC000"/>
    <outlinePr summaryBelow="0" summaryRight="0"/>
    <pageSetUpPr fitToPage="1"/>
  </sheetPr>
  <dimension ref="A1:AZ121"/>
  <sheetViews>
    <sheetView showGridLines="0" zoomScale="85" zoomScaleNormal="85" workbookViewId="0">
      <pane ySplit="16" topLeftCell="A17" activePane="bottomLeft" state="frozen"/>
      <selection pane="bottomLeft" activeCell="B2" sqref="B2:AX3"/>
    </sheetView>
  </sheetViews>
  <sheetFormatPr defaultColWidth="12.6640625" defaultRowHeight="15.75" customHeight="1" x14ac:dyDescent="0.25"/>
  <cols>
    <col min="1" max="2" width="3.88671875" style="169" customWidth="1"/>
    <col min="3" max="5" width="12.6640625" style="169"/>
    <col min="6" max="10" width="3.88671875" style="169" customWidth="1"/>
    <col min="11" max="13" width="5.33203125" style="169" customWidth="1"/>
    <col min="14" max="18" width="3.88671875" style="169" customWidth="1"/>
    <col min="19" max="21" width="5.33203125" style="169" customWidth="1"/>
    <col min="22" max="24" width="3.88671875" style="169" customWidth="1"/>
    <col min="25" max="27" width="5.33203125" style="169" customWidth="1"/>
    <col min="28" max="30" width="3.88671875" style="169" customWidth="1"/>
    <col min="31" max="33" width="5.33203125" style="169" customWidth="1"/>
    <col min="34" max="36" width="3.88671875" style="169" customWidth="1"/>
    <col min="37" max="39" width="5.33203125" style="169" customWidth="1"/>
    <col min="40" max="42" width="5.77734375" style="169" customWidth="1"/>
    <col min="43" max="45" width="8" style="169" customWidth="1"/>
    <col min="46" max="47" width="5.77734375" style="169" customWidth="1"/>
    <col min="48" max="48" width="7.33203125" style="169" customWidth="1"/>
    <col min="49" max="49" width="10.109375" style="169" customWidth="1"/>
    <col min="50" max="50" width="14.5546875" style="169" customWidth="1"/>
    <col min="51" max="51" width="12.6640625" style="169" customWidth="1"/>
    <col min="52" max="52" width="3.88671875" style="169" customWidth="1"/>
    <col min="53" max="16384" width="12.6640625" style="169"/>
  </cols>
  <sheetData>
    <row r="1" spans="1:52" ht="15.75" customHeight="1" x14ac:dyDescent="0.5">
      <c r="A1" s="143"/>
      <c r="AZ1" s="145"/>
    </row>
    <row r="2" spans="1:52" ht="15.75" customHeight="1" x14ac:dyDescent="0.25">
      <c r="B2" s="348" t="s">
        <v>68</v>
      </c>
      <c r="C2" s="349"/>
      <c r="D2" s="349"/>
      <c r="E2" s="349"/>
      <c r="F2" s="349"/>
      <c r="G2" s="349"/>
      <c r="H2" s="349"/>
      <c r="I2" s="349"/>
      <c r="J2" s="349"/>
      <c r="K2" s="349"/>
      <c r="L2" s="349"/>
      <c r="M2" s="349"/>
      <c r="N2" s="349"/>
      <c r="O2" s="349"/>
      <c r="P2" s="349"/>
      <c r="Q2" s="349"/>
      <c r="R2" s="349"/>
      <c r="S2" s="349"/>
      <c r="T2" s="349"/>
      <c r="U2" s="349"/>
      <c r="V2" s="349"/>
      <c r="W2" s="349"/>
      <c r="X2" s="349"/>
      <c r="Y2" s="349"/>
      <c r="Z2" s="349"/>
      <c r="AA2" s="349"/>
      <c r="AB2" s="349"/>
      <c r="AC2" s="349"/>
      <c r="AD2" s="349"/>
      <c r="AE2" s="349"/>
      <c r="AF2" s="349"/>
      <c r="AG2" s="349"/>
      <c r="AH2" s="349"/>
      <c r="AI2" s="349"/>
      <c r="AJ2" s="349"/>
      <c r="AK2" s="349"/>
      <c r="AL2" s="349"/>
      <c r="AM2" s="349"/>
      <c r="AN2" s="349"/>
      <c r="AO2" s="349"/>
      <c r="AP2" s="349"/>
      <c r="AQ2" s="349"/>
      <c r="AR2" s="349"/>
      <c r="AS2" s="349"/>
      <c r="AT2" s="349"/>
      <c r="AU2" s="349"/>
      <c r="AV2" s="349"/>
      <c r="AW2" s="349"/>
      <c r="AX2" s="349"/>
      <c r="AZ2" s="145"/>
    </row>
    <row r="3" spans="1:52" ht="15.75" customHeight="1" x14ac:dyDescent="0.25">
      <c r="B3" s="349"/>
      <c r="C3" s="349"/>
      <c r="D3" s="349"/>
      <c r="E3" s="349"/>
      <c r="F3" s="349"/>
      <c r="G3" s="349"/>
      <c r="H3" s="349"/>
      <c r="I3" s="349"/>
      <c r="J3" s="349"/>
      <c r="K3" s="349"/>
      <c r="L3" s="349"/>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Z3" s="145"/>
    </row>
    <row r="4" spans="1:52" ht="15.75" customHeight="1" thickBot="1" x14ac:dyDescent="0.3">
      <c r="AZ4" s="145"/>
    </row>
    <row r="5" spans="1:52" ht="15.75" customHeight="1" thickBot="1" x14ac:dyDescent="0.35">
      <c r="A5" s="168"/>
      <c r="B5" s="168"/>
      <c r="C5" s="168"/>
      <c r="D5" s="147"/>
      <c r="E5" s="152" t="s">
        <v>1</v>
      </c>
      <c r="F5" s="301">
        <f>'INPUT DATA'!E10</f>
        <v>0</v>
      </c>
      <c r="G5" s="302"/>
      <c r="H5" s="302"/>
      <c r="I5" s="302"/>
      <c r="J5" s="302"/>
      <c r="K5" s="302"/>
      <c r="L5" s="302"/>
      <c r="M5" s="302"/>
      <c r="N5" s="302"/>
      <c r="O5" s="302"/>
      <c r="P5" s="302"/>
      <c r="Q5" s="302"/>
      <c r="R5" s="302"/>
      <c r="S5" s="302"/>
      <c r="T5" s="303"/>
      <c r="U5" s="153"/>
      <c r="V5" s="153"/>
      <c r="W5" s="153"/>
      <c r="X5" s="258"/>
      <c r="Y5" s="156" t="s">
        <v>3</v>
      </c>
      <c r="Z5" s="304">
        <f>'INPUT DATA'!E11</f>
        <v>0</v>
      </c>
      <c r="AA5" s="305"/>
      <c r="AB5" s="305"/>
      <c r="AC5" s="305"/>
      <c r="AD5" s="305"/>
      <c r="AE5" s="305"/>
      <c r="AF5" s="305"/>
      <c r="AG5" s="305"/>
      <c r="AH5" s="305"/>
      <c r="AI5" s="305"/>
      <c r="AJ5" s="306"/>
      <c r="AK5" s="259"/>
      <c r="AL5" s="257"/>
      <c r="AM5" s="257"/>
      <c r="AN5" s="257"/>
      <c r="AO5" s="257"/>
      <c r="AP5" s="152" t="s">
        <v>4</v>
      </c>
      <c r="AQ5" s="343">
        <f>'INPUT DATA'!E13</f>
        <v>0</v>
      </c>
      <c r="AR5" s="344"/>
      <c r="AS5" s="345"/>
      <c r="AW5" s="168"/>
      <c r="AX5" s="168"/>
      <c r="AY5" s="168"/>
      <c r="AZ5" s="148"/>
    </row>
    <row r="6" spans="1:52" ht="6" customHeight="1" thickBot="1" x14ac:dyDescent="0.35">
      <c r="A6" s="168"/>
      <c r="B6" s="168"/>
      <c r="C6" s="168"/>
      <c r="D6" s="147"/>
      <c r="E6" s="152"/>
      <c r="F6" s="252"/>
      <c r="G6" s="252"/>
      <c r="H6" s="252"/>
      <c r="I6" s="252"/>
      <c r="J6" s="252"/>
      <c r="K6" s="252"/>
      <c r="L6" s="252"/>
      <c r="M6" s="252"/>
      <c r="N6" s="253"/>
      <c r="O6" s="254"/>
      <c r="P6" s="254"/>
      <c r="Q6" s="254"/>
      <c r="R6" s="254"/>
      <c r="S6" s="254"/>
      <c r="T6" s="254"/>
      <c r="U6" s="255"/>
      <c r="V6" s="255"/>
      <c r="W6" s="255"/>
      <c r="X6" s="255"/>
      <c r="Y6" s="255"/>
      <c r="Z6" s="255"/>
      <c r="AA6" s="255"/>
      <c r="AB6" s="255"/>
      <c r="AC6" s="255"/>
      <c r="AD6" s="255"/>
      <c r="AE6" s="255"/>
      <c r="AF6" s="255"/>
      <c r="AG6" s="255"/>
      <c r="AH6" s="255"/>
      <c r="AI6" s="256"/>
      <c r="AJ6" s="256"/>
      <c r="AK6" s="252"/>
      <c r="AL6" s="253"/>
      <c r="AM6" s="254"/>
      <c r="AN6" s="254"/>
      <c r="AO6" s="254"/>
      <c r="AP6" s="152"/>
      <c r="AQ6" s="154"/>
      <c r="AR6" s="155"/>
      <c r="AS6" s="155"/>
      <c r="AW6" s="168"/>
      <c r="AX6" s="168"/>
      <c r="AY6" s="168"/>
      <c r="AZ6" s="148"/>
    </row>
    <row r="7" spans="1:52" ht="15.75" customHeight="1" thickBot="1" x14ac:dyDescent="0.35">
      <c r="A7" s="168"/>
      <c r="B7" s="168"/>
      <c r="C7" s="168"/>
      <c r="D7" s="147"/>
      <c r="E7" s="152" t="s">
        <v>6</v>
      </c>
      <c r="F7" s="301">
        <f>'INPUT DATA'!E14</f>
        <v>0</v>
      </c>
      <c r="G7" s="302"/>
      <c r="H7" s="302"/>
      <c r="I7" s="302"/>
      <c r="J7" s="302"/>
      <c r="K7" s="302"/>
      <c r="L7" s="302"/>
      <c r="M7" s="302"/>
      <c r="N7" s="302"/>
      <c r="O7" s="302"/>
      <c r="P7" s="302"/>
      <c r="Q7" s="302"/>
      <c r="R7" s="302"/>
      <c r="S7" s="302"/>
      <c r="T7" s="302"/>
      <c r="U7" s="302"/>
      <c r="V7" s="302"/>
      <c r="W7" s="302"/>
      <c r="X7" s="302"/>
      <c r="Y7" s="302"/>
      <c r="Z7" s="302"/>
      <c r="AA7" s="302"/>
      <c r="AB7" s="302"/>
      <c r="AC7" s="302"/>
      <c r="AD7" s="302"/>
      <c r="AE7" s="302"/>
      <c r="AF7" s="302"/>
      <c r="AG7" s="302"/>
      <c r="AH7" s="302"/>
      <c r="AI7" s="302"/>
      <c r="AJ7" s="303"/>
      <c r="AK7" s="257"/>
      <c r="AL7" s="257"/>
      <c r="AM7" s="257"/>
      <c r="AN7" s="257"/>
      <c r="AO7" s="257"/>
      <c r="AP7" s="152" t="s">
        <v>7</v>
      </c>
      <c r="AQ7" s="343">
        <f>'INPUT DATA'!E15</f>
        <v>0</v>
      </c>
      <c r="AR7" s="344"/>
      <c r="AS7" s="345"/>
      <c r="AW7" s="168"/>
      <c r="AX7" s="168"/>
      <c r="AY7" s="168"/>
      <c r="AZ7" s="148"/>
    </row>
    <row r="8" spans="1:52" ht="13.8" thickBot="1" x14ac:dyDescent="0.3">
      <c r="A8" s="168"/>
      <c r="B8" s="168"/>
      <c r="C8" s="168"/>
      <c r="D8" s="168"/>
      <c r="E8" s="168"/>
      <c r="F8" s="168"/>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68"/>
      <c r="AS8" s="168"/>
      <c r="AT8" s="168"/>
      <c r="AU8" s="168"/>
      <c r="AV8" s="168"/>
      <c r="AW8" s="168"/>
      <c r="AX8" s="168"/>
      <c r="AY8" s="168"/>
      <c r="AZ8" s="148"/>
    </row>
    <row r="9" spans="1:52" ht="15.75" customHeight="1" thickBot="1" x14ac:dyDescent="0.35">
      <c r="A9" s="168"/>
      <c r="B9" s="350"/>
      <c r="C9" s="351"/>
      <c r="D9" s="351"/>
      <c r="E9" s="351"/>
      <c r="F9" s="351"/>
      <c r="G9" s="351"/>
      <c r="H9" s="351"/>
      <c r="I9" s="351"/>
      <c r="J9" s="351"/>
      <c r="K9" s="351"/>
      <c r="L9" s="351"/>
      <c r="M9" s="351"/>
      <c r="N9" s="351"/>
      <c r="O9" s="351"/>
      <c r="P9" s="351"/>
      <c r="Q9" s="351"/>
      <c r="R9" s="351"/>
      <c r="S9" s="351"/>
      <c r="T9" s="351"/>
      <c r="U9" s="351"/>
      <c r="V9" s="351"/>
      <c r="W9" s="351"/>
      <c r="X9" s="351"/>
      <c r="Y9" s="351"/>
      <c r="Z9" s="351"/>
      <c r="AA9" s="351"/>
      <c r="AB9" s="351"/>
      <c r="AC9" s="351"/>
      <c r="AD9" s="351"/>
      <c r="AE9" s="351"/>
      <c r="AF9" s="351"/>
      <c r="AG9" s="351"/>
      <c r="AH9" s="351"/>
      <c r="AI9" s="351"/>
      <c r="AJ9" s="351"/>
      <c r="AK9" s="351"/>
      <c r="AL9" s="351"/>
      <c r="AM9" s="351"/>
      <c r="AN9" s="351"/>
      <c r="AO9" s="351"/>
      <c r="AP9" s="351"/>
      <c r="AQ9" s="351"/>
      <c r="AR9" s="351"/>
      <c r="AS9" s="351"/>
      <c r="AT9" s="351"/>
      <c r="AU9" s="351"/>
      <c r="AV9" s="351"/>
      <c r="AW9" s="351"/>
      <c r="AX9" s="352"/>
      <c r="AY9" s="168"/>
      <c r="AZ9" s="149"/>
    </row>
    <row r="10" spans="1:52" ht="14.4" thickBot="1" x14ac:dyDescent="0.3">
      <c r="A10" s="168"/>
      <c r="B10" s="373" t="s">
        <v>60</v>
      </c>
      <c r="C10" s="374"/>
      <c r="D10" s="374"/>
      <c r="E10" s="375"/>
      <c r="F10" s="382" t="s">
        <v>11</v>
      </c>
      <c r="G10" s="383"/>
      <c r="H10" s="383"/>
      <c r="I10" s="383"/>
      <c r="J10" s="387">
        <f>'INPUT DATA'!E25</f>
        <v>0</v>
      </c>
      <c r="K10" s="388"/>
      <c r="L10" s="388"/>
      <c r="M10" s="388"/>
      <c r="N10" s="388"/>
      <c r="O10" s="388"/>
      <c r="P10" s="388"/>
      <c r="Q10" s="388"/>
      <c r="R10" s="388"/>
      <c r="S10" s="388"/>
      <c r="T10" s="388"/>
      <c r="U10" s="389"/>
      <c r="V10" s="325" t="s">
        <v>12</v>
      </c>
      <c r="W10" s="326"/>
      <c r="X10" s="326"/>
      <c r="Y10" s="326"/>
      <c r="Z10" s="327"/>
      <c r="AA10" s="335">
        <f>'INPUT DATA'!E23</f>
        <v>0</v>
      </c>
      <c r="AB10" s="331"/>
      <c r="AC10" s="331"/>
      <c r="AD10" s="331"/>
      <c r="AE10" s="331"/>
      <c r="AF10" s="331"/>
      <c r="AG10" s="331"/>
      <c r="AH10" s="331"/>
      <c r="AI10" s="331"/>
      <c r="AJ10" s="331"/>
      <c r="AK10" s="331"/>
      <c r="AL10" s="331"/>
      <c r="AM10" s="336"/>
      <c r="AN10" s="325" t="s">
        <v>13</v>
      </c>
      <c r="AO10" s="326"/>
      <c r="AP10" s="326"/>
      <c r="AQ10" s="327"/>
      <c r="AR10" s="331">
        <f>'INPUT DATA'!E24</f>
        <v>0</v>
      </c>
      <c r="AS10" s="331"/>
      <c r="AT10" s="331"/>
      <c r="AU10" s="331"/>
      <c r="AV10" s="331"/>
      <c r="AW10" s="331"/>
      <c r="AX10" s="332"/>
      <c r="AY10" s="168"/>
      <c r="AZ10" s="148"/>
    </row>
    <row r="11" spans="1:52" ht="14.4" thickBot="1" x14ac:dyDescent="0.3">
      <c r="A11" s="168"/>
      <c r="B11" s="376"/>
      <c r="C11" s="377"/>
      <c r="D11" s="377"/>
      <c r="E11" s="375"/>
      <c r="F11" s="384" t="s">
        <v>14</v>
      </c>
      <c r="G11" s="385"/>
      <c r="H11" s="385"/>
      <c r="I11" s="386"/>
      <c r="J11" s="390">
        <f>'INPUT DATA'!E26</f>
        <v>0</v>
      </c>
      <c r="K11" s="391"/>
      <c r="L11" s="391"/>
      <c r="M11" s="391"/>
      <c r="N11" s="391"/>
      <c r="O11" s="391"/>
      <c r="P11" s="391"/>
      <c r="Q11" s="391"/>
      <c r="R11" s="391"/>
      <c r="S11" s="391"/>
      <c r="T11" s="391"/>
      <c r="U11" s="391"/>
      <c r="V11" s="328"/>
      <c r="W11" s="329"/>
      <c r="X11" s="329"/>
      <c r="Y11" s="329"/>
      <c r="Z11" s="330"/>
      <c r="AA11" s="337"/>
      <c r="AB11" s="338"/>
      <c r="AC11" s="338"/>
      <c r="AD11" s="338"/>
      <c r="AE11" s="338"/>
      <c r="AF11" s="338"/>
      <c r="AG11" s="338"/>
      <c r="AH11" s="338"/>
      <c r="AI11" s="338"/>
      <c r="AJ11" s="338"/>
      <c r="AK11" s="338"/>
      <c r="AL11" s="338"/>
      <c r="AM11" s="339"/>
      <c r="AN11" s="328"/>
      <c r="AO11" s="329"/>
      <c r="AP11" s="329"/>
      <c r="AQ11" s="330"/>
      <c r="AR11" s="333"/>
      <c r="AS11" s="333"/>
      <c r="AT11" s="333"/>
      <c r="AU11" s="333"/>
      <c r="AV11" s="333"/>
      <c r="AW11" s="333"/>
      <c r="AX11" s="334"/>
      <c r="AY11" s="168"/>
      <c r="AZ11" s="148"/>
    </row>
    <row r="12" spans="1:52" ht="13.2" customHeight="1" x14ac:dyDescent="0.25">
      <c r="A12" s="168"/>
      <c r="B12" s="376"/>
      <c r="C12" s="377"/>
      <c r="D12" s="377"/>
      <c r="E12" s="374"/>
      <c r="F12" s="325" t="s">
        <v>66</v>
      </c>
      <c r="G12" s="326"/>
      <c r="H12" s="326"/>
      <c r="I12" s="326"/>
      <c r="J12" s="326"/>
      <c r="K12" s="326"/>
      <c r="L12" s="326"/>
      <c r="M12" s="326"/>
      <c r="N12" s="326"/>
      <c r="O12" s="326"/>
      <c r="P12" s="326"/>
      <c r="Q12" s="326"/>
      <c r="R12" s="326"/>
      <c r="S12" s="326"/>
      <c r="T12" s="326"/>
      <c r="U12" s="327"/>
      <c r="V12" s="310" t="s">
        <v>64</v>
      </c>
      <c r="W12" s="311"/>
      <c r="X12" s="311"/>
      <c r="Y12" s="311"/>
      <c r="Z12" s="311"/>
      <c r="AA12" s="311"/>
      <c r="AB12" s="311"/>
      <c r="AC12" s="311"/>
      <c r="AD12" s="311"/>
      <c r="AE12" s="311"/>
      <c r="AF12" s="311"/>
      <c r="AG12" s="311"/>
      <c r="AH12" s="311"/>
      <c r="AI12" s="311"/>
      <c r="AJ12" s="311"/>
      <c r="AK12" s="311"/>
      <c r="AL12" s="311"/>
      <c r="AM12" s="312"/>
      <c r="AN12" s="313" t="s">
        <v>67</v>
      </c>
      <c r="AO12" s="314"/>
      <c r="AP12" s="314"/>
      <c r="AQ12" s="314"/>
      <c r="AR12" s="319"/>
      <c r="AS12" s="319"/>
      <c r="AT12" s="319"/>
      <c r="AU12" s="320"/>
      <c r="AV12" s="340" t="s">
        <v>15</v>
      </c>
      <c r="AW12" s="340" t="s">
        <v>16</v>
      </c>
      <c r="AX12" s="340" t="s">
        <v>17</v>
      </c>
      <c r="AY12" s="168"/>
      <c r="AZ12" s="148"/>
    </row>
    <row r="13" spans="1:52" ht="14.4" customHeight="1" thickBot="1" x14ac:dyDescent="0.3">
      <c r="A13" s="168"/>
      <c r="B13" s="376"/>
      <c r="C13" s="377"/>
      <c r="D13" s="377"/>
      <c r="E13" s="374"/>
      <c r="F13" s="392"/>
      <c r="G13" s="393"/>
      <c r="H13" s="393"/>
      <c r="I13" s="393"/>
      <c r="J13" s="393"/>
      <c r="K13" s="393"/>
      <c r="L13" s="393"/>
      <c r="M13" s="393"/>
      <c r="N13" s="393"/>
      <c r="O13" s="393"/>
      <c r="P13" s="393"/>
      <c r="Q13" s="393"/>
      <c r="R13" s="393"/>
      <c r="S13" s="393"/>
      <c r="T13" s="393"/>
      <c r="U13" s="394"/>
      <c r="V13" s="313"/>
      <c r="W13" s="314"/>
      <c r="X13" s="314"/>
      <c r="Y13" s="314"/>
      <c r="Z13" s="314"/>
      <c r="AA13" s="314"/>
      <c r="AB13" s="314"/>
      <c r="AC13" s="314"/>
      <c r="AD13" s="314"/>
      <c r="AE13" s="314"/>
      <c r="AF13" s="314"/>
      <c r="AG13" s="314"/>
      <c r="AH13" s="314"/>
      <c r="AI13" s="314"/>
      <c r="AJ13" s="314"/>
      <c r="AK13" s="314"/>
      <c r="AL13" s="314"/>
      <c r="AM13" s="315"/>
      <c r="AN13" s="313"/>
      <c r="AO13" s="314"/>
      <c r="AP13" s="314"/>
      <c r="AQ13" s="314"/>
      <c r="AR13" s="314"/>
      <c r="AS13" s="314"/>
      <c r="AT13" s="314"/>
      <c r="AU13" s="321"/>
      <c r="AV13" s="341"/>
      <c r="AW13" s="341"/>
      <c r="AX13" s="341"/>
      <c r="AY13" s="168"/>
      <c r="AZ13" s="148"/>
    </row>
    <row r="14" spans="1:52" ht="13.8" thickBot="1" x14ac:dyDescent="0.3">
      <c r="A14" s="168"/>
      <c r="B14" s="378"/>
      <c r="C14" s="377"/>
      <c r="D14" s="377"/>
      <c r="E14" s="374"/>
      <c r="F14" s="307" t="s">
        <v>62</v>
      </c>
      <c r="G14" s="308"/>
      <c r="H14" s="308"/>
      <c r="I14" s="308"/>
      <c r="J14" s="308"/>
      <c r="K14" s="308"/>
      <c r="L14" s="308"/>
      <c r="M14" s="395"/>
      <c r="N14" s="307" t="s">
        <v>63</v>
      </c>
      <c r="O14" s="308"/>
      <c r="P14" s="308"/>
      <c r="Q14" s="308"/>
      <c r="R14" s="308"/>
      <c r="S14" s="308"/>
      <c r="T14" s="308"/>
      <c r="U14" s="309"/>
      <c r="V14" s="307" t="s">
        <v>62</v>
      </c>
      <c r="W14" s="308"/>
      <c r="X14" s="308"/>
      <c r="Y14" s="308"/>
      <c r="Z14" s="308"/>
      <c r="AA14" s="309"/>
      <c r="AB14" s="307" t="s">
        <v>63</v>
      </c>
      <c r="AC14" s="308"/>
      <c r="AD14" s="308"/>
      <c r="AE14" s="308"/>
      <c r="AF14" s="308"/>
      <c r="AG14" s="309"/>
      <c r="AH14" s="316" t="s">
        <v>65</v>
      </c>
      <c r="AI14" s="317"/>
      <c r="AJ14" s="317"/>
      <c r="AK14" s="317"/>
      <c r="AL14" s="317"/>
      <c r="AM14" s="318"/>
      <c r="AN14" s="322"/>
      <c r="AO14" s="323"/>
      <c r="AP14" s="323"/>
      <c r="AQ14" s="323"/>
      <c r="AR14" s="323"/>
      <c r="AS14" s="323"/>
      <c r="AT14" s="323"/>
      <c r="AU14" s="324"/>
      <c r="AV14" s="341"/>
      <c r="AW14" s="341"/>
      <c r="AX14" s="341"/>
      <c r="AY14" s="168"/>
      <c r="AZ14" s="148"/>
    </row>
    <row r="15" spans="1:52" ht="13.8" thickBot="1" x14ac:dyDescent="0.3">
      <c r="A15" s="168"/>
      <c r="B15" s="376"/>
      <c r="C15" s="377"/>
      <c r="D15" s="377"/>
      <c r="E15" s="374"/>
      <c r="F15" s="209">
        <v>1</v>
      </c>
      <c r="G15" s="210">
        <v>2</v>
      </c>
      <c r="H15" s="210">
        <v>3</v>
      </c>
      <c r="I15" s="210">
        <v>4</v>
      </c>
      <c r="J15" s="211">
        <v>5</v>
      </c>
      <c r="K15" s="212" t="s">
        <v>19</v>
      </c>
      <c r="L15" s="212" t="s">
        <v>20</v>
      </c>
      <c r="M15" s="213" t="s">
        <v>21</v>
      </c>
      <c r="N15" s="209">
        <v>1</v>
      </c>
      <c r="O15" s="210">
        <v>2</v>
      </c>
      <c r="P15" s="210">
        <v>3</v>
      </c>
      <c r="Q15" s="210">
        <v>4</v>
      </c>
      <c r="R15" s="211">
        <v>5</v>
      </c>
      <c r="S15" s="212" t="s">
        <v>19</v>
      </c>
      <c r="T15" s="212" t="s">
        <v>20</v>
      </c>
      <c r="U15" s="213" t="s">
        <v>21</v>
      </c>
      <c r="V15" s="222">
        <v>1</v>
      </c>
      <c r="W15" s="223">
        <v>2</v>
      </c>
      <c r="X15" s="223">
        <v>3</v>
      </c>
      <c r="Y15" s="224" t="s">
        <v>19</v>
      </c>
      <c r="Z15" s="224" t="s">
        <v>20</v>
      </c>
      <c r="AA15" s="225" t="s">
        <v>21</v>
      </c>
      <c r="AB15" s="222">
        <v>1</v>
      </c>
      <c r="AC15" s="223">
        <v>2</v>
      </c>
      <c r="AD15" s="223">
        <v>3</v>
      </c>
      <c r="AE15" s="224" t="s">
        <v>19</v>
      </c>
      <c r="AF15" s="224" t="s">
        <v>20</v>
      </c>
      <c r="AG15" s="225" t="s">
        <v>21</v>
      </c>
      <c r="AH15" s="179">
        <v>1</v>
      </c>
      <c r="AI15" s="177">
        <v>2</v>
      </c>
      <c r="AJ15" s="177">
        <v>3</v>
      </c>
      <c r="AK15" s="178" t="s">
        <v>19</v>
      </c>
      <c r="AL15" s="178" t="s">
        <v>20</v>
      </c>
      <c r="AM15" s="180" t="s">
        <v>21</v>
      </c>
      <c r="AN15" s="171" t="s">
        <v>22</v>
      </c>
      <c r="AO15" s="124" t="s">
        <v>23</v>
      </c>
      <c r="AP15" s="125" t="s">
        <v>24</v>
      </c>
      <c r="AQ15" s="127" t="s">
        <v>25</v>
      </c>
      <c r="AR15" s="128" t="s">
        <v>26</v>
      </c>
      <c r="AS15" s="129" t="s">
        <v>27</v>
      </c>
      <c r="AT15" s="126" t="s">
        <v>20</v>
      </c>
      <c r="AU15" s="126" t="s">
        <v>21</v>
      </c>
      <c r="AV15" s="341"/>
      <c r="AW15" s="341"/>
      <c r="AX15" s="341"/>
      <c r="AY15" s="168"/>
      <c r="AZ15" s="148"/>
    </row>
    <row r="16" spans="1:52" ht="14.4" thickBot="1" x14ac:dyDescent="0.3">
      <c r="A16" s="168"/>
      <c r="B16" s="379" t="s">
        <v>28</v>
      </c>
      <c r="C16" s="380"/>
      <c r="D16" s="380"/>
      <c r="E16" s="381"/>
      <c r="F16" s="206"/>
      <c r="G16" s="207"/>
      <c r="H16" s="207"/>
      <c r="I16" s="207"/>
      <c r="J16" s="208"/>
      <c r="K16" s="173" t="str">
        <f>IF(COUNT($F16:$J16)=0,"",SUM($F16:$J16))</f>
        <v/>
      </c>
      <c r="L16" s="174">
        <v>100</v>
      </c>
      <c r="M16" s="175">
        <v>0.1</v>
      </c>
      <c r="N16" s="206"/>
      <c r="O16" s="207"/>
      <c r="P16" s="207"/>
      <c r="Q16" s="207"/>
      <c r="R16" s="208"/>
      <c r="S16" s="173" t="str">
        <f>IF(COUNT($N16:$R16)=0,"",SUM($N16:$R16))</f>
        <v/>
      </c>
      <c r="T16" s="174">
        <v>100</v>
      </c>
      <c r="U16" s="176">
        <v>0.1</v>
      </c>
      <c r="V16" s="181"/>
      <c r="W16" s="182"/>
      <c r="X16" s="182"/>
      <c r="Y16" s="183" t="str">
        <f>IF(COUNT($V16:$X16)=0,"",SUM($V16:$X16))</f>
        <v/>
      </c>
      <c r="Z16" s="184">
        <v>100</v>
      </c>
      <c r="AA16" s="185">
        <v>0.1</v>
      </c>
      <c r="AB16" s="181"/>
      <c r="AC16" s="182"/>
      <c r="AD16" s="182"/>
      <c r="AE16" s="183" t="str">
        <f>IF(COUNT($AB16:$AD16)=0,"",SUM($AB16:$AD16))</f>
        <v/>
      </c>
      <c r="AF16" s="184">
        <v>100</v>
      </c>
      <c r="AG16" s="185">
        <v>0.1</v>
      </c>
      <c r="AH16" s="181"/>
      <c r="AI16" s="182"/>
      <c r="AJ16" s="182"/>
      <c r="AK16" s="183" t="str">
        <f>IF(COUNT($AH16:$AJ16)=0,"",SUM($AH16:$AJ16))</f>
        <v/>
      </c>
      <c r="AL16" s="184">
        <v>100</v>
      </c>
      <c r="AM16" s="185">
        <v>0.3</v>
      </c>
      <c r="AN16" s="172"/>
      <c r="AO16" s="150"/>
      <c r="AP16" s="151"/>
      <c r="AQ16" s="135">
        <v>30</v>
      </c>
      <c r="AR16" s="136">
        <v>30</v>
      </c>
      <c r="AS16" s="137">
        <v>40</v>
      </c>
      <c r="AT16" s="122">
        <v>100</v>
      </c>
      <c r="AU16" s="123">
        <v>0.3</v>
      </c>
      <c r="AV16" s="342"/>
      <c r="AW16" s="342"/>
      <c r="AX16" s="342"/>
      <c r="AY16" s="168"/>
      <c r="AZ16" s="148"/>
    </row>
    <row r="17" spans="1:52" ht="14.4" thickBot="1" x14ac:dyDescent="0.3">
      <c r="A17" s="168"/>
      <c r="B17" s="366" t="s">
        <v>2</v>
      </c>
      <c r="C17" s="367"/>
      <c r="D17" s="367"/>
      <c r="E17" s="367"/>
      <c r="F17" s="368"/>
      <c r="G17" s="368"/>
      <c r="H17" s="368"/>
      <c r="I17" s="368"/>
      <c r="J17" s="368"/>
      <c r="K17" s="368"/>
      <c r="L17" s="368"/>
      <c r="M17" s="368"/>
      <c r="N17" s="368"/>
      <c r="O17" s="368"/>
      <c r="P17" s="368"/>
      <c r="Q17" s="368"/>
      <c r="R17" s="368"/>
      <c r="S17" s="368"/>
      <c r="T17" s="368"/>
      <c r="U17" s="368"/>
      <c r="V17" s="368"/>
      <c r="W17" s="368"/>
      <c r="X17" s="368"/>
      <c r="Y17" s="368"/>
      <c r="Z17" s="368"/>
      <c r="AA17" s="368"/>
      <c r="AB17" s="368"/>
      <c r="AC17" s="368"/>
      <c r="AD17" s="368"/>
      <c r="AE17" s="368"/>
      <c r="AF17" s="368"/>
      <c r="AG17" s="368"/>
      <c r="AH17" s="368"/>
      <c r="AI17" s="368"/>
      <c r="AJ17" s="368"/>
      <c r="AK17" s="368"/>
      <c r="AL17" s="368"/>
      <c r="AM17" s="368"/>
      <c r="AN17" s="367"/>
      <c r="AO17" s="367"/>
      <c r="AP17" s="367"/>
      <c r="AQ17" s="367"/>
      <c r="AR17" s="367"/>
      <c r="AS17" s="367"/>
      <c r="AT17" s="367"/>
      <c r="AU17" s="367"/>
      <c r="AV17" s="367"/>
      <c r="AW17" s="367"/>
      <c r="AX17" s="369"/>
      <c r="AY17" s="168"/>
      <c r="AZ17" s="148"/>
    </row>
    <row r="18" spans="1:52" ht="14.4" thickBot="1" x14ac:dyDescent="0.3">
      <c r="A18" s="168"/>
      <c r="B18" s="370" t="s">
        <v>8</v>
      </c>
      <c r="C18" s="358"/>
      <c r="D18" s="358"/>
      <c r="E18" s="358"/>
      <c r="F18" s="360"/>
      <c r="G18" s="360"/>
      <c r="H18" s="360"/>
      <c r="I18" s="360"/>
      <c r="J18" s="360"/>
      <c r="K18" s="360"/>
      <c r="L18" s="360"/>
      <c r="M18" s="360"/>
      <c r="N18" s="358"/>
      <c r="O18" s="358"/>
      <c r="P18" s="358"/>
      <c r="Q18" s="358"/>
      <c r="R18" s="358"/>
      <c r="S18" s="360"/>
      <c r="T18" s="360"/>
      <c r="U18" s="360"/>
      <c r="V18" s="360"/>
      <c r="W18" s="360"/>
      <c r="X18" s="360"/>
      <c r="Y18" s="360"/>
      <c r="Z18" s="360"/>
      <c r="AA18" s="360"/>
      <c r="AB18" s="360"/>
      <c r="AC18" s="360"/>
      <c r="AD18" s="360"/>
      <c r="AE18" s="360"/>
      <c r="AF18" s="360"/>
      <c r="AG18" s="360"/>
      <c r="AH18" s="358"/>
      <c r="AI18" s="358"/>
      <c r="AJ18" s="358"/>
      <c r="AK18" s="358"/>
      <c r="AL18" s="358"/>
      <c r="AM18" s="358"/>
      <c r="AN18" s="360"/>
      <c r="AO18" s="360"/>
      <c r="AP18" s="360"/>
      <c r="AQ18" s="358"/>
      <c r="AR18" s="358"/>
      <c r="AS18" s="358"/>
      <c r="AT18" s="358"/>
      <c r="AU18" s="358"/>
      <c r="AV18" s="358"/>
      <c r="AW18" s="358"/>
      <c r="AX18" s="361"/>
      <c r="AY18" s="168"/>
      <c r="AZ18" s="148"/>
    </row>
    <row r="19" spans="1:52" ht="15" customHeight="1" x14ac:dyDescent="0.25">
      <c r="A19" s="168"/>
      <c r="B19" s="98">
        <v>1</v>
      </c>
      <c r="C19" s="371" t="str">
        <f>IF('INPUT DATA'!K11="","",'INPUT DATA'!K11)</f>
        <v/>
      </c>
      <c r="D19" s="372"/>
      <c r="E19" s="372"/>
      <c r="F19" s="249"/>
      <c r="G19" s="250"/>
      <c r="H19" s="250"/>
      <c r="I19" s="250"/>
      <c r="J19" s="251"/>
      <c r="K19" s="193" t="str">
        <f>IF(COUNT($F19:$J19)=0,"",SUM($F19:$J19))</f>
        <v/>
      </c>
      <c r="L19" s="191" t="str">
        <f>IF(ISERROR(IF($K19="","",ROUND(($K19/$K$16)*$L$16,2))),"",IF($K19="","",ROUND(($K19/$K$16)*$L$16,2)))</f>
        <v/>
      </c>
      <c r="M19" s="192" t="str">
        <f>IF($L19="","",ROUND($L19*$M$16,2))</f>
        <v/>
      </c>
      <c r="N19" s="99"/>
      <c r="O19" s="100"/>
      <c r="P19" s="101"/>
      <c r="Q19" s="101"/>
      <c r="R19" s="102"/>
      <c r="S19" s="214" t="str">
        <f t="shared" ref="S19:S68" si="0">IF(COUNT($N19:$R19)=0,"",SUM($N19:$R19))</f>
        <v/>
      </c>
      <c r="T19" s="215" t="str">
        <f t="shared" ref="T19:T68" si="1">IF(ISERROR(IF($S19="","",ROUND(($S19/$S$16)*$T$16,2))),"",IF($S19="","",ROUND(($S19/$S$16)*$T$16,2)))</f>
        <v/>
      </c>
      <c r="U19" s="216" t="str">
        <f t="shared" ref="U19:U68" si="2">IF($T19="","",ROUND($T19*$U$16,2))</f>
        <v/>
      </c>
      <c r="V19" s="227"/>
      <c r="W19" s="228"/>
      <c r="X19" s="235"/>
      <c r="Y19" s="196" t="str">
        <f>IF(COUNT($V19:$X19)=0,"",SUM($V19:$X19))</f>
        <v/>
      </c>
      <c r="Z19" s="186" t="str">
        <f>IF(ISERROR(IF($Y19="","",ROUND(($Y19/$Y$16)*$Z$16,2))),"",IF($Y19="","",ROUND(($Y19/$Y$16)*$Z$16,2)))</f>
        <v/>
      </c>
      <c r="AA19" s="187" t="str">
        <f>IF($Z19="","",ROUND($Z19*$AA$16,2))</f>
        <v/>
      </c>
      <c r="AB19" s="227"/>
      <c r="AC19" s="228"/>
      <c r="AD19" s="229"/>
      <c r="AE19" s="196" t="str">
        <f>IF(COUNT($AB19:$AD19)=0,"",SUM($AB19:$AD19))</f>
        <v/>
      </c>
      <c r="AF19" s="186" t="str">
        <f>IF(ISERROR(IF($AE19="","",ROUND(($AE19/$AE$16)*$AF$16,2))),"",IF($AE19="","",ROUND(($AE19/$AE$16)*$AF$16,2)))</f>
        <v/>
      </c>
      <c r="AG19" s="187" t="str">
        <f>IF($AF19="","",ROUND($AF19*$AG$16,2))</f>
        <v/>
      </c>
      <c r="AH19" s="103"/>
      <c r="AI19" s="101"/>
      <c r="AJ19" s="102"/>
      <c r="AK19" s="87" t="str">
        <f t="shared" ref="AK19:AK68" si="3">IF(COUNT($AH19:$AJ19)=0,"",SUM($AH19:$AJ19))</f>
        <v/>
      </c>
      <c r="AL19" s="88" t="str">
        <f t="shared" ref="AL19:AL68" si="4">IF(ISERROR(IF($AK19="","",ROUND(($AK19/$AK$16)*$AL$16,2))),"",IF($AK19="","",ROUND(($AK19/$AK$16)*$AL$16,2)))</f>
        <v/>
      </c>
      <c r="AM19" s="158" t="str">
        <f t="shared" ref="AM19:AM68" si="5">IF($AL19="","",ROUND($AL19*$AM$16,2))</f>
        <v/>
      </c>
      <c r="AN19" s="159"/>
      <c r="AO19" s="160"/>
      <c r="AP19" s="161"/>
      <c r="AQ19" s="157" t="str">
        <f t="shared" ref="AQ19:AQ68" si="6">IFERROR(IF(AN19="","",ROUND(AN19/$AN$16*$AQ$16,2)),"")</f>
        <v/>
      </c>
      <c r="AR19" s="91" t="str">
        <f t="shared" ref="AR19:AR68" si="7">IFERROR(IF(AO19="","",ROUND(AO19/$AO$16*$AR$16,2)),"")</f>
        <v/>
      </c>
      <c r="AS19" s="93" t="str">
        <f t="shared" ref="AS19:AS68" si="8">IFERROR(IF(AP19="","",ROUND(AP19/$AP$16*$AS$16,2)),"")</f>
        <v/>
      </c>
      <c r="AT19" s="87" t="str">
        <f t="shared" ref="AT19:AT68" si="9">IF(COUNT($AQ19:$AS19)=0,"",SUM($AQ19:$AS19))</f>
        <v/>
      </c>
      <c r="AU19" s="89" t="str">
        <f t="shared" ref="AU19:AU68" si="10">IFERROR(IF(AT19="","",ROUND(AT19*$AU$16,2)),"")</f>
        <v/>
      </c>
      <c r="AV19" s="94" t="str">
        <f>IF(C19="","",IFERROR(ROUND(M19+U19+AA19+AG19+AM19+AU19,2),""))</f>
        <v/>
      </c>
      <c r="AW19" s="95" t="str">
        <f>IF(C19="","",IFERROR(_xlfn.XLOOKUP(AV19,HELPER!$C$8:$C$48,HELPER!$D$8:$D$48,,1),""))</f>
        <v/>
      </c>
      <c r="AX19" s="96" t="str">
        <f>IF(C19="","",IFERROR(_xlfn.XLOOKUP(AW19,HELPER!$F$8:$F$48,HELPER!$G$8:$G$48,,1),""))</f>
        <v/>
      </c>
      <c r="AY19" s="168"/>
      <c r="AZ19" s="148"/>
    </row>
    <row r="20" spans="1:52" ht="15" customHeight="1" x14ac:dyDescent="0.25">
      <c r="A20" s="168"/>
      <c r="B20" s="104">
        <v>2</v>
      </c>
      <c r="C20" s="371" t="str">
        <f>IF('INPUT DATA'!K12="","",'INPUT DATA'!K12)</f>
        <v/>
      </c>
      <c r="D20" s="372"/>
      <c r="E20" s="372"/>
      <c r="F20" s="243"/>
      <c r="G20" s="244"/>
      <c r="H20" s="244"/>
      <c r="I20" s="244"/>
      <c r="J20" s="245"/>
      <c r="K20" s="194" t="str">
        <f t="shared" ref="K20:K83" si="11">IF(COUNT($F20:$J20)=0,"",SUM($F20:$J20))</f>
        <v/>
      </c>
      <c r="L20" s="170" t="str">
        <f t="shared" ref="L20:L83" si="12">IF(ISERROR(IF($K20="","",ROUND(($K20/$K$16)*$L$16,2))),"",IF($K20="","",ROUND(($K20/$K$16)*$L$16,2)))</f>
        <v/>
      </c>
      <c r="M20" s="188" t="str">
        <f t="shared" ref="M20:M83" si="13">IF($L20="","",ROUND($L20*$M$16,2))</f>
        <v/>
      </c>
      <c r="N20" s="99"/>
      <c r="O20" s="106"/>
      <c r="P20" s="106"/>
      <c r="Q20" s="106"/>
      <c r="R20" s="107"/>
      <c r="S20" s="217" t="str">
        <f t="shared" si="0"/>
        <v/>
      </c>
      <c r="T20" s="91" t="str">
        <f t="shared" si="1"/>
        <v/>
      </c>
      <c r="U20" s="218" t="str">
        <f t="shared" si="2"/>
        <v/>
      </c>
      <c r="V20" s="230"/>
      <c r="W20" s="226"/>
      <c r="X20" s="236"/>
      <c r="Y20" s="194" t="str">
        <f t="shared" ref="Y20:Y83" si="14">IF(COUNT($V20:$X20)=0,"",SUM($V20:$X20))</f>
        <v/>
      </c>
      <c r="Z20" s="170" t="str">
        <f t="shared" ref="Z20:Z83" si="15">IF(ISERROR(IF($Y20="","",ROUND(($Y20/$Y$16)*$Z$16,2))),"",IF($Y20="","",ROUND(($Y20/$Y$16)*$Z$16,2)))</f>
        <v/>
      </c>
      <c r="AA20" s="188" t="str">
        <f t="shared" ref="AA20:AA83" si="16">IF($Z20="","",ROUND($Z20*$AA$16,2))</f>
        <v/>
      </c>
      <c r="AB20" s="230"/>
      <c r="AC20" s="226"/>
      <c r="AD20" s="231"/>
      <c r="AE20" s="194" t="str">
        <f t="shared" ref="AE20:AE83" si="17">IF(COUNT($AB20:$AD20)=0,"",SUM($AB20:$AD20))</f>
        <v/>
      </c>
      <c r="AF20" s="170" t="str">
        <f t="shared" ref="AF20:AF83" si="18">IF(ISERROR(IF($AE20="","",ROUND(($AE20/$AE$16)*$AF$16,2))),"",IF($AE20="","",ROUND(($AE20/$AE$16)*$AF$16,2)))</f>
        <v/>
      </c>
      <c r="AG20" s="188" t="str">
        <f t="shared" ref="AG20:AG83" si="19">IF($AF20="","",ROUND($AF20*$AG$16,2))</f>
        <v/>
      </c>
      <c r="AH20" s="105"/>
      <c r="AI20" s="106"/>
      <c r="AJ20" s="107"/>
      <c r="AK20" s="90" t="str">
        <f t="shared" si="3"/>
        <v/>
      </c>
      <c r="AL20" s="91" t="str">
        <f t="shared" si="4"/>
        <v/>
      </c>
      <c r="AM20" s="93" t="str">
        <f t="shared" si="5"/>
        <v/>
      </c>
      <c r="AN20" s="162"/>
      <c r="AO20" s="107"/>
      <c r="AP20" s="163"/>
      <c r="AQ20" s="157" t="str">
        <f t="shared" si="6"/>
        <v/>
      </c>
      <c r="AR20" s="91" t="str">
        <f t="shared" si="7"/>
        <v/>
      </c>
      <c r="AS20" s="93" t="str">
        <f t="shared" si="8"/>
        <v/>
      </c>
      <c r="AT20" s="90" t="str">
        <f t="shared" si="9"/>
        <v/>
      </c>
      <c r="AU20" s="92" t="str">
        <f t="shared" si="10"/>
        <v/>
      </c>
      <c r="AV20" s="94" t="str">
        <f t="shared" ref="AV20:AV83" si="20">IF(C20="","",IFERROR(ROUND(M20+U20+AA20+AG20+AM20+AU20,2),""))</f>
        <v/>
      </c>
      <c r="AW20" s="95" t="str">
        <f>IF(C20="","",IFERROR(_xlfn.XLOOKUP(AV20,HELPER!$C$8:$C$48,HELPER!$D$8:$D$48,,1),""))</f>
        <v/>
      </c>
      <c r="AX20" s="96" t="str">
        <f>IF(C20="","",IFERROR(_xlfn.XLOOKUP(AW20,HELPER!$F$8:$F$48,HELPER!$G$8:$G$48,,1),""))</f>
        <v/>
      </c>
      <c r="AY20" s="168"/>
      <c r="AZ20" s="148"/>
    </row>
    <row r="21" spans="1:52" ht="15" customHeight="1" x14ac:dyDescent="0.25">
      <c r="A21" s="168"/>
      <c r="B21" s="104">
        <v>3</v>
      </c>
      <c r="C21" s="371" t="str">
        <f>IF('INPUT DATA'!K13="","",'INPUT DATA'!K13)</f>
        <v/>
      </c>
      <c r="D21" s="372"/>
      <c r="E21" s="372"/>
      <c r="F21" s="243"/>
      <c r="G21" s="244"/>
      <c r="H21" s="244"/>
      <c r="I21" s="244"/>
      <c r="J21" s="245"/>
      <c r="K21" s="194" t="str">
        <f t="shared" si="11"/>
        <v/>
      </c>
      <c r="L21" s="170" t="str">
        <f t="shared" si="12"/>
        <v/>
      </c>
      <c r="M21" s="188" t="str">
        <f t="shared" si="13"/>
        <v/>
      </c>
      <c r="N21" s="99"/>
      <c r="O21" s="106"/>
      <c r="P21" s="106"/>
      <c r="Q21" s="106"/>
      <c r="R21" s="107"/>
      <c r="S21" s="217" t="str">
        <f t="shared" si="0"/>
        <v/>
      </c>
      <c r="T21" s="91" t="str">
        <f t="shared" si="1"/>
        <v/>
      </c>
      <c r="U21" s="218" t="str">
        <f t="shared" si="2"/>
        <v/>
      </c>
      <c r="V21" s="230"/>
      <c r="W21" s="226"/>
      <c r="X21" s="236"/>
      <c r="Y21" s="194" t="str">
        <f t="shared" si="14"/>
        <v/>
      </c>
      <c r="Z21" s="170" t="str">
        <f t="shared" si="15"/>
        <v/>
      </c>
      <c r="AA21" s="188" t="str">
        <f t="shared" si="16"/>
        <v/>
      </c>
      <c r="AB21" s="230"/>
      <c r="AC21" s="226"/>
      <c r="AD21" s="231"/>
      <c r="AE21" s="194" t="str">
        <f t="shared" si="17"/>
        <v/>
      </c>
      <c r="AF21" s="170" t="str">
        <f t="shared" si="18"/>
        <v/>
      </c>
      <c r="AG21" s="188" t="str">
        <f t="shared" si="19"/>
        <v/>
      </c>
      <c r="AH21" s="105"/>
      <c r="AI21" s="106"/>
      <c r="AJ21" s="107"/>
      <c r="AK21" s="90" t="str">
        <f t="shared" si="3"/>
        <v/>
      </c>
      <c r="AL21" s="91" t="str">
        <f t="shared" si="4"/>
        <v/>
      </c>
      <c r="AM21" s="93" t="str">
        <f t="shared" si="5"/>
        <v/>
      </c>
      <c r="AN21" s="162"/>
      <c r="AO21" s="107"/>
      <c r="AP21" s="163"/>
      <c r="AQ21" s="157" t="str">
        <f t="shared" si="6"/>
        <v/>
      </c>
      <c r="AR21" s="91" t="str">
        <f t="shared" si="7"/>
        <v/>
      </c>
      <c r="AS21" s="93" t="str">
        <f t="shared" si="8"/>
        <v/>
      </c>
      <c r="AT21" s="90" t="str">
        <f t="shared" si="9"/>
        <v/>
      </c>
      <c r="AU21" s="92" t="str">
        <f t="shared" si="10"/>
        <v/>
      </c>
      <c r="AV21" s="94" t="str">
        <f t="shared" si="20"/>
        <v/>
      </c>
      <c r="AW21" s="95" t="str">
        <f>IF(C21="","",IFERROR(_xlfn.XLOOKUP(AV21,HELPER!$C$8:$C$48,HELPER!$D$8:$D$48,,1),""))</f>
        <v/>
      </c>
      <c r="AX21" s="96" t="str">
        <f>IF(C21="","",IFERROR(_xlfn.XLOOKUP(AW21,HELPER!$F$8:$F$48,HELPER!$G$8:$G$48,,1),""))</f>
        <v/>
      </c>
      <c r="AY21" s="168"/>
      <c r="AZ21" s="148"/>
    </row>
    <row r="22" spans="1:52" ht="15" customHeight="1" x14ac:dyDescent="0.25">
      <c r="A22" s="168"/>
      <c r="B22" s="104">
        <v>4</v>
      </c>
      <c r="C22" s="371" t="str">
        <f>IF('INPUT DATA'!K14="","",'INPUT DATA'!K14)</f>
        <v/>
      </c>
      <c r="D22" s="372"/>
      <c r="E22" s="372"/>
      <c r="F22" s="243"/>
      <c r="G22" s="244"/>
      <c r="H22" s="244"/>
      <c r="I22" s="244"/>
      <c r="J22" s="245"/>
      <c r="K22" s="194" t="str">
        <f t="shared" si="11"/>
        <v/>
      </c>
      <c r="L22" s="170" t="str">
        <f t="shared" si="12"/>
        <v/>
      </c>
      <c r="M22" s="188" t="str">
        <f t="shared" si="13"/>
        <v/>
      </c>
      <c r="N22" s="99"/>
      <c r="O22" s="106"/>
      <c r="P22" s="106"/>
      <c r="Q22" s="106"/>
      <c r="R22" s="107"/>
      <c r="S22" s="217" t="str">
        <f t="shared" si="0"/>
        <v/>
      </c>
      <c r="T22" s="91" t="str">
        <f t="shared" si="1"/>
        <v/>
      </c>
      <c r="U22" s="218" t="str">
        <f t="shared" si="2"/>
        <v/>
      </c>
      <c r="V22" s="230"/>
      <c r="W22" s="226"/>
      <c r="X22" s="236"/>
      <c r="Y22" s="194" t="str">
        <f t="shared" si="14"/>
        <v/>
      </c>
      <c r="Z22" s="170" t="str">
        <f t="shared" si="15"/>
        <v/>
      </c>
      <c r="AA22" s="188" t="str">
        <f t="shared" si="16"/>
        <v/>
      </c>
      <c r="AB22" s="230"/>
      <c r="AC22" s="226"/>
      <c r="AD22" s="231"/>
      <c r="AE22" s="194" t="str">
        <f t="shared" si="17"/>
        <v/>
      </c>
      <c r="AF22" s="170" t="str">
        <f t="shared" si="18"/>
        <v/>
      </c>
      <c r="AG22" s="188" t="str">
        <f t="shared" si="19"/>
        <v/>
      </c>
      <c r="AH22" s="105"/>
      <c r="AI22" s="106"/>
      <c r="AJ22" s="107"/>
      <c r="AK22" s="90" t="str">
        <f t="shared" si="3"/>
        <v/>
      </c>
      <c r="AL22" s="91" t="str">
        <f t="shared" si="4"/>
        <v/>
      </c>
      <c r="AM22" s="93" t="str">
        <f t="shared" si="5"/>
        <v/>
      </c>
      <c r="AN22" s="162"/>
      <c r="AO22" s="107"/>
      <c r="AP22" s="163"/>
      <c r="AQ22" s="157" t="str">
        <f t="shared" si="6"/>
        <v/>
      </c>
      <c r="AR22" s="91" t="str">
        <f t="shared" si="7"/>
        <v/>
      </c>
      <c r="AS22" s="93" t="str">
        <f t="shared" si="8"/>
        <v/>
      </c>
      <c r="AT22" s="90" t="str">
        <f t="shared" si="9"/>
        <v/>
      </c>
      <c r="AU22" s="92" t="str">
        <f t="shared" si="10"/>
        <v/>
      </c>
      <c r="AV22" s="94" t="str">
        <f t="shared" si="20"/>
        <v/>
      </c>
      <c r="AW22" s="95" t="str">
        <f>IF(C22="","",IFERROR(_xlfn.XLOOKUP(AV22,HELPER!$C$8:$C$48,HELPER!$D$8:$D$48,,1),""))</f>
        <v/>
      </c>
      <c r="AX22" s="96" t="str">
        <f>IF(C22="","",IFERROR(_xlfn.XLOOKUP(AW22,HELPER!$F$8:$F$48,HELPER!$G$8:$G$48,,1),""))</f>
        <v/>
      </c>
      <c r="AY22" s="168"/>
      <c r="AZ22" s="148"/>
    </row>
    <row r="23" spans="1:52" ht="15" customHeight="1" x14ac:dyDescent="0.25">
      <c r="A23" s="168"/>
      <c r="B23" s="104">
        <v>5</v>
      </c>
      <c r="C23" s="355" t="str">
        <f>IF('INPUT DATA'!K15="","",'INPUT DATA'!K15)</f>
        <v/>
      </c>
      <c r="D23" s="356"/>
      <c r="E23" s="356"/>
      <c r="F23" s="243"/>
      <c r="G23" s="244"/>
      <c r="H23" s="244"/>
      <c r="I23" s="244"/>
      <c r="J23" s="245"/>
      <c r="K23" s="194" t="str">
        <f t="shared" si="11"/>
        <v/>
      </c>
      <c r="L23" s="170" t="str">
        <f t="shared" si="12"/>
        <v/>
      </c>
      <c r="M23" s="188" t="str">
        <f t="shared" si="13"/>
        <v/>
      </c>
      <c r="N23" s="99"/>
      <c r="O23" s="106"/>
      <c r="P23" s="106"/>
      <c r="Q23" s="106"/>
      <c r="R23" s="107"/>
      <c r="S23" s="217" t="str">
        <f t="shared" si="0"/>
        <v/>
      </c>
      <c r="T23" s="91" t="str">
        <f t="shared" si="1"/>
        <v/>
      </c>
      <c r="U23" s="218" t="str">
        <f t="shared" si="2"/>
        <v/>
      </c>
      <c r="V23" s="230"/>
      <c r="W23" s="226"/>
      <c r="X23" s="236"/>
      <c r="Y23" s="194" t="str">
        <f t="shared" si="14"/>
        <v/>
      </c>
      <c r="Z23" s="170" t="str">
        <f t="shared" si="15"/>
        <v/>
      </c>
      <c r="AA23" s="188" t="str">
        <f t="shared" si="16"/>
        <v/>
      </c>
      <c r="AB23" s="230"/>
      <c r="AC23" s="226"/>
      <c r="AD23" s="231"/>
      <c r="AE23" s="194" t="str">
        <f t="shared" si="17"/>
        <v/>
      </c>
      <c r="AF23" s="170" t="str">
        <f t="shared" si="18"/>
        <v/>
      </c>
      <c r="AG23" s="188" t="str">
        <f t="shared" si="19"/>
        <v/>
      </c>
      <c r="AH23" s="105"/>
      <c r="AI23" s="106"/>
      <c r="AJ23" s="107"/>
      <c r="AK23" s="90" t="str">
        <f t="shared" si="3"/>
        <v/>
      </c>
      <c r="AL23" s="91" t="str">
        <f t="shared" si="4"/>
        <v/>
      </c>
      <c r="AM23" s="93" t="str">
        <f t="shared" si="5"/>
        <v/>
      </c>
      <c r="AN23" s="162"/>
      <c r="AO23" s="107"/>
      <c r="AP23" s="163"/>
      <c r="AQ23" s="157" t="str">
        <f t="shared" si="6"/>
        <v/>
      </c>
      <c r="AR23" s="91" t="str">
        <f t="shared" si="7"/>
        <v/>
      </c>
      <c r="AS23" s="93" t="str">
        <f t="shared" si="8"/>
        <v/>
      </c>
      <c r="AT23" s="90" t="str">
        <f t="shared" si="9"/>
        <v/>
      </c>
      <c r="AU23" s="92" t="str">
        <f t="shared" si="10"/>
        <v/>
      </c>
      <c r="AV23" s="94" t="str">
        <f t="shared" si="20"/>
        <v/>
      </c>
      <c r="AW23" s="95" t="str">
        <f>IF(C23="","",IFERROR(_xlfn.XLOOKUP(AV23,HELPER!$C$8:$C$48,HELPER!$D$8:$D$48,,1),""))</f>
        <v/>
      </c>
      <c r="AX23" s="96" t="str">
        <f>IF(C23="","",IFERROR(_xlfn.XLOOKUP(AW23,HELPER!$F$8:$F$48,HELPER!$G$8:$G$48,,1),""))</f>
        <v/>
      </c>
      <c r="AY23" s="168"/>
      <c r="AZ23" s="148"/>
    </row>
    <row r="24" spans="1:52" ht="15" customHeight="1" x14ac:dyDescent="0.25">
      <c r="A24" s="168"/>
      <c r="B24" s="104">
        <v>6</v>
      </c>
      <c r="C24" s="355" t="str">
        <f>IF('INPUT DATA'!K16="","",'INPUT DATA'!K16)</f>
        <v/>
      </c>
      <c r="D24" s="356"/>
      <c r="E24" s="356"/>
      <c r="F24" s="243"/>
      <c r="G24" s="244"/>
      <c r="H24" s="244"/>
      <c r="I24" s="244"/>
      <c r="J24" s="245"/>
      <c r="K24" s="194" t="str">
        <f t="shared" si="11"/>
        <v/>
      </c>
      <c r="L24" s="170" t="str">
        <f t="shared" si="12"/>
        <v/>
      </c>
      <c r="M24" s="188" t="str">
        <f t="shared" si="13"/>
        <v/>
      </c>
      <c r="N24" s="99"/>
      <c r="O24" s="106"/>
      <c r="P24" s="106"/>
      <c r="Q24" s="106"/>
      <c r="R24" s="107"/>
      <c r="S24" s="217" t="str">
        <f t="shared" si="0"/>
        <v/>
      </c>
      <c r="T24" s="91" t="str">
        <f t="shared" si="1"/>
        <v/>
      </c>
      <c r="U24" s="218" t="str">
        <f t="shared" si="2"/>
        <v/>
      </c>
      <c r="V24" s="230"/>
      <c r="W24" s="226"/>
      <c r="X24" s="236"/>
      <c r="Y24" s="194" t="str">
        <f t="shared" si="14"/>
        <v/>
      </c>
      <c r="Z24" s="170" t="str">
        <f t="shared" si="15"/>
        <v/>
      </c>
      <c r="AA24" s="188" t="str">
        <f t="shared" si="16"/>
        <v/>
      </c>
      <c r="AB24" s="230"/>
      <c r="AC24" s="226"/>
      <c r="AD24" s="231"/>
      <c r="AE24" s="194" t="str">
        <f t="shared" si="17"/>
        <v/>
      </c>
      <c r="AF24" s="170" t="str">
        <f t="shared" si="18"/>
        <v/>
      </c>
      <c r="AG24" s="188" t="str">
        <f t="shared" si="19"/>
        <v/>
      </c>
      <c r="AH24" s="105"/>
      <c r="AI24" s="106"/>
      <c r="AJ24" s="107"/>
      <c r="AK24" s="90" t="str">
        <f t="shared" si="3"/>
        <v/>
      </c>
      <c r="AL24" s="91" t="str">
        <f t="shared" si="4"/>
        <v/>
      </c>
      <c r="AM24" s="93" t="str">
        <f t="shared" si="5"/>
        <v/>
      </c>
      <c r="AN24" s="162"/>
      <c r="AO24" s="107"/>
      <c r="AP24" s="163"/>
      <c r="AQ24" s="157" t="str">
        <f t="shared" si="6"/>
        <v/>
      </c>
      <c r="AR24" s="91" t="str">
        <f t="shared" si="7"/>
        <v/>
      </c>
      <c r="AS24" s="93" t="str">
        <f t="shared" si="8"/>
        <v/>
      </c>
      <c r="AT24" s="90" t="str">
        <f t="shared" si="9"/>
        <v/>
      </c>
      <c r="AU24" s="92" t="str">
        <f t="shared" si="10"/>
        <v/>
      </c>
      <c r="AV24" s="94" t="str">
        <f t="shared" si="20"/>
        <v/>
      </c>
      <c r="AW24" s="95" t="str">
        <f>IF(C24="","",IFERROR(_xlfn.XLOOKUP(AV24,HELPER!$C$8:$C$48,HELPER!$D$8:$D$48,,1),""))</f>
        <v/>
      </c>
      <c r="AX24" s="96" t="str">
        <f>IF(C24="","",IFERROR(_xlfn.XLOOKUP(AW24,HELPER!$F$8:$F$48,HELPER!$G$8:$G$48,,1),""))</f>
        <v/>
      </c>
      <c r="AY24" s="168"/>
      <c r="AZ24" s="148"/>
    </row>
    <row r="25" spans="1:52" ht="15" customHeight="1" x14ac:dyDescent="0.25">
      <c r="A25" s="168"/>
      <c r="B25" s="104">
        <v>7</v>
      </c>
      <c r="C25" s="355" t="str">
        <f>IF('INPUT DATA'!K17="","",'INPUT DATA'!K17)</f>
        <v/>
      </c>
      <c r="D25" s="356"/>
      <c r="E25" s="356"/>
      <c r="F25" s="243"/>
      <c r="G25" s="244"/>
      <c r="H25" s="244"/>
      <c r="I25" s="244"/>
      <c r="J25" s="245"/>
      <c r="K25" s="194" t="str">
        <f t="shared" si="11"/>
        <v/>
      </c>
      <c r="L25" s="170" t="str">
        <f t="shared" si="12"/>
        <v/>
      </c>
      <c r="M25" s="188" t="str">
        <f t="shared" si="13"/>
        <v/>
      </c>
      <c r="N25" s="99"/>
      <c r="O25" s="106"/>
      <c r="P25" s="106"/>
      <c r="Q25" s="106"/>
      <c r="R25" s="107"/>
      <c r="S25" s="217" t="str">
        <f t="shared" si="0"/>
        <v/>
      </c>
      <c r="T25" s="91" t="str">
        <f t="shared" si="1"/>
        <v/>
      </c>
      <c r="U25" s="218" t="str">
        <f t="shared" si="2"/>
        <v/>
      </c>
      <c r="V25" s="230"/>
      <c r="W25" s="226"/>
      <c r="X25" s="236"/>
      <c r="Y25" s="194" t="str">
        <f t="shared" si="14"/>
        <v/>
      </c>
      <c r="Z25" s="170" t="str">
        <f t="shared" si="15"/>
        <v/>
      </c>
      <c r="AA25" s="188" t="str">
        <f t="shared" si="16"/>
        <v/>
      </c>
      <c r="AB25" s="230"/>
      <c r="AC25" s="226"/>
      <c r="AD25" s="231"/>
      <c r="AE25" s="194" t="str">
        <f t="shared" si="17"/>
        <v/>
      </c>
      <c r="AF25" s="170" t="str">
        <f t="shared" si="18"/>
        <v/>
      </c>
      <c r="AG25" s="188" t="str">
        <f t="shared" si="19"/>
        <v/>
      </c>
      <c r="AH25" s="105"/>
      <c r="AI25" s="106"/>
      <c r="AJ25" s="107"/>
      <c r="AK25" s="90" t="str">
        <f t="shared" si="3"/>
        <v/>
      </c>
      <c r="AL25" s="91" t="str">
        <f t="shared" si="4"/>
        <v/>
      </c>
      <c r="AM25" s="93" t="str">
        <f t="shared" si="5"/>
        <v/>
      </c>
      <c r="AN25" s="162"/>
      <c r="AO25" s="107"/>
      <c r="AP25" s="163"/>
      <c r="AQ25" s="157" t="str">
        <f t="shared" si="6"/>
        <v/>
      </c>
      <c r="AR25" s="91" t="str">
        <f t="shared" si="7"/>
        <v/>
      </c>
      <c r="AS25" s="93" t="str">
        <f t="shared" si="8"/>
        <v/>
      </c>
      <c r="AT25" s="90" t="str">
        <f t="shared" si="9"/>
        <v/>
      </c>
      <c r="AU25" s="92" t="str">
        <f t="shared" si="10"/>
        <v/>
      </c>
      <c r="AV25" s="94" t="str">
        <f t="shared" si="20"/>
        <v/>
      </c>
      <c r="AW25" s="95" t="str">
        <f>IF(C25="","",IFERROR(_xlfn.XLOOKUP(AV25,HELPER!$C$8:$C$48,HELPER!$D$8:$D$48,,1),""))</f>
        <v/>
      </c>
      <c r="AX25" s="96" t="str">
        <f>IF(C25="","",IFERROR(_xlfn.XLOOKUP(AW25,HELPER!$F$8:$F$48,HELPER!$G$8:$G$48,,1),""))</f>
        <v/>
      </c>
      <c r="AY25" s="168"/>
      <c r="AZ25" s="148"/>
    </row>
    <row r="26" spans="1:52" ht="15" customHeight="1" x14ac:dyDescent="0.25">
      <c r="A26" s="168"/>
      <c r="B26" s="104">
        <v>8</v>
      </c>
      <c r="C26" s="355" t="str">
        <f>IF('INPUT DATA'!K18="","",'INPUT DATA'!K18)</f>
        <v/>
      </c>
      <c r="D26" s="356"/>
      <c r="E26" s="356"/>
      <c r="F26" s="243"/>
      <c r="G26" s="244"/>
      <c r="H26" s="244"/>
      <c r="I26" s="244"/>
      <c r="J26" s="245"/>
      <c r="K26" s="194" t="str">
        <f t="shared" si="11"/>
        <v/>
      </c>
      <c r="L26" s="170" t="str">
        <f t="shared" si="12"/>
        <v/>
      </c>
      <c r="M26" s="188" t="str">
        <f t="shared" si="13"/>
        <v/>
      </c>
      <c r="N26" s="99"/>
      <c r="O26" s="106"/>
      <c r="P26" s="106"/>
      <c r="Q26" s="106"/>
      <c r="R26" s="107"/>
      <c r="S26" s="217" t="str">
        <f t="shared" si="0"/>
        <v/>
      </c>
      <c r="T26" s="91" t="str">
        <f t="shared" si="1"/>
        <v/>
      </c>
      <c r="U26" s="218" t="str">
        <f t="shared" si="2"/>
        <v/>
      </c>
      <c r="V26" s="230"/>
      <c r="W26" s="226"/>
      <c r="X26" s="236"/>
      <c r="Y26" s="194" t="str">
        <f t="shared" si="14"/>
        <v/>
      </c>
      <c r="Z26" s="170" t="str">
        <f t="shared" si="15"/>
        <v/>
      </c>
      <c r="AA26" s="188" t="str">
        <f t="shared" si="16"/>
        <v/>
      </c>
      <c r="AB26" s="230"/>
      <c r="AC26" s="226"/>
      <c r="AD26" s="231"/>
      <c r="AE26" s="194" t="str">
        <f t="shared" si="17"/>
        <v/>
      </c>
      <c r="AF26" s="170" t="str">
        <f t="shared" si="18"/>
        <v/>
      </c>
      <c r="AG26" s="188" t="str">
        <f t="shared" si="19"/>
        <v/>
      </c>
      <c r="AH26" s="105"/>
      <c r="AI26" s="106"/>
      <c r="AJ26" s="107"/>
      <c r="AK26" s="90" t="str">
        <f t="shared" si="3"/>
        <v/>
      </c>
      <c r="AL26" s="91" t="str">
        <f t="shared" si="4"/>
        <v/>
      </c>
      <c r="AM26" s="93" t="str">
        <f t="shared" si="5"/>
        <v/>
      </c>
      <c r="AN26" s="162"/>
      <c r="AO26" s="107"/>
      <c r="AP26" s="163"/>
      <c r="AQ26" s="157" t="str">
        <f t="shared" si="6"/>
        <v/>
      </c>
      <c r="AR26" s="91" t="str">
        <f t="shared" si="7"/>
        <v/>
      </c>
      <c r="AS26" s="93" t="str">
        <f t="shared" si="8"/>
        <v/>
      </c>
      <c r="AT26" s="90" t="str">
        <f t="shared" si="9"/>
        <v/>
      </c>
      <c r="AU26" s="92" t="str">
        <f t="shared" si="10"/>
        <v/>
      </c>
      <c r="AV26" s="94" t="str">
        <f t="shared" si="20"/>
        <v/>
      </c>
      <c r="AW26" s="95" t="str">
        <f>IF(C26="","",IFERROR(_xlfn.XLOOKUP(AV26,HELPER!$C$8:$C$48,HELPER!$D$8:$D$48,,1),""))</f>
        <v/>
      </c>
      <c r="AX26" s="96" t="str">
        <f>IF(C26="","",IFERROR(_xlfn.XLOOKUP(AW26,HELPER!$F$8:$F$48,HELPER!$G$8:$G$48,,1),""))</f>
        <v/>
      </c>
      <c r="AY26" s="168"/>
      <c r="AZ26" s="148"/>
    </row>
    <row r="27" spans="1:52" ht="15" customHeight="1" x14ac:dyDescent="0.25">
      <c r="A27" s="168"/>
      <c r="B27" s="104">
        <v>9</v>
      </c>
      <c r="C27" s="355" t="str">
        <f>IF('INPUT DATA'!K19="","",'INPUT DATA'!K19)</f>
        <v/>
      </c>
      <c r="D27" s="356"/>
      <c r="E27" s="356"/>
      <c r="F27" s="243"/>
      <c r="G27" s="244"/>
      <c r="H27" s="244"/>
      <c r="I27" s="244"/>
      <c r="J27" s="245"/>
      <c r="K27" s="194" t="str">
        <f t="shared" si="11"/>
        <v/>
      </c>
      <c r="L27" s="170" t="str">
        <f t="shared" si="12"/>
        <v/>
      </c>
      <c r="M27" s="188" t="str">
        <f t="shared" si="13"/>
        <v/>
      </c>
      <c r="N27" s="99"/>
      <c r="O27" s="106"/>
      <c r="P27" s="106"/>
      <c r="Q27" s="106"/>
      <c r="R27" s="107"/>
      <c r="S27" s="217" t="str">
        <f t="shared" si="0"/>
        <v/>
      </c>
      <c r="T27" s="91" t="str">
        <f t="shared" si="1"/>
        <v/>
      </c>
      <c r="U27" s="218" t="str">
        <f t="shared" si="2"/>
        <v/>
      </c>
      <c r="V27" s="230"/>
      <c r="W27" s="226"/>
      <c r="X27" s="236"/>
      <c r="Y27" s="194" t="str">
        <f t="shared" si="14"/>
        <v/>
      </c>
      <c r="Z27" s="170" t="str">
        <f t="shared" si="15"/>
        <v/>
      </c>
      <c r="AA27" s="188" t="str">
        <f t="shared" si="16"/>
        <v/>
      </c>
      <c r="AB27" s="230"/>
      <c r="AC27" s="226"/>
      <c r="AD27" s="231"/>
      <c r="AE27" s="194" t="str">
        <f t="shared" si="17"/>
        <v/>
      </c>
      <c r="AF27" s="170" t="str">
        <f t="shared" si="18"/>
        <v/>
      </c>
      <c r="AG27" s="188" t="str">
        <f t="shared" si="19"/>
        <v/>
      </c>
      <c r="AH27" s="105"/>
      <c r="AI27" s="106"/>
      <c r="AJ27" s="107"/>
      <c r="AK27" s="90" t="str">
        <f t="shared" si="3"/>
        <v/>
      </c>
      <c r="AL27" s="91" t="str">
        <f t="shared" si="4"/>
        <v/>
      </c>
      <c r="AM27" s="93" t="str">
        <f t="shared" si="5"/>
        <v/>
      </c>
      <c r="AN27" s="162"/>
      <c r="AO27" s="107"/>
      <c r="AP27" s="163"/>
      <c r="AQ27" s="157" t="str">
        <f t="shared" si="6"/>
        <v/>
      </c>
      <c r="AR27" s="91" t="str">
        <f t="shared" si="7"/>
        <v/>
      </c>
      <c r="AS27" s="93" t="str">
        <f t="shared" si="8"/>
        <v/>
      </c>
      <c r="AT27" s="90" t="str">
        <f t="shared" si="9"/>
        <v/>
      </c>
      <c r="AU27" s="92" t="str">
        <f t="shared" si="10"/>
        <v/>
      </c>
      <c r="AV27" s="94" t="str">
        <f t="shared" si="20"/>
        <v/>
      </c>
      <c r="AW27" s="95" t="str">
        <f>IF(C27="","",IFERROR(_xlfn.XLOOKUP(AV27,HELPER!$C$8:$C$48,HELPER!$D$8:$D$48,,1),""))</f>
        <v/>
      </c>
      <c r="AX27" s="96" t="str">
        <f>IF(C27="","",IFERROR(_xlfn.XLOOKUP(AW27,HELPER!$F$8:$F$48,HELPER!$G$8:$G$48,,1),""))</f>
        <v/>
      </c>
      <c r="AY27" s="168"/>
      <c r="AZ27" s="148"/>
    </row>
    <row r="28" spans="1:52" ht="15" customHeight="1" x14ac:dyDescent="0.25">
      <c r="A28" s="168"/>
      <c r="B28" s="104">
        <v>10</v>
      </c>
      <c r="C28" s="355" t="str">
        <f>IF('INPUT DATA'!K20="","",'INPUT DATA'!K20)</f>
        <v/>
      </c>
      <c r="D28" s="356"/>
      <c r="E28" s="356"/>
      <c r="F28" s="243"/>
      <c r="G28" s="244"/>
      <c r="H28" s="244"/>
      <c r="I28" s="244"/>
      <c r="J28" s="245"/>
      <c r="K28" s="194" t="str">
        <f t="shared" si="11"/>
        <v/>
      </c>
      <c r="L28" s="170" t="str">
        <f t="shared" si="12"/>
        <v/>
      </c>
      <c r="M28" s="188" t="str">
        <f t="shared" si="13"/>
        <v/>
      </c>
      <c r="N28" s="99"/>
      <c r="O28" s="106"/>
      <c r="P28" s="106"/>
      <c r="Q28" s="106"/>
      <c r="R28" s="107"/>
      <c r="S28" s="217" t="str">
        <f t="shared" si="0"/>
        <v/>
      </c>
      <c r="T28" s="91" t="str">
        <f t="shared" si="1"/>
        <v/>
      </c>
      <c r="U28" s="218" t="str">
        <f t="shared" si="2"/>
        <v/>
      </c>
      <c r="V28" s="230"/>
      <c r="W28" s="226"/>
      <c r="X28" s="236"/>
      <c r="Y28" s="194" t="str">
        <f t="shared" si="14"/>
        <v/>
      </c>
      <c r="Z28" s="170" t="str">
        <f t="shared" si="15"/>
        <v/>
      </c>
      <c r="AA28" s="188" t="str">
        <f t="shared" si="16"/>
        <v/>
      </c>
      <c r="AB28" s="230"/>
      <c r="AC28" s="226"/>
      <c r="AD28" s="231"/>
      <c r="AE28" s="194" t="str">
        <f t="shared" si="17"/>
        <v/>
      </c>
      <c r="AF28" s="170" t="str">
        <f t="shared" si="18"/>
        <v/>
      </c>
      <c r="AG28" s="188" t="str">
        <f t="shared" si="19"/>
        <v/>
      </c>
      <c r="AH28" s="105"/>
      <c r="AI28" s="106"/>
      <c r="AJ28" s="107"/>
      <c r="AK28" s="90" t="str">
        <f t="shared" si="3"/>
        <v/>
      </c>
      <c r="AL28" s="91" t="str">
        <f t="shared" si="4"/>
        <v/>
      </c>
      <c r="AM28" s="93" t="str">
        <f t="shared" si="5"/>
        <v/>
      </c>
      <c r="AN28" s="162"/>
      <c r="AO28" s="107"/>
      <c r="AP28" s="163"/>
      <c r="AQ28" s="157" t="str">
        <f t="shared" si="6"/>
        <v/>
      </c>
      <c r="AR28" s="91" t="str">
        <f t="shared" si="7"/>
        <v/>
      </c>
      <c r="AS28" s="93" t="str">
        <f t="shared" si="8"/>
        <v/>
      </c>
      <c r="AT28" s="90" t="str">
        <f t="shared" si="9"/>
        <v/>
      </c>
      <c r="AU28" s="92" t="str">
        <f t="shared" si="10"/>
        <v/>
      </c>
      <c r="AV28" s="94" t="str">
        <f t="shared" si="20"/>
        <v/>
      </c>
      <c r="AW28" s="95" t="str">
        <f>IF(C28="","",IFERROR(_xlfn.XLOOKUP(AV28,HELPER!$C$8:$C$48,HELPER!$D$8:$D$48,,1),""))</f>
        <v/>
      </c>
      <c r="AX28" s="96" t="str">
        <f>IF(C28="","",IFERROR(_xlfn.XLOOKUP(AW28,HELPER!$F$8:$F$48,HELPER!$G$8:$G$48,,1),""))</f>
        <v/>
      </c>
      <c r="AY28" s="168"/>
      <c r="AZ28" s="148"/>
    </row>
    <row r="29" spans="1:52" ht="15" customHeight="1" x14ac:dyDescent="0.25">
      <c r="A29" s="168"/>
      <c r="B29" s="104">
        <v>11</v>
      </c>
      <c r="C29" s="355" t="str">
        <f>IF('INPUT DATA'!K21="","",'INPUT DATA'!K21)</f>
        <v/>
      </c>
      <c r="D29" s="356"/>
      <c r="E29" s="356"/>
      <c r="F29" s="243"/>
      <c r="G29" s="244"/>
      <c r="H29" s="244"/>
      <c r="I29" s="244"/>
      <c r="J29" s="245"/>
      <c r="K29" s="194" t="str">
        <f t="shared" si="11"/>
        <v/>
      </c>
      <c r="L29" s="170" t="str">
        <f t="shared" si="12"/>
        <v/>
      </c>
      <c r="M29" s="188" t="str">
        <f t="shared" si="13"/>
        <v/>
      </c>
      <c r="N29" s="99"/>
      <c r="O29" s="106"/>
      <c r="P29" s="106"/>
      <c r="Q29" s="106"/>
      <c r="R29" s="107"/>
      <c r="S29" s="217" t="str">
        <f t="shared" si="0"/>
        <v/>
      </c>
      <c r="T29" s="91" t="str">
        <f t="shared" si="1"/>
        <v/>
      </c>
      <c r="U29" s="218" t="str">
        <f t="shared" si="2"/>
        <v/>
      </c>
      <c r="V29" s="230"/>
      <c r="W29" s="226"/>
      <c r="X29" s="236"/>
      <c r="Y29" s="194" t="str">
        <f t="shared" si="14"/>
        <v/>
      </c>
      <c r="Z29" s="170" t="str">
        <f t="shared" si="15"/>
        <v/>
      </c>
      <c r="AA29" s="188" t="str">
        <f t="shared" si="16"/>
        <v/>
      </c>
      <c r="AB29" s="230"/>
      <c r="AC29" s="226"/>
      <c r="AD29" s="231"/>
      <c r="AE29" s="194" t="str">
        <f t="shared" si="17"/>
        <v/>
      </c>
      <c r="AF29" s="170" t="str">
        <f t="shared" si="18"/>
        <v/>
      </c>
      <c r="AG29" s="188" t="str">
        <f t="shared" si="19"/>
        <v/>
      </c>
      <c r="AH29" s="105"/>
      <c r="AI29" s="106"/>
      <c r="AJ29" s="107"/>
      <c r="AK29" s="90" t="str">
        <f t="shared" si="3"/>
        <v/>
      </c>
      <c r="AL29" s="91" t="str">
        <f t="shared" si="4"/>
        <v/>
      </c>
      <c r="AM29" s="93" t="str">
        <f t="shared" si="5"/>
        <v/>
      </c>
      <c r="AN29" s="162"/>
      <c r="AO29" s="107"/>
      <c r="AP29" s="163"/>
      <c r="AQ29" s="157" t="str">
        <f t="shared" si="6"/>
        <v/>
      </c>
      <c r="AR29" s="91" t="str">
        <f t="shared" si="7"/>
        <v/>
      </c>
      <c r="AS29" s="93" t="str">
        <f t="shared" si="8"/>
        <v/>
      </c>
      <c r="AT29" s="90" t="str">
        <f t="shared" si="9"/>
        <v/>
      </c>
      <c r="AU29" s="92" t="str">
        <f t="shared" si="10"/>
        <v/>
      </c>
      <c r="AV29" s="94" t="str">
        <f t="shared" si="20"/>
        <v/>
      </c>
      <c r="AW29" s="95" t="str">
        <f>IF(C29="","",IFERROR(_xlfn.XLOOKUP(AV29,HELPER!$C$8:$C$48,HELPER!$D$8:$D$48,,1),""))</f>
        <v/>
      </c>
      <c r="AX29" s="96" t="str">
        <f>IF(C29="","",IFERROR(_xlfn.XLOOKUP(AW29,HELPER!$F$8:$F$48,HELPER!$G$8:$G$48,,1),""))</f>
        <v/>
      </c>
      <c r="AY29" s="168"/>
      <c r="AZ29" s="148"/>
    </row>
    <row r="30" spans="1:52" ht="15" customHeight="1" x14ac:dyDescent="0.25">
      <c r="A30" s="168"/>
      <c r="B30" s="104">
        <v>12</v>
      </c>
      <c r="C30" s="355" t="str">
        <f>IF('INPUT DATA'!K22="","",'INPUT DATA'!K22)</f>
        <v/>
      </c>
      <c r="D30" s="356"/>
      <c r="E30" s="356"/>
      <c r="F30" s="243"/>
      <c r="G30" s="244"/>
      <c r="H30" s="244"/>
      <c r="I30" s="244"/>
      <c r="J30" s="245"/>
      <c r="K30" s="194" t="str">
        <f t="shared" si="11"/>
        <v/>
      </c>
      <c r="L30" s="170" t="str">
        <f t="shared" si="12"/>
        <v/>
      </c>
      <c r="M30" s="188" t="str">
        <f t="shared" si="13"/>
        <v/>
      </c>
      <c r="N30" s="99"/>
      <c r="O30" s="106"/>
      <c r="P30" s="106"/>
      <c r="Q30" s="106"/>
      <c r="R30" s="107"/>
      <c r="S30" s="217" t="str">
        <f t="shared" si="0"/>
        <v/>
      </c>
      <c r="T30" s="91" t="str">
        <f t="shared" si="1"/>
        <v/>
      </c>
      <c r="U30" s="218" t="str">
        <f t="shared" si="2"/>
        <v/>
      </c>
      <c r="V30" s="230"/>
      <c r="W30" s="226"/>
      <c r="X30" s="236"/>
      <c r="Y30" s="194" t="str">
        <f t="shared" si="14"/>
        <v/>
      </c>
      <c r="Z30" s="170" t="str">
        <f t="shared" si="15"/>
        <v/>
      </c>
      <c r="AA30" s="188" t="str">
        <f t="shared" si="16"/>
        <v/>
      </c>
      <c r="AB30" s="230"/>
      <c r="AC30" s="226"/>
      <c r="AD30" s="231"/>
      <c r="AE30" s="194" t="str">
        <f t="shared" si="17"/>
        <v/>
      </c>
      <c r="AF30" s="170" t="str">
        <f t="shared" si="18"/>
        <v/>
      </c>
      <c r="AG30" s="188" t="str">
        <f t="shared" si="19"/>
        <v/>
      </c>
      <c r="AH30" s="105"/>
      <c r="AI30" s="106"/>
      <c r="AJ30" s="107"/>
      <c r="AK30" s="90" t="str">
        <f t="shared" si="3"/>
        <v/>
      </c>
      <c r="AL30" s="91" t="str">
        <f t="shared" si="4"/>
        <v/>
      </c>
      <c r="AM30" s="93" t="str">
        <f t="shared" si="5"/>
        <v/>
      </c>
      <c r="AN30" s="162"/>
      <c r="AO30" s="107"/>
      <c r="AP30" s="163"/>
      <c r="AQ30" s="157" t="str">
        <f t="shared" si="6"/>
        <v/>
      </c>
      <c r="AR30" s="91" t="str">
        <f t="shared" si="7"/>
        <v/>
      </c>
      <c r="AS30" s="93" t="str">
        <f t="shared" si="8"/>
        <v/>
      </c>
      <c r="AT30" s="90" t="str">
        <f t="shared" si="9"/>
        <v/>
      </c>
      <c r="AU30" s="92" t="str">
        <f t="shared" si="10"/>
        <v/>
      </c>
      <c r="AV30" s="94" t="str">
        <f t="shared" si="20"/>
        <v/>
      </c>
      <c r="AW30" s="95" t="str">
        <f>IF(C30="","",IFERROR(_xlfn.XLOOKUP(AV30,HELPER!$C$8:$C$48,HELPER!$D$8:$D$48,,1),""))</f>
        <v/>
      </c>
      <c r="AX30" s="96" t="str">
        <f>IF(C30="","",IFERROR(_xlfn.XLOOKUP(AW30,HELPER!$F$8:$F$48,HELPER!$G$8:$G$48,,1),""))</f>
        <v/>
      </c>
      <c r="AY30" s="168"/>
      <c r="AZ30" s="148"/>
    </row>
    <row r="31" spans="1:52" ht="15" customHeight="1" x14ac:dyDescent="0.25">
      <c r="A31" s="168"/>
      <c r="B31" s="104">
        <v>13</v>
      </c>
      <c r="C31" s="355" t="str">
        <f>IF('INPUT DATA'!K23="","",'INPUT DATA'!K23)</f>
        <v/>
      </c>
      <c r="D31" s="356"/>
      <c r="E31" s="356"/>
      <c r="F31" s="243"/>
      <c r="G31" s="244"/>
      <c r="H31" s="244"/>
      <c r="I31" s="244"/>
      <c r="J31" s="245"/>
      <c r="K31" s="194" t="str">
        <f t="shared" si="11"/>
        <v/>
      </c>
      <c r="L31" s="170" t="str">
        <f t="shared" si="12"/>
        <v/>
      </c>
      <c r="M31" s="188" t="str">
        <f t="shared" si="13"/>
        <v/>
      </c>
      <c r="N31" s="99"/>
      <c r="O31" s="106"/>
      <c r="P31" s="106"/>
      <c r="Q31" s="106"/>
      <c r="R31" s="107"/>
      <c r="S31" s="217" t="str">
        <f t="shared" si="0"/>
        <v/>
      </c>
      <c r="T31" s="91" t="str">
        <f t="shared" si="1"/>
        <v/>
      </c>
      <c r="U31" s="218" t="str">
        <f t="shared" si="2"/>
        <v/>
      </c>
      <c r="V31" s="230"/>
      <c r="W31" s="226"/>
      <c r="X31" s="236"/>
      <c r="Y31" s="194" t="str">
        <f t="shared" si="14"/>
        <v/>
      </c>
      <c r="Z31" s="170" t="str">
        <f t="shared" si="15"/>
        <v/>
      </c>
      <c r="AA31" s="188" t="str">
        <f t="shared" si="16"/>
        <v/>
      </c>
      <c r="AB31" s="230"/>
      <c r="AC31" s="226"/>
      <c r="AD31" s="231"/>
      <c r="AE31" s="194" t="str">
        <f t="shared" si="17"/>
        <v/>
      </c>
      <c r="AF31" s="170" t="str">
        <f t="shared" si="18"/>
        <v/>
      </c>
      <c r="AG31" s="188" t="str">
        <f t="shared" si="19"/>
        <v/>
      </c>
      <c r="AH31" s="105"/>
      <c r="AI31" s="106"/>
      <c r="AJ31" s="107"/>
      <c r="AK31" s="90" t="str">
        <f t="shared" si="3"/>
        <v/>
      </c>
      <c r="AL31" s="91" t="str">
        <f t="shared" si="4"/>
        <v/>
      </c>
      <c r="AM31" s="93" t="str">
        <f t="shared" si="5"/>
        <v/>
      </c>
      <c r="AN31" s="162"/>
      <c r="AO31" s="107"/>
      <c r="AP31" s="163"/>
      <c r="AQ31" s="157" t="str">
        <f t="shared" si="6"/>
        <v/>
      </c>
      <c r="AR31" s="91" t="str">
        <f t="shared" si="7"/>
        <v/>
      </c>
      <c r="AS31" s="93" t="str">
        <f t="shared" si="8"/>
        <v/>
      </c>
      <c r="AT31" s="90" t="str">
        <f t="shared" si="9"/>
        <v/>
      </c>
      <c r="AU31" s="92" t="str">
        <f t="shared" si="10"/>
        <v/>
      </c>
      <c r="AV31" s="94" t="str">
        <f t="shared" si="20"/>
        <v/>
      </c>
      <c r="AW31" s="95" t="str">
        <f>IF(C31="","",IFERROR(_xlfn.XLOOKUP(AV31,HELPER!$C$8:$C$48,HELPER!$D$8:$D$48,,1),""))</f>
        <v/>
      </c>
      <c r="AX31" s="96" t="str">
        <f>IF(C31="","",IFERROR(_xlfn.XLOOKUP(AW31,HELPER!$F$8:$F$48,HELPER!$G$8:$G$48,,1),""))</f>
        <v/>
      </c>
      <c r="AY31" s="168"/>
      <c r="AZ31" s="148"/>
    </row>
    <row r="32" spans="1:52" ht="15" customHeight="1" x14ac:dyDescent="0.25">
      <c r="A32" s="168"/>
      <c r="B32" s="104">
        <v>14</v>
      </c>
      <c r="C32" s="355" t="str">
        <f>IF('INPUT DATA'!K24="","",'INPUT DATA'!K24)</f>
        <v/>
      </c>
      <c r="D32" s="356"/>
      <c r="E32" s="356"/>
      <c r="F32" s="243"/>
      <c r="G32" s="244"/>
      <c r="H32" s="244"/>
      <c r="I32" s="244"/>
      <c r="J32" s="245"/>
      <c r="K32" s="194" t="str">
        <f t="shared" si="11"/>
        <v/>
      </c>
      <c r="L32" s="170" t="str">
        <f t="shared" si="12"/>
        <v/>
      </c>
      <c r="M32" s="188" t="str">
        <f t="shared" si="13"/>
        <v/>
      </c>
      <c r="N32" s="99"/>
      <c r="O32" s="106"/>
      <c r="P32" s="106"/>
      <c r="Q32" s="106"/>
      <c r="R32" s="107"/>
      <c r="S32" s="217" t="str">
        <f t="shared" si="0"/>
        <v/>
      </c>
      <c r="T32" s="91" t="str">
        <f t="shared" si="1"/>
        <v/>
      </c>
      <c r="U32" s="218" t="str">
        <f t="shared" si="2"/>
        <v/>
      </c>
      <c r="V32" s="230"/>
      <c r="W32" s="226"/>
      <c r="X32" s="236"/>
      <c r="Y32" s="194" t="str">
        <f t="shared" si="14"/>
        <v/>
      </c>
      <c r="Z32" s="170" t="str">
        <f t="shared" si="15"/>
        <v/>
      </c>
      <c r="AA32" s="188" t="str">
        <f t="shared" si="16"/>
        <v/>
      </c>
      <c r="AB32" s="230"/>
      <c r="AC32" s="226"/>
      <c r="AD32" s="231"/>
      <c r="AE32" s="194" t="str">
        <f t="shared" si="17"/>
        <v/>
      </c>
      <c r="AF32" s="170" t="str">
        <f t="shared" si="18"/>
        <v/>
      </c>
      <c r="AG32" s="188" t="str">
        <f t="shared" si="19"/>
        <v/>
      </c>
      <c r="AH32" s="105"/>
      <c r="AI32" s="106"/>
      <c r="AJ32" s="107"/>
      <c r="AK32" s="90" t="str">
        <f t="shared" si="3"/>
        <v/>
      </c>
      <c r="AL32" s="91" t="str">
        <f t="shared" si="4"/>
        <v/>
      </c>
      <c r="AM32" s="93" t="str">
        <f t="shared" si="5"/>
        <v/>
      </c>
      <c r="AN32" s="162"/>
      <c r="AO32" s="107"/>
      <c r="AP32" s="163"/>
      <c r="AQ32" s="157" t="str">
        <f t="shared" si="6"/>
        <v/>
      </c>
      <c r="AR32" s="91" t="str">
        <f t="shared" si="7"/>
        <v/>
      </c>
      <c r="AS32" s="93" t="str">
        <f t="shared" si="8"/>
        <v/>
      </c>
      <c r="AT32" s="90" t="str">
        <f t="shared" si="9"/>
        <v/>
      </c>
      <c r="AU32" s="92" t="str">
        <f t="shared" si="10"/>
        <v/>
      </c>
      <c r="AV32" s="94" t="str">
        <f t="shared" si="20"/>
        <v/>
      </c>
      <c r="AW32" s="95" t="str">
        <f>IF(C32="","",IFERROR(_xlfn.XLOOKUP(AV32,HELPER!$C$8:$C$48,HELPER!$D$8:$D$48,,1),""))</f>
        <v/>
      </c>
      <c r="AX32" s="96" t="str">
        <f>IF(C32="","",IFERROR(_xlfn.XLOOKUP(AW32,HELPER!$F$8:$F$48,HELPER!$G$8:$G$48,,1),""))</f>
        <v/>
      </c>
      <c r="AY32" s="168"/>
      <c r="AZ32" s="148"/>
    </row>
    <row r="33" spans="1:52" ht="15" customHeight="1" x14ac:dyDescent="0.25">
      <c r="A33" s="168"/>
      <c r="B33" s="104">
        <v>15</v>
      </c>
      <c r="C33" s="355" t="str">
        <f>IF('INPUT DATA'!K25="","",'INPUT DATA'!K25)</f>
        <v/>
      </c>
      <c r="D33" s="356"/>
      <c r="E33" s="356"/>
      <c r="F33" s="243"/>
      <c r="G33" s="244"/>
      <c r="H33" s="244"/>
      <c r="I33" s="244"/>
      <c r="J33" s="245"/>
      <c r="K33" s="194" t="str">
        <f t="shared" si="11"/>
        <v/>
      </c>
      <c r="L33" s="170" t="str">
        <f t="shared" si="12"/>
        <v/>
      </c>
      <c r="M33" s="188" t="str">
        <f t="shared" si="13"/>
        <v/>
      </c>
      <c r="N33" s="99"/>
      <c r="O33" s="106"/>
      <c r="P33" s="106"/>
      <c r="Q33" s="106"/>
      <c r="R33" s="107"/>
      <c r="S33" s="217" t="str">
        <f t="shared" si="0"/>
        <v/>
      </c>
      <c r="T33" s="91" t="str">
        <f t="shared" si="1"/>
        <v/>
      </c>
      <c r="U33" s="218" t="str">
        <f t="shared" si="2"/>
        <v/>
      </c>
      <c r="V33" s="230"/>
      <c r="W33" s="226"/>
      <c r="X33" s="236"/>
      <c r="Y33" s="194" t="str">
        <f t="shared" si="14"/>
        <v/>
      </c>
      <c r="Z33" s="170" t="str">
        <f t="shared" si="15"/>
        <v/>
      </c>
      <c r="AA33" s="188" t="str">
        <f t="shared" si="16"/>
        <v/>
      </c>
      <c r="AB33" s="230"/>
      <c r="AC33" s="226"/>
      <c r="AD33" s="231"/>
      <c r="AE33" s="194" t="str">
        <f t="shared" si="17"/>
        <v/>
      </c>
      <c r="AF33" s="170" t="str">
        <f t="shared" si="18"/>
        <v/>
      </c>
      <c r="AG33" s="188" t="str">
        <f t="shared" si="19"/>
        <v/>
      </c>
      <c r="AH33" s="105"/>
      <c r="AI33" s="106"/>
      <c r="AJ33" s="107"/>
      <c r="AK33" s="90" t="str">
        <f t="shared" si="3"/>
        <v/>
      </c>
      <c r="AL33" s="91" t="str">
        <f t="shared" si="4"/>
        <v/>
      </c>
      <c r="AM33" s="93" t="str">
        <f t="shared" si="5"/>
        <v/>
      </c>
      <c r="AN33" s="162"/>
      <c r="AO33" s="107"/>
      <c r="AP33" s="163"/>
      <c r="AQ33" s="157" t="str">
        <f t="shared" si="6"/>
        <v/>
      </c>
      <c r="AR33" s="91" t="str">
        <f t="shared" si="7"/>
        <v/>
      </c>
      <c r="AS33" s="93" t="str">
        <f t="shared" si="8"/>
        <v/>
      </c>
      <c r="AT33" s="90" t="str">
        <f t="shared" si="9"/>
        <v/>
      </c>
      <c r="AU33" s="92" t="str">
        <f t="shared" si="10"/>
        <v/>
      </c>
      <c r="AV33" s="94" t="str">
        <f t="shared" si="20"/>
        <v/>
      </c>
      <c r="AW33" s="95" t="str">
        <f>IF(C33="","",IFERROR(_xlfn.XLOOKUP(AV33,HELPER!$C$8:$C$48,HELPER!$D$8:$D$48,,1),""))</f>
        <v/>
      </c>
      <c r="AX33" s="96" t="str">
        <f>IF(C33="","",IFERROR(_xlfn.XLOOKUP(AW33,HELPER!$F$8:$F$48,HELPER!$G$8:$G$48,,1),""))</f>
        <v/>
      </c>
      <c r="AY33" s="168"/>
      <c r="AZ33" s="148"/>
    </row>
    <row r="34" spans="1:52" ht="15" customHeight="1" x14ac:dyDescent="0.25">
      <c r="A34" s="168"/>
      <c r="B34" s="104">
        <v>16</v>
      </c>
      <c r="C34" s="355" t="str">
        <f>IF('INPUT DATA'!K26="","",'INPUT DATA'!K26)</f>
        <v/>
      </c>
      <c r="D34" s="356"/>
      <c r="E34" s="356"/>
      <c r="F34" s="243"/>
      <c r="G34" s="244"/>
      <c r="H34" s="244"/>
      <c r="I34" s="244"/>
      <c r="J34" s="245"/>
      <c r="K34" s="194" t="str">
        <f t="shared" si="11"/>
        <v/>
      </c>
      <c r="L34" s="170" t="str">
        <f t="shared" si="12"/>
        <v/>
      </c>
      <c r="M34" s="188" t="str">
        <f t="shared" si="13"/>
        <v/>
      </c>
      <c r="N34" s="99"/>
      <c r="O34" s="106"/>
      <c r="P34" s="106"/>
      <c r="Q34" s="106"/>
      <c r="R34" s="107"/>
      <c r="S34" s="217" t="str">
        <f t="shared" si="0"/>
        <v/>
      </c>
      <c r="T34" s="91" t="str">
        <f t="shared" si="1"/>
        <v/>
      </c>
      <c r="U34" s="218" t="str">
        <f t="shared" si="2"/>
        <v/>
      </c>
      <c r="V34" s="230"/>
      <c r="W34" s="226"/>
      <c r="X34" s="236"/>
      <c r="Y34" s="194" t="str">
        <f t="shared" si="14"/>
        <v/>
      </c>
      <c r="Z34" s="170" t="str">
        <f t="shared" si="15"/>
        <v/>
      </c>
      <c r="AA34" s="188" t="str">
        <f t="shared" si="16"/>
        <v/>
      </c>
      <c r="AB34" s="230"/>
      <c r="AC34" s="226"/>
      <c r="AD34" s="231"/>
      <c r="AE34" s="194" t="str">
        <f t="shared" si="17"/>
        <v/>
      </c>
      <c r="AF34" s="170" t="str">
        <f t="shared" si="18"/>
        <v/>
      </c>
      <c r="AG34" s="188" t="str">
        <f t="shared" si="19"/>
        <v/>
      </c>
      <c r="AH34" s="105"/>
      <c r="AI34" s="106"/>
      <c r="AJ34" s="107"/>
      <c r="AK34" s="90" t="str">
        <f t="shared" si="3"/>
        <v/>
      </c>
      <c r="AL34" s="91" t="str">
        <f t="shared" si="4"/>
        <v/>
      </c>
      <c r="AM34" s="93" t="str">
        <f t="shared" si="5"/>
        <v/>
      </c>
      <c r="AN34" s="162"/>
      <c r="AO34" s="107"/>
      <c r="AP34" s="163"/>
      <c r="AQ34" s="157" t="str">
        <f t="shared" si="6"/>
        <v/>
      </c>
      <c r="AR34" s="91" t="str">
        <f t="shared" si="7"/>
        <v/>
      </c>
      <c r="AS34" s="93" t="str">
        <f t="shared" si="8"/>
        <v/>
      </c>
      <c r="AT34" s="90" t="str">
        <f t="shared" si="9"/>
        <v/>
      </c>
      <c r="AU34" s="92" t="str">
        <f t="shared" si="10"/>
        <v/>
      </c>
      <c r="AV34" s="94" t="str">
        <f t="shared" si="20"/>
        <v/>
      </c>
      <c r="AW34" s="95" t="str">
        <f>IF(C34="","",IFERROR(_xlfn.XLOOKUP(AV34,HELPER!$C$8:$C$48,HELPER!$D$8:$D$48,,1),""))</f>
        <v/>
      </c>
      <c r="AX34" s="96" t="str">
        <f>IF(C34="","",IFERROR(_xlfn.XLOOKUP(AW34,HELPER!$F$8:$F$48,HELPER!$G$8:$G$48,,1),""))</f>
        <v/>
      </c>
      <c r="AY34" s="168"/>
      <c r="AZ34" s="148"/>
    </row>
    <row r="35" spans="1:52" ht="15" customHeight="1" x14ac:dyDescent="0.25">
      <c r="A35" s="168"/>
      <c r="B35" s="104">
        <v>17</v>
      </c>
      <c r="C35" s="355" t="str">
        <f>IF('INPUT DATA'!K27="","",'INPUT DATA'!K27)</f>
        <v/>
      </c>
      <c r="D35" s="356"/>
      <c r="E35" s="356"/>
      <c r="F35" s="243"/>
      <c r="G35" s="244"/>
      <c r="H35" s="244"/>
      <c r="I35" s="244"/>
      <c r="J35" s="245"/>
      <c r="K35" s="194" t="str">
        <f t="shared" si="11"/>
        <v/>
      </c>
      <c r="L35" s="170" t="str">
        <f t="shared" si="12"/>
        <v/>
      </c>
      <c r="M35" s="188" t="str">
        <f t="shared" si="13"/>
        <v/>
      </c>
      <c r="N35" s="99"/>
      <c r="O35" s="106"/>
      <c r="P35" s="106"/>
      <c r="Q35" s="106"/>
      <c r="R35" s="107"/>
      <c r="S35" s="217" t="str">
        <f t="shared" si="0"/>
        <v/>
      </c>
      <c r="T35" s="91" t="str">
        <f t="shared" si="1"/>
        <v/>
      </c>
      <c r="U35" s="218" t="str">
        <f t="shared" si="2"/>
        <v/>
      </c>
      <c r="V35" s="230"/>
      <c r="W35" s="226"/>
      <c r="X35" s="236"/>
      <c r="Y35" s="194" t="str">
        <f t="shared" si="14"/>
        <v/>
      </c>
      <c r="Z35" s="170" t="str">
        <f t="shared" si="15"/>
        <v/>
      </c>
      <c r="AA35" s="188" t="str">
        <f t="shared" si="16"/>
        <v/>
      </c>
      <c r="AB35" s="230"/>
      <c r="AC35" s="226"/>
      <c r="AD35" s="231"/>
      <c r="AE35" s="194" t="str">
        <f t="shared" si="17"/>
        <v/>
      </c>
      <c r="AF35" s="170" t="str">
        <f t="shared" si="18"/>
        <v/>
      </c>
      <c r="AG35" s="188" t="str">
        <f t="shared" si="19"/>
        <v/>
      </c>
      <c r="AH35" s="105"/>
      <c r="AI35" s="106"/>
      <c r="AJ35" s="107"/>
      <c r="AK35" s="90" t="str">
        <f t="shared" si="3"/>
        <v/>
      </c>
      <c r="AL35" s="91" t="str">
        <f t="shared" si="4"/>
        <v/>
      </c>
      <c r="AM35" s="93" t="str">
        <f t="shared" si="5"/>
        <v/>
      </c>
      <c r="AN35" s="162"/>
      <c r="AO35" s="107"/>
      <c r="AP35" s="163"/>
      <c r="AQ35" s="157" t="str">
        <f t="shared" si="6"/>
        <v/>
      </c>
      <c r="AR35" s="91" t="str">
        <f t="shared" si="7"/>
        <v/>
      </c>
      <c r="AS35" s="93" t="str">
        <f t="shared" si="8"/>
        <v/>
      </c>
      <c r="AT35" s="90" t="str">
        <f t="shared" si="9"/>
        <v/>
      </c>
      <c r="AU35" s="92" t="str">
        <f t="shared" si="10"/>
        <v/>
      </c>
      <c r="AV35" s="94" t="str">
        <f t="shared" si="20"/>
        <v/>
      </c>
      <c r="AW35" s="95" t="str">
        <f>IF(C35="","",IFERROR(_xlfn.XLOOKUP(AV35,HELPER!$C$8:$C$48,HELPER!$D$8:$D$48,,1),""))</f>
        <v/>
      </c>
      <c r="AX35" s="96" t="str">
        <f>IF(C35="","",IFERROR(_xlfn.XLOOKUP(AW35,HELPER!$F$8:$F$48,HELPER!$G$8:$G$48,,1),""))</f>
        <v/>
      </c>
      <c r="AY35" s="168"/>
      <c r="AZ35" s="148"/>
    </row>
    <row r="36" spans="1:52" ht="15" customHeight="1" x14ac:dyDescent="0.25">
      <c r="A36" s="168"/>
      <c r="B36" s="104">
        <v>18</v>
      </c>
      <c r="C36" s="355" t="str">
        <f>IF('INPUT DATA'!K28="","",'INPUT DATA'!K28)</f>
        <v/>
      </c>
      <c r="D36" s="356"/>
      <c r="E36" s="356"/>
      <c r="F36" s="243"/>
      <c r="G36" s="244"/>
      <c r="H36" s="244"/>
      <c r="I36" s="244"/>
      <c r="J36" s="245"/>
      <c r="K36" s="194" t="str">
        <f t="shared" si="11"/>
        <v/>
      </c>
      <c r="L36" s="170" t="str">
        <f t="shared" si="12"/>
        <v/>
      </c>
      <c r="M36" s="188" t="str">
        <f t="shared" si="13"/>
        <v/>
      </c>
      <c r="N36" s="99"/>
      <c r="O36" s="106"/>
      <c r="P36" s="106"/>
      <c r="Q36" s="106"/>
      <c r="R36" s="107"/>
      <c r="S36" s="217" t="str">
        <f t="shared" si="0"/>
        <v/>
      </c>
      <c r="T36" s="91" t="str">
        <f t="shared" si="1"/>
        <v/>
      </c>
      <c r="U36" s="218" t="str">
        <f t="shared" si="2"/>
        <v/>
      </c>
      <c r="V36" s="230"/>
      <c r="W36" s="226"/>
      <c r="X36" s="236"/>
      <c r="Y36" s="194" t="str">
        <f t="shared" si="14"/>
        <v/>
      </c>
      <c r="Z36" s="170" t="str">
        <f t="shared" si="15"/>
        <v/>
      </c>
      <c r="AA36" s="188" t="str">
        <f t="shared" si="16"/>
        <v/>
      </c>
      <c r="AB36" s="230"/>
      <c r="AC36" s="226"/>
      <c r="AD36" s="231"/>
      <c r="AE36" s="194" t="str">
        <f t="shared" si="17"/>
        <v/>
      </c>
      <c r="AF36" s="170" t="str">
        <f t="shared" si="18"/>
        <v/>
      </c>
      <c r="AG36" s="188" t="str">
        <f t="shared" si="19"/>
        <v/>
      </c>
      <c r="AH36" s="105"/>
      <c r="AI36" s="106"/>
      <c r="AJ36" s="107"/>
      <c r="AK36" s="90" t="str">
        <f t="shared" si="3"/>
        <v/>
      </c>
      <c r="AL36" s="91" t="str">
        <f t="shared" si="4"/>
        <v/>
      </c>
      <c r="AM36" s="93" t="str">
        <f t="shared" si="5"/>
        <v/>
      </c>
      <c r="AN36" s="162"/>
      <c r="AO36" s="107"/>
      <c r="AP36" s="163"/>
      <c r="AQ36" s="157" t="str">
        <f t="shared" si="6"/>
        <v/>
      </c>
      <c r="AR36" s="91" t="str">
        <f t="shared" si="7"/>
        <v/>
      </c>
      <c r="AS36" s="93" t="str">
        <f t="shared" si="8"/>
        <v/>
      </c>
      <c r="AT36" s="90" t="str">
        <f t="shared" si="9"/>
        <v/>
      </c>
      <c r="AU36" s="92" t="str">
        <f t="shared" si="10"/>
        <v/>
      </c>
      <c r="AV36" s="94" t="str">
        <f t="shared" si="20"/>
        <v/>
      </c>
      <c r="AW36" s="95" t="str">
        <f>IF(C36="","",IFERROR(_xlfn.XLOOKUP(AV36,HELPER!$C$8:$C$48,HELPER!$D$8:$D$48,,1),""))</f>
        <v/>
      </c>
      <c r="AX36" s="96" t="str">
        <f>IF(C36="","",IFERROR(_xlfn.XLOOKUP(AW36,HELPER!$F$8:$F$48,HELPER!$G$8:$G$48,,1),""))</f>
        <v/>
      </c>
      <c r="AY36" s="168"/>
      <c r="AZ36" s="148"/>
    </row>
    <row r="37" spans="1:52" ht="15" customHeight="1" x14ac:dyDescent="0.25">
      <c r="A37" s="168"/>
      <c r="B37" s="104">
        <v>19</v>
      </c>
      <c r="C37" s="355" t="str">
        <f>IF('INPUT DATA'!K29="","",'INPUT DATA'!K29)</f>
        <v/>
      </c>
      <c r="D37" s="356"/>
      <c r="E37" s="356"/>
      <c r="F37" s="243"/>
      <c r="G37" s="244"/>
      <c r="H37" s="244"/>
      <c r="I37" s="244"/>
      <c r="J37" s="245"/>
      <c r="K37" s="194" t="str">
        <f t="shared" si="11"/>
        <v/>
      </c>
      <c r="L37" s="170" t="str">
        <f t="shared" si="12"/>
        <v/>
      </c>
      <c r="M37" s="188" t="str">
        <f t="shared" si="13"/>
        <v/>
      </c>
      <c r="N37" s="99"/>
      <c r="O37" s="106"/>
      <c r="P37" s="106"/>
      <c r="Q37" s="106"/>
      <c r="R37" s="107"/>
      <c r="S37" s="217" t="str">
        <f t="shared" si="0"/>
        <v/>
      </c>
      <c r="T37" s="91" t="str">
        <f t="shared" si="1"/>
        <v/>
      </c>
      <c r="U37" s="218" t="str">
        <f t="shared" si="2"/>
        <v/>
      </c>
      <c r="V37" s="230"/>
      <c r="W37" s="226"/>
      <c r="X37" s="236"/>
      <c r="Y37" s="194" t="str">
        <f t="shared" si="14"/>
        <v/>
      </c>
      <c r="Z37" s="170" t="str">
        <f t="shared" si="15"/>
        <v/>
      </c>
      <c r="AA37" s="188" t="str">
        <f t="shared" si="16"/>
        <v/>
      </c>
      <c r="AB37" s="230"/>
      <c r="AC37" s="226"/>
      <c r="AD37" s="231"/>
      <c r="AE37" s="194" t="str">
        <f t="shared" si="17"/>
        <v/>
      </c>
      <c r="AF37" s="170" t="str">
        <f t="shared" si="18"/>
        <v/>
      </c>
      <c r="AG37" s="188" t="str">
        <f t="shared" si="19"/>
        <v/>
      </c>
      <c r="AH37" s="105"/>
      <c r="AI37" s="106"/>
      <c r="AJ37" s="107"/>
      <c r="AK37" s="90" t="str">
        <f t="shared" si="3"/>
        <v/>
      </c>
      <c r="AL37" s="91" t="str">
        <f t="shared" si="4"/>
        <v/>
      </c>
      <c r="AM37" s="93" t="str">
        <f t="shared" si="5"/>
        <v/>
      </c>
      <c r="AN37" s="162"/>
      <c r="AO37" s="107"/>
      <c r="AP37" s="163"/>
      <c r="AQ37" s="157" t="str">
        <f t="shared" si="6"/>
        <v/>
      </c>
      <c r="AR37" s="91" t="str">
        <f t="shared" si="7"/>
        <v/>
      </c>
      <c r="AS37" s="93" t="str">
        <f t="shared" si="8"/>
        <v/>
      </c>
      <c r="AT37" s="90" t="str">
        <f t="shared" si="9"/>
        <v/>
      </c>
      <c r="AU37" s="92" t="str">
        <f t="shared" si="10"/>
        <v/>
      </c>
      <c r="AV37" s="94" t="str">
        <f t="shared" si="20"/>
        <v/>
      </c>
      <c r="AW37" s="95" t="str">
        <f>IF(C37="","",IFERROR(_xlfn.XLOOKUP(AV37,HELPER!$C$8:$C$48,HELPER!$D$8:$D$48,,1),""))</f>
        <v/>
      </c>
      <c r="AX37" s="96" t="str">
        <f>IF(C37="","",IFERROR(_xlfn.XLOOKUP(AW37,HELPER!$F$8:$F$48,HELPER!$G$8:$G$48,,1),""))</f>
        <v/>
      </c>
      <c r="AY37" s="168"/>
      <c r="AZ37" s="148"/>
    </row>
    <row r="38" spans="1:52" ht="15" customHeight="1" x14ac:dyDescent="0.25">
      <c r="A38" s="168"/>
      <c r="B38" s="108">
        <v>20</v>
      </c>
      <c r="C38" s="355" t="str">
        <f>IF('INPUT DATA'!K30="","",'INPUT DATA'!K30)</f>
        <v/>
      </c>
      <c r="D38" s="356"/>
      <c r="E38" s="356"/>
      <c r="F38" s="243"/>
      <c r="G38" s="244"/>
      <c r="H38" s="244"/>
      <c r="I38" s="244"/>
      <c r="J38" s="245"/>
      <c r="K38" s="194" t="str">
        <f t="shared" si="11"/>
        <v/>
      </c>
      <c r="L38" s="170" t="str">
        <f t="shared" si="12"/>
        <v/>
      </c>
      <c r="M38" s="188" t="str">
        <f t="shared" si="13"/>
        <v/>
      </c>
      <c r="N38" s="99"/>
      <c r="O38" s="106"/>
      <c r="P38" s="106"/>
      <c r="Q38" s="106"/>
      <c r="R38" s="107"/>
      <c r="S38" s="217" t="str">
        <f t="shared" si="0"/>
        <v/>
      </c>
      <c r="T38" s="91" t="str">
        <f t="shared" si="1"/>
        <v/>
      </c>
      <c r="U38" s="218" t="str">
        <f t="shared" si="2"/>
        <v/>
      </c>
      <c r="V38" s="230"/>
      <c r="W38" s="226"/>
      <c r="X38" s="236"/>
      <c r="Y38" s="194" t="str">
        <f t="shared" si="14"/>
        <v/>
      </c>
      <c r="Z38" s="170" t="str">
        <f t="shared" si="15"/>
        <v/>
      </c>
      <c r="AA38" s="188" t="str">
        <f t="shared" si="16"/>
        <v/>
      </c>
      <c r="AB38" s="230"/>
      <c r="AC38" s="226"/>
      <c r="AD38" s="231"/>
      <c r="AE38" s="194" t="str">
        <f t="shared" si="17"/>
        <v/>
      </c>
      <c r="AF38" s="170" t="str">
        <f t="shared" si="18"/>
        <v/>
      </c>
      <c r="AG38" s="188" t="str">
        <f t="shared" si="19"/>
        <v/>
      </c>
      <c r="AH38" s="105"/>
      <c r="AI38" s="106"/>
      <c r="AJ38" s="107"/>
      <c r="AK38" s="90" t="str">
        <f t="shared" si="3"/>
        <v/>
      </c>
      <c r="AL38" s="91" t="str">
        <f t="shared" si="4"/>
        <v/>
      </c>
      <c r="AM38" s="93" t="str">
        <f t="shared" si="5"/>
        <v/>
      </c>
      <c r="AN38" s="162"/>
      <c r="AO38" s="107"/>
      <c r="AP38" s="163"/>
      <c r="AQ38" s="157" t="str">
        <f t="shared" si="6"/>
        <v/>
      </c>
      <c r="AR38" s="91" t="str">
        <f t="shared" si="7"/>
        <v/>
      </c>
      <c r="AS38" s="93" t="str">
        <f t="shared" si="8"/>
        <v/>
      </c>
      <c r="AT38" s="90" t="str">
        <f t="shared" si="9"/>
        <v/>
      </c>
      <c r="AU38" s="92" t="str">
        <f t="shared" si="10"/>
        <v/>
      </c>
      <c r="AV38" s="94" t="str">
        <f t="shared" si="20"/>
        <v/>
      </c>
      <c r="AW38" s="95" t="str">
        <f>IF(C38="","",IFERROR(_xlfn.XLOOKUP(AV38,HELPER!$C$8:$C$48,HELPER!$D$8:$D$48,,1),""))</f>
        <v/>
      </c>
      <c r="AX38" s="96" t="str">
        <f>IF(C38="","",IFERROR(_xlfn.XLOOKUP(AW38,HELPER!$F$8:$F$48,HELPER!$G$8:$G$48,,1),""))</f>
        <v/>
      </c>
      <c r="AY38" s="168"/>
      <c r="AZ38" s="148"/>
    </row>
    <row r="39" spans="1:52" ht="15" customHeight="1" x14ac:dyDescent="0.25">
      <c r="A39" s="168"/>
      <c r="B39" s="108">
        <v>21</v>
      </c>
      <c r="C39" s="355" t="str">
        <f>IF('INPUT DATA'!K31="","",'INPUT DATA'!K31)</f>
        <v/>
      </c>
      <c r="D39" s="356"/>
      <c r="E39" s="356"/>
      <c r="F39" s="243"/>
      <c r="G39" s="244"/>
      <c r="H39" s="244"/>
      <c r="I39" s="244"/>
      <c r="J39" s="245"/>
      <c r="K39" s="194" t="str">
        <f t="shared" si="11"/>
        <v/>
      </c>
      <c r="L39" s="170" t="str">
        <f t="shared" si="12"/>
        <v/>
      </c>
      <c r="M39" s="188" t="str">
        <f t="shared" si="13"/>
        <v/>
      </c>
      <c r="N39" s="99"/>
      <c r="O39" s="106"/>
      <c r="P39" s="106"/>
      <c r="Q39" s="106"/>
      <c r="R39" s="107"/>
      <c r="S39" s="217" t="str">
        <f t="shared" si="0"/>
        <v/>
      </c>
      <c r="T39" s="91" t="str">
        <f t="shared" si="1"/>
        <v/>
      </c>
      <c r="U39" s="218" t="str">
        <f t="shared" si="2"/>
        <v/>
      </c>
      <c r="V39" s="230"/>
      <c r="W39" s="226"/>
      <c r="X39" s="236"/>
      <c r="Y39" s="194" t="str">
        <f t="shared" si="14"/>
        <v/>
      </c>
      <c r="Z39" s="170" t="str">
        <f t="shared" si="15"/>
        <v/>
      </c>
      <c r="AA39" s="188" t="str">
        <f t="shared" si="16"/>
        <v/>
      </c>
      <c r="AB39" s="230"/>
      <c r="AC39" s="226"/>
      <c r="AD39" s="231"/>
      <c r="AE39" s="194" t="str">
        <f t="shared" si="17"/>
        <v/>
      </c>
      <c r="AF39" s="170" t="str">
        <f t="shared" si="18"/>
        <v/>
      </c>
      <c r="AG39" s="188" t="str">
        <f t="shared" si="19"/>
        <v/>
      </c>
      <c r="AH39" s="105"/>
      <c r="AI39" s="106"/>
      <c r="AJ39" s="107"/>
      <c r="AK39" s="90" t="str">
        <f t="shared" si="3"/>
        <v/>
      </c>
      <c r="AL39" s="91" t="str">
        <f t="shared" si="4"/>
        <v/>
      </c>
      <c r="AM39" s="93" t="str">
        <f t="shared" si="5"/>
        <v/>
      </c>
      <c r="AN39" s="162"/>
      <c r="AO39" s="107"/>
      <c r="AP39" s="163"/>
      <c r="AQ39" s="157" t="str">
        <f t="shared" si="6"/>
        <v/>
      </c>
      <c r="AR39" s="91" t="str">
        <f t="shared" si="7"/>
        <v/>
      </c>
      <c r="AS39" s="93" t="str">
        <f t="shared" si="8"/>
        <v/>
      </c>
      <c r="AT39" s="90" t="str">
        <f t="shared" si="9"/>
        <v/>
      </c>
      <c r="AU39" s="92" t="str">
        <f t="shared" si="10"/>
        <v/>
      </c>
      <c r="AV39" s="94" t="str">
        <f t="shared" si="20"/>
        <v/>
      </c>
      <c r="AW39" s="95" t="str">
        <f>IF(C39="","",IFERROR(_xlfn.XLOOKUP(AV39,HELPER!$C$8:$C$48,HELPER!$D$8:$D$48,,1),""))</f>
        <v/>
      </c>
      <c r="AX39" s="96" t="str">
        <f>IF(C39="","",IFERROR(_xlfn.XLOOKUP(AW39,HELPER!$F$8:$F$48,HELPER!$G$8:$G$48,,1),""))</f>
        <v/>
      </c>
      <c r="AY39" s="168"/>
      <c r="AZ39" s="148"/>
    </row>
    <row r="40" spans="1:52" ht="15" customHeight="1" x14ac:dyDescent="0.25">
      <c r="A40" s="168"/>
      <c r="B40" s="108">
        <v>22</v>
      </c>
      <c r="C40" s="355" t="str">
        <f>IF('INPUT DATA'!K32="","",'INPUT DATA'!K32)</f>
        <v/>
      </c>
      <c r="D40" s="356"/>
      <c r="E40" s="356"/>
      <c r="F40" s="243"/>
      <c r="G40" s="244"/>
      <c r="H40" s="244"/>
      <c r="I40" s="244"/>
      <c r="J40" s="245"/>
      <c r="K40" s="194" t="str">
        <f t="shared" si="11"/>
        <v/>
      </c>
      <c r="L40" s="170" t="str">
        <f t="shared" si="12"/>
        <v/>
      </c>
      <c r="M40" s="188" t="str">
        <f t="shared" si="13"/>
        <v/>
      </c>
      <c r="N40" s="99"/>
      <c r="O40" s="106"/>
      <c r="P40" s="106"/>
      <c r="Q40" s="106"/>
      <c r="R40" s="107"/>
      <c r="S40" s="217" t="str">
        <f t="shared" si="0"/>
        <v/>
      </c>
      <c r="T40" s="91" t="str">
        <f t="shared" si="1"/>
        <v/>
      </c>
      <c r="U40" s="218" t="str">
        <f t="shared" si="2"/>
        <v/>
      </c>
      <c r="V40" s="230"/>
      <c r="W40" s="226"/>
      <c r="X40" s="236"/>
      <c r="Y40" s="194" t="str">
        <f t="shared" si="14"/>
        <v/>
      </c>
      <c r="Z40" s="170" t="str">
        <f t="shared" si="15"/>
        <v/>
      </c>
      <c r="AA40" s="188" t="str">
        <f t="shared" si="16"/>
        <v/>
      </c>
      <c r="AB40" s="230"/>
      <c r="AC40" s="226"/>
      <c r="AD40" s="231"/>
      <c r="AE40" s="194" t="str">
        <f t="shared" si="17"/>
        <v/>
      </c>
      <c r="AF40" s="170" t="str">
        <f t="shared" si="18"/>
        <v/>
      </c>
      <c r="AG40" s="188" t="str">
        <f t="shared" si="19"/>
        <v/>
      </c>
      <c r="AH40" s="105"/>
      <c r="AI40" s="106"/>
      <c r="AJ40" s="107"/>
      <c r="AK40" s="90" t="str">
        <f t="shared" si="3"/>
        <v/>
      </c>
      <c r="AL40" s="91" t="str">
        <f t="shared" si="4"/>
        <v/>
      </c>
      <c r="AM40" s="93" t="str">
        <f t="shared" si="5"/>
        <v/>
      </c>
      <c r="AN40" s="162"/>
      <c r="AO40" s="107"/>
      <c r="AP40" s="163"/>
      <c r="AQ40" s="157" t="str">
        <f t="shared" si="6"/>
        <v/>
      </c>
      <c r="AR40" s="91" t="str">
        <f t="shared" si="7"/>
        <v/>
      </c>
      <c r="AS40" s="93" t="str">
        <f t="shared" si="8"/>
        <v/>
      </c>
      <c r="AT40" s="90" t="str">
        <f t="shared" si="9"/>
        <v/>
      </c>
      <c r="AU40" s="92" t="str">
        <f t="shared" si="10"/>
        <v/>
      </c>
      <c r="AV40" s="94" t="str">
        <f t="shared" si="20"/>
        <v/>
      </c>
      <c r="AW40" s="95" t="str">
        <f>IF(C40="","",IFERROR(_xlfn.XLOOKUP(AV40,HELPER!$C$8:$C$48,HELPER!$D$8:$D$48,,1),""))</f>
        <v/>
      </c>
      <c r="AX40" s="96" t="str">
        <f>IF(C40="","",IFERROR(_xlfn.XLOOKUP(AW40,HELPER!$F$8:$F$48,HELPER!$G$8:$G$48,,1),""))</f>
        <v/>
      </c>
      <c r="AY40" s="168"/>
      <c r="AZ40" s="148"/>
    </row>
    <row r="41" spans="1:52" ht="15" customHeight="1" x14ac:dyDescent="0.25">
      <c r="A41" s="168"/>
      <c r="B41" s="108">
        <v>23</v>
      </c>
      <c r="C41" s="355" t="str">
        <f>IF('INPUT DATA'!K33="","",'INPUT DATA'!K33)</f>
        <v/>
      </c>
      <c r="D41" s="356"/>
      <c r="E41" s="356"/>
      <c r="F41" s="243"/>
      <c r="G41" s="244"/>
      <c r="H41" s="244"/>
      <c r="I41" s="244"/>
      <c r="J41" s="245"/>
      <c r="K41" s="194" t="str">
        <f t="shared" si="11"/>
        <v/>
      </c>
      <c r="L41" s="170" t="str">
        <f t="shared" si="12"/>
        <v/>
      </c>
      <c r="M41" s="188" t="str">
        <f t="shared" si="13"/>
        <v/>
      </c>
      <c r="N41" s="99"/>
      <c r="O41" s="106"/>
      <c r="P41" s="106"/>
      <c r="Q41" s="106"/>
      <c r="R41" s="107"/>
      <c r="S41" s="217" t="str">
        <f t="shared" si="0"/>
        <v/>
      </c>
      <c r="T41" s="91" t="str">
        <f t="shared" si="1"/>
        <v/>
      </c>
      <c r="U41" s="218" t="str">
        <f t="shared" si="2"/>
        <v/>
      </c>
      <c r="V41" s="230"/>
      <c r="W41" s="226"/>
      <c r="X41" s="236"/>
      <c r="Y41" s="194" t="str">
        <f t="shared" si="14"/>
        <v/>
      </c>
      <c r="Z41" s="170" t="str">
        <f t="shared" si="15"/>
        <v/>
      </c>
      <c r="AA41" s="188" t="str">
        <f t="shared" si="16"/>
        <v/>
      </c>
      <c r="AB41" s="230"/>
      <c r="AC41" s="226"/>
      <c r="AD41" s="231"/>
      <c r="AE41" s="194" t="str">
        <f t="shared" si="17"/>
        <v/>
      </c>
      <c r="AF41" s="170" t="str">
        <f t="shared" si="18"/>
        <v/>
      </c>
      <c r="AG41" s="188" t="str">
        <f t="shared" si="19"/>
        <v/>
      </c>
      <c r="AH41" s="105"/>
      <c r="AI41" s="106"/>
      <c r="AJ41" s="107"/>
      <c r="AK41" s="90" t="str">
        <f t="shared" si="3"/>
        <v/>
      </c>
      <c r="AL41" s="91" t="str">
        <f t="shared" si="4"/>
        <v/>
      </c>
      <c r="AM41" s="93" t="str">
        <f t="shared" si="5"/>
        <v/>
      </c>
      <c r="AN41" s="162"/>
      <c r="AO41" s="107"/>
      <c r="AP41" s="163"/>
      <c r="AQ41" s="157" t="str">
        <f t="shared" si="6"/>
        <v/>
      </c>
      <c r="AR41" s="91" t="str">
        <f t="shared" si="7"/>
        <v/>
      </c>
      <c r="AS41" s="93" t="str">
        <f t="shared" si="8"/>
        <v/>
      </c>
      <c r="AT41" s="90" t="str">
        <f t="shared" si="9"/>
        <v/>
      </c>
      <c r="AU41" s="92" t="str">
        <f t="shared" si="10"/>
        <v/>
      </c>
      <c r="AV41" s="94" t="str">
        <f t="shared" si="20"/>
        <v/>
      </c>
      <c r="AW41" s="95" t="str">
        <f>IF(C41="","",IFERROR(_xlfn.XLOOKUP(AV41,HELPER!$C$8:$C$48,HELPER!$D$8:$D$48,,1),""))</f>
        <v/>
      </c>
      <c r="AX41" s="96" t="str">
        <f>IF(C41="","",IFERROR(_xlfn.XLOOKUP(AW41,HELPER!$F$8:$F$48,HELPER!$G$8:$G$48,,1),""))</f>
        <v/>
      </c>
      <c r="AY41" s="168"/>
      <c r="AZ41" s="148"/>
    </row>
    <row r="42" spans="1:52" ht="15" customHeight="1" x14ac:dyDescent="0.25">
      <c r="A42" s="168"/>
      <c r="B42" s="108">
        <v>24</v>
      </c>
      <c r="C42" s="355" t="str">
        <f>IF('INPUT DATA'!K34="","",'INPUT DATA'!K34)</f>
        <v/>
      </c>
      <c r="D42" s="356"/>
      <c r="E42" s="356"/>
      <c r="F42" s="243"/>
      <c r="G42" s="244"/>
      <c r="H42" s="244"/>
      <c r="I42" s="244"/>
      <c r="J42" s="245"/>
      <c r="K42" s="194" t="str">
        <f t="shared" si="11"/>
        <v/>
      </c>
      <c r="L42" s="170" t="str">
        <f t="shared" si="12"/>
        <v/>
      </c>
      <c r="M42" s="188" t="str">
        <f t="shared" si="13"/>
        <v/>
      </c>
      <c r="N42" s="99"/>
      <c r="O42" s="106"/>
      <c r="P42" s="106"/>
      <c r="Q42" s="106"/>
      <c r="R42" s="107"/>
      <c r="S42" s="217" t="str">
        <f t="shared" si="0"/>
        <v/>
      </c>
      <c r="T42" s="91" t="str">
        <f t="shared" si="1"/>
        <v/>
      </c>
      <c r="U42" s="218" t="str">
        <f t="shared" si="2"/>
        <v/>
      </c>
      <c r="V42" s="230"/>
      <c r="W42" s="226"/>
      <c r="X42" s="236"/>
      <c r="Y42" s="194" t="str">
        <f t="shared" si="14"/>
        <v/>
      </c>
      <c r="Z42" s="170" t="str">
        <f t="shared" si="15"/>
        <v/>
      </c>
      <c r="AA42" s="188" t="str">
        <f t="shared" si="16"/>
        <v/>
      </c>
      <c r="AB42" s="230"/>
      <c r="AC42" s="226"/>
      <c r="AD42" s="231"/>
      <c r="AE42" s="194" t="str">
        <f t="shared" si="17"/>
        <v/>
      </c>
      <c r="AF42" s="170" t="str">
        <f t="shared" si="18"/>
        <v/>
      </c>
      <c r="AG42" s="188" t="str">
        <f t="shared" si="19"/>
        <v/>
      </c>
      <c r="AH42" s="105"/>
      <c r="AI42" s="106"/>
      <c r="AJ42" s="107"/>
      <c r="AK42" s="90" t="str">
        <f t="shared" si="3"/>
        <v/>
      </c>
      <c r="AL42" s="91" t="str">
        <f t="shared" si="4"/>
        <v/>
      </c>
      <c r="AM42" s="93" t="str">
        <f t="shared" si="5"/>
        <v/>
      </c>
      <c r="AN42" s="162"/>
      <c r="AO42" s="107"/>
      <c r="AP42" s="163"/>
      <c r="AQ42" s="157" t="str">
        <f t="shared" si="6"/>
        <v/>
      </c>
      <c r="AR42" s="91" t="str">
        <f t="shared" si="7"/>
        <v/>
      </c>
      <c r="AS42" s="93" t="str">
        <f t="shared" si="8"/>
        <v/>
      </c>
      <c r="AT42" s="90" t="str">
        <f t="shared" si="9"/>
        <v/>
      </c>
      <c r="AU42" s="92" t="str">
        <f t="shared" si="10"/>
        <v/>
      </c>
      <c r="AV42" s="94" t="str">
        <f t="shared" si="20"/>
        <v/>
      </c>
      <c r="AW42" s="95" t="str">
        <f>IF(C42="","",IFERROR(_xlfn.XLOOKUP(AV42,HELPER!$C$8:$C$48,HELPER!$D$8:$D$48,,1),""))</f>
        <v/>
      </c>
      <c r="AX42" s="96" t="str">
        <f>IF(C42="","",IFERROR(_xlfn.XLOOKUP(AW42,HELPER!$F$8:$F$48,HELPER!$G$8:$G$48,,1),""))</f>
        <v/>
      </c>
      <c r="AY42" s="168"/>
      <c r="AZ42" s="148"/>
    </row>
    <row r="43" spans="1:52" ht="15" customHeight="1" x14ac:dyDescent="0.25">
      <c r="A43" s="168"/>
      <c r="B43" s="108">
        <v>25</v>
      </c>
      <c r="C43" s="355" t="str">
        <f>IF('INPUT DATA'!K35="","",'INPUT DATA'!K35)</f>
        <v/>
      </c>
      <c r="D43" s="356"/>
      <c r="E43" s="356"/>
      <c r="F43" s="243"/>
      <c r="G43" s="244"/>
      <c r="H43" s="244"/>
      <c r="I43" s="244"/>
      <c r="J43" s="245"/>
      <c r="K43" s="194" t="str">
        <f t="shared" si="11"/>
        <v/>
      </c>
      <c r="L43" s="170" t="str">
        <f t="shared" si="12"/>
        <v/>
      </c>
      <c r="M43" s="188" t="str">
        <f t="shared" si="13"/>
        <v/>
      </c>
      <c r="N43" s="99"/>
      <c r="O43" s="106"/>
      <c r="P43" s="106"/>
      <c r="Q43" s="106"/>
      <c r="R43" s="107"/>
      <c r="S43" s="217" t="str">
        <f t="shared" si="0"/>
        <v/>
      </c>
      <c r="T43" s="91" t="str">
        <f t="shared" si="1"/>
        <v/>
      </c>
      <c r="U43" s="218" t="str">
        <f t="shared" si="2"/>
        <v/>
      </c>
      <c r="V43" s="230"/>
      <c r="W43" s="226"/>
      <c r="X43" s="236"/>
      <c r="Y43" s="194" t="str">
        <f t="shared" si="14"/>
        <v/>
      </c>
      <c r="Z43" s="170" t="str">
        <f t="shared" si="15"/>
        <v/>
      </c>
      <c r="AA43" s="188" t="str">
        <f t="shared" si="16"/>
        <v/>
      </c>
      <c r="AB43" s="230"/>
      <c r="AC43" s="226"/>
      <c r="AD43" s="231"/>
      <c r="AE43" s="194" t="str">
        <f t="shared" si="17"/>
        <v/>
      </c>
      <c r="AF43" s="170" t="str">
        <f t="shared" si="18"/>
        <v/>
      </c>
      <c r="AG43" s="188" t="str">
        <f t="shared" si="19"/>
        <v/>
      </c>
      <c r="AH43" s="105"/>
      <c r="AI43" s="106"/>
      <c r="AJ43" s="107"/>
      <c r="AK43" s="90" t="str">
        <f t="shared" si="3"/>
        <v/>
      </c>
      <c r="AL43" s="91" t="str">
        <f t="shared" si="4"/>
        <v/>
      </c>
      <c r="AM43" s="93" t="str">
        <f t="shared" si="5"/>
        <v/>
      </c>
      <c r="AN43" s="162"/>
      <c r="AO43" s="107"/>
      <c r="AP43" s="163"/>
      <c r="AQ43" s="157" t="str">
        <f t="shared" si="6"/>
        <v/>
      </c>
      <c r="AR43" s="91" t="str">
        <f t="shared" si="7"/>
        <v/>
      </c>
      <c r="AS43" s="93" t="str">
        <f t="shared" si="8"/>
        <v/>
      </c>
      <c r="AT43" s="90" t="str">
        <f t="shared" si="9"/>
        <v/>
      </c>
      <c r="AU43" s="92" t="str">
        <f t="shared" si="10"/>
        <v/>
      </c>
      <c r="AV43" s="94" t="str">
        <f t="shared" si="20"/>
        <v/>
      </c>
      <c r="AW43" s="95" t="str">
        <f>IF(C43="","",IFERROR(_xlfn.XLOOKUP(AV43,HELPER!$C$8:$C$48,HELPER!$D$8:$D$48,,1),""))</f>
        <v/>
      </c>
      <c r="AX43" s="96" t="str">
        <f>IF(C43="","",IFERROR(_xlfn.XLOOKUP(AW43,HELPER!$F$8:$F$48,HELPER!$G$8:$G$48,,1),""))</f>
        <v/>
      </c>
      <c r="AY43" s="168"/>
      <c r="AZ43" s="148"/>
    </row>
    <row r="44" spans="1:52" ht="15" customHeight="1" x14ac:dyDescent="0.25">
      <c r="A44" s="168"/>
      <c r="B44" s="108">
        <v>26</v>
      </c>
      <c r="C44" s="355" t="str">
        <f>IF('INPUT DATA'!K36="","",'INPUT DATA'!K36)</f>
        <v/>
      </c>
      <c r="D44" s="356"/>
      <c r="E44" s="356"/>
      <c r="F44" s="243"/>
      <c r="G44" s="244"/>
      <c r="H44" s="244"/>
      <c r="I44" s="244"/>
      <c r="J44" s="245"/>
      <c r="K44" s="194" t="str">
        <f t="shared" si="11"/>
        <v/>
      </c>
      <c r="L44" s="170" t="str">
        <f t="shared" si="12"/>
        <v/>
      </c>
      <c r="M44" s="188" t="str">
        <f t="shared" si="13"/>
        <v/>
      </c>
      <c r="N44" s="99"/>
      <c r="O44" s="106"/>
      <c r="P44" s="106"/>
      <c r="Q44" s="106"/>
      <c r="R44" s="107"/>
      <c r="S44" s="217" t="str">
        <f t="shared" si="0"/>
        <v/>
      </c>
      <c r="T44" s="91" t="str">
        <f t="shared" si="1"/>
        <v/>
      </c>
      <c r="U44" s="218" t="str">
        <f t="shared" si="2"/>
        <v/>
      </c>
      <c r="V44" s="230"/>
      <c r="W44" s="226"/>
      <c r="X44" s="236"/>
      <c r="Y44" s="194" t="str">
        <f t="shared" si="14"/>
        <v/>
      </c>
      <c r="Z44" s="170" t="str">
        <f t="shared" si="15"/>
        <v/>
      </c>
      <c r="AA44" s="188" t="str">
        <f t="shared" si="16"/>
        <v/>
      </c>
      <c r="AB44" s="230"/>
      <c r="AC44" s="226"/>
      <c r="AD44" s="231"/>
      <c r="AE44" s="194" t="str">
        <f t="shared" si="17"/>
        <v/>
      </c>
      <c r="AF44" s="170" t="str">
        <f t="shared" si="18"/>
        <v/>
      </c>
      <c r="AG44" s="188" t="str">
        <f t="shared" si="19"/>
        <v/>
      </c>
      <c r="AH44" s="105"/>
      <c r="AI44" s="106"/>
      <c r="AJ44" s="107"/>
      <c r="AK44" s="90" t="str">
        <f t="shared" si="3"/>
        <v/>
      </c>
      <c r="AL44" s="91" t="str">
        <f t="shared" si="4"/>
        <v/>
      </c>
      <c r="AM44" s="93" t="str">
        <f t="shared" si="5"/>
        <v/>
      </c>
      <c r="AN44" s="162"/>
      <c r="AO44" s="107"/>
      <c r="AP44" s="163"/>
      <c r="AQ44" s="157" t="str">
        <f t="shared" si="6"/>
        <v/>
      </c>
      <c r="AR44" s="91" t="str">
        <f t="shared" si="7"/>
        <v/>
      </c>
      <c r="AS44" s="93" t="str">
        <f t="shared" si="8"/>
        <v/>
      </c>
      <c r="AT44" s="90" t="str">
        <f t="shared" si="9"/>
        <v/>
      </c>
      <c r="AU44" s="92" t="str">
        <f t="shared" si="10"/>
        <v/>
      </c>
      <c r="AV44" s="94" t="str">
        <f t="shared" si="20"/>
        <v/>
      </c>
      <c r="AW44" s="95" t="str">
        <f>IF(C44="","",IFERROR(_xlfn.XLOOKUP(AV44,HELPER!$C$8:$C$48,HELPER!$D$8:$D$48,,1),""))</f>
        <v/>
      </c>
      <c r="AX44" s="96" t="str">
        <f>IF(C44="","",IFERROR(_xlfn.XLOOKUP(AW44,HELPER!$F$8:$F$48,HELPER!$G$8:$G$48,,1),""))</f>
        <v/>
      </c>
      <c r="AY44" s="168"/>
      <c r="AZ44" s="148"/>
    </row>
    <row r="45" spans="1:52" ht="15" customHeight="1" x14ac:dyDescent="0.25">
      <c r="A45" s="168"/>
      <c r="B45" s="108">
        <v>27</v>
      </c>
      <c r="C45" s="355" t="str">
        <f>IF('INPUT DATA'!K37="","",'INPUT DATA'!K37)</f>
        <v/>
      </c>
      <c r="D45" s="356"/>
      <c r="E45" s="356"/>
      <c r="F45" s="243"/>
      <c r="G45" s="244"/>
      <c r="H45" s="244"/>
      <c r="I45" s="244"/>
      <c r="J45" s="245"/>
      <c r="K45" s="194" t="str">
        <f t="shared" si="11"/>
        <v/>
      </c>
      <c r="L45" s="170" t="str">
        <f t="shared" si="12"/>
        <v/>
      </c>
      <c r="M45" s="188" t="str">
        <f t="shared" si="13"/>
        <v/>
      </c>
      <c r="N45" s="99"/>
      <c r="O45" s="106"/>
      <c r="P45" s="106"/>
      <c r="Q45" s="106"/>
      <c r="R45" s="107"/>
      <c r="S45" s="217" t="str">
        <f t="shared" si="0"/>
        <v/>
      </c>
      <c r="T45" s="91" t="str">
        <f t="shared" si="1"/>
        <v/>
      </c>
      <c r="U45" s="218" t="str">
        <f t="shared" si="2"/>
        <v/>
      </c>
      <c r="V45" s="230"/>
      <c r="W45" s="226"/>
      <c r="X45" s="236"/>
      <c r="Y45" s="194" t="str">
        <f t="shared" si="14"/>
        <v/>
      </c>
      <c r="Z45" s="170" t="str">
        <f t="shared" si="15"/>
        <v/>
      </c>
      <c r="AA45" s="188" t="str">
        <f t="shared" si="16"/>
        <v/>
      </c>
      <c r="AB45" s="230"/>
      <c r="AC45" s="226"/>
      <c r="AD45" s="231"/>
      <c r="AE45" s="194" t="str">
        <f t="shared" si="17"/>
        <v/>
      </c>
      <c r="AF45" s="170" t="str">
        <f t="shared" si="18"/>
        <v/>
      </c>
      <c r="AG45" s="188" t="str">
        <f t="shared" si="19"/>
        <v/>
      </c>
      <c r="AH45" s="105"/>
      <c r="AI45" s="106"/>
      <c r="AJ45" s="107"/>
      <c r="AK45" s="90" t="str">
        <f t="shared" si="3"/>
        <v/>
      </c>
      <c r="AL45" s="91" t="str">
        <f t="shared" si="4"/>
        <v/>
      </c>
      <c r="AM45" s="93" t="str">
        <f t="shared" si="5"/>
        <v/>
      </c>
      <c r="AN45" s="162"/>
      <c r="AO45" s="107"/>
      <c r="AP45" s="163"/>
      <c r="AQ45" s="157" t="str">
        <f t="shared" si="6"/>
        <v/>
      </c>
      <c r="AR45" s="91" t="str">
        <f t="shared" si="7"/>
        <v/>
      </c>
      <c r="AS45" s="93" t="str">
        <f t="shared" si="8"/>
        <v/>
      </c>
      <c r="AT45" s="90" t="str">
        <f t="shared" si="9"/>
        <v/>
      </c>
      <c r="AU45" s="92" t="str">
        <f t="shared" si="10"/>
        <v/>
      </c>
      <c r="AV45" s="94" t="str">
        <f t="shared" si="20"/>
        <v/>
      </c>
      <c r="AW45" s="95" t="str">
        <f>IF(C45="","",IFERROR(_xlfn.XLOOKUP(AV45,HELPER!$C$8:$C$48,HELPER!$D$8:$D$48,,1),""))</f>
        <v/>
      </c>
      <c r="AX45" s="96" t="str">
        <f>IF(C45="","",IFERROR(_xlfn.XLOOKUP(AW45,HELPER!$F$8:$F$48,HELPER!$G$8:$G$48,,1),""))</f>
        <v/>
      </c>
      <c r="AY45" s="168"/>
      <c r="AZ45" s="148"/>
    </row>
    <row r="46" spans="1:52" ht="15" customHeight="1" x14ac:dyDescent="0.25">
      <c r="A46" s="168"/>
      <c r="B46" s="108">
        <v>28</v>
      </c>
      <c r="C46" s="355" t="str">
        <f>IF('INPUT DATA'!K38="","",'INPUT DATA'!K38)</f>
        <v/>
      </c>
      <c r="D46" s="356"/>
      <c r="E46" s="356"/>
      <c r="F46" s="243"/>
      <c r="G46" s="244"/>
      <c r="H46" s="244"/>
      <c r="I46" s="244"/>
      <c r="J46" s="245"/>
      <c r="K46" s="194" t="str">
        <f t="shared" si="11"/>
        <v/>
      </c>
      <c r="L46" s="170" t="str">
        <f t="shared" si="12"/>
        <v/>
      </c>
      <c r="M46" s="188" t="str">
        <f t="shared" si="13"/>
        <v/>
      </c>
      <c r="N46" s="99"/>
      <c r="O46" s="106"/>
      <c r="P46" s="106"/>
      <c r="Q46" s="106"/>
      <c r="R46" s="107"/>
      <c r="S46" s="217" t="str">
        <f t="shared" si="0"/>
        <v/>
      </c>
      <c r="T46" s="91" t="str">
        <f t="shared" si="1"/>
        <v/>
      </c>
      <c r="U46" s="218" t="str">
        <f t="shared" si="2"/>
        <v/>
      </c>
      <c r="V46" s="230"/>
      <c r="W46" s="226"/>
      <c r="X46" s="236"/>
      <c r="Y46" s="194" t="str">
        <f t="shared" si="14"/>
        <v/>
      </c>
      <c r="Z46" s="170" t="str">
        <f t="shared" si="15"/>
        <v/>
      </c>
      <c r="AA46" s="188" t="str">
        <f t="shared" si="16"/>
        <v/>
      </c>
      <c r="AB46" s="230"/>
      <c r="AC46" s="226"/>
      <c r="AD46" s="231"/>
      <c r="AE46" s="194" t="str">
        <f t="shared" si="17"/>
        <v/>
      </c>
      <c r="AF46" s="170" t="str">
        <f t="shared" si="18"/>
        <v/>
      </c>
      <c r="AG46" s="188" t="str">
        <f t="shared" si="19"/>
        <v/>
      </c>
      <c r="AH46" s="105"/>
      <c r="AI46" s="106"/>
      <c r="AJ46" s="107"/>
      <c r="AK46" s="90" t="str">
        <f t="shared" si="3"/>
        <v/>
      </c>
      <c r="AL46" s="91" t="str">
        <f t="shared" si="4"/>
        <v/>
      </c>
      <c r="AM46" s="93" t="str">
        <f t="shared" si="5"/>
        <v/>
      </c>
      <c r="AN46" s="162"/>
      <c r="AO46" s="107"/>
      <c r="AP46" s="163"/>
      <c r="AQ46" s="157" t="str">
        <f t="shared" si="6"/>
        <v/>
      </c>
      <c r="AR46" s="91" t="str">
        <f t="shared" si="7"/>
        <v/>
      </c>
      <c r="AS46" s="93" t="str">
        <f t="shared" si="8"/>
        <v/>
      </c>
      <c r="AT46" s="90" t="str">
        <f t="shared" si="9"/>
        <v/>
      </c>
      <c r="AU46" s="92" t="str">
        <f t="shared" si="10"/>
        <v/>
      </c>
      <c r="AV46" s="94" t="str">
        <f t="shared" si="20"/>
        <v/>
      </c>
      <c r="AW46" s="95" t="str">
        <f>IF(C46="","",IFERROR(_xlfn.XLOOKUP(AV46,HELPER!$C$8:$C$48,HELPER!$D$8:$D$48,,1),""))</f>
        <v/>
      </c>
      <c r="AX46" s="96" t="str">
        <f>IF(C46="","",IFERROR(_xlfn.XLOOKUP(AW46,HELPER!$F$8:$F$48,HELPER!$G$8:$G$48,,1),""))</f>
        <v/>
      </c>
      <c r="AY46" s="168"/>
      <c r="AZ46" s="148"/>
    </row>
    <row r="47" spans="1:52" ht="15" customHeight="1" x14ac:dyDescent="0.25">
      <c r="A47" s="168"/>
      <c r="B47" s="108">
        <v>29</v>
      </c>
      <c r="C47" s="355" t="str">
        <f>IF('INPUT DATA'!K39="","",'INPUT DATA'!K39)</f>
        <v/>
      </c>
      <c r="D47" s="356"/>
      <c r="E47" s="356"/>
      <c r="F47" s="243"/>
      <c r="G47" s="244"/>
      <c r="H47" s="244"/>
      <c r="I47" s="244"/>
      <c r="J47" s="245"/>
      <c r="K47" s="194" t="str">
        <f t="shared" si="11"/>
        <v/>
      </c>
      <c r="L47" s="170" t="str">
        <f t="shared" si="12"/>
        <v/>
      </c>
      <c r="M47" s="188" t="str">
        <f t="shared" si="13"/>
        <v/>
      </c>
      <c r="N47" s="99"/>
      <c r="O47" s="106"/>
      <c r="P47" s="106"/>
      <c r="Q47" s="106"/>
      <c r="R47" s="107"/>
      <c r="S47" s="217" t="str">
        <f t="shared" si="0"/>
        <v/>
      </c>
      <c r="T47" s="91" t="str">
        <f t="shared" si="1"/>
        <v/>
      </c>
      <c r="U47" s="218" t="str">
        <f t="shared" si="2"/>
        <v/>
      </c>
      <c r="V47" s="230"/>
      <c r="W47" s="226"/>
      <c r="X47" s="236"/>
      <c r="Y47" s="194" t="str">
        <f t="shared" si="14"/>
        <v/>
      </c>
      <c r="Z47" s="170" t="str">
        <f t="shared" si="15"/>
        <v/>
      </c>
      <c r="AA47" s="188" t="str">
        <f t="shared" si="16"/>
        <v/>
      </c>
      <c r="AB47" s="230"/>
      <c r="AC47" s="226"/>
      <c r="AD47" s="231"/>
      <c r="AE47" s="194" t="str">
        <f t="shared" si="17"/>
        <v/>
      </c>
      <c r="AF47" s="170" t="str">
        <f t="shared" si="18"/>
        <v/>
      </c>
      <c r="AG47" s="188" t="str">
        <f t="shared" si="19"/>
        <v/>
      </c>
      <c r="AH47" s="105"/>
      <c r="AI47" s="106"/>
      <c r="AJ47" s="107"/>
      <c r="AK47" s="90" t="str">
        <f t="shared" si="3"/>
        <v/>
      </c>
      <c r="AL47" s="91" t="str">
        <f t="shared" si="4"/>
        <v/>
      </c>
      <c r="AM47" s="93" t="str">
        <f t="shared" si="5"/>
        <v/>
      </c>
      <c r="AN47" s="162"/>
      <c r="AO47" s="107"/>
      <c r="AP47" s="163"/>
      <c r="AQ47" s="157" t="str">
        <f t="shared" si="6"/>
        <v/>
      </c>
      <c r="AR47" s="91" t="str">
        <f t="shared" si="7"/>
        <v/>
      </c>
      <c r="AS47" s="93" t="str">
        <f t="shared" si="8"/>
        <v/>
      </c>
      <c r="AT47" s="90" t="str">
        <f t="shared" si="9"/>
        <v/>
      </c>
      <c r="AU47" s="92" t="str">
        <f t="shared" si="10"/>
        <v/>
      </c>
      <c r="AV47" s="94" t="str">
        <f t="shared" si="20"/>
        <v/>
      </c>
      <c r="AW47" s="95" t="str">
        <f>IF(C47="","",IFERROR(_xlfn.XLOOKUP(AV47,HELPER!$C$8:$C$48,HELPER!$D$8:$D$48,,1),""))</f>
        <v/>
      </c>
      <c r="AX47" s="96" t="str">
        <f>IF(C47="","",IFERROR(_xlfn.XLOOKUP(AW47,HELPER!$F$8:$F$48,HELPER!$G$8:$G$48,,1),""))</f>
        <v/>
      </c>
      <c r="AY47" s="168"/>
      <c r="AZ47" s="148"/>
    </row>
    <row r="48" spans="1:52" ht="15" customHeight="1" x14ac:dyDescent="0.25">
      <c r="A48" s="168"/>
      <c r="B48" s="108">
        <v>30</v>
      </c>
      <c r="C48" s="355" t="str">
        <f>IF('INPUT DATA'!K40="","",'INPUT DATA'!K40)</f>
        <v/>
      </c>
      <c r="D48" s="356"/>
      <c r="E48" s="356"/>
      <c r="F48" s="243"/>
      <c r="G48" s="244"/>
      <c r="H48" s="244"/>
      <c r="I48" s="244"/>
      <c r="J48" s="245"/>
      <c r="K48" s="194" t="str">
        <f t="shared" si="11"/>
        <v/>
      </c>
      <c r="L48" s="170" t="str">
        <f t="shared" si="12"/>
        <v/>
      </c>
      <c r="M48" s="188" t="str">
        <f t="shared" si="13"/>
        <v/>
      </c>
      <c r="N48" s="99"/>
      <c r="O48" s="106"/>
      <c r="P48" s="106"/>
      <c r="Q48" s="106"/>
      <c r="R48" s="107"/>
      <c r="S48" s="217" t="str">
        <f t="shared" si="0"/>
        <v/>
      </c>
      <c r="T48" s="91" t="str">
        <f t="shared" si="1"/>
        <v/>
      </c>
      <c r="U48" s="218" t="str">
        <f t="shared" si="2"/>
        <v/>
      </c>
      <c r="V48" s="230"/>
      <c r="W48" s="226"/>
      <c r="X48" s="236"/>
      <c r="Y48" s="194" t="str">
        <f t="shared" si="14"/>
        <v/>
      </c>
      <c r="Z48" s="170" t="str">
        <f t="shared" si="15"/>
        <v/>
      </c>
      <c r="AA48" s="188" t="str">
        <f t="shared" si="16"/>
        <v/>
      </c>
      <c r="AB48" s="230"/>
      <c r="AC48" s="226"/>
      <c r="AD48" s="231"/>
      <c r="AE48" s="194" t="str">
        <f t="shared" si="17"/>
        <v/>
      </c>
      <c r="AF48" s="170" t="str">
        <f t="shared" si="18"/>
        <v/>
      </c>
      <c r="AG48" s="188" t="str">
        <f t="shared" si="19"/>
        <v/>
      </c>
      <c r="AH48" s="105"/>
      <c r="AI48" s="106"/>
      <c r="AJ48" s="107"/>
      <c r="AK48" s="90" t="str">
        <f t="shared" si="3"/>
        <v/>
      </c>
      <c r="AL48" s="91" t="str">
        <f t="shared" si="4"/>
        <v/>
      </c>
      <c r="AM48" s="93" t="str">
        <f t="shared" si="5"/>
        <v/>
      </c>
      <c r="AN48" s="162"/>
      <c r="AO48" s="107"/>
      <c r="AP48" s="163"/>
      <c r="AQ48" s="157" t="str">
        <f t="shared" si="6"/>
        <v/>
      </c>
      <c r="AR48" s="91" t="str">
        <f t="shared" si="7"/>
        <v/>
      </c>
      <c r="AS48" s="93" t="str">
        <f t="shared" si="8"/>
        <v/>
      </c>
      <c r="AT48" s="90" t="str">
        <f t="shared" si="9"/>
        <v/>
      </c>
      <c r="AU48" s="92" t="str">
        <f t="shared" si="10"/>
        <v/>
      </c>
      <c r="AV48" s="94" t="str">
        <f t="shared" si="20"/>
        <v/>
      </c>
      <c r="AW48" s="95" t="str">
        <f>IF(C48="","",IFERROR(_xlfn.XLOOKUP(AV48,HELPER!$C$8:$C$48,HELPER!$D$8:$D$48,,1),""))</f>
        <v/>
      </c>
      <c r="AX48" s="96" t="str">
        <f>IF(C48="","",IFERROR(_xlfn.XLOOKUP(AW48,HELPER!$F$8:$F$48,HELPER!$G$8:$G$48,,1),""))</f>
        <v/>
      </c>
      <c r="AY48" s="168"/>
      <c r="AZ48" s="148"/>
    </row>
    <row r="49" spans="1:52" ht="15" customHeight="1" x14ac:dyDescent="0.25">
      <c r="A49" s="168"/>
      <c r="B49" s="108">
        <v>31</v>
      </c>
      <c r="C49" s="355" t="str">
        <f>IF('INPUT DATA'!K41="","",'INPUT DATA'!K41)</f>
        <v/>
      </c>
      <c r="D49" s="356"/>
      <c r="E49" s="356"/>
      <c r="F49" s="243"/>
      <c r="G49" s="244"/>
      <c r="H49" s="244"/>
      <c r="I49" s="244"/>
      <c r="J49" s="245"/>
      <c r="K49" s="194" t="str">
        <f t="shared" si="11"/>
        <v/>
      </c>
      <c r="L49" s="170" t="str">
        <f t="shared" si="12"/>
        <v/>
      </c>
      <c r="M49" s="188" t="str">
        <f t="shared" si="13"/>
        <v/>
      </c>
      <c r="N49" s="99"/>
      <c r="O49" s="106"/>
      <c r="P49" s="106"/>
      <c r="Q49" s="106"/>
      <c r="R49" s="107"/>
      <c r="S49" s="217" t="str">
        <f t="shared" si="0"/>
        <v/>
      </c>
      <c r="T49" s="91" t="str">
        <f t="shared" si="1"/>
        <v/>
      </c>
      <c r="U49" s="218" t="str">
        <f t="shared" si="2"/>
        <v/>
      </c>
      <c r="V49" s="230"/>
      <c r="W49" s="226"/>
      <c r="X49" s="236"/>
      <c r="Y49" s="194" t="str">
        <f t="shared" si="14"/>
        <v/>
      </c>
      <c r="Z49" s="170" t="str">
        <f t="shared" si="15"/>
        <v/>
      </c>
      <c r="AA49" s="188" t="str">
        <f t="shared" si="16"/>
        <v/>
      </c>
      <c r="AB49" s="230"/>
      <c r="AC49" s="226"/>
      <c r="AD49" s="231"/>
      <c r="AE49" s="194" t="str">
        <f t="shared" si="17"/>
        <v/>
      </c>
      <c r="AF49" s="170" t="str">
        <f t="shared" si="18"/>
        <v/>
      </c>
      <c r="AG49" s="188" t="str">
        <f t="shared" si="19"/>
        <v/>
      </c>
      <c r="AH49" s="105"/>
      <c r="AI49" s="106"/>
      <c r="AJ49" s="107"/>
      <c r="AK49" s="90" t="str">
        <f t="shared" si="3"/>
        <v/>
      </c>
      <c r="AL49" s="91" t="str">
        <f t="shared" si="4"/>
        <v/>
      </c>
      <c r="AM49" s="93" t="str">
        <f t="shared" si="5"/>
        <v/>
      </c>
      <c r="AN49" s="162"/>
      <c r="AO49" s="107"/>
      <c r="AP49" s="163"/>
      <c r="AQ49" s="157" t="str">
        <f t="shared" si="6"/>
        <v/>
      </c>
      <c r="AR49" s="91" t="str">
        <f t="shared" si="7"/>
        <v/>
      </c>
      <c r="AS49" s="93" t="str">
        <f t="shared" si="8"/>
        <v/>
      </c>
      <c r="AT49" s="90" t="str">
        <f t="shared" si="9"/>
        <v/>
      </c>
      <c r="AU49" s="92" t="str">
        <f t="shared" si="10"/>
        <v/>
      </c>
      <c r="AV49" s="94" t="str">
        <f t="shared" si="20"/>
        <v/>
      </c>
      <c r="AW49" s="95" t="str">
        <f>IF(C49="","",IFERROR(_xlfn.XLOOKUP(AV49,HELPER!$C$8:$C$48,HELPER!$D$8:$D$48,,1),""))</f>
        <v/>
      </c>
      <c r="AX49" s="96" t="str">
        <f>IF(C49="","",IFERROR(_xlfn.XLOOKUP(AW49,HELPER!$F$8:$F$48,HELPER!$G$8:$G$48,,1),""))</f>
        <v/>
      </c>
      <c r="AY49" s="168"/>
      <c r="AZ49" s="148"/>
    </row>
    <row r="50" spans="1:52" ht="15" customHeight="1" x14ac:dyDescent="0.25">
      <c r="A50" s="168"/>
      <c r="B50" s="108">
        <v>32</v>
      </c>
      <c r="C50" s="355" t="str">
        <f>IF('INPUT DATA'!K42="","",'INPUT DATA'!K42)</f>
        <v/>
      </c>
      <c r="D50" s="356"/>
      <c r="E50" s="356"/>
      <c r="F50" s="243"/>
      <c r="G50" s="244"/>
      <c r="H50" s="244"/>
      <c r="I50" s="244"/>
      <c r="J50" s="245"/>
      <c r="K50" s="194" t="str">
        <f t="shared" si="11"/>
        <v/>
      </c>
      <c r="L50" s="170" t="str">
        <f t="shared" si="12"/>
        <v/>
      </c>
      <c r="M50" s="188" t="str">
        <f t="shared" si="13"/>
        <v/>
      </c>
      <c r="N50" s="99"/>
      <c r="O50" s="106"/>
      <c r="P50" s="106"/>
      <c r="Q50" s="106"/>
      <c r="R50" s="107"/>
      <c r="S50" s="217" t="str">
        <f t="shared" si="0"/>
        <v/>
      </c>
      <c r="T50" s="91" t="str">
        <f t="shared" si="1"/>
        <v/>
      </c>
      <c r="U50" s="218" t="str">
        <f t="shared" si="2"/>
        <v/>
      </c>
      <c r="V50" s="230"/>
      <c r="W50" s="226"/>
      <c r="X50" s="236"/>
      <c r="Y50" s="194" t="str">
        <f t="shared" si="14"/>
        <v/>
      </c>
      <c r="Z50" s="170" t="str">
        <f t="shared" si="15"/>
        <v/>
      </c>
      <c r="AA50" s="188" t="str">
        <f t="shared" si="16"/>
        <v/>
      </c>
      <c r="AB50" s="230"/>
      <c r="AC50" s="226"/>
      <c r="AD50" s="231"/>
      <c r="AE50" s="194" t="str">
        <f t="shared" si="17"/>
        <v/>
      </c>
      <c r="AF50" s="170" t="str">
        <f t="shared" si="18"/>
        <v/>
      </c>
      <c r="AG50" s="188" t="str">
        <f t="shared" si="19"/>
        <v/>
      </c>
      <c r="AH50" s="105"/>
      <c r="AI50" s="106"/>
      <c r="AJ50" s="107"/>
      <c r="AK50" s="90" t="str">
        <f t="shared" si="3"/>
        <v/>
      </c>
      <c r="AL50" s="91" t="str">
        <f t="shared" si="4"/>
        <v/>
      </c>
      <c r="AM50" s="93" t="str">
        <f t="shared" si="5"/>
        <v/>
      </c>
      <c r="AN50" s="162"/>
      <c r="AO50" s="107"/>
      <c r="AP50" s="163"/>
      <c r="AQ50" s="157" t="str">
        <f t="shared" si="6"/>
        <v/>
      </c>
      <c r="AR50" s="91" t="str">
        <f t="shared" si="7"/>
        <v/>
      </c>
      <c r="AS50" s="93" t="str">
        <f t="shared" si="8"/>
        <v/>
      </c>
      <c r="AT50" s="90" t="str">
        <f t="shared" si="9"/>
        <v/>
      </c>
      <c r="AU50" s="92" t="str">
        <f t="shared" si="10"/>
        <v/>
      </c>
      <c r="AV50" s="94" t="str">
        <f t="shared" si="20"/>
        <v/>
      </c>
      <c r="AW50" s="95" t="str">
        <f>IF(C50="","",IFERROR(_xlfn.XLOOKUP(AV50,HELPER!$C$8:$C$48,HELPER!$D$8:$D$48,,1),""))</f>
        <v/>
      </c>
      <c r="AX50" s="96" t="str">
        <f>IF(C50="","",IFERROR(_xlfn.XLOOKUP(AW50,HELPER!$F$8:$F$48,HELPER!$G$8:$G$48,,1),""))</f>
        <v/>
      </c>
      <c r="AY50" s="168"/>
      <c r="AZ50" s="148"/>
    </row>
    <row r="51" spans="1:52" ht="15" customHeight="1" x14ac:dyDescent="0.25">
      <c r="A51" s="168"/>
      <c r="B51" s="108">
        <v>33</v>
      </c>
      <c r="C51" s="355" t="str">
        <f>IF('INPUT DATA'!K43="","",'INPUT DATA'!K43)</f>
        <v/>
      </c>
      <c r="D51" s="356"/>
      <c r="E51" s="356"/>
      <c r="F51" s="243"/>
      <c r="G51" s="244"/>
      <c r="H51" s="244"/>
      <c r="I51" s="244"/>
      <c r="J51" s="245"/>
      <c r="K51" s="194" t="str">
        <f t="shared" si="11"/>
        <v/>
      </c>
      <c r="L51" s="170" t="str">
        <f t="shared" si="12"/>
        <v/>
      </c>
      <c r="M51" s="188" t="str">
        <f t="shared" si="13"/>
        <v/>
      </c>
      <c r="N51" s="99"/>
      <c r="O51" s="106"/>
      <c r="P51" s="106"/>
      <c r="Q51" s="106"/>
      <c r="R51" s="107"/>
      <c r="S51" s="217" t="str">
        <f t="shared" si="0"/>
        <v/>
      </c>
      <c r="T51" s="91" t="str">
        <f t="shared" si="1"/>
        <v/>
      </c>
      <c r="U51" s="218" t="str">
        <f t="shared" si="2"/>
        <v/>
      </c>
      <c r="V51" s="230"/>
      <c r="W51" s="226"/>
      <c r="X51" s="236"/>
      <c r="Y51" s="194" t="str">
        <f t="shared" si="14"/>
        <v/>
      </c>
      <c r="Z51" s="170" t="str">
        <f t="shared" si="15"/>
        <v/>
      </c>
      <c r="AA51" s="188" t="str">
        <f t="shared" si="16"/>
        <v/>
      </c>
      <c r="AB51" s="230"/>
      <c r="AC51" s="226"/>
      <c r="AD51" s="231"/>
      <c r="AE51" s="194" t="str">
        <f t="shared" si="17"/>
        <v/>
      </c>
      <c r="AF51" s="170" t="str">
        <f t="shared" si="18"/>
        <v/>
      </c>
      <c r="AG51" s="188" t="str">
        <f t="shared" si="19"/>
        <v/>
      </c>
      <c r="AH51" s="105"/>
      <c r="AI51" s="106"/>
      <c r="AJ51" s="107"/>
      <c r="AK51" s="90" t="str">
        <f t="shared" si="3"/>
        <v/>
      </c>
      <c r="AL51" s="91" t="str">
        <f t="shared" si="4"/>
        <v/>
      </c>
      <c r="AM51" s="93" t="str">
        <f t="shared" si="5"/>
        <v/>
      </c>
      <c r="AN51" s="162"/>
      <c r="AO51" s="107"/>
      <c r="AP51" s="163"/>
      <c r="AQ51" s="157" t="str">
        <f t="shared" si="6"/>
        <v/>
      </c>
      <c r="AR51" s="91" t="str">
        <f t="shared" si="7"/>
        <v/>
      </c>
      <c r="AS51" s="93" t="str">
        <f t="shared" si="8"/>
        <v/>
      </c>
      <c r="AT51" s="90" t="str">
        <f t="shared" si="9"/>
        <v/>
      </c>
      <c r="AU51" s="92" t="str">
        <f t="shared" si="10"/>
        <v/>
      </c>
      <c r="AV51" s="94" t="str">
        <f t="shared" si="20"/>
        <v/>
      </c>
      <c r="AW51" s="95" t="str">
        <f>IF(C51="","",IFERROR(_xlfn.XLOOKUP(AV51,HELPER!$C$8:$C$48,HELPER!$D$8:$D$48,,1),""))</f>
        <v/>
      </c>
      <c r="AX51" s="96" t="str">
        <f>IF(C51="","",IFERROR(_xlfn.XLOOKUP(AW51,HELPER!$F$8:$F$48,HELPER!$G$8:$G$48,,1),""))</f>
        <v/>
      </c>
      <c r="AY51" s="168"/>
      <c r="AZ51" s="148"/>
    </row>
    <row r="52" spans="1:52" ht="15" customHeight="1" x14ac:dyDescent="0.25">
      <c r="A52" s="168"/>
      <c r="B52" s="108">
        <v>34</v>
      </c>
      <c r="C52" s="355" t="str">
        <f>IF('INPUT DATA'!K44="","",'INPUT DATA'!K44)</f>
        <v/>
      </c>
      <c r="D52" s="356"/>
      <c r="E52" s="356"/>
      <c r="F52" s="243"/>
      <c r="G52" s="244"/>
      <c r="H52" s="244"/>
      <c r="I52" s="244"/>
      <c r="J52" s="245"/>
      <c r="K52" s="194" t="str">
        <f t="shared" si="11"/>
        <v/>
      </c>
      <c r="L52" s="170" t="str">
        <f t="shared" si="12"/>
        <v/>
      </c>
      <c r="M52" s="188" t="str">
        <f t="shared" si="13"/>
        <v/>
      </c>
      <c r="N52" s="99"/>
      <c r="O52" s="106"/>
      <c r="P52" s="106"/>
      <c r="Q52" s="106"/>
      <c r="R52" s="107"/>
      <c r="S52" s="217" t="str">
        <f t="shared" si="0"/>
        <v/>
      </c>
      <c r="T52" s="91" t="str">
        <f t="shared" si="1"/>
        <v/>
      </c>
      <c r="U52" s="218" t="str">
        <f t="shared" si="2"/>
        <v/>
      </c>
      <c r="V52" s="230"/>
      <c r="W52" s="226"/>
      <c r="X52" s="236"/>
      <c r="Y52" s="194" t="str">
        <f t="shared" si="14"/>
        <v/>
      </c>
      <c r="Z52" s="170" t="str">
        <f t="shared" si="15"/>
        <v/>
      </c>
      <c r="AA52" s="188" t="str">
        <f t="shared" si="16"/>
        <v/>
      </c>
      <c r="AB52" s="230"/>
      <c r="AC52" s="226"/>
      <c r="AD52" s="231"/>
      <c r="AE52" s="194" t="str">
        <f t="shared" si="17"/>
        <v/>
      </c>
      <c r="AF52" s="170" t="str">
        <f t="shared" si="18"/>
        <v/>
      </c>
      <c r="AG52" s="188" t="str">
        <f t="shared" si="19"/>
        <v/>
      </c>
      <c r="AH52" s="105"/>
      <c r="AI52" s="106"/>
      <c r="AJ52" s="107"/>
      <c r="AK52" s="90" t="str">
        <f t="shared" si="3"/>
        <v/>
      </c>
      <c r="AL52" s="91" t="str">
        <f t="shared" si="4"/>
        <v/>
      </c>
      <c r="AM52" s="93" t="str">
        <f t="shared" si="5"/>
        <v/>
      </c>
      <c r="AN52" s="162"/>
      <c r="AO52" s="107"/>
      <c r="AP52" s="163"/>
      <c r="AQ52" s="157" t="str">
        <f t="shared" si="6"/>
        <v/>
      </c>
      <c r="AR52" s="91" t="str">
        <f t="shared" si="7"/>
        <v/>
      </c>
      <c r="AS52" s="93" t="str">
        <f t="shared" si="8"/>
        <v/>
      </c>
      <c r="AT52" s="90" t="str">
        <f t="shared" si="9"/>
        <v/>
      </c>
      <c r="AU52" s="92" t="str">
        <f t="shared" si="10"/>
        <v/>
      </c>
      <c r="AV52" s="94" t="str">
        <f t="shared" si="20"/>
        <v/>
      </c>
      <c r="AW52" s="95" t="str">
        <f>IF(C52="","",IFERROR(_xlfn.XLOOKUP(AV52,HELPER!$C$8:$C$48,HELPER!$D$8:$D$48,,1),""))</f>
        <v/>
      </c>
      <c r="AX52" s="96" t="str">
        <f>IF(C52="","",IFERROR(_xlfn.XLOOKUP(AW52,HELPER!$F$8:$F$48,HELPER!$G$8:$G$48,,1),""))</f>
        <v/>
      </c>
      <c r="AY52" s="168"/>
      <c r="AZ52" s="148"/>
    </row>
    <row r="53" spans="1:52" ht="15" customHeight="1" x14ac:dyDescent="0.25">
      <c r="A53" s="168"/>
      <c r="B53" s="108">
        <v>35</v>
      </c>
      <c r="C53" s="355" t="str">
        <f>IF('INPUT DATA'!K45="","",'INPUT DATA'!K45)</f>
        <v/>
      </c>
      <c r="D53" s="356"/>
      <c r="E53" s="356"/>
      <c r="F53" s="243"/>
      <c r="G53" s="244"/>
      <c r="H53" s="244"/>
      <c r="I53" s="244"/>
      <c r="J53" s="245"/>
      <c r="K53" s="194" t="str">
        <f t="shared" si="11"/>
        <v/>
      </c>
      <c r="L53" s="170" t="str">
        <f t="shared" si="12"/>
        <v/>
      </c>
      <c r="M53" s="188" t="str">
        <f t="shared" si="13"/>
        <v/>
      </c>
      <c r="N53" s="99"/>
      <c r="O53" s="106"/>
      <c r="P53" s="106"/>
      <c r="Q53" s="106"/>
      <c r="R53" s="107"/>
      <c r="S53" s="217" t="str">
        <f t="shared" si="0"/>
        <v/>
      </c>
      <c r="T53" s="91" t="str">
        <f t="shared" si="1"/>
        <v/>
      </c>
      <c r="U53" s="218" t="str">
        <f t="shared" si="2"/>
        <v/>
      </c>
      <c r="V53" s="230"/>
      <c r="W53" s="226"/>
      <c r="X53" s="236"/>
      <c r="Y53" s="194" t="str">
        <f t="shared" si="14"/>
        <v/>
      </c>
      <c r="Z53" s="170" t="str">
        <f t="shared" si="15"/>
        <v/>
      </c>
      <c r="AA53" s="188" t="str">
        <f t="shared" si="16"/>
        <v/>
      </c>
      <c r="AB53" s="230"/>
      <c r="AC53" s="226"/>
      <c r="AD53" s="231"/>
      <c r="AE53" s="194" t="str">
        <f t="shared" si="17"/>
        <v/>
      </c>
      <c r="AF53" s="170" t="str">
        <f t="shared" si="18"/>
        <v/>
      </c>
      <c r="AG53" s="188" t="str">
        <f t="shared" si="19"/>
        <v/>
      </c>
      <c r="AH53" s="105"/>
      <c r="AI53" s="106"/>
      <c r="AJ53" s="107"/>
      <c r="AK53" s="90" t="str">
        <f t="shared" si="3"/>
        <v/>
      </c>
      <c r="AL53" s="91" t="str">
        <f t="shared" si="4"/>
        <v/>
      </c>
      <c r="AM53" s="93" t="str">
        <f t="shared" si="5"/>
        <v/>
      </c>
      <c r="AN53" s="162"/>
      <c r="AO53" s="107"/>
      <c r="AP53" s="163"/>
      <c r="AQ53" s="157" t="str">
        <f t="shared" si="6"/>
        <v/>
      </c>
      <c r="AR53" s="91" t="str">
        <f t="shared" si="7"/>
        <v/>
      </c>
      <c r="AS53" s="93" t="str">
        <f t="shared" si="8"/>
        <v/>
      </c>
      <c r="AT53" s="90" t="str">
        <f t="shared" si="9"/>
        <v/>
      </c>
      <c r="AU53" s="92" t="str">
        <f t="shared" si="10"/>
        <v/>
      </c>
      <c r="AV53" s="94" t="str">
        <f t="shared" si="20"/>
        <v/>
      </c>
      <c r="AW53" s="95" t="str">
        <f>IF(C53="","",IFERROR(_xlfn.XLOOKUP(AV53,HELPER!$C$8:$C$48,HELPER!$D$8:$D$48,,1),""))</f>
        <v/>
      </c>
      <c r="AX53" s="96" t="str">
        <f>IF(C53="","",IFERROR(_xlfn.XLOOKUP(AW53,HELPER!$F$8:$F$48,HELPER!$G$8:$G$48,,1),""))</f>
        <v/>
      </c>
      <c r="AY53" s="168"/>
      <c r="AZ53" s="148"/>
    </row>
    <row r="54" spans="1:52" ht="15" customHeight="1" x14ac:dyDescent="0.25">
      <c r="A54" s="168"/>
      <c r="B54" s="108">
        <v>36</v>
      </c>
      <c r="C54" s="355" t="str">
        <f>IF('INPUT DATA'!K46="","",'INPUT DATA'!K46)</f>
        <v/>
      </c>
      <c r="D54" s="356"/>
      <c r="E54" s="356"/>
      <c r="F54" s="243"/>
      <c r="G54" s="244"/>
      <c r="H54" s="244"/>
      <c r="I54" s="244"/>
      <c r="J54" s="245"/>
      <c r="K54" s="194" t="str">
        <f t="shared" si="11"/>
        <v/>
      </c>
      <c r="L54" s="170" t="str">
        <f t="shared" si="12"/>
        <v/>
      </c>
      <c r="M54" s="188" t="str">
        <f t="shared" si="13"/>
        <v/>
      </c>
      <c r="N54" s="99"/>
      <c r="O54" s="106"/>
      <c r="P54" s="106"/>
      <c r="Q54" s="106"/>
      <c r="R54" s="107"/>
      <c r="S54" s="217" t="str">
        <f t="shared" si="0"/>
        <v/>
      </c>
      <c r="T54" s="91" t="str">
        <f t="shared" si="1"/>
        <v/>
      </c>
      <c r="U54" s="218" t="str">
        <f t="shared" si="2"/>
        <v/>
      </c>
      <c r="V54" s="230"/>
      <c r="W54" s="226"/>
      <c r="X54" s="236"/>
      <c r="Y54" s="194" t="str">
        <f t="shared" si="14"/>
        <v/>
      </c>
      <c r="Z54" s="170" t="str">
        <f t="shared" si="15"/>
        <v/>
      </c>
      <c r="AA54" s="188" t="str">
        <f t="shared" si="16"/>
        <v/>
      </c>
      <c r="AB54" s="230"/>
      <c r="AC54" s="226"/>
      <c r="AD54" s="231"/>
      <c r="AE54" s="194" t="str">
        <f t="shared" si="17"/>
        <v/>
      </c>
      <c r="AF54" s="170" t="str">
        <f t="shared" si="18"/>
        <v/>
      </c>
      <c r="AG54" s="188" t="str">
        <f t="shared" si="19"/>
        <v/>
      </c>
      <c r="AH54" s="105"/>
      <c r="AI54" s="106"/>
      <c r="AJ54" s="107"/>
      <c r="AK54" s="90" t="str">
        <f t="shared" si="3"/>
        <v/>
      </c>
      <c r="AL54" s="91" t="str">
        <f t="shared" si="4"/>
        <v/>
      </c>
      <c r="AM54" s="93" t="str">
        <f t="shared" si="5"/>
        <v/>
      </c>
      <c r="AN54" s="162"/>
      <c r="AO54" s="107"/>
      <c r="AP54" s="163"/>
      <c r="AQ54" s="157" t="str">
        <f t="shared" si="6"/>
        <v/>
      </c>
      <c r="AR54" s="91" t="str">
        <f t="shared" si="7"/>
        <v/>
      </c>
      <c r="AS54" s="93" t="str">
        <f t="shared" si="8"/>
        <v/>
      </c>
      <c r="AT54" s="90" t="str">
        <f t="shared" si="9"/>
        <v/>
      </c>
      <c r="AU54" s="92" t="str">
        <f t="shared" si="10"/>
        <v/>
      </c>
      <c r="AV54" s="94" t="str">
        <f t="shared" si="20"/>
        <v/>
      </c>
      <c r="AW54" s="95" t="str">
        <f>IF(C54="","",IFERROR(_xlfn.XLOOKUP(AV54,HELPER!$C$8:$C$48,HELPER!$D$8:$D$48,,1),""))</f>
        <v/>
      </c>
      <c r="AX54" s="96" t="str">
        <f>IF(C54="","",IFERROR(_xlfn.XLOOKUP(AW54,HELPER!$F$8:$F$48,HELPER!$G$8:$G$48,,1),""))</f>
        <v/>
      </c>
      <c r="AY54" s="168"/>
      <c r="AZ54" s="148"/>
    </row>
    <row r="55" spans="1:52" ht="15" customHeight="1" x14ac:dyDescent="0.25">
      <c r="A55" s="168"/>
      <c r="B55" s="108">
        <v>37</v>
      </c>
      <c r="C55" s="355" t="str">
        <f>IF('INPUT DATA'!K47="","",'INPUT DATA'!K47)</f>
        <v/>
      </c>
      <c r="D55" s="356"/>
      <c r="E55" s="356"/>
      <c r="F55" s="243"/>
      <c r="G55" s="244"/>
      <c r="H55" s="244"/>
      <c r="I55" s="244"/>
      <c r="J55" s="245"/>
      <c r="K55" s="194" t="str">
        <f t="shared" si="11"/>
        <v/>
      </c>
      <c r="L55" s="170" t="str">
        <f t="shared" si="12"/>
        <v/>
      </c>
      <c r="M55" s="188" t="str">
        <f t="shared" si="13"/>
        <v/>
      </c>
      <c r="N55" s="99"/>
      <c r="O55" s="106"/>
      <c r="P55" s="106"/>
      <c r="Q55" s="106"/>
      <c r="R55" s="107"/>
      <c r="S55" s="217" t="str">
        <f t="shared" si="0"/>
        <v/>
      </c>
      <c r="T55" s="91" t="str">
        <f t="shared" si="1"/>
        <v/>
      </c>
      <c r="U55" s="218" t="str">
        <f t="shared" si="2"/>
        <v/>
      </c>
      <c r="V55" s="230"/>
      <c r="W55" s="226"/>
      <c r="X55" s="236"/>
      <c r="Y55" s="194" t="str">
        <f t="shared" si="14"/>
        <v/>
      </c>
      <c r="Z55" s="170" t="str">
        <f t="shared" si="15"/>
        <v/>
      </c>
      <c r="AA55" s="188" t="str">
        <f t="shared" si="16"/>
        <v/>
      </c>
      <c r="AB55" s="230"/>
      <c r="AC55" s="226"/>
      <c r="AD55" s="231"/>
      <c r="AE55" s="194" t="str">
        <f t="shared" si="17"/>
        <v/>
      </c>
      <c r="AF55" s="170" t="str">
        <f t="shared" si="18"/>
        <v/>
      </c>
      <c r="AG55" s="188" t="str">
        <f t="shared" si="19"/>
        <v/>
      </c>
      <c r="AH55" s="105"/>
      <c r="AI55" s="106"/>
      <c r="AJ55" s="107"/>
      <c r="AK55" s="90" t="str">
        <f t="shared" si="3"/>
        <v/>
      </c>
      <c r="AL55" s="91" t="str">
        <f t="shared" si="4"/>
        <v/>
      </c>
      <c r="AM55" s="93" t="str">
        <f t="shared" si="5"/>
        <v/>
      </c>
      <c r="AN55" s="162"/>
      <c r="AO55" s="107"/>
      <c r="AP55" s="163"/>
      <c r="AQ55" s="157" t="str">
        <f t="shared" si="6"/>
        <v/>
      </c>
      <c r="AR55" s="91" t="str">
        <f t="shared" si="7"/>
        <v/>
      </c>
      <c r="AS55" s="93" t="str">
        <f t="shared" si="8"/>
        <v/>
      </c>
      <c r="AT55" s="90" t="str">
        <f t="shared" si="9"/>
        <v/>
      </c>
      <c r="AU55" s="92" t="str">
        <f t="shared" si="10"/>
        <v/>
      </c>
      <c r="AV55" s="94" t="str">
        <f t="shared" si="20"/>
        <v/>
      </c>
      <c r="AW55" s="95" t="str">
        <f>IF(C55="","",IFERROR(_xlfn.XLOOKUP(AV55,HELPER!$C$8:$C$48,HELPER!$D$8:$D$48,,1),""))</f>
        <v/>
      </c>
      <c r="AX55" s="96" t="str">
        <f>IF(C55="","",IFERROR(_xlfn.XLOOKUP(AW55,HELPER!$F$8:$F$48,HELPER!$G$8:$G$48,,1),""))</f>
        <v/>
      </c>
      <c r="AY55" s="168"/>
      <c r="AZ55" s="148"/>
    </row>
    <row r="56" spans="1:52" ht="15" customHeight="1" x14ac:dyDescent="0.25">
      <c r="A56" s="168"/>
      <c r="B56" s="108">
        <v>38</v>
      </c>
      <c r="C56" s="355" t="str">
        <f>IF('INPUT DATA'!K48="","",'INPUT DATA'!K48)</f>
        <v/>
      </c>
      <c r="D56" s="356"/>
      <c r="E56" s="356"/>
      <c r="F56" s="243"/>
      <c r="G56" s="244"/>
      <c r="H56" s="244"/>
      <c r="I56" s="244"/>
      <c r="J56" s="245"/>
      <c r="K56" s="194" t="str">
        <f t="shared" si="11"/>
        <v/>
      </c>
      <c r="L56" s="170" t="str">
        <f t="shared" si="12"/>
        <v/>
      </c>
      <c r="M56" s="188" t="str">
        <f t="shared" si="13"/>
        <v/>
      </c>
      <c r="N56" s="99"/>
      <c r="O56" s="106"/>
      <c r="P56" s="106"/>
      <c r="Q56" s="106"/>
      <c r="R56" s="107"/>
      <c r="S56" s="217" t="str">
        <f t="shared" si="0"/>
        <v/>
      </c>
      <c r="T56" s="91" t="str">
        <f t="shared" si="1"/>
        <v/>
      </c>
      <c r="U56" s="218" t="str">
        <f t="shared" si="2"/>
        <v/>
      </c>
      <c r="V56" s="230"/>
      <c r="W56" s="226"/>
      <c r="X56" s="236"/>
      <c r="Y56" s="194" t="str">
        <f t="shared" si="14"/>
        <v/>
      </c>
      <c r="Z56" s="170" t="str">
        <f t="shared" si="15"/>
        <v/>
      </c>
      <c r="AA56" s="188" t="str">
        <f t="shared" si="16"/>
        <v/>
      </c>
      <c r="AB56" s="230"/>
      <c r="AC56" s="226"/>
      <c r="AD56" s="231"/>
      <c r="AE56" s="194" t="str">
        <f t="shared" si="17"/>
        <v/>
      </c>
      <c r="AF56" s="170" t="str">
        <f t="shared" si="18"/>
        <v/>
      </c>
      <c r="AG56" s="188" t="str">
        <f t="shared" si="19"/>
        <v/>
      </c>
      <c r="AH56" s="105"/>
      <c r="AI56" s="106"/>
      <c r="AJ56" s="107"/>
      <c r="AK56" s="90" t="str">
        <f t="shared" si="3"/>
        <v/>
      </c>
      <c r="AL56" s="91" t="str">
        <f t="shared" si="4"/>
        <v/>
      </c>
      <c r="AM56" s="93" t="str">
        <f t="shared" si="5"/>
        <v/>
      </c>
      <c r="AN56" s="162"/>
      <c r="AO56" s="107"/>
      <c r="AP56" s="163"/>
      <c r="AQ56" s="157" t="str">
        <f t="shared" si="6"/>
        <v/>
      </c>
      <c r="AR56" s="91" t="str">
        <f t="shared" si="7"/>
        <v/>
      </c>
      <c r="AS56" s="93" t="str">
        <f t="shared" si="8"/>
        <v/>
      </c>
      <c r="AT56" s="90" t="str">
        <f t="shared" si="9"/>
        <v/>
      </c>
      <c r="AU56" s="92" t="str">
        <f t="shared" si="10"/>
        <v/>
      </c>
      <c r="AV56" s="94" t="str">
        <f t="shared" si="20"/>
        <v/>
      </c>
      <c r="AW56" s="95" t="str">
        <f>IF(C56="","",IFERROR(_xlfn.XLOOKUP(AV56,HELPER!$C$8:$C$48,HELPER!$D$8:$D$48,,1),""))</f>
        <v/>
      </c>
      <c r="AX56" s="96" t="str">
        <f>IF(C56="","",IFERROR(_xlfn.XLOOKUP(AW56,HELPER!$F$8:$F$48,HELPER!$G$8:$G$48,,1),""))</f>
        <v/>
      </c>
      <c r="AY56" s="168"/>
      <c r="AZ56" s="148"/>
    </row>
    <row r="57" spans="1:52" ht="15" customHeight="1" x14ac:dyDescent="0.25">
      <c r="A57" s="168"/>
      <c r="B57" s="108">
        <v>39</v>
      </c>
      <c r="C57" s="355" t="str">
        <f>IF('INPUT DATA'!K49="","",'INPUT DATA'!K49)</f>
        <v/>
      </c>
      <c r="D57" s="356"/>
      <c r="E57" s="356"/>
      <c r="F57" s="243"/>
      <c r="G57" s="244"/>
      <c r="H57" s="244"/>
      <c r="I57" s="244"/>
      <c r="J57" s="245"/>
      <c r="K57" s="194" t="str">
        <f t="shared" si="11"/>
        <v/>
      </c>
      <c r="L57" s="170" t="str">
        <f t="shared" si="12"/>
        <v/>
      </c>
      <c r="M57" s="188" t="str">
        <f t="shared" si="13"/>
        <v/>
      </c>
      <c r="N57" s="99"/>
      <c r="O57" s="106"/>
      <c r="P57" s="106"/>
      <c r="Q57" s="106"/>
      <c r="R57" s="107"/>
      <c r="S57" s="217" t="str">
        <f t="shared" si="0"/>
        <v/>
      </c>
      <c r="T57" s="91" t="str">
        <f t="shared" si="1"/>
        <v/>
      </c>
      <c r="U57" s="218" t="str">
        <f t="shared" si="2"/>
        <v/>
      </c>
      <c r="V57" s="230"/>
      <c r="W57" s="226"/>
      <c r="X57" s="236"/>
      <c r="Y57" s="194" t="str">
        <f t="shared" si="14"/>
        <v/>
      </c>
      <c r="Z57" s="170" t="str">
        <f t="shared" si="15"/>
        <v/>
      </c>
      <c r="AA57" s="188" t="str">
        <f t="shared" si="16"/>
        <v/>
      </c>
      <c r="AB57" s="230"/>
      <c r="AC57" s="226"/>
      <c r="AD57" s="231"/>
      <c r="AE57" s="194" t="str">
        <f t="shared" si="17"/>
        <v/>
      </c>
      <c r="AF57" s="170" t="str">
        <f t="shared" si="18"/>
        <v/>
      </c>
      <c r="AG57" s="188" t="str">
        <f t="shared" si="19"/>
        <v/>
      </c>
      <c r="AH57" s="105"/>
      <c r="AI57" s="106"/>
      <c r="AJ57" s="107"/>
      <c r="AK57" s="90" t="str">
        <f t="shared" si="3"/>
        <v/>
      </c>
      <c r="AL57" s="91" t="str">
        <f t="shared" si="4"/>
        <v/>
      </c>
      <c r="AM57" s="93" t="str">
        <f t="shared" si="5"/>
        <v/>
      </c>
      <c r="AN57" s="162"/>
      <c r="AO57" s="107"/>
      <c r="AP57" s="163"/>
      <c r="AQ57" s="157" t="str">
        <f t="shared" si="6"/>
        <v/>
      </c>
      <c r="AR57" s="91" t="str">
        <f t="shared" si="7"/>
        <v/>
      </c>
      <c r="AS57" s="93" t="str">
        <f t="shared" si="8"/>
        <v/>
      </c>
      <c r="AT57" s="90" t="str">
        <f t="shared" si="9"/>
        <v/>
      </c>
      <c r="AU57" s="92" t="str">
        <f t="shared" si="10"/>
        <v/>
      </c>
      <c r="AV57" s="94" t="str">
        <f t="shared" si="20"/>
        <v/>
      </c>
      <c r="AW57" s="95" t="str">
        <f>IF(C57="","",IFERROR(_xlfn.XLOOKUP(AV57,HELPER!$C$8:$C$48,HELPER!$D$8:$D$48,,1),""))</f>
        <v/>
      </c>
      <c r="AX57" s="96" t="str">
        <f>IF(C57="","",IFERROR(_xlfn.XLOOKUP(AW57,HELPER!$F$8:$F$48,HELPER!$G$8:$G$48,,1),""))</f>
        <v/>
      </c>
      <c r="AY57" s="168"/>
      <c r="AZ57" s="148"/>
    </row>
    <row r="58" spans="1:52" ht="15" customHeight="1" x14ac:dyDescent="0.25">
      <c r="A58" s="168"/>
      <c r="B58" s="108">
        <v>40</v>
      </c>
      <c r="C58" s="355" t="str">
        <f>IF('INPUT DATA'!K50="","",'INPUT DATA'!K50)</f>
        <v/>
      </c>
      <c r="D58" s="356"/>
      <c r="E58" s="356"/>
      <c r="F58" s="243"/>
      <c r="G58" s="244"/>
      <c r="H58" s="244"/>
      <c r="I58" s="244"/>
      <c r="J58" s="245"/>
      <c r="K58" s="194" t="str">
        <f t="shared" si="11"/>
        <v/>
      </c>
      <c r="L58" s="170" t="str">
        <f t="shared" si="12"/>
        <v/>
      </c>
      <c r="M58" s="188" t="str">
        <f t="shared" si="13"/>
        <v/>
      </c>
      <c r="N58" s="99"/>
      <c r="O58" s="106"/>
      <c r="P58" s="106"/>
      <c r="Q58" s="106"/>
      <c r="R58" s="107"/>
      <c r="S58" s="217" t="str">
        <f t="shared" si="0"/>
        <v/>
      </c>
      <c r="T58" s="91" t="str">
        <f t="shared" si="1"/>
        <v/>
      </c>
      <c r="U58" s="218" t="str">
        <f t="shared" si="2"/>
        <v/>
      </c>
      <c r="V58" s="230"/>
      <c r="W58" s="226"/>
      <c r="X58" s="236"/>
      <c r="Y58" s="194" t="str">
        <f t="shared" si="14"/>
        <v/>
      </c>
      <c r="Z58" s="170" t="str">
        <f t="shared" si="15"/>
        <v/>
      </c>
      <c r="AA58" s="188" t="str">
        <f t="shared" si="16"/>
        <v/>
      </c>
      <c r="AB58" s="230"/>
      <c r="AC58" s="226"/>
      <c r="AD58" s="231"/>
      <c r="AE58" s="194" t="str">
        <f t="shared" si="17"/>
        <v/>
      </c>
      <c r="AF58" s="170" t="str">
        <f t="shared" si="18"/>
        <v/>
      </c>
      <c r="AG58" s="188" t="str">
        <f t="shared" si="19"/>
        <v/>
      </c>
      <c r="AH58" s="105"/>
      <c r="AI58" s="106"/>
      <c r="AJ58" s="107"/>
      <c r="AK58" s="90" t="str">
        <f t="shared" si="3"/>
        <v/>
      </c>
      <c r="AL58" s="91" t="str">
        <f t="shared" si="4"/>
        <v/>
      </c>
      <c r="AM58" s="93" t="str">
        <f t="shared" si="5"/>
        <v/>
      </c>
      <c r="AN58" s="162"/>
      <c r="AO58" s="107"/>
      <c r="AP58" s="163"/>
      <c r="AQ58" s="157" t="str">
        <f t="shared" si="6"/>
        <v/>
      </c>
      <c r="AR58" s="91" t="str">
        <f t="shared" si="7"/>
        <v/>
      </c>
      <c r="AS58" s="93" t="str">
        <f t="shared" si="8"/>
        <v/>
      </c>
      <c r="AT58" s="90" t="str">
        <f t="shared" si="9"/>
        <v/>
      </c>
      <c r="AU58" s="92" t="str">
        <f t="shared" si="10"/>
        <v/>
      </c>
      <c r="AV58" s="94" t="str">
        <f t="shared" si="20"/>
        <v/>
      </c>
      <c r="AW58" s="95" t="str">
        <f>IF(C58="","",IFERROR(_xlfn.XLOOKUP(AV58,HELPER!$C$8:$C$48,HELPER!$D$8:$D$48,,1),""))</f>
        <v/>
      </c>
      <c r="AX58" s="96" t="str">
        <f>IF(C58="","",IFERROR(_xlfn.XLOOKUP(AW58,HELPER!$F$8:$F$48,HELPER!$G$8:$G$48,,1),""))</f>
        <v/>
      </c>
      <c r="AY58" s="168"/>
      <c r="AZ58" s="148"/>
    </row>
    <row r="59" spans="1:52" ht="15" customHeight="1" x14ac:dyDescent="0.25">
      <c r="A59" s="168"/>
      <c r="B59" s="108">
        <v>41</v>
      </c>
      <c r="C59" s="355" t="str">
        <f>IF('INPUT DATA'!K51="","",'INPUT DATA'!K51)</f>
        <v/>
      </c>
      <c r="D59" s="356"/>
      <c r="E59" s="356"/>
      <c r="F59" s="243"/>
      <c r="G59" s="244"/>
      <c r="H59" s="244"/>
      <c r="I59" s="244"/>
      <c r="J59" s="245"/>
      <c r="K59" s="194" t="str">
        <f t="shared" si="11"/>
        <v/>
      </c>
      <c r="L59" s="170" t="str">
        <f t="shared" si="12"/>
        <v/>
      </c>
      <c r="M59" s="188" t="str">
        <f t="shared" si="13"/>
        <v/>
      </c>
      <c r="N59" s="99"/>
      <c r="O59" s="106"/>
      <c r="P59" s="106"/>
      <c r="Q59" s="106"/>
      <c r="R59" s="107"/>
      <c r="S59" s="217" t="str">
        <f t="shared" si="0"/>
        <v/>
      </c>
      <c r="T59" s="91" t="str">
        <f t="shared" si="1"/>
        <v/>
      </c>
      <c r="U59" s="218" t="str">
        <f t="shared" si="2"/>
        <v/>
      </c>
      <c r="V59" s="230"/>
      <c r="W59" s="226"/>
      <c r="X59" s="236"/>
      <c r="Y59" s="194" t="str">
        <f t="shared" si="14"/>
        <v/>
      </c>
      <c r="Z59" s="170" t="str">
        <f t="shared" si="15"/>
        <v/>
      </c>
      <c r="AA59" s="188" t="str">
        <f t="shared" si="16"/>
        <v/>
      </c>
      <c r="AB59" s="230"/>
      <c r="AC59" s="226"/>
      <c r="AD59" s="231"/>
      <c r="AE59" s="194" t="str">
        <f t="shared" si="17"/>
        <v/>
      </c>
      <c r="AF59" s="170" t="str">
        <f t="shared" si="18"/>
        <v/>
      </c>
      <c r="AG59" s="188" t="str">
        <f t="shared" si="19"/>
        <v/>
      </c>
      <c r="AH59" s="105"/>
      <c r="AI59" s="106"/>
      <c r="AJ59" s="107"/>
      <c r="AK59" s="90" t="str">
        <f t="shared" si="3"/>
        <v/>
      </c>
      <c r="AL59" s="91" t="str">
        <f t="shared" si="4"/>
        <v/>
      </c>
      <c r="AM59" s="93" t="str">
        <f t="shared" si="5"/>
        <v/>
      </c>
      <c r="AN59" s="162"/>
      <c r="AO59" s="107"/>
      <c r="AP59" s="163"/>
      <c r="AQ59" s="157" t="str">
        <f t="shared" si="6"/>
        <v/>
      </c>
      <c r="AR59" s="91" t="str">
        <f t="shared" si="7"/>
        <v/>
      </c>
      <c r="AS59" s="93" t="str">
        <f t="shared" si="8"/>
        <v/>
      </c>
      <c r="AT59" s="90" t="str">
        <f t="shared" si="9"/>
        <v/>
      </c>
      <c r="AU59" s="92" t="str">
        <f t="shared" si="10"/>
        <v/>
      </c>
      <c r="AV59" s="94" t="str">
        <f t="shared" si="20"/>
        <v/>
      </c>
      <c r="AW59" s="95" t="str">
        <f>IF(C59="","",IFERROR(_xlfn.XLOOKUP(AV59,HELPER!$C$8:$C$48,HELPER!$D$8:$D$48,,1),""))</f>
        <v/>
      </c>
      <c r="AX59" s="96" t="str">
        <f>IF(C59="","",IFERROR(_xlfn.XLOOKUP(AW59,HELPER!$F$8:$F$48,HELPER!$G$8:$G$48,,1),""))</f>
        <v/>
      </c>
      <c r="AY59" s="168"/>
      <c r="AZ59" s="148"/>
    </row>
    <row r="60" spans="1:52" ht="15" customHeight="1" x14ac:dyDescent="0.25">
      <c r="A60" s="168"/>
      <c r="B60" s="108">
        <v>42</v>
      </c>
      <c r="C60" s="355" t="str">
        <f>IF('INPUT DATA'!K52="","",'INPUT DATA'!K52)</f>
        <v/>
      </c>
      <c r="D60" s="356"/>
      <c r="E60" s="356"/>
      <c r="F60" s="243"/>
      <c r="G60" s="244"/>
      <c r="H60" s="244"/>
      <c r="I60" s="244"/>
      <c r="J60" s="245"/>
      <c r="K60" s="194" t="str">
        <f t="shared" si="11"/>
        <v/>
      </c>
      <c r="L60" s="170" t="str">
        <f t="shared" si="12"/>
        <v/>
      </c>
      <c r="M60" s="188" t="str">
        <f t="shared" si="13"/>
        <v/>
      </c>
      <c r="N60" s="99"/>
      <c r="O60" s="106"/>
      <c r="P60" s="106"/>
      <c r="Q60" s="106"/>
      <c r="R60" s="107"/>
      <c r="S60" s="217" t="str">
        <f t="shared" si="0"/>
        <v/>
      </c>
      <c r="T60" s="91" t="str">
        <f t="shared" si="1"/>
        <v/>
      </c>
      <c r="U60" s="218" t="str">
        <f t="shared" si="2"/>
        <v/>
      </c>
      <c r="V60" s="230"/>
      <c r="W60" s="226"/>
      <c r="X60" s="236"/>
      <c r="Y60" s="194" t="str">
        <f t="shared" si="14"/>
        <v/>
      </c>
      <c r="Z60" s="170" t="str">
        <f t="shared" si="15"/>
        <v/>
      </c>
      <c r="AA60" s="188" t="str">
        <f t="shared" si="16"/>
        <v/>
      </c>
      <c r="AB60" s="230"/>
      <c r="AC60" s="226"/>
      <c r="AD60" s="231"/>
      <c r="AE60" s="194" t="str">
        <f t="shared" si="17"/>
        <v/>
      </c>
      <c r="AF60" s="170" t="str">
        <f t="shared" si="18"/>
        <v/>
      </c>
      <c r="AG60" s="188" t="str">
        <f t="shared" si="19"/>
        <v/>
      </c>
      <c r="AH60" s="105"/>
      <c r="AI60" s="106"/>
      <c r="AJ60" s="107"/>
      <c r="AK60" s="90" t="str">
        <f t="shared" si="3"/>
        <v/>
      </c>
      <c r="AL60" s="91" t="str">
        <f t="shared" si="4"/>
        <v/>
      </c>
      <c r="AM60" s="93" t="str">
        <f t="shared" si="5"/>
        <v/>
      </c>
      <c r="AN60" s="162"/>
      <c r="AO60" s="107"/>
      <c r="AP60" s="163"/>
      <c r="AQ60" s="157" t="str">
        <f t="shared" si="6"/>
        <v/>
      </c>
      <c r="AR60" s="91" t="str">
        <f t="shared" si="7"/>
        <v/>
      </c>
      <c r="AS60" s="93" t="str">
        <f t="shared" si="8"/>
        <v/>
      </c>
      <c r="AT60" s="90" t="str">
        <f t="shared" si="9"/>
        <v/>
      </c>
      <c r="AU60" s="92" t="str">
        <f t="shared" si="10"/>
        <v/>
      </c>
      <c r="AV60" s="94" t="str">
        <f t="shared" si="20"/>
        <v/>
      </c>
      <c r="AW60" s="95" t="str">
        <f>IF(C60="","",IFERROR(_xlfn.XLOOKUP(AV60,HELPER!$C$8:$C$48,HELPER!$D$8:$D$48,,1),""))</f>
        <v/>
      </c>
      <c r="AX60" s="96" t="str">
        <f>IF(C60="","",IFERROR(_xlfn.XLOOKUP(AW60,HELPER!$F$8:$F$48,HELPER!$G$8:$G$48,,1),""))</f>
        <v/>
      </c>
      <c r="AY60" s="168"/>
      <c r="AZ60" s="148"/>
    </row>
    <row r="61" spans="1:52" ht="15" customHeight="1" x14ac:dyDescent="0.25">
      <c r="A61" s="168"/>
      <c r="B61" s="108">
        <v>43</v>
      </c>
      <c r="C61" s="355" t="str">
        <f>IF('INPUT DATA'!K53="","",'INPUT DATA'!K53)</f>
        <v/>
      </c>
      <c r="D61" s="356"/>
      <c r="E61" s="356"/>
      <c r="F61" s="243"/>
      <c r="G61" s="244"/>
      <c r="H61" s="244"/>
      <c r="I61" s="244"/>
      <c r="J61" s="245"/>
      <c r="K61" s="194" t="str">
        <f t="shared" si="11"/>
        <v/>
      </c>
      <c r="L61" s="170" t="str">
        <f t="shared" si="12"/>
        <v/>
      </c>
      <c r="M61" s="188" t="str">
        <f t="shared" si="13"/>
        <v/>
      </c>
      <c r="N61" s="99"/>
      <c r="O61" s="106"/>
      <c r="P61" s="106"/>
      <c r="Q61" s="106"/>
      <c r="R61" s="107"/>
      <c r="S61" s="217" t="str">
        <f t="shared" si="0"/>
        <v/>
      </c>
      <c r="T61" s="91" t="str">
        <f t="shared" si="1"/>
        <v/>
      </c>
      <c r="U61" s="218" t="str">
        <f t="shared" si="2"/>
        <v/>
      </c>
      <c r="V61" s="230"/>
      <c r="W61" s="226"/>
      <c r="X61" s="236"/>
      <c r="Y61" s="194" t="str">
        <f t="shared" si="14"/>
        <v/>
      </c>
      <c r="Z61" s="170" t="str">
        <f t="shared" si="15"/>
        <v/>
      </c>
      <c r="AA61" s="188" t="str">
        <f t="shared" si="16"/>
        <v/>
      </c>
      <c r="AB61" s="230"/>
      <c r="AC61" s="226"/>
      <c r="AD61" s="231"/>
      <c r="AE61" s="194" t="str">
        <f t="shared" si="17"/>
        <v/>
      </c>
      <c r="AF61" s="170" t="str">
        <f t="shared" si="18"/>
        <v/>
      </c>
      <c r="AG61" s="188" t="str">
        <f t="shared" si="19"/>
        <v/>
      </c>
      <c r="AH61" s="105"/>
      <c r="AI61" s="106"/>
      <c r="AJ61" s="107"/>
      <c r="AK61" s="90" t="str">
        <f t="shared" si="3"/>
        <v/>
      </c>
      <c r="AL61" s="91" t="str">
        <f t="shared" si="4"/>
        <v/>
      </c>
      <c r="AM61" s="93" t="str">
        <f t="shared" si="5"/>
        <v/>
      </c>
      <c r="AN61" s="162"/>
      <c r="AO61" s="107"/>
      <c r="AP61" s="163"/>
      <c r="AQ61" s="157" t="str">
        <f t="shared" si="6"/>
        <v/>
      </c>
      <c r="AR61" s="91" t="str">
        <f t="shared" si="7"/>
        <v/>
      </c>
      <c r="AS61" s="93" t="str">
        <f t="shared" si="8"/>
        <v/>
      </c>
      <c r="AT61" s="90" t="str">
        <f t="shared" si="9"/>
        <v/>
      </c>
      <c r="AU61" s="92" t="str">
        <f t="shared" si="10"/>
        <v/>
      </c>
      <c r="AV61" s="94" t="str">
        <f t="shared" si="20"/>
        <v/>
      </c>
      <c r="AW61" s="95" t="str">
        <f>IF(C61="","",IFERROR(_xlfn.XLOOKUP(AV61,HELPER!$C$8:$C$48,HELPER!$D$8:$D$48,,1),""))</f>
        <v/>
      </c>
      <c r="AX61" s="96" t="str">
        <f>IF(C61="","",IFERROR(_xlfn.XLOOKUP(AW61,HELPER!$F$8:$F$48,HELPER!$G$8:$G$48,,1),""))</f>
        <v/>
      </c>
      <c r="AY61" s="168"/>
      <c r="AZ61" s="148"/>
    </row>
    <row r="62" spans="1:52" ht="15" customHeight="1" x14ac:dyDescent="0.25">
      <c r="A62" s="168"/>
      <c r="B62" s="108">
        <v>44</v>
      </c>
      <c r="C62" s="355" t="str">
        <f>IF('INPUT DATA'!K54="","",'INPUT DATA'!K54)</f>
        <v/>
      </c>
      <c r="D62" s="356"/>
      <c r="E62" s="356"/>
      <c r="F62" s="243"/>
      <c r="G62" s="244"/>
      <c r="H62" s="244"/>
      <c r="I62" s="244"/>
      <c r="J62" s="245"/>
      <c r="K62" s="194" t="str">
        <f t="shared" si="11"/>
        <v/>
      </c>
      <c r="L62" s="170" t="str">
        <f t="shared" si="12"/>
        <v/>
      </c>
      <c r="M62" s="188" t="str">
        <f t="shared" si="13"/>
        <v/>
      </c>
      <c r="N62" s="99"/>
      <c r="O62" s="106"/>
      <c r="P62" s="106"/>
      <c r="Q62" s="106"/>
      <c r="R62" s="107"/>
      <c r="S62" s="217" t="str">
        <f t="shared" si="0"/>
        <v/>
      </c>
      <c r="T62" s="91" t="str">
        <f t="shared" si="1"/>
        <v/>
      </c>
      <c r="U62" s="218" t="str">
        <f t="shared" si="2"/>
        <v/>
      </c>
      <c r="V62" s="230"/>
      <c r="W62" s="226"/>
      <c r="X62" s="236"/>
      <c r="Y62" s="194" t="str">
        <f t="shared" si="14"/>
        <v/>
      </c>
      <c r="Z62" s="170" t="str">
        <f t="shared" si="15"/>
        <v/>
      </c>
      <c r="AA62" s="188" t="str">
        <f t="shared" si="16"/>
        <v/>
      </c>
      <c r="AB62" s="230"/>
      <c r="AC62" s="226"/>
      <c r="AD62" s="231"/>
      <c r="AE62" s="194" t="str">
        <f t="shared" si="17"/>
        <v/>
      </c>
      <c r="AF62" s="170" t="str">
        <f t="shared" si="18"/>
        <v/>
      </c>
      <c r="AG62" s="188" t="str">
        <f t="shared" si="19"/>
        <v/>
      </c>
      <c r="AH62" s="105"/>
      <c r="AI62" s="106"/>
      <c r="AJ62" s="107"/>
      <c r="AK62" s="90" t="str">
        <f t="shared" si="3"/>
        <v/>
      </c>
      <c r="AL62" s="91" t="str">
        <f t="shared" si="4"/>
        <v/>
      </c>
      <c r="AM62" s="93" t="str">
        <f t="shared" si="5"/>
        <v/>
      </c>
      <c r="AN62" s="162"/>
      <c r="AO62" s="107"/>
      <c r="AP62" s="163"/>
      <c r="AQ62" s="157" t="str">
        <f t="shared" si="6"/>
        <v/>
      </c>
      <c r="AR62" s="91" t="str">
        <f t="shared" si="7"/>
        <v/>
      </c>
      <c r="AS62" s="93" t="str">
        <f t="shared" si="8"/>
        <v/>
      </c>
      <c r="AT62" s="90" t="str">
        <f t="shared" si="9"/>
        <v/>
      </c>
      <c r="AU62" s="92" t="str">
        <f t="shared" si="10"/>
        <v/>
      </c>
      <c r="AV62" s="94" t="str">
        <f t="shared" si="20"/>
        <v/>
      </c>
      <c r="AW62" s="95" t="str">
        <f>IF(C62="","",IFERROR(_xlfn.XLOOKUP(AV62,HELPER!$C$8:$C$48,HELPER!$D$8:$D$48,,1),""))</f>
        <v/>
      </c>
      <c r="AX62" s="96" t="str">
        <f>IF(C62="","",IFERROR(_xlfn.XLOOKUP(AW62,HELPER!$F$8:$F$48,HELPER!$G$8:$G$48,,1),""))</f>
        <v/>
      </c>
      <c r="AY62" s="168"/>
      <c r="AZ62" s="148"/>
    </row>
    <row r="63" spans="1:52" ht="15" customHeight="1" x14ac:dyDescent="0.25">
      <c r="A63" s="168"/>
      <c r="B63" s="108">
        <v>45</v>
      </c>
      <c r="C63" s="355" t="str">
        <f>IF('INPUT DATA'!K55="","",'INPUT DATA'!K55)</f>
        <v/>
      </c>
      <c r="D63" s="356"/>
      <c r="E63" s="356"/>
      <c r="F63" s="243"/>
      <c r="G63" s="244"/>
      <c r="H63" s="244"/>
      <c r="I63" s="244"/>
      <c r="J63" s="245"/>
      <c r="K63" s="194" t="str">
        <f t="shared" si="11"/>
        <v/>
      </c>
      <c r="L63" s="170" t="str">
        <f t="shared" si="12"/>
        <v/>
      </c>
      <c r="M63" s="188" t="str">
        <f t="shared" si="13"/>
        <v/>
      </c>
      <c r="N63" s="99"/>
      <c r="O63" s="106"/>
      <c r="P63" s="106"/>
      <c r="Q63" s="106"/>
      <c r="R63" s="107"/>
      <c r="S63" s="217" t="str">
        <f t="shared" si="0"/>
        <v/>
      </c>
      <c r="T63" s="91" t="str">
        <f t="shared" si="1"/>
        <v/>
      </c>
      <c r="U63" s="218" t="str">
        <f t="shared" si="2"/>
        <v/>
      </c>
      <c r="V63" s="230"/>
      <c r="W63" s="226"/>
      <c r="X63" s="236"/>
      <c r="Y63" s="194" t="str">
        <f t="shared" si="14"/>
        <v/>
      </c>
      <c r="Z63" s="170" t="str">
        <f t="shared" si="15"/>
        <v/>
      </c>
      <c r="AA63" s="188" t="str">
        <f t="shared" si="16"/>
        <v/>
      </c>
      <c r="AB63" s="230"/>
      <c r="AC63" s="226"/>
      <c r="AD63" s="231"/>
      <c r="AE63" s="194" t="str">
        <f t="shared" si="17"/>
        <v/>
      </c>
      <c r="AF63" s="170" t="str">
        <f t="shared" si="18"/>
        <v/>
      </c>
      <c r="AG63" s="188" t="str">
        <f t="shared" si="19"/>
        <v/>
      </c>
      <c r="AH63" s="105"/>
      <c r="AI63" s="106"/>
      <c r="AJ63" s="107"/>
      <c r="AK63" s="90" t="str">
        <f t="shared" si="3"/>
        <v/>
      </c>
      <c r="AL63" s="91" t="str">
        <f t="shared" si="4"/>
        <v/>
      </c>
      <c r="AM63" s="93" t="str">
        <f t="shared" si="5"/>
        <v/>
      </c>
      <c r="AN63" s="162"/>
      <c r="AO63" s="107"/>
      <c r="AP63" s="163"/>
      <c r="AQ63" s="157" t="str">
        <f t="shared" si="6"/>
        <v/>
      </c>
      <c r="AR63" s="91" t="str">
        <f t="shared" si="7"/>
        <v/>
      </c>
      <c r="AS63" s="93" t="str">
        <f t="shared" si="8"/>
        <v/>
      </c>
      <c r="AT63" s="90" t="str">
        <f t="shared" si="9"/>
        <v/>
      </c>
      <c r="AU63" s="92" t="str">
        <f t="shared" si="10"/>
        <v/>
      </c>
      <c r="AV63" s="94" t="str">
        <f t="shared" si="20"/>
        <v/>
      </c>
      <c r="AW63" s="95" t="str">
        <f>IF(C63="","",IFERROR(_xlfn.XLOOKUP(AV63,HELPER!$C$8:$C$48,HELPER!$D$8:$D$48,,1),""))</f>
        <v/>
      </c>
      <c r="AX63" s="96" t="str">
        <f>IF(C63="","",IFERROR(_xlfn.XLOOKUP(AW63,HELPER!$F$8:$F$48,HELPER!$G$8:$G$48,,1),""))</f>
        <v/>
      </c>
      <c r="AY63" s="168"/>
      <c r="AZ63" s="148"/>
    </row>
    <row r="64" spans="1:52" ht="15" customHeight="1" x14ac:dyDescent="0.25">
      <c r="A64" s="168"/>
      <c r="B64" s="108">
        <v>46</v>
      </c>
      <c r="C64" s="355" t="str">
        <f>IF('INPUT DATA'!K56="","",'INPUT DATA'!K56)</f>
        <v/>
      </c>
      <c r="D64" s="356"/>
      <c r="E64" s="356"/>
      <c r="F64" s="243"/>
      <c r="G64" s="244"/>
      <c r="H64" s="244"/>
      <c r="I64" s="244"/>
      <c r="J64" s="245"/>
      <c r="K64" s="194" t="str">
        <f t="shared" si="11"/>
        <v/>
      </c>
      <c r="L64" s="170" t="str">
        <f t="shared" si="12"/>
        <v/>
      </c>
      <c r="M64" s="188" t="str">
        <f t="shared" si="13"/>
        <v/>
      </c>
      <c r="N64" s="99"/>
      <c r="O64" s="106"/>
      <c r="P64" s="106"/>
      <c r="Q64" s="106"/>
      <c r="R64" s="107"/>
      <c r="S64" s="217" t="str">
        <f t="shared" si="0"/>
        <v/>
      </c>
      <c r="T64" s="91" t="str">
        <f t="shared" si="1"/>
        <v/>
      </c>
      <c r="U64" s="218" t="str">
        <f t="shared" si="2"/>
        <v/>
      </c>
      <c r="V64" s="230"/>
      <c r="W64" s="226"/>
      <c r="X64" s="236"/>
      <c r="Y64" s="194" t="str">
        <f t="shared" si="14"/>
        <v/>
      </c>
      <c r="Z64" s="170" t="str">
        <f t="shared" si="15"/>
        <v/>
      </c>
      <c r="AA64" s="188" t="str">
        <f t="shared" si="16"/>
        <v/>
      </c>
      <c r="AB64" s="230"/>
      <c r="AC64" s="226"/>
      <c r="AD64" s="231"/>
      <c r="AE64" s="194" t="str">
        <f t="shared" si="17"/>
        <v/>
      </c>
      <c r="AF64" s="170" t="str">
        <f t="shared" si="18"/>
        <v/>
      </c>
      <c r="AG64" s="188" t="str">
        <f t="shared" si="19"/>
        <v/>
      </c>
      <c r="AH64" s="105"/>
      <c r="AI64" s="106"/>
      <c r="AJ64" s="107"/>
      <c r="AK64" s="90" t="str">
        <f t="shared" si="3"/>
        <v/>
      </c>
      <c r="AL64" s="91" t="str">
        <f t="shared" si="4"/>
        <v/>
      </c>
      <c r="AM64" s="93" t="str">
        <f t="shared" si="5"/>
        <v/>
      </c>
      <c r="AN64" s="162"/>
      <c r="AO64" s="107"/>
      <c r="AP64" s="163"/>
      <c r="AQ64" s="157" t="str">
        <f t="shared" si="6"/>
        <v/>
      </c>
      <c r="AR64" s="91" t="str">
        <f t="shared" si="7"/>
        <v/>
      </c>
      <c r="AS64" s="93" t="str">
        <f t="shared" si="8"/>
        <v/>
      </c>
      <c r="AT64" s="90" t="str">
        <f t="shared" si="9"/>
        <v/>
      </c>
      <c r="AU64" s="92" t="str">
        <f t="shared" si="10"/>
        <v/>
      </c>
      <c r="AV64" s="94" t="str">
        <f t="shared" si="20"/>
        <v/>
      </c>
      <c r="AW64" s="95" t="str">
        <f>IF(C64="","",IFERROR(_xlfn.XLOOKUP(AV64,HELPER!$C$8:$C$48,HELPER!$D$8:$D$48,,1),""))</f>
        <v/>
      </c>
      <c r="AX64" s="96" t="str">
        <f>IF(C64="","",IFERROR(_xlfn.XLOOKUP(AW64,HELPER!$F$8:$F$48,HELPER!$G$8:$G$48,,1),""))</f>
        <v/>
      </c>
      <c r="AY64" s="168"/>
      <c r="AZ64" s="148"/>
    </row>
    <row r="65" spans="1:52" ht="15" customHeight="1" x14ac:dyDescent="0.25">
      <c r="A65" s="168"/>
      <c r="B65" s="108">
        <v>47</v>
      </c>
      <c r="C65" s="355" t="str">
        <f>IF('INPUT DATA'!K57="","",'INPUT DATA'!K57)</f>
        <v/>
      </c>
      <c r="D65" s="356"/>
      <c r="E65" s="356"/>
      <c r="F65" s="243"/>
      <c r="G65" s="244"/>
      <c r="H65" s="244"/>
      <c r="I65" s="244"/>
      <c r="J65" s="245"/>
      <c r="K65" s="194" t="str">
        <f t="shared" si="11"/>
        <v/>
      </c>
      <c r="L65" s="170" t="str">
        <f t="shared" si="12"/>
        <v/>
      </c>
      <c r="M65" s="188" t="str">
        <f t="shared" si="13"/>
        <v/>
      </c>
      <c r="N65" s="99"/>
      <c r="O65" s="106"/>
      <c r="P65" s="106"/>
      <c r="Q65" s="106"/>
      <c r="R65" s="107"/>
      <c r="S65" s="217" t="str">
        <f t="shared" si="0"/>
        <v/>
      </c>
      <c r="T65" s="91" t="str">
        <f t="shared" si="1"/>
        <v/>
      </c>
      <c r="U65" s="218" t="str">
        <f t="shared" si="2"/>
        <v/>
      </c>
      <c r="V65" s="230"/>
      <c r="W65" s="226"/>
      <c r="X65" s="236"/>
      <c r="Y65" s="194" t="str">
        <f t="shared" si="14"/>
        <v/>
      </c>
      <c r="Z65" s="170" t="str">
        <f t="shared" si="15"/>
        <v/>
      </c>
      <c r="AA65" s="188" t="str">
        <f t="shared" si="16"/>
        <v/>
      </c>
      <c r="AB65" s="230"/>
      <c r="AC65" s="226"/>
      <c r="AD65" s="231"/>
      <c r="AE65" s="194" t="str">
        <f t="shared" si="17"/>
        <v/>
      </c>
      <c r="AF65" s="170" t="str">
        <f t="shared" si="18"/>
        <v/>
      </c>
      <c r="AG65" s="188" t="str">
        <f t="shared" si="19"/>
        <v/>
      </c>
      <c r="AH65" s="105"/>
      <c r="AI65" s="106"/>
      <c r="AJ65" s="107"/>
      <c r="AK65" s="90" t="str">
        <f t="shared" si="3"/>
        <v/>
      </c>
      <c r="AL65" s="91" t="str">
        <f t="shared" si="4"/>
        <v/>
      </c>
      <c r="AM65" s="93" t="str">
        <f t="shared" si="5"/>
        <v/>
      </c>
      <c r="AN65" s="162"/>
      <c r="AO65" s="107"/>
      <c r="AP65" s="163"/>
      <c r="AQ65" s="157" t="str">
        <f t="shared" si="6"/>
        <v/>
      </c>
      <c r="AR65" s="91" t="str">
        <f t="shared" si="7"/>
        <v/>
      </c>
      <c r="AS65" s="93" t="str">
        <f t="shared" si="8"/>
        <v/>
      </c>
      <c r="AT65" s="90" t="str">
        <f t="shared" si="9"/>
        <v/>
      </c>
      <c r="AU65" s="92" t="str">
        <f t="shared" si="10"/>
        <v/>
      </c>
      <c r="AV65" s="94" t="str">
        <f t="shared" si="20"/>
        <v/>
      </c>
      <c r="AW65" s="95" t="str">
        <f>IF(C65="","",IFERROR(_xlfn.XLOOKUP(AV65,HELPER!$C$8:$C$48,HELPER!$D$8:$D$48,,1),""))</f>
        <v/>
      </c>
      <c r="AX65" s="96" t="str">
        <f>IF(C65="","",IFERROR(_xlfn.XLOOKUP(AW65,HELPER!$F$8:$F$48,HELPER!$G$8:$G$48,,1),""))</f>
        <v/>
      </c>
      <c r="AY65" s="168"/>
      <c r="AZ65" s="148"/>
    </row>
    <row r="66" spans="1:52" ht="15" customHeight="1" x14ac:dyDescent="0.25">
      <c r="A66" s="168"/>
      <c r="B66" s="108">
        <v>48</v>
      </c>
      <c r="C66" s="355" t="str">
        <f>IF('INPUT DATA'!K58="","",'INPUT DATA'!K58)</f>
        <v/>
      </c>
      <c r="D66" s="356"/>
      <c r="E66" s="356"/>
      <c r="F66" s="243"/>
      <c r="G66" s="244"/>
      <c r="H66" s="244"/>
      <c r="I66" s="244"/>
      <c r="J66" s="245"/>
      <c r="K66" s="194" t="str">
        <f t="shared" si="11"/>
        <v/>
      </c>
      <c r="L66" s="170" t="str">
        <f t="shared" si="12"/>
        <v/>
      </c>
      <c r="M66" s="188" t="str">
        <f t="shared" si="13"/>
        <v/>
      </c>
      <c r="N66" s="99"/>
      <c r="O66" s="106"/>
      <c r="P66" s="106"/>
      <c r="Q66" s="106"/>
      <c r="R66" s="107"/>
      <c r="S66" s="217" t="str">
        <f t="shared" si="0"/>
        <v/>
      </c>
      <c r="T66" s="91" t="str">
        <f t="shared" si="1"/>
        <v/>
      </c>
      <c r="U66" s="218" t="str">
        <f t="shared" si="2"/>
        <v/>
      </c>
      <c r="V66" s="230"/>
      <c r="W66" s="226"/>
      <c r="X66" s="236"/>
      <c r="Y66" s="194" t="str">
        <f t="shared" si="14"/>
        <v/>
      </c>
      <c r="Z66" s="170" t="str">
        <f t="shared" si="15"/>
        <v/>
      </c>
      <c r="AA66" s="188" t="str">
        <f t="shared" si="16"/>
        <v/>
      </c>
      <c r="AB66" s="230"/>
      <c r="AC66" s="226"/>
      <c r="AD66" s="231"/>
      <c r="AE66" s="194" t="str">
        <f t="shared" si="17"/>
        <v/>
      </c>
      <c r="AF66" s="170" t="str">
        <f t="shared" si="18"/>
        <v/>
      </c>
      <c r="AG66" s="188" t="str">
        <f t="shared" si="19"/>
        <v/>
      </c>
      <c r="AH66" s="105"/>
      <c r="AI66" s="106"/>
      <c r="AJ66" s="107"/>
      <c r="AK66" s="90" t="str">
        <f t="shared" si="3"/>
        <v/>
      </c>
      <c r="AL66" s="91" t="str">
        <f t="shared" si="4"/>
        <v/>
      </c>
      <c r="AM66" s="93" t="str">
        <f t="shared" si="5"/>
        <v/>
      </c>
      <c r="AN66" s="162"/>
      <c r="AO66" s="107"/>
      <c r="AP66" s="163"/>
      <c r="AQ66" s="157" t="str">
        <f t="shared" si="6"/>
        <v/>
      </c>
      <c r="AR66" s="91" t="str">
        <f t="shared" si="7"/>
        <v/>
      </c>
      <c r="AS66" s="93" t="str">
        <f t="shared" si="8"/>
        <v/>
      </c>
      <c r="AT66" s="90" t="str">
        <f t="shared" si="9"/>
        <v/>
      </c>
      <c r="AU66" s="92" t="str">
        <f t="shared" si="10"/>
        <v/>
      </c>
      <c r="AV66" s="94" t="str">
        <f t="shared" si="20"/>
        <v/>
      </c>
      <c r="AW66" s="95" t="str">
        <f>IF(C66="","",IFERROR(_xlfn.XLOOKUP(AV66,HELPER!$C$8:$C$48,HELPER!$D$8:$D$48,,1),""))</f>
        <v/>
      </c>
      <c r="AX66" s="96" t="str">
        <f>IF(C66="","",IFERROR(_xlfn.XLOOKUP(AW66,HELPER!$F$8:$F$48,HELPER!$G$8:$G$48,,1),""))</f>
        <v/>
      </c>
      <c r="AY66" s="168"/>
      <c r="AZ66" s="148"/>
    </row>
    <row r="67" spans="1:52" ht="15" customHeight="1" x14ac:dyDescent="0.25">
      <c r="A67" s="168"/>
      <c r="B67" s="108">
        <v>49</v>
      </c>
      <c r="C67" s="355" t="str">
        <f>IF('INPUT DATA'!K59="","",'INPUT DATA'!K59)</f>
        <v/>
      </c>
      <c r="D67" s="356"/>
      <c r="E67" s="356"/>
      <c r="F67" s="243"/>
      <c r="G67" s="244"/>
      <c r="H67" s="244"/>
      <c r="I67" s="244"/>
      <c r="J67" s="245"/>
      <c r="K67" s="194" t="str">
        <f t="shared" si="11"/>
        <v/>
      </c>
      <c r="L67" s="170" t="str">
        <f t="shared" si="12"/>
        <v/>
      </c>
      <c r="M67" s="188" t="str">
        <f t="shared" si="13"/>
        <v/>
      </c>
      <c r="N67" s="99"/>
      <c r="O67" s="106"/>
      <c r="P67" s="106"/>
      <c r="Q67" s="106"/>
      <c r="R67" s="107"/>
      <c r="S67" s="217" t="str">
        <f t="shared" si="0"/>
        <v/>
      </c>
      <c r="T67" s="91" t="str">
        <f t="shared" si="1"/>
        <v/>
      </c>
      <c r="U67" s="218" t="str">
        <f t="shared" si="2"/>
        <v/>
      </c>
      <c r="V67" s="230"/>
      <c r="W67" s="226"/>
      <c r="X67" s="236"/>
      <c r="Y67" s="194" t="str">
        <f t="shared" si="14"/>
        <v/>
      </c>
      <c r="Z67" s="170" t="str">
        <f t="shared" si="15"/>
        <v/>
      </c>
      <c r="AA67" s="188" t="str">
        <f t="shared" si="16"/>
        <v/>
      </c>
      <c r="AB67" s="230"/>
      <c r="AC67" s="226"/>
      <c r="AD67" s="231"/>
      <c r="AE67" s="194" t="str">
        <f t="shared" si="17"/>
        <v/>
      </c>
      <c r="AF67" s="170" t="str">
        <f t="shared" si="18"/>
        <v/>
      </c>
      <c r="AG67" s="188" t="str">
        <f t="shared" si="19"/>
        <v/>
      </c>
      <c r="AH67" s="105"/>
      <c r="AI67" s="106"/>
      <c r="AJ67" s="107"/>
      <c r="AK67" s="90" t="str">
        <f t="shared" si="3"/>
        <v/>
      </c>
      <c r="AL67" s="91" t="str">
        <f t="shared" si="4"/>
        <v/>
      </c>
      <c r="AM67" s="93" t="str">
        <f t="shared" si="5"/>
        <v/>
      </c>
      <c r="AN67" s="162"/>
      <c r="AO67" s="107"/>
      <c r="AP67" s="163"/>
      <c r="AQ67" s="157" t="str">
        <f t="shared" si="6"/>
        <v/>
      </c>
      <c r="AR67" s="91" t="str">
        <f t="shared" si="7"/>
        <v/>
      </c>
      <c r="AS67" s="93" t="str">
        <f t="shared" si="8"/>
        <v/>
      </c>
      <c r="AT67" s="90" t="str">
        <f t="shared" si="9"/>
        <v/>
      </c>
      <c r="AU67" s="92" t="str">
        <f t="shared" si="10"/>
        <v/>
      </c>
      <c r="AV67" s="94" t="str">
        <f t="shared" si="20"/>
        <v/>
      </c>
      <c r="AW67" s="95" t="str">
        <f>IF(C67="","",IFERROR(_xlfn.XLOOKUP(AV67,HELPER!$C$8:$C$48,HELPER!$D$8:$D$48,,1),""))</f>
        <v/>
      </c>
      <c r="AX67" s="96" t="str">
        <f>IF(C67="","",IFERROR(_xlfn.XLOOKUP(AW67,HELPER!$F$8:$F$48,HELPER!$G$8:$G$48,,1),""))</f>
        <v/>
      </c>
      <c r="AY67" s="168"/>
      <c r="AZ67" s="148"/>
    </row>
    <row r="68" spans="1:52" ht="15" customHeight="1" thickBot="1" x14ac:dyDescent="0.3">
      <c r="A68" s="168"/>
      <c r="B68" s="108">
        <v>50</v>
      </c>
      <c r="C68" s="355" t="str">
        <f>IF('INPUT DATA'!K60="","",'INPUT DATA'!K60)</f>
        <v/>
      </c>
      <c r="D68" s="356"/>
      <c r="E68" s="356"/>
      <c r="F68" s="246"/>
      <c r="G68" s="247"/>
      <c r="H68" s="247"/>
      <c r="I68" s="247"/>
      <c r="J68" s="248"/>
      <c r="K68" s="195" t="str">
        <f t="shared" si="11"/>
        <v/>
      </c>
      <c r="L68" s="189" t="str">
        <f t="shared" si="12"/>
        <v/>
      </c>
      <c r="M68" s="190" t="str">
        <f t="shared" si="13"/>
        <v/>
      </c>
      <c r="N68" s="99"/>
      <c r="O68" s="106"/>
      <c r="P68" s="106"/>
      <c r="Q68" s="106"/>
      <c r="R68" s="107"/>
      <c r="S68" s="219" t="str">
        <f t="shared" si="0"/>
        <v/>
      </c>
      <c r="T68" s="220" t="str">
        <f t="shared" si="1"/>
        <v/>
      </c>
      <c r="U68" s="221" t="str">
        <f t="shared" si="2"/>
        <v/>
      </c>
      <c r="V68" s="232"/>
      <c r="W68" s="233"/>
      <c r="X68" s="237"/>
      <c r="Y68" s="195" t="str">
        <f t="shared" si="14"/>
        <v/>
      </c>
      <c r="Z68" s="189" t="str">
        <f t="shared" si="15"/>
        <v/>
      </c>
      <c r="AA68" s="190" t="str">
        <f t="shared" si="16"/>
        <v/>
      </c>
      <c r="AB68" s="232"/>
      <c r="AC68" s="233"/>
      <c r="AD68" s="234"/>
      <c r="AE68" s="195" t="str">
        <f t="shared" si="17"/>
        <v/>
      </c>
      <c r="AF68" s="189" t="str">
        <f t="shared" si="18"/>
        <v/>
      </c>
      <c r="AG68" s="190" t="str">
        <f t="shared" si="19"/>
        <v/>
      </c>
      <c r="AH68" s="105"/>
      <c r="AI68" s="106"/>
      <c r="AJ68" s="107"/>
      <c r="AK68" s="90" t="str">
        <f t="shared" si="3"/>
        <v/>
      </c>
      <c r="AL68" s="91" t="str">
        <f t="shared" si="4"/>
        <v/>
      </c>
      <c r="AM68" s="93" t="str">
        <f t="shared" si="5"/>
        <v/>
      </c>
      <c r="AN68" s="164"/>
      <c r="AO68" s="165"/>
      <c r="AP68" s="166"/>
      <c r="AQ68" s="157" t="str">
        <f t="shared" si="6"/>
        <v/>
      </c>
      <c r="AR68" s="91" t="str">
        <f t="shared" si="7"/>
        <v/>
      </c>
      <c r="AS68" s="93" t="str">
        <f t="shared" si="8"/>
        <v/>
      </c>
      <c r="AT68" s="90" t="str">
        <f t="shared" si="9"/>
        <v/>
      </c>
      <c r="AU68" s="92" t="str">
        <f t="shared" si="10"/>
        <v/>
      </c>
      <c r="AV68" s="94" t="str">
        <f t="shared" si="20"/>
        <v/>
      </c>
      <c r="AW68" s="95" t="str">
        <f>IF(C68="","",IFERROR(_xlfn.XLOOKUP(AV68,HELPER!$C$8:$C$48,HELPER!$D$8:$D$48,,1),""))</f>
        <v/>
      </c>
      <c r="AX68" s="96" t="str">
        <f>IF(C68="","",IFERROR(_xlfn.XLOOKUP(AW68,HELPER!$F$8:$F$48,HELPER!$G$8:$G$48,,1),""))</f>
        <v/>
      </c>
      <c r="AY68" s="168"/>
      <c r="AZ68" s="148"/>
    </row>
    <row r="69" spans="1:52" ht="14.4" thickBot="1" x14ac:dyDescent="0.3">
      <c r="A69" s="168"/>
      <c r="B69" s="357" t="s">
        <v>9</v>
      </c>
      <c r="C69" s="358"/>
      <c r="D69" s="358"/>
      <c r="E69" s="358"/>
      <c r="F69" s="359"/>
      <c r="G69" s="359"/>
      <c r="H69" s="359"/>
      <c r="I69" s="359"/>
      <c r="J69" s="359"/>
      <c r="K69" s="359"/>
      <c r="L69" s="359"/>
      <c r="M69" s="359"/>
      <c r="N69" s="358"/>
      <c r="O69" s="358"/>
      <c r="P69" s="358"/>
      <c r="Q69" s="358"/>
      <c r="R69" s="358"/>
      <c r="S69" s="359"/>
      <c r="T69" s="359"/>
      <c r="U69" s="359"/>
      <c r="V69" s="359"/>
      <c r="W69" s="359"/>
      <c r="X69" s="359"/>
      <c r="Y69" s="359"/>
      <c r="Z69" s="359"/>
      <c r="AA69" s="359"/>
      <c r="AB69" s="359"/>
      <c r="AC69" s="359"/>
      <c r="AD69" s="359"/>
      <c r="AE69" s="359"/>
      <c r="AF69" s="359"/>
      <c r="AG69" s="359"/>
      <c r="AH69" s="358"/>
      <c r="AI69" s="358"/>
      <c r="AJ69" s="358"/>
      <c r="AK69" s="358"/>
      <c r="AL69" s="358"/>
      <c r="AM69" s="358"/>
      <c r="AN69" s="359"/>
      <c r="AO69" s="359"/>
      <c r="AP69" s="359"/>
      <c r="AQ69" s="358"/>
      <c r="AR69" s="358"/>
      <c r="AS69" s="358"/>
      <c r="AT69" s="358"/>
      <c r="AU69" s="358"/>
      <c r="AV69" s="360"/>
      <c r="AW69" s="358"/>
      <c r="AX69" s="361"/>
      <c r="AY69" s="168"/>
      <c r="AZ69" s="148"/>
    </row>
    <row r="70" spans="1:52" ht="15" customHeight="1" x14ac:dyDescent="0.25">
      <c r="A70" s="168"/>
      <c r="B70" s="109">
        <v>1</v>
      </c>
      <c r="C70" s="353" t="str">
        <f>IF('INPUT DATA'!N11="","",'INPUT DATA'!N11)</f>
        <v/>
      </c>
      <c r="D70" s="354"/>
      <c r="E70" s="354"/>
      <c r="F70" s="197"/>
      <c r="G70" s="198"/>
      <c r="H70" s="198"/>
      <c r="I70" s="198"/>
      <c r="J70" s="199"/>
      <c r="K70" s="196" t="str">
        <f t="shared" si="11"/>
        <v/>
      </c>
      <c r="L70" s="186" t="str">
        <f t="shared" si="12"/>
        <v/>
      </c>
      <c r="M70" s="187" t="str">
        <f t="shared" si="13"/>
        <v/>
      </c>
      <c r="N70" s="99"/>
      <c r="O70" s="100"/>
      <c r="P70" s="101"/>
      <c r="Q70" s="101"/>
      <c r="R70" s="102"/>
      <c r="S70" s="214" t="str">
        <f t="shared" ref="S70:S119" si="21">IF(COUNT($N70:$R70)=0,"",SUM($N70:$R70))</f>
        <v/>
      </c>
      <c r="T70" s="215" t="str">
        <f t="shared" ref="T70:T119" si="22">IF(ISERROR(IF($S70="","",ROUND(($S70/$S$16)*$T$16,2))),"",IF($S70="","",ROUND(($S70/$S$16)*$T$16,2)))</f>
        <v/>
      </c>
      <c r="U70" s="216" t="str">
        <f t="shared" ref="U70:U119" si="23">IF($T70="","",ROUND($T70*$U$16,2))</f>
        <v/>
      </c>
      <c r="V70" s="227"/>
      <c r="W70" s="228"/>
      <c r="X70" s="229"/>
      <c r="Y70" s="196" t="str">
        <f t="shared" si="14"/>
        <v/>
      </c>
      <c r="Z70" s="186" t="str">
        <f t="shared" si="15"/>
        <v/>
      </c>
      <c r="AA70" s="187" t="str">
        <f t="shared" si="16"/>
        <v/>
      </c>
      <c r="AB70" s="227"/>
      <c r="AC70" s="228"/>
      <c r="AD70" s="229"/>
      <c r="AE70" s="196" t="str">
        <f t="shared" si="17"/>
        <v/>
      </c>
      <c r="AF70" s="186" t="str">
        <f t="shared" si="18"/>
        <v/>
      </c>
      <c r="AG70" s="187" t="str">
        <f t="shared" si="19"/>
        <v/>
      </c>
      <c r="AH70" s="103"/>
      <c r="AI70" s="101"/>
      <c r="AJ70" s="102"/>
      <c r="AK70" s="87" t="str">
        <f t="shared" ref="AK70:AK119" si="24">IF(COUNT($AH70:$AJ70)=0,"",SUM($AH70:$AJ70))</f>
        <v/>
      </c>
      <c r="AL70" s="88" t="str">
        <f t="shared" ref="AL70:AL119" si="25">IF(ISERROR(IF($AK70="","",ROUND(($AK70/$AK$16)*$AL$16,2))),"",IF($AK70="","",ROUND(($AK70/$AK$16)*$AL$16,2)))</f>
        <v/>
      </c>
      <c r="AM70" s="158" t="str">
        <f t="shared" ref="AM70:AM119" si="26">IF($AL70="","",ROUND($AL70*$AM$16,2))</f>
        <v/>
      </c>
      <c r="AN70" s="159"/>
      <c r="AO70" s="160"/>
      <c r="AP70" s="161"/>
      <c r="AQ70" s="157" t="str">
        <f t="shared" ref="AQ70:AQ119" si="27">IFERROR(IF(AN70="","",ROUND(AN70/$AN$16*$AQ$16,2)),"")</f>
        <v/>
      </c>
      <c r="AR70" s="91" t="str">
        <f t="shared" ref="AR70:AR119" si="28">IFERROR(IF(AO70="","",ROUND(AO70/$AO$16*$AR$16,2)),"")</f>
        <v/>
      </c>
      <c r="AS70" s="93" t="str">
        <f t="shared" ref="AS70:AS119" si="29">IFERROR(IF(AP70="","",ROUND(AP70/$AP$16*$AS$16,2)),"")</f>
        <v/>
      </c>
      <c r="AT70" s="87" t="str">
        <f t="shared" ref="AT70:AT119" si="30">IF(COUNT($AQ70:$AS70)=0,"",SUM($AQ70:$AS70))</f>
        <v/>
      </c>
      <c r="AU70" s="158" t="str">
        <f t="shared" ref="AU70:AU119" si="31">IFERROR(IF(AT70="","",ROUND(AT70*$AU$16,2)),"")</f>
        <v/>
      </c>
      <c r="AV70" s="240" t="str">
        <f t="shared" si="20"/>
        <v/>
      </c>
      <c r="AW70" s="238" t="str">
        <f>IF(C70="","",IFERROR(_xlfn.XLOOKUP(AV70,HELPER!$C$8:$C$48,HELPER!$D$8:$D$48,,1),""))</f>
        <v/>
      </c>
      <c r="AX70" s="97" t="str">
        <f>IF(C70="","",IFERROR(_xlfn.XLOOKUP(AW70,HELPER!$F$8:$F$48,HELPER!$G$8:$G$48,,1),""))</f>
        <v/>
      </c>
      <c r="AY70" s="168"/>
      <c r="AZ70" s="148"/>
    </row>
    <row r="71" spans="1:52" ht="15" customHeight="1" x14ac:dyDescent="0.25">
      <c r="A71" s="168"/>
      <c r="B71" s="110">
        <v>2</v>
      </c>
      <c r="C71" s="346" t="str">
        <f>IF('INPUT DATA'!N12="","",'INPUT DATA'!N12)</f>
        <v/>
      </c>
      <c r="D71" s="347"/>
      <c r="E71" s="347"/>
      <c r="F71" s="200"/>
      <c r="G71" s="201"/>
      <c r="H71" s="201"/>
      <c r="I71" s="201"/>
      <c r="J71" s="202"/>
      <c r="K71" s="194" t="str">
        <f t="shared" si="11"/>
        <v/>
      </c>
      <c r="L71" s="170" t="str">
        <f t="shared" si="12"/>
        <v/>
      </c>
      <c r="M71" s="188" t="str">
        <f t="shared" si="13"/>
        <v/>
      </c>
      <c r="N71" s="105"/>
      <c r="O71" s="106"/>
      <c r="P71" s="106"/>
      <c r="Q71" s="106"/>
      <c r="R71" s="107"/>
      <c r="S71" s="217" t="str">
        <f t="shared" si="21"/>
        <v/>
      </c>
      <c r="T71" s="91" t="str">
        <f t="shared" si="22"/>
        <v/>
      </c>
      <c r="U71" s="218" t="str">
        <f t="shared" si="23"/>
        <v/>
      </c>
      <c r="V71" s="230"/>
      <c r="W71" s="226"/>
      <c r="X71" s="231"/>
      <c r="Y71" s="194" t="str">
        <f t="shared" si="14"/>
        <v/>
      </c>
      <c r="Z71" s="170" t="str">
        <f t="shared" si="15"/>
        <v/>
      </c>
      <c r="AA71" s="188" t="str">
        <f t="shared" si="16"/>
        <v/>
      </c>
      <c r="AB71" s="230"/>
      <c r="AC71" s="226"/>
      <c r="AD71" s="231"/>
      <c r="AE71" s="194" t="str">
        <f t="shared" si="17"/>
        <v/>
      </c>
      <c r="AF71" s="170" t="str">
        <f t="shared" si="18"/>
        <v/>
      </c>
      <c r="AG71" s="188" t="str">
        <f t="shared" si="19"/>
        <v/>
      </c>
      <c r="AH71" s="105"/>
      <c r="AI71" s="106"/>
      <c r="AJ71" s="107"/>
      <c r="AK71" s="90" t="str">
        <f t="shared" si="24"/>
        <v/>
      </c>
      <c r="AL71" s="91" t="str">
        <f t="shared" si="25"/>
        <v/>
      </c>
      <c r="AM71" s="93" t="str">
        <f t="shared" si="26"/>
        <v/>
      </c>
      <c r="AN71" s="162"/>
      <c r="AO71" s="107"/>
      <c r="AP71" s="163"/>
      <c r="AQ71" s="157" t="str">
        <f t="shared" si="27"/>
        <v/>
      </c>
      <c r="AR71" s="91" t="str">
        <f t="shared" si="28"/>
        <v/>
      </c>
      <c r="AS71" s="93" t="str">
        <f t="shared" si="29"/>
        <v/>
      </c>
      <c r="AT71" s="90" t="str">
        <f t="shared" si="30"/>
        <v/>
      </c>
      <c r="AU71" s="93" t="str">
        <f t="shared" si="31"/>
        <v/>
      </c>
      <c r="AV71" s="241" t="str">
        <f t="shared" si="20"/>
        <v/>
      </c>
      <c r="AW71" s="238" t="str">
        <f>IF(C71="","",IFERROR(_xlfn.XLOOKUP(AV71,HELPER!$C$8:$C$48,HELPER!$D$8:$D$48,,1),""))</f>
        <v/>
      </c>
      <c r="AX71" s="96" t="str">
        <f>IF(C71="","",IFERROR(_xlfn.XLOOKUP(AW71,HELPER!$F$8:$F$48,HELPER!$G$8:$G$48,,1),""))</f>
        <v/>
      </c>
      <c r="AY71" s="168"/>
      <c r="AZ71" s="148"/>
    </row>
    <row r="72" spans="1:52" ht="15" customHeight="1" x14ac:dyDescent="0.25">
      <c r="A72" s="168"/>
      <c r="B72" s="110">
        <v>3</v>
      </c>
      <c r="C72" s="346" t="str">
        <f>IF('INPUT DATA'!N13="","",'INPUT DATA'!N13)</f>
        <v/>
      </c>
      <c r="D72" s="347"/>
      <c r="E72" s="347"/>
      <c r="F72" s="200"/>
      <c r="G72" s="201"/>
      <c r="H72" s="201"/>
      <c r="I72" s="201"/>
      <c r="J72" s="202"/>
      <c r="K72" s="194" t="str">
        <f t="shared" si="11"/>
        <v/>
      </c>
      <c r="L72" s="170" t="str">
        <f t="shared" si="12"/>
        <v/>
      </c>
      <c r="M72" s="188" t="str">
        <f t="shared" si="13"/>
        <v/>
      </c>
      <c r="N72" s="105"/>
      <c r="O72" s="106"/>
      <c r="P72" s="106"/>
      <c r="Q72" s="106"/>
      <c r="R72" s="107"/>
      <c r="S72" s="217" t="str">
        <f t="shared" si="21"/>
        <v/>
      </c>
      <c r="T72" s="91" t="str">
        <f t="shared" si="22"/>
        <v/>
      </c>
      <c r="U72" s="218" t="str">
        <f t="shared" si="23"/>
        <v/>
      </c>
      <c r="V72" s="230"/>
      <c r="W72" s="226"/>
      <c r="X72" s="231"/>
      <c r="Y72" s="194" t="str">
        <f t="shared" si="14"/>
        <v/>
      </c>
      <c r="Z72" s="170" t="str">
        <f t="shared" si="15"/>
        <v/>
      </c>
      <c r="AA72" s="188" t="str">
        <f t="shared" si="16"/>
        <v/>
      </c>
      <c r="AB72" s="230"/>
      <c r="AC72" s="226"/>
      <c r="AD72" s="231"/>
      <c r="AE72" s="194" t="str">
        <f t="shared" si="17"/>
        <v/>
      </c>
      <c r="AF72" s="170" t="str">
        <f t="shared" si="18"/>
        <v/>
      </c>
      <c r="AG72" s="188" t="str">
        <f t="shared" si="19"/>
        <v/>
      </c>
      <c r="AH72" s="105"/>
      <c r="AI72" s="106"/>
      <c r="AJ72" s="107"/>
      <c r="AK72" s="90" t="str">
        <f t="shared" si="24"/>
        <v/>
      </c>
      <c r="AL72" s="91" t="str">
        <f t="shared" si="25"/>
        <v/>
      </c>
      <c r="AM72" s="93" t="str">
        <f t="shared" si="26"/>
        <v/>
      </c>
      <c r="AN72" s="162"/>
      <c r="AO72" s="107"/>
      <c r="AP72" s="163"/>
      <c r="AQ72" s="157" t="str">
        <f t="shared" si="27"/>
        <v/>
      </c>
      <c r="AR72" s="91" t="str">
        <f t="shared" si="28"/>
        <v/>
      </c>
      <c r="AS72" s="93" t="str">
        <f t="shared" si="29"/>
        <v/>
      </c>
      <c r="AT72" s="90" t="str">
        <f t="shared" si="30"/>
        <v/>
      </c>
      <c r="AU72" s="93" t="str">
        <f t="shared" si="31"/>
        <v/>
      </c>
      <c r="AV72" s="241" t="str">
        <f t="shared" si="20"/>
        <v/>
      </c>
      <c r="AW72" s="238" t="str">
        <f>IF(C72="","",IFERROR(_xlfn.XLOOKUP(AV72,HELPER!$C$8:$C$48,HELPER!$D$8:$D$48,,1),""))</f>
        <v/>
      </c>
      <c r="AX72" s="96" t="str">
        <f>IF(C72="","",IFERROR(_xlfn.XLOOKUP(AW72,HELPER!$F$8:$F$48,HELPER!$G$8:$G$48,,1),""))</f>
        <v/>
      </c>
      <c r="AY72" s="168"/>
      <c r="AZ72" s="148"/>
    </row>
    <row r="73" spans="1:52" ht="15" customHeight="1" x14ac:dyDescent="0.25">
      <c r="A73" s="168"/>
      <c r="B73" s="110">
        <v>4</v>
      </c>
      <c r="C73" s="346" t="str">
        <f>IF('INPUT DATA'!N14="","",'INPUT DATA'!N14)</f>
        <v/>
      </c>
      <c r="D73" s="347"/>
      <c r="E73" s="347"/>
      <c r="F73" s="200"/>
      <c r="G73" s="201"/>
      <c r="H73" s="201"/>
      <c r="I73" s="201"/>
      <c r="J73" s="202"/>
      <c r="K73" s="194" t="str">
        <f t="shared" si="11"/>
        <v/>
      </c>
      <c r="L73" s="170" t="str">
        <f t="shared" si="12"/>
        <v/>
      </c>
      <c r="M73" s="188" t="str">
        <f t="shared" si="13"/>
        <v/>
      </c>
      <c r="N73" s="105"/>
      <c r="O73" s="106"/>
      <c r="P73" s="106"/>
      <c r="Q73" s="106"/>
      <c r="R73" s="107"/>
      <c r="S73" s="217" t="str">
        <f t="shared" si="21"/>
        <v/>
      </c>
      <c r="T73" s="91" t="str">
        <f t="shared" si="22"/>
        <v/>
      </c>
      <c r="U73" s="218" t="str">
        <f t="shared" si="23"/>
        <v/>
      </c>
      <c r="V73" s="230"/>
      <c r="W73" s="226"/>
      <c r="X73" s="231"/>
      <c r="Y73" s="194" t="str">
        <f t="shared" si="14"/>
        <v/>
      </c>
      <c r="Z73" s="170" t="str">
        <f t="shared" si="15"/>
        <v/>
      </c>
      <c r="AA73" s="188" t="str">
        <f t="shared" si="16"/>
        <v/>
      </c>
      <c r="AB73" s="230"/>
      <c r="AC73" s="226"/>
      <c r="AD73" s="231"/>
      <c r="AE73" s="194" t="str">
        <f t="shared" si="17"/>
        <v/>
      </c>
      <c r="AF73" s="170" t="str">
        <f t="shared" si="18"/>
        <v/>
      </c>
      <c r="AG73" s="188" t="str">
        <f t="shared" si="19"/>
        <v/>
      </c>
      <c r="AH73" s="105"/>
      <c r="AI73" s="106"/>
      <c r="AJ73" s="107"/>
      <c r="AK73" s="90" t="str">
        <f t="shared" si="24"/>
        <v/>
      </c>
      <c r="AL73" s="91" t="str">
        <f t="shared" si="25"/>
        <v/>
      </c>
      <c r="AM73" s="93" t="str">
        <f t="shared" si="26"/>
        <v/>
      </c>
      <c r="AN73" s="162"/>
      <c r="AO73" s="107"/>
      <c r="AP73" s="163"/>
      <c r="AQ73" s="157" t="str">
        <f t="shared" si="27"/>
        <v/>
      </c>
      <c r="AR73" s="91" t="str">
        <f t="shared" si="28"/>
        <v/>
      </c>
      <c r="AS73" s="93" t="str">
        <f t="shared" si="29"/>
        <v/>
      </c>
      <c r="AT73" s="90" t="str">
        <f t="shared" si="30"/>
        <v/>
      </c>
      <c r="AU73" s="93" t="str">
        <f t="shared" si="31"/>
        <v/>
      </c>
      <c r="AV73" s="241" t="str">
        <f t="shared" si="20"/>
        <v/>
      </c>
      <c r="AW73" s="238" t="str">
        <f>IF(C73="","",IFERROR(_xlfn.XLOOKUP(AV73,HELPER!$C$8:$C$48,HELPER!$D$8:$D$48,,1),""))</f>
        <v/>
      </c>
      <c r="AX73" s="96" t="str">
        <f>IF(C73="","",IFERROR(_xlfn.XLOOKUP(AW73,HELPER!$F$8:$F$48,HELPER!$G$8:$G$48,,1),""))</f>
        <v/>
      </c>
      <c r="AY73" s="168"/>
      <c r="AZ73" s="148"/>
    </row>
    <row r="74" spans="1:52" ht="15" customHeight="1" x14ac:dyDescent="0.25">
      <c r="A74" s="168"/>
      <c r="B74" s="110">
        <v>5</v>
      </c>
      <c r="C74" s="346" t="str">
        <f>IF('INPUT DATA'!N15="","",'INPUT DATA'!N15)</f>
        <v/>
      </c>
      <c r="D74" s="347"/>
      <c r="E74" s="347"/>
      <c r="F74" s="200"/>
      <c r="G74" s="201"/>
      <c r="H74" s="201"/>
      <c r="I74" s="201"/>
      <c r="J74" s="202"/>
      <c r="K74" s="194" t="str">
        <f t="shared" si="11"/>
        <v/>
      </c>
      <c r="L74" s="170" t="str">
        <f t="shared" si="12"/>
        <v/>
      </c>
      <c r="M74" s="188" t="str">
        <f t="shared" si="13"/>
        <v/>
      </c>
      <c r="N74" s="105"/>
      <c r="O74" s="106"/>
      <c r="P74" s="106"/>
      <c r="Q74" s="106"/>
      <c r="R74" s="107"/>
      <c r="S74" s="217" t="str">
        <f t="shared" si="21"/>
        <v/>
      </c>
      <c r="T74" s="91" t="str">
        <f t="shared" si="22"/>
        <v/>
      </c>
      <c r="U74" s="218" t="str">
        <f t="shared" si="23"/>
        <v/>
      </c>
      <c r="V74" s="230"/>
      <c r="W74" s="226"/>
      <c r="X74" s="231"/>
      <c r="Y74" s="194" t="str">
        <f t="shared" si="14"/>
        <v/>
      </c>
      <c r="Z74" s="170" t="str">
        <f t="shared" si="15"/>
        <v/>
      </c>
      <c r="AA74" s="188" t="str">
        <f t="shared" si="16"/>
        <v/>
      </c>
      <c r="AB74" s="230"/>
      <c r="AC74" s="226"/>
      <c r="AD74" s="231"/>
      <c r="AE74" s="194" t="str">
        <f t="shared" si="17"/>
        <v/>
      </c>
      <c r="AF74" s="170" t="str">
        <f t="shared" si="18"/>
        <v/>
      </c>
      <c r="AG74" s="188" t="str">
        <f t="shared" si="19"/>
        <v/>
      </c>
      <c r="AH74" s="105"/>
      <c r="AI74" s="106"/>
      <c r="AJ74" s="107"/>
      <c r="AK74" s="90" t="str">
        <f t="shared" si="24"/>
        <v/>
      </c>
      <c r="AL74" s="91" t="str">
        <f t="shared" si="25"/>
        <v/>
      </c>
      <c r="AM74" s="93" t="str">
        <f t="shared" si="26"/>
        <v/>
      </c>
      <c r="AN74" s="162"/>
      <c r="AO74" s="107"/>
      <c r="AP74" s="163"/>
      <c r="AQ74" s="157" t="str">
        <f t="shared" si="27"/>
        <v/>
      </c>
      <c r="AR74" s="91" t="str">
        <f t="shared" si="28"/>
        <v/>
      </c>
      <c r="AS74" s="93" t="str">
        <f t="shared" si="29"/>
        <v/>
      </c>
      <c r="AT74" s="90" t="str">
        <f t="shared" si="30"/>
        <v/>
      </c>
      <c r="AU74" s="93" t="str">
        <f t="shared" si="31"/>
        <v/>
      </c>
      <c r="AV74" s="241" t="str">
        <f t="shared" si="20"/>
        <v/>
      </c>
      <c r="AW74" s="238" t="str">
        <f>IF(C74="","",IFERROR(_xlfn.XLOOKUP(AV74,HELPER!$C$8:$C$48,HELPER!$D$8:$D$48,,1),""))</f>
        <v/>
      </c>
      <c r="AX74" s="113" t="str">
        <f>IF(C74="","",IFERROR(_xlfn.XLOOKUP(AW74,HELPER!$F$8:$F$48,HELPER!$G$8:$G$48,,1),""))</f>
        <v/>
      </c>
      <c r="AY74" s="168"/>
      <c r="AZ74" s="148"/>
    </row>
    <row r="75" spans="1:52" ht="15" customHeight="1" x14ac:dyDescent="0.25">
      <c r="A75" s="168"/>
      <c r="B75" s="110">
        <v>6</v>
      </c>
      <c r="C75" s="346" t="str">
        <f>IF('INPUT DATA'!N16="","",'INPUT DATA'!N16)</f>
        <v/>
      </c>
      <c r="D75" s="347"/>
      <c r="E75" s="347"/>
      <c r="F75" s="200"/>
      <c r="G75" s="201"/>
      <c r="H75" s="201"/>
      <c r="I75" s="201"/>
      <c r="J75" s="202"/>
      <c r="K75" s="194" t="str">
        <f t="shared" si="11"/>
        <v/>
      </c>
      <c r="L75" s="170" t="str">
        <f t="shared" si="12"/>
        <v/>
      </c>
      <c r="M75" s="188" t="str">
        <f t="shared" si="13"/>
        <v/>
      </c>
      <c r="N75" s="105"/>
      <c r="O75" s="106"/>
      <c r="P75" s="106"/>
      <c r="Q75" s="106"/>
      <c r="R75" s="107"/>
      <c r="S75" s="217" t="str">
        <f t="shared" si="21"/>
        <v/>
      </c>
      <c r="T75" s="91" t="str">
        <f t="shared" si="22"/>
        <v/>
      </c>
      <c r="U75" s="218" t="str">
        <f t="shared" si="23"/>
        <v/>
      </c>
      <c r="V75" s="230"/>
      <c r="W75" s="226"/>
      <c r="X75" s="231"/>
      <c r="Y75" s="194" t="str">
        <f t="shared" si="14"/>
        <v/>
      </c>
      <c r="Z75" s="170" t="str">
        <f t="shared" si="15"/>
        <v/>
      </c>
      <c r="AA75" s="188" t="str">
        <f t="shared" si="16"/>
        <v/>
      </c>
      <c r="AB75" s="230"/>
      <c r="AC75" s="226"/>
      <c r="AD75" s="231"/>
      <c r="AE75" s="194" t="str">
        <f t="shared" si="17"/>
        <v/>
      </c>
      <c r="AF75" s="170" t="str">
        <f t="shared" si="18"/>
        <v/>
      </c>
      <c r="AG75" s="188" t="str">
        <f t="shared" si="19"/>
        <v/>
      </c>
      <c r="AH75" s="105"/>
      <c r="AI75" s="106"/>
      <c r="AJ75" s="107"/>
      <c r="AK75" s="90" t="str">
        <f t="shared" si="24"/>
        <v/>
      </c>
      <c r="AL75" s="91" t="str">
        <f t="shared" si="25"/>
        <v/>
      </c>
      <c r="AM75" s="93" t="str">
        <f t="shared" si="26"/>
        <v/>
      </c>
      <c r="AN75" s="162"/>
      <c r="AO75" s="107"/>
      <c r="AP75" s="163"/>
      <c r="AQ75" s="157" t="str">
        <f t="shared" si="27"/>
        <v/>
      </c>
      <c r="AR75" s="91" t="str">
        <f t="shared" si="28"/>
        <v/>
      </c>
      <c r="AS75" s="93" t="str">
        <f t="shared" si="29"/>
        <v/>
      </c>
      <c r="AT75" s="90" t="str">
        <f t="shared" si="30"/>
        <v/>
      </c>
      <c r="AU75" s="93" t="str">
        <f t="shared" si="31"/>
        <v/>
      </c>
      <c r="AV75" s="241" t="str">
        <f t="shared" si="20"/>
        <v/>
      </c>
      <c r="AW75" s="238" t="str">
        <f>IF(C75="","",IFERROR(_xlfn.XLOOKUP(AV75,HELPER!$C$8:$C$48,HELPER!$D$8:$D$48,,1),""))</f>
        <v/>
      </c>
      <c r="AX75" s="113" t="str">
        <f>IF(C75="","",IFERROR(_xlfn.XLOOKUP(AW75,HELPER!$F$8:$F$48,HELPER!$G$8:$G$48,,1),""))</f>
        <v/>
      </c>
      <c r="AY75" s="168"/>
      <c r="AZ75" s="148"/>
    </row>
    <row r="76" spans="1:52" ht="15" customHeight="1" x14ac:dyDescent="0.25">
      <c r="A76" s="168"/>
      <c r="B76" s="110">
        <v>7</v>
      </c>
      <c r="C76" s="346" t="str">
        <f>IF('INPUT DATA'!N17="","",'INPUT DATA'!N17)</f>
        <v/>
      </c>
      <c r="D76" s="347"/>
      <c r="E76" s="347"/>
      <c r="F76" s="200"/>
      <c r="G76" s="201"/>
      <c r="H76" s="201"/>
      <c r="I76" s="201"/>
      <c r="J76" s="202"/>
      <c r="K76" s="194" t="str">
        <f t="shared" si="11"/>
        <v/>
      </c>
      <c r="L76" s="170" t="str">
        <f t="shared" si="12"/>
        <v/>
      </c>
      <c r="M76" s="188" t="str">
        <f t="shared" si="13"/>
        <v/>
      </c>
      <c r="N76" s="105"/>
      <c r="O76" s="106"/>
      <c r="P76" s="106"/>
      <c r="Q76" s="106"/>
      <c r="R76" s="107"/>
      <c r="S76" s="217" t="str">
        <f t="shared" si="21"/>
        <v/>
      </c>
      <c r="T76" s="91" t="str">
        <f t="shared" si="22"/>
        <v/>
      </c>
      <c r="U76" s="218" t="str">
        <f t="shared" si="23"/>
        <v/>
      </c>
      <c r="V76" s="230"/>
      <c r="W76" s="226"/>
      <c r="X76" s="231"/>
      <c r="Y76" s="194" t="str">
        <f t="shared" si="14"/>
        <v/>
      </c>
      <c r="Z76" s="170" t="str">
        <f t="shared" si="15"/>
        <v/>
      </c>
      <c r="AA76" s="188" t="str">
        <f t="shared" si="16"/>
        <v/>
      </c>
      <c r="AB76" s="230"/>
      <c r="AC76" s="226"/>
      <c r="AD76" s="231"/>
      <c r="AE76" s="194" t="str">
        <f t="shared" si="17"/>
        <v/>
      </c>
      <c r="AF76" s="170" t="str">
        <f t="shared" si="18"/>
        <v/>
      </c>
      <c r="AG76" s="188" t="str">
        <f t="shared" si="19"/>
        <v/>
      </c>
      <c r="AH76" s="105"/>
      <c r="AI76" s="106"/>
      <c r="AJ76" s="107"/>
      <c r="AK76" s="90" t="str">
        <f t="shared" si="24"/>
        <v/>
      </c>
      <c r="AL76" s="91" t="str">
        <f t="shared" si="25"/>
        <v/>
      </c>
      <c r="AM76" s="93" t="str">
        <f t="shared" si="26"/>
        <v/>
      </c>
      <c r="AN76" s="162"/>
      <c r="AO76" s="107"/>
      <c r="AP76" s="163"/>
      <c r="AQ76" s="157" t="str">
        <f t="shared" si="27"/>
        <v/>
      </c>
      <c r="AR76" s="91" t="str">
        <f t="shared" si="28"/>
        <v/>
      </c>
      <c r="AS76" s="93" t="str">
        <f t="shared" si="29"/>
        <v/>
      </c>
      <c r="AT76" s="90" t="str">
        <f t="shared" si="30"/>
        <v/>
      </c>
      <c r="AU76" s="93" t="str">
        <f t="shared" si="31"/>
        <v/>
      </c>
      <c r="AV76" s="241" t="str">
        <f t="shared" si="20"/>
        <v/>
      </c>
      <c r="AW76" s="238" t="str">
        <f>IF(C76="","",IFERROR(_xlfn.XLOOKUP(AV76,HELPER!$C$8:$C$48,HELPER!$D$8:$D$48,,1),""))</f>
        <v/>
      </c>
      <c r="AX76" s="113" t="str">
        <f>IF(C76="","",IFERROR(_xlfn.XLOOKUP(AW76,HELPER!$F$8:$F$48,HELPER!$G$8:$G$48,,1),""))</f>
        <v/>
      </c>
      <c r="AY76" s="168"/>
      <c r="AZ76" s="148"/>
    </row>
    <row r="77" spans="1:52" ht="15" customHeight="1" x14ac:dyDescent="0.25">
      <c r="A77" s="168"/>
      <c r="B77" s="110">
        <v>8</v>
      </c>
      <c r="C77" s="346" t="str">
        <f>IF('INPUT DATA'!N18="","",'INPUT DATA'!N18)</f>
        <v/>
      </c>
      <c r="D77" s="347"/>
      <c r="E77" s="347"/>
      <c r="F77" s="200"/>
      <c r="G77" s="201"/>
      <c r="H77" s="201"/>
      <c r="I77" s="201"/>
      <c r="J77" s="202"/>
      <c r="K77" s="194" t="str">
        <f t="shared" si="11"/>
        <v/>
      </c>
      <c r="L77" s="170" t="str">
        <f t="shared" si="12"/>
        <v/>
      </c>
      <c r="M77" s="188" t="str">
        <f t="shared" si="13"/>
        <v/>
      </c>
      <c r="N77" s="105"/>
      <c r="O77" s="106"/>
      <c r="P77" s="106"/>
      <c r="Q77" s="106"/>
      <c r="R77" s="107"/>
      <c r="S77" s="217" t="str">
        <f t="shared" si="21"/>
        <v/>
      </c>
      <c r="T77" s="91" t="str">
        <f t="shared" si="22"/>
        <v/>
      </c>
      <c r="U77" s="218" t="str">
        <f t="shared" si="23"/>
        <v/>
      </c>
      <c r="V77" s="230"/>
      <c r="W77" s="226"/>
      <c r="X77" s="231"/>
      <c r="Y77" s="194" t="str">
        <f t="shared" si="14"/>
        <v/>
      </c>
      <c r="Z77" s="170" t="str">
        <f t="shared" si="15"/>
        <v/>
      </c>
      <c r="AA77" s="188" t="str">
        <f t="shared" si="16"/>
        <v/>
      </c>
      <c r="AB77" s="230"/>
      <c r="AC77" s="226"/>
      <c r="AD77" s="231"/>
      <c r="AE77" s="194" t="str">
        <f t="shared" si="17"/>
        <v/>
      </c>
      <c r="AF77" s="170" t="str">
        <f t="shared" si="18"/>
        <v/>
      </c>
      <c r="AG77" s="188" t="str">
        <f t="shared" si="19"/>
        <v/>
      </c>
      <c r="AH77" s="105"/>
      <c r="AI77" s="106"/>
      <c r="AJ77" s="107"/>
      <c r="AK77" s="90" t="str">
        <f t="shared" si="24"/>
        <v/>
      </c>
      <c r="AL77" s="91" t="str">
        <f t="shared" si="25"/>
        <v/>
      </c>
      <c r="AM77" s="93" t="str">
        <f t="shared" si="26"/>
        <v/>
      </c>
      <c r="AN77" s="162"/>
      <c r="AO77" s="107"/>
      <c r="AP77" s="163"/>
      <c r="AQ77" s="157" t="str">
        <f t="shared" si="27"/>
        <v/>
      </c>
      <c r="AR77" s="91" t="str">
        <f t="shared" si="28"/>
        <v/>
      </c>
      <c r="AS77" s="93" t="str">
        <f t="shared" si="29"/>
        <v/>
      </c>
      <c r="AT77" s="90" t="str">
        <f t="shared" si="30"/>
        <v/>
      </c>
      <c r="AU77" s="93" t="str">
        <f t="shared" si="31"/>
        <v/>
      </c>
      <c r="AV77" s="241" t="str">
        <f t="shared" si="20"/>
        <v/>
      </c>
      <c r="AW77" s="238" t="str">
        <f>IF(C77="","",IFERROR(_xlfn.XLOOKUP(AV77,HELPER!$C$8:$C$48,HELPER!$D$8:$D$48,,1),""))</f>
        <v/>
      </c>
      <c r="AX77" s="113" t="str">
        <f>IF(C77="","",IFERROR(_xlfn.XLOOKUP(AW77,HELPER!$F$8:$F$48,HELPER!$G$8:$G$48,,1),""))</f>
        <v/>
      </c>
      <c r="AY77" s="168"/>
      <c r="AZ77" s="148"/>
    </row>
    <row r="78" spans="1:52" ht="15" customHeight="1" x14ac:dyDescent="0.25">
      <c r="A78" s="168"/>
      <c r="B78" s="110">
        <v>9</v>
      </c>
      <c r="C78" s="346" t="str">
        <f>IF('INPUT DATA'!N19="","",'INPUT DATA'!N19)</f>
        <v/>
      </c>
      <c r="D78" s="347"/>
      <c r="E78" s="347"/>
      <c r="F78" s="200"/>
      <c r="G78" s="201"/>
      <c r="H78" s="201"/>
      <c r="I78" s="201"/>
      <c r="J78" s="202"/>
      <c r="K78" s="194" t="str">
        <f t="shared" si="11"/>
        <v/>
      </c>
      <c r="L78" s="170" t="str">
        <f t="shared" si="12"/>
        <v/>
      </c>
      <c r="M78" s="188" t="str">
        <f t="shared" si="13"/>
        <v/>
      </c>
      <c r="N78" s="105"/>
      <c r="O78" s="106"/>
      <c r="P78" s="106"/>
      <c r="Q78" s="106"/>
      <c r="R78" s="107"/>
      <c r="S78" s="217" t="str">
        <f t="shared" si="21"/>
        <v/>
      </c>
      <c r="T78" s="91" t="str">
        <f t="shared" si="22"/>
        <v/>
      </c>
      <c r="U78" s="218" t="str">
        <f t="shared" si="23"/>
        <v/>
      </c>
      <c r="V78" s="230"/>
      <c r="W78" s="226"/>
      <c r="X78" s="231"/>
      <c r="Y78" s="194" t="str">
        <f t="shared" si="14"/>
        <v/>
      </c>
      <c r="Z78" s="170" t="str">
        <f t="shared" si="15"/>
        <v/>
      </c>
      <c r="AA78" s="188" t="str">
        <f t="shared" si="16"/>
        <v/>
      </c>
      <c r="AB78" s="230"/>
      <c r="AC78" s="226"/>
      <c r="AD78" s="231"/>
      <c r="AE78" s="194" t="str">
        <f t="shared" si="17"/>
        <v/>
      </c>
      <c r="AF78" s="170" t="str">
        <f t="shared" si="18"/>
        <v/>
      </c>
      <c r="AG78" s="188" t="str">
        <f t="shared" si="19"/>
        <v/>
      </c>
      <c r="AH78" s="105"/>
      <c r="AI78" s="106"/>
      <c r="AJ78" s="107"/>
      <c r="AK78" s="90" t="str">
        <f t="shared" si="24"/>
        <v/>
      </c>
      <c r="AL78" s="91" t="str">
        <f t="shared" si="25"/>
        <v/>
      </c>
      <c r="AM78" s="93" t="str">
        <f t="shared" si="26"/>
        <v/>
      </c>
      <c r="AN78" s="162"/>
      <c r="AO78" s="107"/>
      <c r="AP78" s="163"/>
      <c r="AQ78" s="157" t="str">
        <f t="shared" si="27"/>
        <v/>
      </c>
      <c r="AR78" s="91" t="str">
        <f t="shared" si="28"/>
        <v/>
      </c>
      <c r="AS78" s="93" t="str">
        <f t="shared" si="29"/>
        <v/>
      </c>
      <c r="AT78" s="90" t="str">
        <f t="shared" si="30"/>
        <v/>
      </c>
      <c r="AU78" s="93" t="str">
        <f t="shared" si="31"/>
        <v/>
      </c>
      <c r="AV78" s="241" t="str">
        <f t="shared" si="20"/>
        <v/>
      </c>
      <c r="AW78" s="238" t="str">
        <f>IF(C78="","",IFERROR(_xlfn.XLOOKUP(AV78,HELPER!$C$8:$C$48,HELPER!$D$8:$D$48,,1),""))</f>
        <v/>
      </c>
      <c r="AX78" s="113" t="str">
        <f>IF(C78="","",IFERROR(_xlfn.XLOOKUP(AW78,HELPER!$F$8:$F$48,HELPER!$G$8:$G$48,,1),""))</f>
        <v/>
      </c>
      <c r="AY78" s="168"/>
      <c r="AZ78" s="148"/>
    </row>
    <row r="79" spans="1:52" ht="15" customHeight="1" x14ac:dyDescent="0.25">
      <c r="A79" s="168"/>
      <c r="B79" s="110">
        <v>10</v>
      </c>
      <c r="C79" s="346" t="str">
        <f>IF('INPUT DATA'!N20="","",'INPUT DATA'!N20)</f>
        <v/>
      </c>
      <c r="D79" s="347"/>
      <c r="E79" s="347"/>
      <c r="F79" s="200"/>
      <c r="G79" s="201"/>
      <c r="H79" s="201"/>
      <c r="I79" s="201"/>
      <c r="J79" s="202"/>
      <c r="K79" s="194" t="str">
        <f t="shared" si="11"/>
        <v/>
      </c>
      <c r="L79" s="170" t="str">
        <f t="shared" si="12"/>
        <v/>
      </c>
      <c r="M79" s="188" t="str">
        <f t="shared" si="13"/>
        <v/>
      </c>
      <c r="N79" s="105"/>
      <c r="O79" s="106"/>
      <c r="P79" s="106"/>
      <c r="Q79" s="106"/>
      <c r="R79" s="107"/>
      <c r="S79" s="217" t="str">
        <f t="shared" si="21"/>
        <v/>
      </c>
      <c r="T79" s="91" t="str">
        <f t="shared" si="22"/>
        <v/>
      </c>
      <c r="U79" s="218" t="str">
        <f t="shared" si="23"/>
        <v/>
      </c>
      <c r="V79" s="230"/>
      <c r="W79" s="226"/>
      <c r="X79" s="231"/>
      <c r="Y79" s="194" t="str">
        <f t="shared" si="14"/>
        <v/>
      </c>
      <c r="Z79" s="170" t="str">
        <f t="shared" si="15"/>
        <v/>
      </c>
      <c r="AA79" s="188" t="str">
        <f t="shared" si="16"/>
        <v/>
      </c>
      <c r="AB79" s="230"/>
      <c r="AC79" s="226"/>
      <c r="AD79" s="231"/>
      <c r="AE79" s="194" t="str">
        <f t="shared" si="17"/>
        <v/>
      </c>
      <c r="AF79" s="170" t="str">
        <f t="shared" si="18"/>
        <v/>
      </c>
      <c r="AG79" s="188" t="str">
        <f t="shared" si="19"/>
        <v/>
      </c>
      <c r="AH79" s="105"/>
      <c r="AI79" s="106"/>
      <c r="AJ79" s="107"/>
      <c r="AK79" s="90" t="str">
        <f t="shared" si="24"/>
        <v/>
      </c>
      <c r="AL79" s="91" t="str">
        <f t="shared" si="25"/>
        <v/>
      </c>
      <c r="AM79" s="93" t="str">
        <f t="shared" si="26"/>
        <v/>
      </c>
      <c r="AN79" s="162"/>
      <c r="AO79" s="107"/>
      <c r="AP79" s="163"/>
      <c r="AQ79" s="157" t="str">
        <f t="shared" si="27"/>
        <v/>
      </c>
      <c r="AR79" s="91" t="str">
        <f t="shared" si="28"/>
        <v/>
      </c>
      <c r="AS79" s="93" t="str">
        <f t="shared" si="29"/>
        <v/>
      </c>
      <c r="AT79" s="90" t="str">
        <f t="shared" si="30"/>
        <v/>
      </c>
      <c r="AU79" s="93" t="str">
        <f t="shared" si="31"/>
        <v/>
      </c>
      <c r="AV79" s="241" t="str">
        <f t="shared" si="20"/>
        <v/>
      </c>
      <c r="AW79" s="238" t="str">
        <f>IF(C79="","",IFERROR(_xlfn.XLOOKUP(AV79,HELPER!$C$8:$C$48,HELPER!$D$8:$D$48,,1),""))</f>
        <v/>
      </c>
      <c r="AX79" s="113" t="str">
        <f>IF(C79="","",IFERROR(_xlfn.XLOOKUP(AW79,HELPER!$F$8:$F$48,HELPER!$G$8:$G$48,,1),""))</f>
        <v/>
      </c>
      <c r="AY79" s="168"/>
      <c r="AZ79" s="148"/>
    </row>
    <row r="80" spans="1:52" ht="15" customHeight="1" x14ac:dyDescent="0.25">
      <c r="A80" s="168"/>
      <c r="B80" s="110">
        <v>11</v>
      </c>
      <c r="C80" s="346" t="str">
        <f>IF('INPUT DATA'!N21="","",'INPUT DATA'!N21)</f>
        <v/>
      </c>
      <c r="D80" s="347"/>
      <c r="E80" s="347"/>
      <c r="F80" s="200"/>
      <c r="G80" s="201"/>
      <c r="H80" s="201"/>
      <c r="I80" s="201"/>
      <c r="J80" s="202"/>
      <c r="K80" s="194" t="str">
        <f t="shared" si="11"/>
        <v/>
      </c>
      <c r="L80" s="170" t="str">
        <f t="shared" si="12"/>
        <v/>
      </c>
      <c r="M80" s="188" t="str">
        <f t="shared" si="13"/>
        <v/>
      </c>
      <c r="N80" s="105"/>
      <c r="O80" s="106"/>
      <c r="P80" s="106"/>
      <c r="Q80" s="106"/>
      <c r="R80" s="107"/>
      <c r="S80" s="217" t="str">
        <f t="shared" si="21"/>
        <v/>
      </c>
      <c r="T80" s="91" t="str">
        <f t="shared" si="22"/>
        <v/>
      </c>
      <c r="U80" s="218" t="str">
        <f t="shared" si="23"/>
        <v/>
      </c>
      <c r="V80" s="230"/>
      <c r="W80" s="226"/>
      <c r="X80" s="231"/>
      <c r="Y80" s="194" t="str">
        <f t="shared" si="14"/>
        <v/>
      </c>
      <c r="Z80" s="170" t="str">
        <f t="shared" si="15"/>
        <v/>
      </c>
      <c r="AA80" s="188" t="str">
        <f t="shared" si="16"/>
        <v/>
      </c>
      <c r="AB80" s="230"/>
      <c r="AC80" s="226"/>
      <c r="AD80" s="231"/>
      <c r="AE80" s="194" t="str">
        <f t="shared" si="17"/>
        <v/>
      </c>
      <c r="AF80" s="170" t="str">
        <f t="shared" si="18"/>
        <v/>
      </c>
      <c r="AG80" s="188" t="str">
        <f t="shared" si="19"/>
        <v/>
      </c>
      <c r="AH80" s="105"/>
      <c r="AI80" s="106"/>
      <c r="AJ80" s="107"/>
      <c r="AK80" s="90" t="str">
        <f t="shared" si="24"/>
        <v/>
      </c>
      <c r="AL80" s="91" t="str">
        <f t="shared" si="25"/>
        <v/>
      </c>
      <c r="AM80" s="93" t="str">
        <f t="shared" si="26"/>
        <v/>
      </c>
      <c r="AN80" s="162"/>
      <c r="AO80" s="107"/>
      <c r="AP80" s="163"/>
      <c r="AQ80" s="157" t="str">
        <f t="shared" si="27"/>
        <v/>
      </c>
      <c r="AR80" s="91" t="str">
        <f t="shared" si="28"/>
        <v/>
      </c>
      <c r="AS80" s="93" t="str">
        <f t="shared" si="29"/>
        <v/>
      </c>
      <c r="AT80" s="90" t="str">
        <f t="shared" si="30"/>
        <v/>
      </c>
      <c r="AU80" s="93" t="str">
        <f t="shared" si="31"/>
        <v/>
      </c>
      <c r="AV80" s="241" t="str">
        <f t="shared" si="20"/>
        <v/>
      </c>
      <c r="AW80" s="238" t="str">
        <f>IF(C80="","",IFERROR(_xlfn.XLOOKUP(AV80,HELPER!$C$8:$C$48,HELPER!$D$8:$D$48,,1),""))</f>
        <v/>
      </c>
      <c r="AX80" s="113" t="str">
        <f>IF(C80="","",IFERROR(_xlfn.XLOOKUP(AW80,HELPER!$F$8:$F$48,HELPER!$G$8:$G$48,,1),""))</f>
        <v/>
      </c>
      <c r="AY80" s="168"/>
      <c r="AZ80" s="148"/>
    </row>
    <row r="81" spans="1:52" ht="15" customHeight="1" x14ac:dyDescent="0.25">
      <c r="A81" s="168"/>
      <c r="B81" s="110">
        <v>12</v>
      </c>
      <c r="C81" s="346" t="str">
        <f>IF('INPUT DATA'!N22="","",'INPUT DATA'!N22)</f>
        <v/>
      </c>
      <c r="D81" s="347"/>
      <c r="E81" s="347"/>
      <c r="F81" s="200"/>
      <c r="G81" s="201"/>
      <c r="H81" s="201"/>
      <c r="I81" s="201"/>
      <c r="J81" s="202"/>
      <c r="K81" s="194" t="str">
        <f t="shared" si="11"/>
        <v/>
      </c>
      <c r="L81" s="170" t="str">
        <f t="shared" si="12"/>
        <v/>
      </c>
      <c r="M81" s="188" t="str">
        <f t="shared" si="13"/>
        <v/>
      </c>
      <c r="N81" s="105"/>
      <c r="O81" s="106"/>
      <c r="P81" s="106"/>
      <c r="Q81" s="106"/>
      <c r="R81" s="107"/>
      <c r="S81" s="217" t="str">
        <f t="shared" si="21"/>
        <v/>
      </c>
      <c r="T81" s="91" t="str">
        <f t="shared" si="22"/>
        <v/>
      </c>
      <c r="U81" s="218" t="str">
        <f t="shared" si="23"/>
        <v/>
      </c>
      <c r="V81" s="230"/>
      <c r="W81" s="226"/>
      <c r="X81" s="231"/>
      <c r="Y81" s="194" t="str">
        <f t="shared" si="14"/>
        <v/>
      </c>
      <c r="Z81" s="170" t="str">
        <f t="shared" si="15"/>
        <v/>
      </c>
      <c r="AA81" s="188" t="str">
        <f t="shared" si="16"/>
        <v/>
      </c>
      <c r="AB81" s="230"/>
      <c r="AC81" s="226"/>
      <c r="AD81" s="231"/>
      <c r="AE81" s="194" t="str">
        <f t="shared" si="17"/>
        <v/>
      </c>
      <c r="AF81" s="170" t="str">
        <f t="shared" si="18"/>
        <v/>
      </c>
      <c r="AG81" s="188" t="str">
        <f t="shared" si="19"/>
        <v/>
      </c>
      <c r="AH81" s="105"/>
      <c r="AI81" s="106"/>
      <c r="AJ81" s="107"/>
      <c r="AK81" s="90" t="str">
        <f t="shared" si="24"/>
        <v/>
      </c>
      <c r="AL81" s="91" t="str">
        <f t="shared" si="25"/>
        <v/>
      </c>
      <c r="AM81" s="93" t="str">
        <f t="shared" si="26"/>
        <v/>
      </c>
      <c r="AN81" s="162"/>
      <c r="AO81" s="107"/>
      <c r="AP81" s="163"/>
      <c r="AQ81" s="157" t="str">
        <f t="shared" si="27"/>
        <v/>
      </c>
      <c r="AR81" s="91" t="str">
        <f t="shared" si="28"/>
        <v/>
      </c>
      <c r="AS81" s="93" t="str">
        <f t="shared" si="29"/>
        <v/>
      </c>
      <c r="AT81" s="90" t="str">
        <f t="shared" si="30"/>
        <v/>
      </c>
      <c r="AU81" s="93" t="str">
        <f t="shared" si="31"/>
        <v/>
      </c>
      <c r="AV81" s="241" t="str">
        <f t="shared" si="20"/>
        <v/>
      </c>
      <c r="AW81" s="238" t="str">
        <f>IF(C81="","",IFERROR(_xlfn.XLOOKUP(AV81,HELPER!$C$8:$C$48,HELPER!$D$8:$D$48,,1),""))</f>
        <v/>
      </c>
      <c r="AX81" s="113" t="str">
        <f>IF(C81="","",IFERROR(_xlfn.XLOOKUP(AW81,HELPER!$F$8:$F$48,HELPER!$G$8:$G$48,,1),""))</f>
        <v/>
      </c>
      <c r="AY81" s="168"/>
      <c r="AZ81" s="148"/>
    </row>
    <row r="82" spans="1:52" ht="15" customHeight="1" x14ac:dyDescent="0.25">
      <c r="A82" s="168"/>
      <c r="B82" s="110">
        <v>13</v>
      </c>
      <c r="C82" s="346" t="str">
        <f>IF('INPUT DATA'!N23="","",'INPUT DATA'!N23)</f>
        <v/>
      </c>
      <c r="D82" s="347"/>
      <c r="E82" s="347"/>
      <c r="F82" s="200"/>
      <c r="G82" s="201"/>
      <c r="H82" s="201"/>
      <c r="I82" s="201"/>
      <c r="J82" s="202"/>
      <c r="K82" s="194" t="str">
        <f t="shared" si="11"/>
        <v/>
      </c>
      <c r="L82" s="170" t="str">
        <f t="shared" si="12"/>
        <v/>
      </c>
      <c r="M82" s="188" t="str">
        <f t="shared" si="13"/>
        <v/>
      </c>
      <c r="N82" s="105"/>
      <c r="O82" s="106"/>
      <c r="P82" s="106"/>
      <c r="Q82" s="106"/>
      <c r="R82" s="107"/>
      <c r="S82" s="217" t="str">
        <f t="shared" si="21"/>
        <v/>
      </c>
      <c r="T82" s="91" t="str">
        <f t="shared" si="22"/>
        <v/>
      </c>
      <c r="U82" s="218" t="str">
        <f t="shared" si="23"/>
        <v/>
      </c>
      <c r="V82" s="230"/>
      <c r="W82" s="226"/>
      <c r="X82" s="231"/>
      <c r="Y82" s="194" t="str">
        <f t="shared" si="14"/>
        <v/>
      </c>
      <c r="Z82" s="170" t="str">
        <f t="shared" si="15"/>
        <v/>
      </c>
      <c r="AA82" s="188" t="str">
        <f t="shared" si="16"/>
        <v/>
      </c>
      <c r="AB82" s="230"/>
      <c r="AC82" s="226"/>
      <c r="AD82" s="231"/>
      <c r="AE82" s="194" t="str">
        <f t="shared" si="17"/>
        <v/>
      </c>
      <c r="AF82" s="170" t="str">
        <f t="shared" si="18"/>
        <v/>
      </c>
      <c r="AG82" s="188" t="str">
        <f t="shared" si="19"/>
        <v/>
      </c>
      <c r="AH82" s="105"/>
      <c r="AI82" s="106"/>
      <c r="AJ82" s="107"/>
      <c r="AK82" s="90" t="str">
        <f t="shared" si="24"/>
        <v/>
      </c>
      <c r="AL82" s="91" t="str">
        <f t="shared" si="25"/>
        <v/>
      </c>
      <c r="AM82" s="93" t="str">
        <f t="shared" si="26"/>
        <v/>
      </c>
      <c r="AN82" s="162"/>
      <c r="AO82" s="107"/>
      <c r="AP82" s="163"/>
      <c r="AQ82" s="157" t="str">
        <f t="shared" si="27"/>
        <v/>
      </c>
      <c r="AR82" s="91" t="str">
        <f t="shared" si="28"/>
        <v/>
      </c>
      <c r="AS82" s="93" t="str">
        <f t="shared" si="29"/>
        <v/>
      </c>
      <c r="AT82" s="90" t="str">
        <f t="shared" si="30"/>
        <v/>
      </c>
      <c r="AU82" s="93" t="str">
        <f t="shared" si="31"/>
        <v/>
      </c>
      <c r="AV82" s="241" t="str">
        <f t="shared" si="20"/>
        <v/>
      </c>
      <c r="AW82" s="238" t="str">
        <f>IF(C82="","",IFERROR(_xlfn.XLOOKUP(AV82,HELPER!$C$8:$C$48,HELPER!$D$8:$D$48,,1),""))</f>
        <v/>
      </c>
      <c r="AX82" s="113" t="str">
        <f>IF(C82="","",IFERROR(_xlfn.XLOOKUP(AW82,HELPER!$F$8:$F$48,HELPER!$G$8:$G$48,,1),""))</f>
        <v/>
      </c>
      <c r="AY82" s="168"/>
      <c r="AZ82" s="148"/>
    </row>
    <row r="83" spans="1:52" ht="15" customHeight="1" x14ac:dyDescent="0.25">
      <c r="A83" s="168"/>
      <c r="B83" s="110">
        <v>14</v>
      </c>
      <c r="C83" s="346" t="str">
        <f>IF('INPUT DATA'!N24="","",'INPUT DATA'!N24)</f>
        <v/>
      </c>
      <c r="D83" s="347"/>
      <c r="E83" s="347"/>
      <c r="F83" s="200"/>
      <c r="G83" s="201"/>
      <c r="H83" s="201"/>
      <c r="I83" s="201"/>
      <c r="J83" s="202"/>
      <c r="K83" s="194" t="str">
        <f t="shared" si="11"/>
        <v/>
      </c>
      <c r="L83" s="170" t="str">
        <f t="shared" si="12"/>
        <v/>
      </c>
      <c r="M83" s="188" t="str">
        <f t="shared" si="13"/>
        <v/>
      </c>
      <c r="N83" s="105"/>
      <c r="O83" s="106"/>
      <c r="P83" s="106"/>
      <c r="Q83" s="106"/>
      <c r="R83" s="107"/>
      <c r="S83" s="217" t="str">
        <f t="shared" si="21"/>
        <v/>
      </c>
      <c r="T83" s="91" t="str">
        <f t="shared" si="22"/>
        <v/>
      </c>
      <c r="U83" s="218" t="str">
        <f t="shared" si="23"/>
        <v/>
      </c>
      <c r="V83" s="230"/>
      <c r="W83" s="226"/>
      <c r="X83" s="231"/>
      <c r="Y83" s="194" t="str">
        <f t="shared" si="14"/>
        <v/>
      </c>
      <c r="Z83" s="170" t="str">
        <f t="shared" si="15"/>
        <v/>
      </c>
      <c r="AA83" s="188" t="str">
        <f t="shared" si="16"/>
        <v/>
      </c>
      <c r="AB83" s="230"/>
      <c r="AC83" s="226"/>
      <c r="AD83" s="231"/>
      <c r="AE83" s="194" t="str">
        <f t="shared" si="17"/>
        <v/>
      </c>
      <c r="AF83" s="170" t="str">
        <f t="shared" si="18"/>
        <v/>
      </c>
      <c r="AG83" s="188" t="str">
        <f t="shared" si="19"/>
        <v/>
      </c>
      <c r="AH83" s="105"/>
      <c r="AI83" s="106"/>
      <c r="AJ83" s="107"/>
      <c r="AK83" s="90" t="str">
        <f t="shared" si="24"/>
        <v/>
      </c>
      <c r="AL83" s="91" t="str">
        <f t="shared" si="25"/>
        <v/>
      </c>
      <c r="AM83" s="93" t="str">
        <f t="shared" si="26"/>
        <v/>
      </c>
      <c r="AN83" s="162"/>
      <c r="AO83" s="107"/>
      <c r="AP83" s="163"/>
      <c r="AQ83" s="157" t="str">
        <f t="shared" si="27"/>
        <v/>
      </c>
      <c r="AR83" s="91" t="str">
        <f t="shared" si="28"/>
        <v/>
      </c>
      <c r="AS83" s="93" t="str">
        <f t="shared" si="29"/>
        <v/>
      </c>
      <c r="AT83" s="90" t="str">
        <f t="shared" si="30"/>
        <v/>
      </c>
      <c r="AU83" s="93" t="str">
        <f t="shared" si="31"/>
        <v/>
      </c>
      <c r="AV83" s="241" t="str">
        <f t="shared" si="20"/>
        <v/>
      </c>
      <c r="AW83" s="238" t="str">
        <f>IF(C83="","",IFERROR(_xlfn.XLOOKUP(AV83,HELPER!$C$8:$C$48,HELPER!$D$8:$D$48,,1),""))</f>
        <v/>
      </c>
      <c r="AX83" s="113" t="str">
        <f>IF(C83="","",IFERROR(_xlfn.XLOOKUP(AW83,HELPER!$F$8:$F$48,HELPER!$G$8:$G$48,,1),""))</f>
        <v/>
      </c>
      <c r="AY83" s="168"/>
      <c r="AZ83" s="148"/>
    </row>
    <row r="84" spans="1:52" ht="15" customHeight="1" x14ac:dyDescent="0.25">
      <c r="A84" s="168"/>
      <c r="B84" s="110">
        <v>15</v>
      </c>
      <c r="C84" s="346" t="str">
        <f>IF('INPUT DATA'!N25="","",'INPUT DATA'!N25)</f>
        <v/>
      </c>
      <c r="D84" s="347"/>
      <c r="E84" s="347"/>
      <c r="F84" s="200"/>
      <c r="G84" s="201"/>
      <c r="H84" s="201"/>
      <c r="I84" s="201"/>
      <c r="J84" s="202"/>
      <c r="K84" s="194" t="str">
        <f t="shared" ref="K84:K119" si="32">IF(COUNT($F84:$J84)=0,"",SUM($F84:$J84))</f>
        <v/>
      </c>
      <c r="L84" s="170" t="str">
        <f t="shared" ref="L84:L119" si="33">IF(ISERROR(IF($K84="","",ROUND(($K84/$K$16)*$L$16,2))),"",IF($K84="","",ROUND(($K84/$K$16)*$L$16,2)))</f>
        <v/>
      </c>
      <c r="M84" s="188" t="str">
        <f t="shared" ref="M84:M119" si="34">IF($L84="","",ROUND($L84*$M$16,2))</f>
        <v/>
      </c>
      <c r="N84" s="105"/>
      <c r="O84" s="106"/>
      <c r="P84" s="106"/>
      <c r="Q84" s="106"/>
      <c r="R84" s="107"/>
      <c r="S84" s="217" t="str">
        <f t="shared" si="21"/>
        <v/>
      </c>
      <c r="T84" s="91" t="str">
        <f t="shared" si="22"/>
        <v/>
      </c>
      <c r="U84" s="218" t="str">
        <f t="shared" si="23"/>
        <v/>
      </c>
      <c r="V84" s="230"/>
      <c r="W84" s="226"/>
      <c r="X84" s="231"/>
      <c r="Y84" s="194" t="str">
        <f t="shared" ref="Y84:Y119" si="35">IF(COUNT($V84:$X84)=0,"",SUM($V84:$X84))</f>
        <v/>
      </c>
      <c r="Z84" s="170" t="str">
        <f t="shared" ref="Z84:Z119" si="36">IF(ISERROR(IF($Y84="","",ROUND(($Y84/$Y$16)*$Z$16,2))),"",IF($Y84="","",ROUND(($Y84/$Y$16)*$Z$16,2)))</f>
        <v/>
      </c>
      <c r="AA84" s="188" t="str">
        <f t="shared" ref="AA84:AA119" si="37">IF($Z84="","",ROUND($Z84*$AA$16,2))</f>
        <v/>
      </c>
      <c r="AB84" s="230"/>
      <c r="AC84" s="226"/>
      <c r="AD84" s="231"/>
      <c r="AE84" s="194" t="str">
        <f t="shared" ref="AE84:AE119" si="38">IF(COUNT($AB84:$AD84)=0,"",SUM($AB84:$AD84))</f>
        <v/>
      </c>
      <c r="AF84" s="170" t="str">
        <f t="shared" ref="AF84:AF119" si="39">IF(ISERROR(IF($AE84="","",ROUND(($AE84/$AE$16)*$AF$16,2))),"",IF($AE84="","",ROUND(($AE84/$AE$16)*$AF$16,2)))</f>
        <v/>
      </c>
      <c r="AG84" s="188" t="str">
        <f t="shared" ref="AG84:AG119" si="40">IF($AF84="","",ROUND($AF84*$AG$16,2))</f>
        <v/>
      </c>
      <c r="AH84" s="105"/>
      <c r="AI84" s="106"/>
      <c r="AJ84" s="107"/>
      <c r="AK84" s="90" t="str">
        <f t="shared" si="24"/>
        <v/>
      </c>
      <c r="AL84" s="91" t="str">
        <f t="shared" si="25"/>
        <v/>
      </c>
      <c r="AM84" s="93" t="str">
        <f t="shared" si="26"/>
        <v/>
      </c>
      <c r="AN84" s="162"/>
      <c r="AO84" s="107"/>
      <c r="AP84" s="163"/>
      <c r="AQ84" s="157" t="str">
        <f t="shared" si="27"/>
        <v/>
      </c>
      <c r="AR84" s="91" t="str">
        <f t="shared" si="28"/>
        <v/>
      </c>
      <c r="AS84" s="93" t="str">
        <f t="shared" si="29"/>
        <v/>
      </c>
      <c r="AT84" s="90" t="str">
        <f t="shared" si="30"/>
        <v/>
      </c>
      <c r="AU84" s="93" t="str">
        <f t="shared" si="31"/>
        <v/>
      </c>
      <c r="AV84" s="241" t="str">
        <f t="shared" ref="AV84:AV119" si="41">IF(C84="","",IFERROR(ROUND(M84+U84+AA84+AG84+AM84+AU84,2),""))</f>
        <v/>
      </c>
      <c r="AW84" s="238" t="str">
        <f>IF(C84="","",IFERROR(_xlfn.XLOOKUP(AV84,HELPER!$C$8:$C$48,HELPER!$D$8:$D$48,,1),""))</f>
        <v/>
      </c>
      <c r="AX84" s="113" t="str">
        <f>IF(C84="","",IFERROR(_xlfn.XLOOKUP(AW84,HELPER!$F$8:$F$48,HELPER!$G$8:$G$48,,1),""))</f>
        <v/>
      </c>
      <c r="AY84" s="168"/>
      <c r="AZ84" s="148"/>
    </row>
    <row r="85" spans="1:52" ht="15" customHeight="1" x14ac:dyDescent="0.25">
      <c r="A85" s="168"/>
      <c r="B85" s="110">
        <v>16</v>
      </c>
      <c r="C85" s="346" t="str">
        <f>IF('INPUT DATA'!N26="","",'INPUT DATA'!N26)</f>
        <v/>
      </c>
      <c r="D85" s="347"/>
      <c r="E85" s="347"/>
      <c r="F85" s="200"/>
      <c r="G85" s="201"/>
      <c r="H85" s="201"/>
      <c r="I85" s="201"/>
      <c r="J85" s="202"/>
      <c r="K85" s="194" t="str">
        <f t="shared" si="32"/>
        <v/>
      </c>
      <c r="L85" s="170" t="str">
        <f t="shared" si="33"/>
        <v/>
      </c>
      <c r="M85" s="188" t="str">
        <f t="shared" si="34"/>
        <v/>
      </c>
      <c r="N85" s="105"/>
      <c r="O85" s="106"/>
      <c r="P85" s="106"/>
      <c r="Q85" s="106"/>
      <c r="R85" s="107"/>
      <c r="S85" s="217" t="str">
        <f t="shared" si="21"/>
        <v/>
      </c>
      <c r="T85" s="91" t="str">
        <f t="shared" si="22"/>
        <v/>
      </c>
      <c r="U85" s="218" t="str">
        <f t="shared" si="23"/>
        <v/>
      </c>
      <c r="V85" s="230"/>
      <c r="W85" s="226"/>
      <c r="X85" s="231"/>
      <c r="Y85" s="194" t="str">
        <f t="shared" si="35"/>
        <v/>
      </c>
      <c r="Z85" s="170" t="str">
        <f t="shared" si="36"/>
        <v/>
      </c>
      <c r="AA85" s="188" t="str">
        <f t="shared" si="37"/>
        <v/>
      </c>
      <c r="AB85" s="230"/>
      <c r="AC85" s="226"/>
      <c r="AD85" s="231"/>
      <c r="AE85" s="194" t="str">
        <f t="shared" si="38"/>
        <v/>
      </c>
      <c r="AF85" s="170" t="str">
        <f t="shared" si="39"/>
        <v/>
      </c>
      <c r="AG85" s="188" t="str">
        <f t="shared" si="40"/>
        <v/>
      </c>
      <c r="AH85" s="105"/>
      <c r="AI85" s="106"/>
      <c r="AJ85" s="107"/>
      <c r="AK85" s="90" t="str">
        <f t="shared" si="24"/>
        <v/>
      </c>
      <c r="AL85" s="91" t="str">
        <f t="shared" si="25"/>
        <v/>
      </c>
      <c r="AM85" s="93" t="str">
        <f t="shared" si="26"/>
        <v/>
      </c>
      <c r="AN85" s="162"/>
      <c r="AO85" s="107"/>
      <c r="AP85" s="163"/>
      <c r="AQ85" s="157" t="str">
        <f t="shared" si="27"/>
        <v/>
      </c>
      <c r="AR85" s="91" t="str">
        <f t="shared" si="28"/>
        <v/>
      </c>
      <c r="AS85" s="93" t="str">
        <f t="shared" si="29"/>
        <v/>
      </c>
      <c r="AT85" s="90" t="str">
        <f t="shared" si="30"/>
        <v/>
      </c>
      <c r="AU85" s="93" t="str">
        <f t="shared" si="31"/>
        <v/>
      </c>
      <c r="AV85" s="241" t="str">
        <f t="shared" si="41"/>
        <v/>
      </c>
      <c r="AW85" s="238" t="str">
        <f>IF(C85="","",IFERROR(_xlfn.XLOOKUP(AV85,HELPER!$C$8:$C$48,HELPER!$D$8:$D$48,,1),""))</f>
        <v/>
      </c>
      <c r="AX85" s="113" t="str">
        <f>IF(C85="","",IFERROR(_xlfn.XLOOKUP(AW85,HELPER!$F$8:$F$48,HELPER!$G$8:$G$48,,1),""))</f>
        <v/>
      </c>
      <c r="AY85" s="168"/>
      <c r="AZ85" s="148"/>
    </row>
    <row r="86" spans="1:52" ht="15" customHeight="1" x14ac:dyDescent="0.25">
      <c r="A86" s="168"/>
      <c r="B86" s="110">
        <v>17</v>
      </c>
      <c r="C86" s="346" t="str">
        <f>IF('INPUT DATA'!N27="","",'INPUT DATA'!N27)</f>
        <v/>
      </c>
      <c r="D86" s="347"/>
      <c r="E86" s="347"/>
      <c r="F86" s="200"/>
      <c r="G86" s="201"/>
      <c r="H86" s="201"/>
      <c r="I86" s="201"/>
      <c r="J86" s="202"/>
      <c r="K86" s="194" t="str">
        <f t="shared" si="32"/>
        <v/>
      </c>
      <c r="L86" s="170" t="str">
        <f t="shared" si="33"/>
        <v/>
      </c>
      <c r="M86" s="188" t="str">
        <f t="shared" si="34"/>
        <v/>
      </c>
      <c r="N86" s="105"/>
      <c r="O86" s="106"/>
      <c r="P86" s="106"/>
      <c r="Q86" s="106"/>
      <c r="R86" s="107"/>
      <c r="S86" s="217" t="str">
        <f t="shared" si="21"/>
        <v/>
      </c>
      <c r="T86" s="91" t="str">
        <f t="shared" si="22"/>
        <v/>
      </c>
      <c r="U86" s="218" t="str">
        <f t="shared" si="23"/>
        <v/>
      </c>
      <c r="V86" s="230"/>
      <c r="W86" s="226"/>
      <c r="X86" s="231"/>
      <c r="Y86" s="194" t="str">
        <f t="shared" si="35"/>
        <v/>
      </c>
      <c r="Z86" s="170" t="str">
        <f t="shared" si="36"/>
        <v/>
      </c>
      <c r="AA86" s="188" t="str">
        <f t="shared" si="37"/>
        <v/>
      </c>
      <c r="AB86" s="230"/>
      <c r="AC86" s="226"/>
      <c r="AD86" s="231"/>
      <c r="AE86" s="194" t="str">
        <f t="shared" si="38"/>
        <v/>
      </c>
      <c r="AF86" s="170" t="str">
        <f t="shared" si="39"/>
        <v/>
      </c>
      <c r="AG86" s="188" t="str">
        <f t="shared" si="40"/>
        <v/>
      </c>
      <c r="AH86" s="105"/>
      <c r="AI86" s="106"/>
      <c r="AJ86" s="107"/>
      <c r="AK86" s="90" t="str">
        <f t="shared" si="24"/>
        <v/>
      </c>
      <c r="AL86" s="91" t="str">
        <f t="shared" si="25"/>
        <v/>
      </c>
      <c r="AM86" s="93" t="str">
        <f t="shared" si="26"/>
        <v/>
      </c>
      <c r="AN86" s="162"/>
      <c r="AO86" s="107"/>
      <c r="AP86" s="163"/>
      <c r="AQ86" s="157" t="str">
        <f t="shared" si="27"/>
        <v/>
      </c>
      <c r="AR86" s="91" t="str">
        <f t="shared" si="28"/>
        <v/>
      </c>
      <c r="AS86" s="93" t="str">
        <f t="shared" si="29"/>
        <v/>
      </c>
      <c r="AT86" s="90" t="str">
        <f t="shared" si="30"/>
        <v/>
      </c>
      <c r="AU86" s="93" t="str">
        <f t="shared" si="31"/>
        <v/>
      </c>
      <c r="AV86" s="241" t="str">
        <f t="shared" si="41"/>
        <v/>
      </c>
      <c r="AW86" s="238" t="str">
        <f>IF(C86="","",IFERROR(_xlfn.XLOOKUP(AV86,HELPER!$C$8:$C$48,HELPER!$D$8:$D$48,,1),""))</f>
        <v/>
      </c>
      <c r="AX86" s="113" t="str">
        <f>IF(C86="","",IFERROR(_xlfn.XLOOKUP(AW86,HELPER!$F$8:$F$48,HELPER!$G$8:$G$48,,1),""))</f>
        <v/>
      </c>
      <c r="AY86" s="168"/>
      <c r="AZ86" s="148"/>
    </row>
    <row r="87" spans="1:52" ht="15" customHeight="1" x14ac:dyDescent="0.25">
      <c r="A87" s="168"/>
      <c r="B87" s="110">
        <v>18</v>
      </c>
      <c r="C87" s="346" t="str">
        <f>IF('INPUT DATA'!N28="","",'INPUT DATA'!N28)</f>
        <v/>
      </c>
      <c r="D87" s="347"/>
      <c r="E87" s="347"/>
      <c r="F87" s="200"/>
      <c r="G87" s="201"/>
      <c r="H87" s="201"/>
      <c r="I87" s="201"/>
      <c r="J87" s="202"/>
      <c r="K87" s="194" t="str">
        <f t="shared" si="32"/>
        <v/>
      </c>
      <c r="L87" s="170" t="str">
        <f t="shared" si="33"/>
        <v/>
      </c>
      <c r="M87" s="188" t="str">
        <f t="shared" si="34"/>
        <v/>
      </c>
      <c r="N87" s="105"/>
      <c r="O87" s="106"/>
      <c r="P87" s="106"/>
      <c r="Q87" s="106"/>
      <c r="R87" s="107"/>
      <c r="S87" s="217" t="str">
        <f t="shared" si="21"/>
        <v/>
      </c>
      <c r="T87" s="91" t="str">
        <f t="shared" si="22"/>
        <v/>
      </c>
      <c r="U87" s="218" t="str">
        <f t="shared" si="23"/>
        <v/>
      </c>
      <c r="V87" s="230"/>
      <c r="W87" s="226"/>
      <c r="X87" s="231"/>
      <c r="Y87" s="194" t="str">
        <f t="shared" si="35"/>
        <v/>
      </c>
      <c r="Z87" s="170" t="str">
        <f t="shared" si="36"/>
        <v/>
      </c>
      <c r="AA87" s="188" t="str">
        <f t="shared" si="37"/>
        <v/>
      </c>
      <c r="AB87" s="230"/>
      <c r="AC87" s="226"/>
      <c r="AD87" s="231"/>
      <c r="AE87" s="194" t="str">
        <f t="shared" si="38"/>
        <v/>
      </c>
      <c r="AF87" s="170" t="str">
        <f t="shared" si="39"/>
        <v/>
      </c>
      <c r="AG87" s="188" t="str">
        <f t="shared" si="40"/>
        <v/>
      </c>
      <c r="AH87" s="105"/>
      <c r="AI87" s="106"/>
      <c r="AJ87" s="107"/>
      <c r="AK87" s="90" t="str">
        <f t="shared" si="24"/>
        <v/>
      </c>
      <c r="AL87" s="91" t="str">
        <f t="shared" si="25"/>
        <v/>
      </c>
      <c r="AM87" s="93" t="str">
        <f t="shared" si="26"/>
        <v/>
      </c>
      <c r="AN87" s="162"/>
      <c r="AO87" s="107"/>
      <c r="AP87" s="163"/>
      <c r="AQ87" s="157" t="str">
        <f t="shared" si="27"/>
        <v/>
      </c>
      <c r="AR87" s="91" t="str">
        <f t="shared" si="28"/>
        <v/>
      </c>
      <c r="AS87" s="93" t="str">
        <f t="shared" si="29"/>
        <v/>
      </c>
      <c r="AT87" s="90" t="str">
        <f t="shared" si="30"/>
        <v/>
      </c>
      <c r="AU87" s="93" t="str">
        <f t="shared" si="31"/>
        <v/>
      </c>
      <c r="AV87" s="241" t="str">
        <f t="shared" si="41"/>
        <v/>
      </c>
      <c r="AW87" s="238" t="str">
        <f>IF(C87="","",IFERROR(_xlfn.XLOOKUP(AV87,HELPER!$C$8:$C$48,HELPER!$D$8:$D$48,,1),""))</f>
        <v/>
      </c>
      <c r="AX87" s="113" t="str">
        <f>IF(C87="","",IFERROR(_xlfn.XLOOKUP(AW87,HELPER!$F$8:$F$48,HELPER!$G$8:$G$48,,1),""))</f>
        <v/>
      </c>
      <c r="AY87" s="168"/>
      <c r="AZ87" s="148"/>
    </row>
    <row r="88" spans="1:52" ht="15" customHeight="1" x14ac:dyDescent="0.25">
      <c r="A88" s="168"/>
      <c r="B88" s="110">
        <v>19</v>
      </c>
      <c r="C88" s="346" t="str">
        <f>IF('INPUT DATA'!N29="","",'INPUT DATA'!N29)</f>
        <v/>
      </c>
      <c r="D88" s="347"/>
      <c r="E88" s="347"/>
      <c r="F88" s="200"/>
      <c r="G88" s="201"/>
      <c r="H88" s="201"/>
      <c r="I88" s="201"/>
      <c r="J88" s="202"/>
      <c r="K88" s="194" t="str">
        <f t="shared" si="32"/>
        <v/>
      </c>
      <c r="L88" s="170" t="str">
        <f t="shared" si="33"/>
        <v/>
      </c>
      <c r="M88" s="188" t="str">
        <f t="shared" si="34"/>
        <v/>
      </c>
      <c r="N88" s="105"/>
      <c r="O88" s="106"/>
      <c r="P88" s="106"/>
      <c r="Q88" s="106"/>
      <c r="R88" s="107"/>
      <c r="S88" s="217" t="str">
        <f t="shared" si="21"/>
        <v/>
      </c>
      <c r="T88" s="91" t="str">
        <f t="shared" si="22"/>
        <v/>
      </c>
      <c r="U88" s="218" t="str">
        <f t="shared" si="23"/>
        <v/>
      </c>
      <c r="V88" s="230"/>
      <c r="W88" s="226"/>
      <c r="X88" s="231"/>
      <c r="Y88" s="194" t="str">
        <f t="shared" si="35"/>
        <v/>
      </c>
      <c r="Z88" s="170" t="str">
        <f t="shared" si="36"/>
        <v/>
      </c>
      <c r="AA88" s="188" t="str">
        <f t="shared" si="37"/>
        <v/>
      </c>
      <c r="AB88" s="230"/>
      <c r="AC88" s="226"/>
      <c r="AD88" s="231"/>
      <c r="AE88" s="194" t="str">
        <f t="shared" si="38"/>
        <v/>
      </c>
      <c r="AF88" s="170" t="str">
        <f t="shared" si="39"/>
        <v/>
      </c>
      <c r="AG88" s="188" t="str">
        <f t="shared" si="40"/>
        <v/>
      </c>
      <c r="AH88" s="105"/>
      <c r="AI88" s="106"/>
      <c r="AJ88" s="107"/>
      <c r="AK88" s="90" t="str">
        <f t="shared" si="24"/>
        <v/>
      </c>
      <c r="AL88" s="91" t="str">
        <f t="shared" si="25"/>
        <v/>
      </c>
      <c r="AM88" s="93" t="str">
        <f t="shared" si="26"/>
        <v/>
      </c>
      <c r="AN88" s="162"/>
      <c r="AO88" s="107"/>
      <c r="AP88" s="163"/>
      <c r="AQ88" s="157" t="str">
        <f t="shared" si="27"/>
        <v/>
      </c>
      <c r="AR88" s="91" t="str">
        <f t="shared" si="28"/>
        <v/>
      </c>
      <c r="AS88" s="93" t="str">
        <f t="shared" si="29"/>
        <v/>
      </c>
      <c r="AT88" s="90" t="str">
        <f t="shared" si="30"/>
        <v/>
      </c>
      <c r="AU88" s="93" t="str">
        <f t="shared" si="31"/>
        <v/>
      </c>
      <c r="AV88" s="241" t="str">
        <f t="shared" si="41"/>
        <v/>
      </c>
      <c r="AW88" s="238" t="str">
        <f>IF(C88="","",IFERROR(_xlfn.XLOOKUP(AV88,HELPER!$C$8:$C$48,HELPER!$D$8:$D$48,,1),""))</f>
        <v/>
      </c>
      <c r="AX88" s="113" t="str">
        <f>IF(C88="","",IFERROR(_xlfn.XLOOKUP(AW88,HELPER!$F$8:$F$48,HELPER!$G$8:$G$48,,1),""))</f>
        <v/>
      </c>
      <c r="AY88" s="168"/>
      <c r="AZ88" s="148"/>
    </row>
    <row r="89" spans="1:52" ht="15" customHeight="1" x14ac:dyDescent="0.25">
      <c r="A89" s="168"/>
      <c r="B89" s="111">
        <v>20</v>
      </c>
      <c r="C89" s="346" t="str">
        <f>IF('INPUT DATA'!N30="","",'INPUT DATA'!N30)</f>
        <v/>
      </c>
      <c r="D89" s="347"/>
      <c r="E89" s="347"/>
      <c r="F89" s="200"/>
      <c r="G89" s="201"/>
      <c r="H89" s="201"/>
      <c r="I89" s="201"/>
      <c r="J89" s="202"/>
      <c r="K89" s="194" t="str">
        <f t="shared" si="32"/>
        <v/>
      </c>
      <c r="L89" s="170" t="str">
        <f t="shared" si="33"/>
        <v/>
      </c>
      <c r="M89" s="188" t="str">
        <f t="shared" si="34"/>
        <v/>
      </c>
      <c r="N89" s="105"/>
      <c r="O89" s="106"/>
      <c r="P89" s="106"/>
      <c r="Q89" s="106"/>
      <c r="R89" s="107"/>
      <c r="S89" s="217" t="str">
        <f t="shared" si="21"/>
        <v/>
      </c>
      <c r="T89" s="91" t="str">
        <f t="shared" si="22"/>
        <v/>
      </c>
      <c r="U89" s="218" t="str">
        <f t="shared" si="23"/>
        <v/>
      </c>
      <c r="V89" s="230"/>
      <c r="W89" s="226"/>
      <c r="X89" s="231"/>
      <c r="Y89" s="194" t="str">
        <f t="shared" si="35"/>
        <v/>
      </c>
      <c r="Z89" s="170" t="str">
        <f t="shared" si="36"/>
        <v/>
      </c>
      <c r="AA89" s="188" t="str">
        <f t="shared" si="37"/>
        <v/>
      </c>
      <c r="AB89" s="230"/>
      <c r="AC89" s="226"/>
      <c r="AD89" s="231"/>
      <c r="AE89" s="194" t="str">
        <f t="shared" si="38"/>
        <v/>
      </c>
      <c r="AF89" s="170" t="str">
        <f t="shared" si="39"/>
        <v/>
      </c>
      <c r="AG89" s="188" t="str">
        <f t="shared" si="40"/>
        <v/>
      </c>
      <c r="AH89" s="105"/>
      <c r="AI89" s="106"/>
      <c r="AJ89" s="107"/>
      <c r="AK89" s="90" t="str">
        <f t="shared" si="24"/>
        <v/>
      </c>
      <c r="AL89" s="91" t="str">
        <f t="shared" si="25"/>
        <v/>
      </c>
      <c r="AM89" s="93" t="str">
        <f t="shared" si="26"/>
        <v/>
      </c>
      <c r="AN89" s="162"/>
      <c r="AO89" s="107"/>
      <c r="AP89" s="163"/>
      <c r="AQ89" s="157" t="str">
        <f t="shared" si="27"/>
        <v/>
      </c>
      <c r="AR89" s="91" t="str">
        <f t="shared" si="28"/>
        <v/>
      </c>
      <c r="AS89" s="93" t="str">
        <f t="shared" si="29"/>
        <v/>
      </c>
      <c r="AT89" s="90" t="str">
        <f t="shared" si="30"/>
        <v/>
      </c>
      <c r="AU89" s="93" t="str">
        <f t="shared" si="31"/>
        <v/>
      </c>
      <c r="AV89" s="241" t="str">
        <f t="shared" si="41"/>
        <v/>
      </c>
      <c r="AW89" s="238" t="str">
        <f>IF(C89="","",IFERROR(_xlfn.XLOOKUP(AV89,HELPER!$C$8:$C$48,HELPER!$D$8:$D$48,,1),""))</f>
        <v/>
      </c>
      <c r="AX89" s="113" t="str">
        <f>IF(C89="","",IFERROR(_xlfn.XLOOKUP(AW89,HELPER!$F$8:$F$48,HELPER!$G$8:$G$48,,1),""))</f>
        <v/>
      </c>
      <c r="AY89" s="168"/>
      <c r="AZ89" s="148"/>
    </row>
    <row r="90" spans="1:52" ht="15" customHeight="1" x14ac:dyDescent="0.25">
      <c r="A90" s="168"/>
      <c r="B90" s="111">
        <v>21</v>
      </c>
      <c r="C90" s="346" t="str">
        <f>IF('INPUT DATA'!N31="","",'INPUT DATA'!N31)</f>
        <v/>
      </c>
      <c r="D90" s="347"/>
      <c r="E90" s="347"/>
      <c r="F90" s="200"/>
      <c r="G90" s="201"/>
      <c r="H90" s="201"/>
      <c r="I90" s="201"/>
      <c r="J90" s="202"/>
      <c r="K90" s="194" t="str">
        <f t="shared" si="32"/>
        <v/>
      </c>
      <c r="L90" s="170" t="str">
        <f t="shared" si="33"/>
        <v/>
      </c>
      <c r="M90" s="188" t="str">
        <f t="shared" si="34"/>
        <v/>
      </c>
      <c r="N90" s="105"/>
      <c r="O90" s="106"/>
      <c r="P90" s="106"/>
      <c r="Q90" s="106"/>
      <c r="R90" s="107"/>
      <c r="S90" s="217" t="str">
        <f t="shared" si="21"/>
        <v/>
      </c>
      <c r="T90" s="91" t="str">
        <f t="shared" si="22"/>
        <v/>
      </c>
      <c r="U90" s="218" t="str">
        <f t="shared" si="23"/>
        <v/>
      </c>
      <c r="V90" s="230"/>
      <c r="W90" s="226"/>
      <c r="X90" s="231"/>
      <c r="Y90" s="194" t="str">
        <f t="shared" si="35"/>
        <v/>
      </c>
      <c r="Z90" s="170" t="str">
        <f t="shared" si="36"/>
        <v/>
      </c>
      <c r="AA90" s="188" t="str">
        <f t="shared" si="37"/>
        <v/>
      </c>
      <c r="AB90" s="230"/>
      <c r="AC90" s="226"/>
      <c r="AD90" s="231"/>
      <c r="AE90" s="194" t="str">
        <f t="shared" si="38"/>
        <v/>
      </c>
      <c r="AF90" s="170" t="str">
        <f t="shared" si="39"/>
        <v/>
      </c>
      <c r="AG90" s="188" t="str">
        <f t="shared" si="40"/>
        <v/>
      </c>
      <c r="AH90" s="105"/>
      <c r="AI90" s="106"/>
      <c r="AJ90" s="107"/>
      <c r="AK90" s="90" t="str">
        <f t="shared" si="24"/>
        <v/>
      </c>
      <c r="AL90" s="91" t="str">
        <f t="shared" si="25"/>
        <v/>
      </c>
      <c r="AM90" s="93" t="str">
        <f t="shared" si="26"/>
        <v/>
      </c>
      <c r="AN90" s="162"/>
      <c r="AO90" s="107"/>
      <c r="AP90" s="163"/>
      <c r="AQ90" s="157" t="str">
        <f t="shared" si="27"/>
        <v/>
      </c>
      <c r="AR90" s="91" t="str">
        <f t="shared" si="28"/>
        <v/>
      </c>
      <c r="AS90" s="93" t="str">
        <f t="shared" si="29"/>
        <v/>
      </c>
      <c r="AT90" s="90" t="str">
        <f t="shared" si="30"/>
        <v/>
      </c>
      <c r="AU90" s="93" t="str">
        <f t="shared" si="31"/>
        <v/>
      </c>
      <c r="AV90" s="241" t="str">
        <f t="shared" si="41"/>
        <v/>
      </c>
      <c r="AW90" s="238" t="str">
        <f>IF(C90="","",IFERROR(_xlfn.XLOOKUP(AV90,HELPER!$C$8:$C$48,HELPER!$D$8:$D$48,,1),""))</f>
        <v/>
      </c>
      <c r="AX90" s="113" t="str">
        <f>IF(C90="","",IFERROR(_xlfn.XLOOKUP(AW90,HELPER!$F$8:$F$48,HELPER!$G$8:$G$48,,1),""))</f>
        <v/>
      </c>
      <c r="AY90" s="168"/>
      <c r="AZ90" s="148"/>
    </row>
    <row r="91" spans="1:52" ht="15" customHeight="1" x14ac:dyDescent="0.25">
      <c r="A91" s="168"/>
      <c r="B91" s="111">
        <v>22</v>
      </c>
      <c r="C91" s="346" t="str">
        <f>IF('INPUT DATA'!N32="","",'INPUT DATA'!N32)</f>
        <v/>
      </c>
      <c r="D91" s="347"/>
      <c r="E91" s="347"/>
      <c r="F91" s="200"/>
      <c r="G91" s="201"/>
      <c r="H91" s="201"/>
      <c r="I91" s="201"/>
      <c r="J91" s="202"/>
      <c r="K91" s="194" t="str">
        <f t="shared" si="32"/>
        <v/>
      </c>
      <c r="L91" s="170" t="str">
        <f t="shared" si="33"/>
        <v/>
      </c>
      <c r="M91" s="188" t="str">
        <f t="shared" si="34"/>
        <v/>
      </c>
      <c r="N91" s="105"/>
      <c r="O91" s="106"/>
      <c r="P91" s="106"/>
      <c r="Q91" s="106"/>
      <c r="R91" s="107"/>
      <c r="S91" s="217" t="str">
        <f t="shared" si="21"/>
        <v/>
      </c>
      <c r="T91" s="91" t="str">
        <f t="shared" si="22"/>
        <v/>
      </c>
      <c r="U91" s="218" t="str">
        <f t="shared" si="23"/>
        <v/>
      </c>
      <c r="V91" s="230"/>
      <c r="W91" s="226"/>
      <c r="X91" s="231"/>
      <c r="Y91" s="194" t="str">
        <f t="shared" si="35"/>
        <v/>
      </c>
      <c r="Z91" s="170" t="str">
        <f t="shared" si="36"/>
        <v/>
      </c>
      <c r="AA91" s="188" t="str">
        <f t="shared" si="37"/>
        <v/>
      </c>
      <c r="AB91" s="230"/>
      <c r="AC91" s="226"/>
      <c r="AD91" s="231"/>
      <c r="AE91" s="194" t="str">
        <f t="shared" si="38"/>
        <v/>
      </c>
      <c r="AF91" s="170" t="str">
        <f t="shared" si="39"/>
        <v/>
      </c>
      <c r="AG91" s="188" t="str">
        <f t="shared" si="40"/>
        <v/>
      </c>
      <c r="AH91" s="105"/>
      <c r="AI91" s="106"/>
      <c r="AJ91" s="107"/>
      <c r="AK91" s="90" t="str">
        <f t="shared" si="24"/>
        <v/>
      </c>
      <c r="AL91" s="91" t="str">
        <f t="shared" si="25"/>
        <v/>
      </c>
      <c r="AM91" s="93" t="str">
        <f t="shared" si="26"/>
        <v/>
      </c>
      <c r="AN91" s="162"/>
      <c r="AO91" s="107"/>
      <c r="AP91" s="163"/>
      <c r="AQ91" s="157" t="str">
        <f t="shared" si="27"/>
        <v/>
      </c>
      <c r="AR91" s="91" t="str">
        <f t="shared" si="28"/>
        <v/>
      </c>
      <c r="AS91" s="93" t="str">
        <f t="shared" si="29"/>
        <v/>
      </c>
      <c r="AT91" s="90" t="str">
        <f t="shared" si="30"/>
        <v/>
      </c>
      <c r="AU91" s="93" t="str">
        <f t="shared" si="31"/>
        <v/>
      </c>
      <c r="AV91" s="241" t="str">
        <f t="shared" si="41"/>
        <v/>
      </c>
      <c r="AW91" s="238" t="str">
        <f>IF(C91="","",IFERROR(_xlfn.XLOOKUP(AV91,HELPER!$C$8:$C$48,HELPER!$D$8:$D$48,,1),""))</f>
        <v/>
      </c>
      <c r="AX91" s="113" t="str">
        <f>IF(C91="","",IFERROR(_xlfn.XLOOKUP(AW91,HELPER!$F$8:$F$48,HELPER!$G$8:$G$48,,1),""))</f>
        <v/>
      </c>
      <c r="AY91" s="168"/>
      <c r="AZ91" s="148"/>
    </row>
    <row r="92" spans="1:52" ht="15" customHeight="1" x14ac:dyDescent="0.25">
      <c r="A92" s="168"/>
      <c r="B92" s="111">
        <v>23</v>
      </c>
      <c r="C92" s="346" t="str">
        <f>IF('INPUT DATA'!N33="","",'INPUT DATA'!N33)</f>
        <v/>
      </c>
      <c r="D92" s="347"/>
      <c r="E92" s="347"/>
      <c r="F92" s="200"/>
      <c r="G92" s="201"/>
      <c r="H92" s="201"/>
      <c r="I92" s="201"/>
      <c r="J92" s="202"/>
      <c r="K92" s="194" t="str">
        <f t="shared" si="32"/>
        <v/>
      </c>
      <c r="L92" s="170" t="str">
        <f t="shared" si="33"/>
        <v/>
      </c>
      <c r="M92" s="188" t="str">
        <f t="shared" si="34"/>
        <v/>
      </c>
      <c r="N92" s="105"/>
      <c r="O92" s="106"/>
      <c r="P92" s="106"/>
      <c r="Q92" s="106"/>
      <c r="R92" s="107"/>
      <c r="S92" s="217" t="str">
        <f t="shared" si="21"/>
        <v/>
      </c>
      <c r="T92" s="91" t="str">
        <f t="shared" si="22"/>
        <v/>
      </c>
      <c r="U92" s="218" t="str">
        <f t="shared" si="23"/>
        <v/>
      </c>
      <c r="V92" s="230"/>
      <c r="W92" s="226"/>
      <c r="X92" s="231"/>
      <c r="Y92" s="194" t="str">
        <f t="shared" si="35"/>
        <v/>
      </c>
      <c r="Z92" s="170" t="str">
        <f t="shared" si="36"/>
        <v/>
      </c>
      <c r="AA92" s="188" t="str">
        <f t="shared" si="37"/>
        <v/>
      </c>
      <c r="AB92" s="230"/>
      <c r="AC92" s="226"/>
      <c r="AD92" s="231"/>
      <c r="AE92" s="194" t="str">
        <f t="shared" si="38"/>
        <v/>
      </c>
      <c r="AF92" s="170" t="str">
        <f t="shared" si="39"/>
        <v/>
      </c>
      <c r="AG92" s="188" t="str">
        <f t="shared" si="40"/>
        <v/>
      </c>
      <c r="AH92" s="105"/>
      <c r="AI92" s="106"/>
      <c r="AJ92" s="107"/>
      <c r="AK92" s="90" t="str">
        <f t="shared" si="24"/>
        <v/>
      </c>
      <c r="AL92" s="91" t="str">
        <f t="shared" si="25"/>
        <v/>
      </c>
      <c r="AM92" s="93" t="str">
        <f t="shared" si="26"/>
        <v/>
      </c>
      <c r="AN92" s="162"/>
      <c r="AO92" s="107"/>
      <c r="AP92" s="163"/>
      <c r="AQ92" s="157" t="str">
        <f t="shared" si="27"/>
        <v/>
      </c>
      <c r="AR92" s="91" t="str">
        <f t="shared" si="28"/>
        <v/>
      </c>
      <c r="AS92" s="93" t="str">
        <f t="shared" si="29"/>
        <v/>
      </c>
      <c r="AT92" s="90" t="str">
        <f t="shared" si="30"/>
        <v/>
      </c>
      <c r="AU92" s="93" t="str">
        <f t="shared" si="31"/>
        <v/>
      </c>
      <c r="AV92" s="241" t="str">
        <f t="shared" si="41"/>
        <v/>
      </c>
      <c r="AW92" s="238" t="str">
        <f>IF(C92="","",IFERROR(_xlfn.XLOOKUP(AV92,HELPER!$C$8:$C$48,HELPER!$D$8:$D$48,,1),""))</f>
        <v/>
      </c>
      <c r="AX92" s="113" t="str">
        <f>IF(C92="","",IFERROR(_xlfn.XLOOKUP(AW92,HELPER!$F$8:$F$48,HELPER!$G$8:$G$48,,1),""))</f>
        <v/>
      </c>
      <c r="AY92" s="168"/>
      <c r="AZ92" s="148"/>
    </row>
    <row r="93" spans="1:52" ht="15" customHeight="1" x14ac:dyDescent="0.25">
      <c r="A93" s="168"/>
      <c r="B93" s="111">
        <v>24</v>
      </c>
      <c r="C93" s="346" t="str">
        <f>IF('INPUT DATA'!N34="","",'INPUT DATA'!N34)</f>
        <v/>
      </c>
      <c r="D93" s="347"/>
      <c r="E93" s="347"/>
      <c r="F93" s="200"/>
      <c r="G93" s="201"/>
      <c r="H93" s="201"/>
      <c r="I93" s="201"/>
      <c r="J93" s="202"/>
      <c r="K93" s="194" t="str">
        <f t="shared" si="32"/>
        <v/>
      </c>
      <c r="L93" s="170" t="str">
        <f t="shared" si="33"/>
        <v/>
      </c>
      <c r="M93" s="188" t="str">
        <f t="shared" si="34"/>
        <v/>
      </c>
      <c r="N93" s="105"/>
      <c r="O93" s="106"/>
      <c r="P93" s="106"/>
      <c r="Q93" s="106"/>
      <c r="R93" s="107"/>
      <c r="S93" s="217" t="str">
        <f t="shared" si="21"/>
        <v/>
      </c>
      <c r="T93" s="91" t="str">
        <f t="shared" si="22"/>
        <v/>
      </c>
      <c r="U93" s="218" t="str">
        <f t="shared" si="23"/>
        <v/>
      </c>
      <c r="V93" s="230"/>
      <c r="W93" s="226"/>
      <c r="X93" s="231"/>
      <c r="Y93" s="194" t="str">
        <f t="shared" si="35"/>
        <v/>
      </c>
      <c r="Z93" s="170" t="str">
        <f t="shared" si="36"/>
        <v/>
      </c>
      <c r="AA93" s="188" t="str">
        <f t="shared" si="37"/>
        <v/>
      </c>
      <c r="AB93" s="230"/>
      <c r="AC93" s="226"/>
      <c r="AD93" s="231"/>
      <c r="AE93" s="194" t="str">
        <f t="shared" si="38"/>
        <v/>
      </c>
      <c r="AF93" s="170" t="str">
        <f t="shared" si="39"/>
        <v/>
      </c>
      <c r="AG93" s="188" t="str">
        <f t="shared" si="40"/>
        <v/>
      </c>
      <c r="AH93" s="105"/>
      <c r="AI93" s="106"/>
      <c r="AJ93" s="107"/>
      <c r="AK93" s="90" t="str">
        <f t="shared" si="24"/>
        <v/>
      </c>
      <c r="AL93" s="91" t="str">
        <f t="shared" si="25"/>
        <v/>
      </c>
      <c r="AM93" s="93" t="str">
        <f t="shared" si="26"/>
        <v/>
      </c>
      <c r="AN93" s="162"/>
      <c r="AO93" s="107"/>
      <c r="AP93" s="163"/>
      <c r="AQ93" s="157" t="str">
        <f t="shared" si="27"/>
        <v/>
      </c>
      <c r="AR93" s="91" t="str">
        <f t="shared" si="28"/>
        <v/>
      </c>
      <c r="AS93" s="93" t="str">
        <f t="shared" si="29"/>
        <v/>
      </c>
      <c r="AT93" s="90" t="str">
        <f t="shared" si="30"/>
        <v/>
      </c>
      <c r="AU93" s="93" t="str">
        <f t="shared" si="31"/>
        <v/>
      </c>
      <c r="AV93" s="241" t="str">
        <f t="shared" si="41"/>
        <v/>
      </c>
      <c r="AW93" s="238" t="str">
        <f>IF(C93="","",IFERROR(_xlfn.XLOOKUP(AV93,HELPER!$C$8:$C$48,HELPER!$D$8:$D$48,,1),""))</f>
        <v/>
      </c>
      <c r="AX93" s="113" t="str">
        <f>IF(C93="","",IFERROR(_xlfn.XLOOKUP(AW93,HELPER!$F$8:$F$48,HELPER!$G$8:$G$48,,1),""))</f>
        <v/>
      </c>
      <c r="AY93" s="168"/>
      <c r="AZ93" s="148"/>
    </row>
    <row r="94" spans="1:52" ht="15" customHeight="1" x14ac:dyDescent="0.25">
      <c r="A94" s="168"/>
      <c r="B94" s="111">
        <v>25</v>
      </c>
      <c r="C94" s="346" t="str">
        <f>IF('INPUT DATA'!N35="","",'INPUT DATA'!N35)</f>
        <v/>
      </c>
      <c r="D94" s="347"/>
      <c r="E94" s="347"/>
      <c r="F94" s="200"/>
      <c r="G94" s="201"/>
      <c r="H94" s="201"/>
      <c r="I94" s="201"/>
      <c r="J94" s="202"/>
      <c r="K94" s="194" t="str">
        <f t="shared" si="32"/>
        <v/>
      </c>
      <c r="L94" s="170" t="str">
        <f t="shared" si="33"/>
        <v/>
      </c>
      <c r="M94" s="188" t="str">
        <f t="shared" si="34"/>
        <v/>
      </c>
      <c r="N94" s="105"/>
      <c r="O94" s="106"/>
      <c r="P94" s="106"/>
      <c r="Q94" s="106"/>
      <c r="R94" s="107"/>
      <c r="S94" s="217" t="str">
        <f t="shared" si="21"/>
        <v/>
      </c>
      <c r="T94" s="91" t="str">
        <f t="shared" si="22"/>
        <v/>
      </c>
      <c r="U94" s="218" t="str">
        <f t="shared" si="23"/>
        <v/>
      </c>
      <c r="V94" s="230"/>
      <c r="W94" s="226"/>
      <c r="X94" s="231"/>
      <c r="Y94" s="194" t="str">
        <f t="shared" si="35"/>
        <v/>
      </c>
      <c r="Z94" s="170" t="str">
        <f t="shared" si="36"/>
        <v/>
      </c>
      <c r="AA94" s="188" t="str">
        <f t="shared" si="37"/>
        <v/>
      </c>
      <c r="AB94" s="230"/>
      <c r="AC94" s="226"/>
      <c r="AD94" s="231"/>
      <c r="AE94" s="194" t="str">
        <f t="shared" si="38"/>
        <v/>
      </c>
      <c r="AF94" s="170" t="str">
        <f t="shared" si="39"/>
        <v/>
      </c>
      <c r="AG94" s="188" t="str">
        <f t="shared" si="40"/>
        <v/>
      </c>
      <c r="AH94" s="105"/>
      <c r="AI94" s="106"/>
      <c r="AJ94" s="107"/>
      <c r="AK94" s="90" t="str">
        <f t="shared" si="24"/>
        <v/>
      </c>
      <c r="AL94" s="91" t="str">
        <f t="shared" si="25"/>
        <v/>
      </c>
      <c r="AM94" s="93" t="str">
        <f t="shared" si="26"/>
        <v/>
      </c>
      <c r="AN94" s="162"/>
      <c r="AO94" s="107"/>
      <c r="AP94" s="163"/>
      <c r="AQ94" s="157" t="str">
        <f t="shared" si="27"/>
        <v/>
      </c>
      <c r="AR94" s="91" t="str">
        <f t="shared" si="28"/>
        <v/>
      </c>
      <c r="AS94" s="93" t="str">
        <f t="shared" si="29"/>
        <v/>
      </c>
      <c r="AT94" s="90" t="str">
        <f t="shared" si="30"/>
        <v/>
      </c>
      <c r="AU94" s="93" t="str">
        <f t="shared" si="31"/>
        <v/>
      </c>
      <c r="AV94" s="241" t="str">
        <f t="shared" si="41"/>
        <v/>
      </c>
      <c r="AW94" s="238" t="str">
        <f>IF(C94="","",IFERROR(_xlfn.XLOOKUP(AV94,HELPER!$C$8:$C$48,HELPER!$D$8:$D$48,,1),""))</f>
        <v/>
      </c>
      <c r="AX94" s="113" t="str">
        <f>IF(C94="","",IFERROR(_xlfn.XLOOKUP(AW94,HELPER!$F$8:$F$48,HELPER!$G$8:$G$48,,1),""))</f>
        <v/>
      </c>
      <c r="AY94" s="168"/>
      <c r="AZ94" s="148"/>
    </row>
    <row r="95" spans="1:52" ht="15" customHeight="1" x14ac:dyDescent="0.25">
      <c r="A95" s="168"/>
      <c r="B95" s="111">
        <v>26</v>
      </c>
      <c r="C95" s="346" t="str">
        <f>IF('INPUT DATA'!N36="","",'INPUT DATA'!N36)</f>
        <v/>
      </c>
      <c r="D95" s="347"/>
      <c r="E95" s="347"/>
      <c r="F95" s="200"/>
      <c r="G95" s="201"/>
      <c r="H95" s="201"/>
      <c r="I95" s="201"/>
      <c r="J95" s="202"/>
      <c r="K95" s="194" t="str">
        <f t="shared" si="32"/>
        <v/>
      </c>
      <c r="L95" s="170" t="str">
        <f t="shared" si="33"/>
        <v/>
      </c>
      <c r="M95" s="188" t="str">
        <f t="shared" si="34"/>
        <v/>
      </c>
      <c r="N95" s="105"/>
      <c r="O95" s="106"/>
      <c r="P95" s="106"/>
      <c r="Q95" s="106"/>
      <c r="R95" s="107"/>
      <c r="S95" s="217" t="str">
        <f t="shared" si="21"/>
        <v/>
      </c>
      <c r="T95" s="91" t="str">
        <f t="shared" si="22"/>
        <v/>
      </c>
      <c r="U95" s="218" t="str">
        <f t="shared" si="23"/>
        <v/>
      </c>
      <c r="V95" s="230"/>
      <c r="W95" s="226"/>
      <c r="X95" s="231"/>
      <c r="Y95" s="194" t="str">
        <f t="shared" si="35"/>
        <v/>
      </c>
      <c r="Z95" s="170" t="str">
        <f t="shared" si="36"/>
        <v/>
      </c>
      <c r="AA95" s="188" t="str">
        <f t="shared" si="37"/>
        <v/>
      </c>
      <c r="AB95" s="230"/>
      <c r="AC95" s="226"/>
      <c r="AD95" s="231"/>
      <c r="AE95" s="194" t="str">
        <f t="shared" si="38"/>
        <v/>
      </c>
      <c r="AF95" s="170" t="str">
        <f t="shared" si="39"/>
        <v/>
      </c>
      <c r="AG95" s="188" t="str">
        <f t="shared" si="40"/>
        <v/>
      </c>
      <c r="AH95" s="105"/>
      <c r="AI95" s="106"/>
      <c r="AJ95" s="107"/>
      <c r="AK95" s="90" t="str">
        <f t="shared" si="24"/>
        <v/>
      </c>
      <c r="AL95" s="91" t="str">
        <f t="shared" si="25"/>
        <v/>
      </c>
      <c r="AM95" s="93" t="str">
        <f t="shared" si="26"/>
        <v/>
      </c>
      <c r="AN95" s="162"/>
      <c r="AO95" s="107"/>
      <c r="AP95" s="163"/>
      <c r="AQ95" s="157" t="str">
        <f t="shared" si="27"/>
        <v/>
      </c>
      <c r="AR95" s="91" t="str">
        <f t="shared" si="28"/>
        <v/>
      </c>
      <c r="AS95" s="93" t="str">
        <f t="shared" si="29"/>
        <v/>
      </c>
      <c r="AT95" s="90" t="str">
        <f t="shared" si="30"/>
        <v/>
      </c>
      <c r="AU95" s="93" t="str">
        <f t="shared" si="31"/>
        <v/>
      </c>
      <c r="AV95" s="241" t="str">
        <f t="shared" si="41"/>
        <v/>
      </c>
      <c r="AW95" s="238" t="str">
        <f>IF(C95="","",IFERROR(_xlfn.XLOOKUP(AV95,HELPER!$C$8:$C$48,HELPER!$D$8:$D$48,,1),""))</f>
        <v/>
      </c>
      <c r="AX95" s="113" t="str">
        <f>IF(C95="","",IFERROR(_xlfn.XLOOKUP(AW95,HELPER!$F$8:$F$48,HELPER!$G$8:$G$48,,1),""))</f>
        <v/>
      </c>
      <c r="AY95" s="168"/>
      <c r="AZ95" s="148"/>
    </row>
    <row r="96" spans="1:52" ht="15" customHeight="1" x14ac:dyDescent="0.25">
      <c r="A96" s="168"/>
      <c r="B96" s="111">
        <v>27</v>
      </c>
      <c r="C96" s="346" t="str">
        <f>IF('INPUT DATA'!N37="","",'INPUT DATA'!N37)</f>
        <v/>
      </c>
      <c r="D96" s="347"/>
      <c r="E96" s="347"/>
      <c r="F96" s="200"/>
      <c r="G96" s="201"/>
      <c r="H96" s="201"/>
      <c r="I96" s="201"/>
      <c r="J96" s="202"/>
      <c r="K96" s="194" t="str">
        <f t="shared" si="32"/>
        <v/>
      </c>
      <c r="L96" s="170" t="str">
        <f t="shared" si="33"/>
        <v/>
      </c>
      <c r="M96" s="188" t="str">
        <f t="shared" si="34"/>
        <v/>
      </c>
      <c r="N96" s="105"/>
      <c r="O96" s="106"/>
      <c r="P96" s="106"/>
      <c r="Q96" s="106"/>
      <c r="R96" s="107"/>
      <c r="S96" s="217" t="str">
        <f t="shared" si="21"/>
        <v/>
      </c>
      <c r="T96" s="91" t="str">
        <f t="shared" si="22"/>
        <v/>
      </c>
      <c r="U96" s="218" t="str">
        <f t="shared" si="23"/>
        <v/>
      </c>
      <c r="V96" s="230"/>
      <c r="W96" s="226"/>
      <c r="X96" s="231"/>
      <c r="Y96" s="194" t="str">
        <f t="shared" si="35"/>
        <v/>
      </c>
      <c r="Z96" s="170" t="str">
        <f t="shared" si="36"/>
        <v/>
      </c>
      <c r="AA96" s="188" t="str">
        <f t="shared" si="37"/>
        <v/>
      </c>
      <c r="AB96" s="230"/>
      <c r="AC96" s="226"/>
      <c r="AD96" s="231"/>
      <c r="AE96" s="194" t="str">
        <f t="shared" si="38"/>
        <v/>
      </c>
      <c r="AF96" s="170" t="str">
        <f t="shared" si="39"/>
        <v/>
      </c>
      <c r="AG96" s="188" t="str">
        <f t="shared" si="40"/>
        <v/>
      </c>
      <c r="AH96" s="105"/>
      <c r="AI96" s="106"/>
      <c r="AJ96" s="107"/>
      <c r="AK96" s="90" t="str">
        <f t="shared" si="24"/>
        <v/>
      </c>
      <c r="AL96" s="91" t="str">
        <f t="shared" si="25"/>
        <v/>
      </c>
      <c r="AM96" s="93" t="str">
        <f t="shared" si="26"/>
        <v/>
      </c>
      <c r="AN96" s="162"/>
      <c r="AO96" s="107"/>
      <c r="AP96" s="163"/>
      <c r="AQ96" s="157" t="str">
        <f t="shared" si="27"/>
        <v/>
      </c>
      <c r="AR96" s="91" t="str">
        <f t="shared" si="28"/>
        <v/>
      </c>
      <c r="AS96" s="93" t="str">
        <f t="shared" si="29"/>
        <v/>
      </c>
      <c r="AT96" s="90" t="str">
        <f t="shared" si="30"/>
        <v/>
      </c>
      <c r="AU96" s="93" t="str">
        <f t="shared" si="31"/>
        <v/>
      </c>
      <c r="AV96" s="241" t="str">
        <f t="shared" si="41"/>
        <v/>
      </c>
      <c r="AW96" s="238" t="str">
        <f>IF(C96="","",IFERROR(_xlfn.XLOOKUP(AV96,HELPER!$C$8:$C$48,HELPER!$D$8:$D$48,,1),""))</f>
        <v/>
      </c>
      <c r="AX96" s="113" t="str">
        <f>IF(C96="","",IFERROR(_xlfn.XLOOKUP(AW96,HELPER!$F$8:$F$48,HELPER!$G$8:$G$48,,1),""))</f>
        <v/>
      </c>
      <c r="AY96" s="168"/>
      <c r="AZ96" s="148"/>
    </row>
    <row r="97" spans="1:52" ht="15" customHeight="1" x14ac:dyDescent="0.25">
      <c r="A97" s="168"/>
      <c r="B97" s="111">
        <v>28</v>
      </c>
      <c r="C97" s="346" t="str">
        <f>IF('INPUT DATA'!N38="","",'INPUT DATA'!N38)</f>
        <v/>
      </c>
      <c r="D97" s="347"/>
      <c r="E97" s="347"/>
      <c r="F97" s="200"/>
      <c r="G97" s="201"/>
      <c r="H97" s="201"/>
      <c r="I97" s="201"/>
      <c r="J97" s="202"/>
      <c r="K97" s="194" t="str">
        <f t="shared" si="32"/>
        <v/>
      </c>
      <c r="L97" s="170" t="str">
        <f t="shared" si="33"/>
        <v/>
      </c>
      <c r="M97" s="188" t="str">
        <f t="shared" si="34"/>
        <v/>
      </c>
      <c r="N97" s="105"/>
      <c r="O97" s="106"/>
      <c r="P97" s="106"/>
      <c r="Q97" s="106"/>
      <c r="R97" s="107"/>
      <c r="S97" s="217" t="str">
        <f t="shared" si="21"/>
        <v/>
      </c>
      <c r="T97" s="91" t="str">
        <f t="shared" si="22"/>
        <v/>
      </c>
      <c r="U97" s="218" t="str">
        <f t="shared" si="23"/>
        <v/>
      </c>
      <c r="V97" s="230"/>
      <c r="W97" s="226"/>
      <c r="X97" s="231"/>
      <c r="Y97" s="194" t="str">
        <f t="shared" si="35"/>
        <v/>
      </c>
      <c r="Z97" s="170" t="str">
        <f t="shared" si="36"/>
        <v/>
      </c>
      <c r="AA97" s="188" t="str">
        <f t="shared" si="37"/>
        <v/>
      </c>
      <c r="AB97" s="230"/>
      <c r="AC97" s="226"/>
      <c r="AD97" s="231"/>
      <c r="AE97" s="194" t="str">
        <f t="shared" si="38"/>
        <v/>
      </c>
      <c r="AF97" s="170" t="str">
        <f t="shared" si="39"/>
        <v/>
      </c>
      <c r="AG97" s="188" t="str">
        <f t="shared" si="40"/>
        <v/>
      </c>
      <c r="AH97" s="105"/>
      <c r="AI97" s="106"/>
      <c r="AJ97" s="107"/>
      <c r="AK97" s="90" t="str">
        <f t="shared" si="24"/>
        <v/>
      </c>
      <c r="AL97" s="91" t="str">
        <f t="shared" si="25"/>
        <v/>
      </c>
      <c r="AM97" s="93" t="str">
        <f t="shared" si="26"/>
        <v/>
      </c>
      <c r="AN97" s="162"/>
      <c r="AO97" s="107"/>
      <c r="AP97" s="163"/>
      <c r="AQ97" s="157" t="str">
        <f t="shared" si="27"/>
        <v/>
      </c>
      <c r="AR97" s="91" t="str">
        <f t="shared" si="28"/>
        <v/>
      </c>
      <c r="AS97" s="93" t="str">
        <f t="shared" si="29"/>
        <v/>
      </c>
      <c r="AT97" s="90" t="str">
        <f t="shared" si="30"/>
        <v/>
      </c>
      <c r="AU97" s="93" t="str">
        <f t="shared" si="31"/>
        <v/>
      </c>
      <c r="AV97" s="241" t="str">
        <f t="shared" si="41"/>
        <v/>
      </c>
      <c r="AW97" s="238" t="str">
        <f>IF(C97="","",IFERROR(_xlfn.XLOOKUP(AV97,HELPER!$C$8:$C$48,HELPER!$D$8:$D$48,,1),""))</f>
        <v/>
      </c>
      <c r="AX97" s="113" t="str">
        <f>IF(C97="","",IFERROR(_xlfn.XLOOKUP(AW97,HELPER!$F$8:$F$48,HELPER!$G$8:$G$48,,1),""))</f>
        <v/>
      </c>
      <c r="AY97" s="168"/>
      <c r="AZ97" s="148"/>
    </row>
    <row r="98" spans="1:52" ht="15" customHeight="1" x14ac:dyDescent="0.25">
      <c r="A98" s="168"/>
      <c r="B98" s="111">
        <v>29</v>
      </c>
      <c r="C98" s="346" t="str">
        <f>IF('INPUT DATA'!N39="","",'INPUT DATA'!N39)</f>
        <v/>
      </c>
      <c r="D98" s="347"/>
      <c r="E98" s="347"/>
      <c r="F98" s="200"/>
      <c r="G98" s="201"/>
      <c r="H98" s="201"/>
      <c r="I98" s="201"/>
      <c r="J98" s="202"/>
      <c r="K98" s="194" t="str">
        <f t="shared" si="32"/>
        <v/>
      </c>
      <c r="L98" s="170" t="str">
        <f t="shared" si="33"/>
        <v/>
      </c>
      <c r="M98" s="188" t="str">
        <f t="shared" si="34"/>
        <v/>
      </c>
      <c r="N98" s="105"/>
      <c r="O98" s="106"/>
      <c r="P98" s="106"/>
      <c r="Q98" s="106"/>
      <c r="R98" s="107"/>
      <c r="S98" s="217" t="str">
        <f t="shared" si="21"/>
        <v/>
      </c>
      <c r="T98" s="91" t="str">
        <f t="shared" si="22"/>
        <v/>
      </c>
      <c r="U98" s="218" t="str">
        <f t="shared" si="23"/>
        <v/>
      </c>
      <c r="V98" s="230"/>
      <c r="W98" s="226"/>
      <c r="X98" s="231"/>
      <c r="Y98" s="194" t="str">
        <f t="shared" si="35"/>
        <v/>
      </c>
      <c r="Z98" s="170" t="str">
        <f t="shared" si="36"/>
        <v/>
      </c>
      <c r="AA98" s="188" t="str">
        <f t="shared" si="37"/>
        <v/>
      </c>
      <c r="AB98" s="230"/>
      <c r="AC98" s="226"/>
      <c r="AD98" s="231"/>
      <c r="AE98" s="194" t="str">
        <f t="shared" si="38"/>
        <v/>
      </c>
      <c r="AF98" s="170" t="str">
        <f t="shared" si="39"/>
        <v/>
      </c>
      <c r="AG98" s="188" t="str">
        <f t="shared" si="40"/>
        <v/>
      </c>
      <c r="AH98" s="105"/>
      <c r="AI98" s="106"/>
      <c r="AJ98" s="107"/>
      <c r="AK98" s="90" t="str">
        <f t="shared" si="24"/>
        <v/>
      </c>
      <c r="AL98" s="91" t="str">
        <f t="shared" si="25"/>
        <v/>
      </c>
      <c r="AM98" s="93" t="str">
        <f t="shared" si="26"/>
        <v/>
      </c>
      <c r="AN98" s="162"/>
      <c r="AO98" s="107"/>
      <c r="AP98" s="163"/>
      <c r="AQ98" s="157" t="str">
        <f t="shared" si="27"/>
        <v/>
      </c>
      <c r="AR98" s="91" t="str">
        <f t="shared" si="28"/>
        <v/>
      </c>
      <c r="AS98" s="93" t="str">
        <f t="shared" si="29"/>
        <v/>
      </c>
      <c r="AT98" s="90" t="str">
        <f t="shared" si="30"/>
        <v/>
      </c>
      <c r="AU98" s="93" t="str">
        <f t="shared" si="31"/>
        <v/>
      </c>
      <c r="AV98" s="241" t="str">
        <f t="shared" si="41"/>
        <v/>
      </c>
      <c r="AW98" s="238" t="str">
        <f>IF(C98="","",IFERROR(_xlfn.XLOOKUP(AV98,HELPER!$C$8:$C$48,HELPER!$D$8:$D$48,,1),""))</f>
        <v/>
      </c>
      <c r="AX98" s="113" t="str">
        <f>IF(C98="","",IFERROR(_xlfn.XLOOKUP(AW98,HELPER!$F$8:$F$48,HELPER!$G$8:$G$48,,1),""))</f>
        <v/>
      </c>
      <c r="AY98" s="168"/>
      <c r="AZ98" s="148"/>
    </row>
    <row r="99" spans="1:52" ht="15" customHeight="1" x14ac:dyDescent="0.25">
      <c r="A99" s="168"/>
      <c r="B99" s="111">
        <v>30</v>
      </c>
      <c r="C99" s="346" t="str">
        <f>IF('INPUT DATA'!N40="","",'INPUT DATA'!N40)</f>
        <v/>
      </c>
      <c r="D99" s="347"/>
      <c r="E99" s="347"/>
      <c r="F99" s="200"/>
      <c r="G99" s="201"/>
      <c r="H99" s="201"/>
      <c r="I99" s="201"/>
      <c r="J99" s="202"/>
      <c r="K99" s="194" t="str">
        <f t="shared" si="32"/>
        <v/>
      </c>
      <c r="L99" s="170" t="str">
        <f t="shared" si="33"/>
        <v/>
      </c>
      <c r="M99" s="188" t="str">
        <f t="shared" si="34"/>
        <v/>
      </c>
      <c r="N99" s="105"/>
      <c r="O99" s="106"/>
      <c r="P99" s="106"/>
      <c r="Q99" s="106"/>
      <c r="R99" s="107"/>
      <c r="S99" s="217" t="str">
        <f t="shared" si="21"/>
        <v/>
      </c>
      <c r="T99" s="91" t="str">
        <f t="shared" si="22"/>
        <v/>
      </c>
      <c r="U99" s="218" t="str">
        <f t="shared" si="23"/>
        <v/>
      </c>
      <c r="V99" s="230"/>
      <c r="W99" s="226"/>
      <c r="X99" s="231"/>
      <c r="Y99" s="194" t="str">
        <f t="shared" si="35"/>
        <v/>
      </c>
      <c r="Z99" s="170" t="str">
        <f t="shared" si="36"/>
        <v/>
      </c>
      <c r="AA99" s="188" t="str">
        <f t="shared" si="37"/>
        <v/>
      </c>
      <c r="AB99" s="230"/>
      <c r="AC99" s="226"/>
      <c r="AD99" s="231"/>
      <c r="AE99" s="194" t="str">
        <f t="shared" si="38"/>
        <v/>
      </c>
      <c r="AF99" s="170" t="str">
        <f t="shared" si="39"/>
        <v/>
      </c>
      <c r="AG99" s="188" t="str">
        <f t="shared" si="40"/>
        <v/>
      </c>
      <c r="AH99" s="105"/>
      <c r="AI99" s="106"/>
      <c r="AJ99" s="107"/>
      <c r="AK99" s="90" t="str">
        <f t="shared" si="24"/>
        <v/>
      </c>
      <c r="AL99" s="91" t="str">
        <f t="shared" si="25"/>
        <v/>
      </c>
      <c r="AM99" s="93" t="str">
        <f t="shared" si="26"/>
        <v/>
      </c>
      <c r="AN99" s="162"/>
      <c r="AO99" s="107"/>
      <c r="AP99" s="163"/>
      <c r="AQ99" s="157" t="str">
        <f t="shared" si="27"/>
        <v/>
      </c>
      <c r="AR99" s="91" t="str">
        <f t="shared" si="28"/>
        <v/>
      </c>
      <c r="AS99" s="93" t="str">
        <f t="shared" si="29"/>
        <v/>
      </c>
      <c r="AT99" s="90" t="str">
        <f t="shared" si="30"/>
        <v/>
      </c>
      <c r="AU99" s="93" t="str">
        <f t="shared" si="31"/>
        <v/>
      </c>
      <c r="AV99" s="241" t="str">
        <f t="shared" si="41"/>
        <v/>
      </c>
      <c r="AW99" s="238" t="str">
        <f>IF(C99="","",IFERROR(_xlfn.XLOOKUP(AV99,HELPER!$C$8:$C$48,HELPER!$D$8:$D$48,,1),""))</f>
        <v/>
      </c>
      <c r="AX99" s="113" t="str">
        <f>IF(C99="","",IFERROR(_xlfn.XLOOKUP(AW99,HELPER!$F$8:$F$48,HELPER!$G$8:$G$48,,1),""))</f>
        <v/>
      </c>
      <c r="AY99" s="168"/>
      <c r="AZ99" s="148"/>
    </row>
    <row r="100" spans="1:52" ht="15" customHeight="1" x14ac:dyDescent="0.25">
      <c r="A100" s="168"/>
      <c r="B100" s="111">
        <v>31</v>
      </c>
      <c r="C100" s="346" t="str">
        <f>IF('INPUT DATA'!N41="","",'INPUT DATA'!N41)</f>
        <v/>
      </c>
      <c r="D100" s="347"/>
      <c r="E100" s="347"/>
      <c r="F100" s="200"/>
      <c r="G100" s="201"/>
      <c r="H100" s="201"/>
      <c r="I100" s="201"/>
      <c r="J100" s="202"/>
      <c r="K100" s="194" t="str">
        <f t="shared" si="32"/>
        <v/>
      </c>
      <c r="L100" s="170" t="str">
        <f t="shared" si="33"/>
        <v/>
      </c>
      <c r="M100" s="188" t="str">
        <f t="shared" si="34"/>
        <v/>
      </c>
      <c r="N100" s="105"/>
      <c r="O100" s="106"/>
      <c r="P100" s="106"/>
      <c r="Q100" s="106"/>
      <c r="R100" s="107"/>
      <c r="S100" s="217" t="str">
        <f t="shared" si="21"/>
        <v/>
      </c>
      <c r="T100" s="91" t="str">
        <f t="shared" si="22"/>
        <v/>
      </c>
      <c r="U100" s="218" t="str">
        <f t="shared" si="23"/>
        <v/>
      </c>
      <c r="V100" s="230"/>
      <c r="W100" s="226"/>
      <c r="X100" s="231"/>
      <c r="Y100" s="194" t="str">
        <f t="shared" si="35"/>
        <v/>
      </c>
      <c r="Z100" s="170" t="str">
        <f t="shared" si="36"/>
        <v/>
      </c>
      <c r="AA100" s="188" t="str">
        <f t="shared" si="37"/>
        <v/>
      </c>
      <c r="AB100" s="230"/>
      <c r="AC100" s="226"/>
      <c r="AD100" s="231"/>
      <c r="AE100" s="194" t="str">
        <f t="shared" si="38"/>
        <v/>
      </c>
      <c r="AF100" s="170" t="str">
        <f t="shared" si="39"/>
        <v/>
      </c>
      <c r="AG100" s="188" t="str">
        <f t="shared" si="40"/>
        <v/>
      </c>
      <c r="AH100" s="105"/>
      <c r="AI100" s="106"/>
      <c r="AJ100" s="107"/>
      <c r="AK100" s="90" t="str">
        <f t="shared" si="24"/>
        <v/>
      </c>
      <c r="AL100" s="91" t="str">
        <f t="shared" si="25"/>
        <v/>
      </c>
      <c r="AM100" s="93" t="str">
        <f t="shared" si="26"/>
        <v/>
      </c>
      <c r="AN100" s="162"/>
      <c r="AO100" s="107"/>
      <c r="AP100" s="163"/>
      <c r="AQ100" s="157" t="str">
        <f t="shared" si="27"/>
        <v/>
      </c>
      <c r="AR100" s="91" t="str">
        <f t="shared" si="28"/>
        <v/>
      </c>
      <c r="AS100" s="93" t="str">
        <f t="shared" si="29"/>
        <v/>
      </c>
      <c r="AT100" s="90" t="str">
        <f t="shared" si="30"/>
        <v/>
      </c>
      <c r="AU100" s="93" t="str">
        <f t="shared" si="31"/>
        <v/>
      </c>
      <c r="AV100" s="241" t="str">
        <f t="shared" si="41"/>
        <v/>
      </c>
      <c r="AW100" s="238" t="str">
        <f>IF(C100="","",IFERROR(_xlfn.XLOOKUP(AV100,HELPER!$C$8:$C$48,HELPER!$D$8:$D$48,,1),""))</f>
        <v/>
      </c>
      <c r="AX100" s="113" t="str">
        <f>IF(C100="","",IFERROR(_xlfn.XLOOKUP(AW100,HELPER!$F$8:$F$48,HELPER!$G$8:$G$48,,1),""))</f>
        <v/>
      </c>
      <c r="AY100" s="168"/>
      <c r="AZ100" s="148"/>
    </row>
    <row r="101" spans="1:52" ht="15" customHeight="1" x14ac:dyDescent="0.25">
      <c r="A101" s="168"/>
      <c r="B101" s="111">
        <v>32</v>
      </c>
      <c r="C101" s="346" t="str">
        <f>IF('INPUT DATA'!N42="","",'INPUT DATA'!N42)</f>
        <v/>
      </c>
      <c r="D101" s="347"/>
      <c r="E101" s="347"/>
      <c r="F101" s="200"/>
      <c r="G101" s="201"/>
      <c r="H101" s="201"/>
      <c r="I101" s="201"/>
      <c r="J101" s="202"/>
      <c r="K101" s="194" t="str">
        <f t="shared" si="32"/>
        <v/>
      </c>
      <c r="L101" s="170" t="str">
        <f t="shared" si="33"/>
        <v/>
      </c>
      <c r="M101" s="188" t="str">
        <f t="shared" si="34"/>
        <v/>
      </c>
      <c r="N101" s="105"/>
      <c r="O101" s="106"/>
      <c r="P101" s="106"/>
      <c r="Q101" s="106"/>
      <c r="R101" s="107"/>
      <c r="S101" s="217" t="str">
        <f t="shared" si="21"/>
        <v/>
      </c>
      <c r="T101" s="91" t="str">
        <f t="shared" si="22"/>
        <v/>
      </c>
      <c r="U101" s="218" t="str">
        <f t="shared" si="23"/>
        <v/>
      </c>
      <c r="V101" s="230"/>
      <c r="W101" s="226"/>
      <c r="X101" s="231"/>
      <c r="Y101" s="194" t="str">
        <f t="shared" si="35"/>
        <v/>
      </c>
      <c r="Z101" s="170" t="str">
        <f t="shared" si="36"/>
        <v/>
      </c>
      <c r="AA101" s="188" t="str">
        <f t="shared" si="37"/>
        <v/>
      </c>
      <c r="AB101" s="230"/>
      <c r="AC101" s="226"/>
      <c r="AD101" s="231"/>
      <c r="AE101" s="194" t="str">
        <f t="shared" si="38"/>
        <v/>
      </c>
      <c r="AF101" s="170" t="str">
        <f t="shared" si="39"/>
        <v/>
      </c>
      <c r="AG101" s="188" t="str">
        <f t="shared" si="40"/>
        <v/>
      </c>
      <c r="AH101" s="105"/>
      <c r="AI101" s="106"/>
      <c r="AJ101" s="107"/>
      <c r="AK101" s="90" t="str">
        <f t="shared" si="24"/>
        <v/>
      </c>
      <c r="AL101" s="91" t="str">
        <f t="shared" si="25"/>
        <v/>
      </c>
      <c r="AM101" s="93" t="str">
        <f t="shared" si="26"/>
        <v/>
      </c>
      <c r="AN101" s="162"/>
      <c r="AO101" s="107"/>
      <c r="AP101" s="163"/>
      <c r="AQ101" s="157" t="str">
        <f t="shared" si="27"/>
        <v/>
      </c>
      <c r="AR101" s="91" t="str">
        <f t="shared" si="28"/>
        <v/>
      </c>
      <c r="AS101" s="93" t="str">
        <f t="shared" si="29"/>
        <v/>
      </c>
      <c r="AT101" s="90" t="str">
        <f t="shared" si="30"/>
        <v/>
      </c>
      <c r="AU101" s="93" t="str">
        <f t="shared" si="31"/>
        <v/>
      </c>
      <c r="AV101" s="241" t="str">
        <f t="shared" si="41"/>
        <v/>
      </c>
      <c r="AW101" s="238" t="str">
        <f>IF(C101="","",IFERROR(_xlfn.XLOOKUP(AV101,HELPER!$C$8:$C$48,HELPER!$D$8:$D$48,,1),""))</f>
        <v/>
      </c>
      <c r="AX101" s="113" t="str">
        <f>IF(C101="","",IFERROR(_xlfn.XLOOKUP(AW101,HELPER!$F$8:$F$48,HELPER!$G$8:$G$48,,1),""))</f>
        <v/>
      </c>
      <c r="AY101" s="168"/>
      <c r="AZ101" s="148"/>
    </row>
    <row r="102" spans="1:52" ht="15" customHeight="1" x14ac:dyDescent="0.25">
      <c r="A102" s="168"/>
      <c r="B102" s="111">
        <v>33</v>
      </c>
      <c r="C102" s="346" t="str">
        <f>IF('INPUT DATA'!N43="","",'INPUT DATA'!N43)</f>
        <v/>
      </c>
      <c r="D102" s="347"/>
      <c r="E102" s="347"/>
      <c r="F102" s="200"/>
      <c r="G102" s="201"/>
      <c r="H102" s="201"/>
      <c r="I102" s="201"/>
      <c r="J102" s="202"/>
      <c r="K102" s="194" t="str">
        <f t="shared" si="32"/>
        <v/>
      </c>
      <c r="L102" s="170" t="str">
        <f t="shared" si="33"/>
        <v/>
      </c>
      <c r="M102" s="188" t="str">
        <f t="shared" si="34"/>
        <v/>
      </c>
      <c r="N102" s="105"/>
      <c r="O102" s="106"/>
      <c r="P102" s="106"/>
      <c r="Q102" s="106"/>
      <c r="R102" s="107"/>
      <c r="S102" s="217" t="str">
        <f t="shared" si="21"/>
        <v/>
      </c>
      <c r="T102" s="91" t="str">
        <f t="shared" si="22"/>
        <v/>
      </c>
      <c r="U102" s="218" t="str">
        <f t="shared" si="23"/>
        <v/>
      </c>
      <c r="V102" s="230"/>
      <c r="W102" s="226"/>
      <c r="X102" s="231"/>
      <c r="Y102" s="194" t="str">
        <f t="shared" si="35"/>
        <v/>
      </c>
      <c r="Z102" s="170" t="str">
        <f t="shared" si="36"/>
        <v/>
      </c>
      <c r="AA102" s="188" t="str">
        <f t="shared" si="37"/>
        <v/>
      </c>
      <c r="AB102" s="230"/>
      <c r="AC102" s="226"/>
      <c r="AD102" s="231"/>
      <c r="AE102" s="194" t="str">
        <f t="shared" si="38"/>
        <v/>
      </c>
      <c r="AF102" s="170" t="str">
        <f t="shared" si="39"/>
        <v/>
      </c>
      <c r="AG102" s="188" t="str">
        <f t="shared" si="40"/>
        <v/>
      </c>
      <c r="AH102" s="105"/>
      <c r="AI102" s="106"/>
      <c r="AJ102" s="107"/>
      <c r="AK102" s="90" t="str">
        <f t="shared" si="24"/>
        <v/>
      </c>
      <c r="AL102" s="91" t="str">
        <f t="shared" si="25"/>
        <v/>
      </c>
      <c r="AM102" s="93" t="str">
        <f t="shared" si="26"/>
        <v/>
      </c>
      <c r="AN102" s="162"/>
      <c r="AO102" s="107"/>
      <c r="AP102" s="163"/>
      <c r="AQ102" s="157" t="str">
        <f t="shared" si="27"/>
        <v/>
      </c>
      <c r="AR102" s="91" t="str">
        <f t="shared" si="28"/>
        <v/>
      </c>
      <c r="AS102" s="93" t="str">
        <f t="shared" si="29"/>
        <v/>
      </c>
      <c r="AT102" s="90" t="str">
        <f t="shared" si="30"/>
        <v/>
      </c>
      <c r="AU102" s="93" t="str">
        <f t="shared" si="31"/>
        <v/>
      </c>
      <c r="AV102" s="241" t="str">
        <f t="shared" si="41"/>
        <v/>
      </c>
      <c r="AW102" s="238" t="str">
        <f>IF(C102="","",IFERROR(_xlfn.XLOOKUP(AV102,HELPER!$C$8:$C$48,HELPER!$D$8:$D$48,,1),""))</f>
        <v/>
      </c>
      <c r="AX102" s="113" t="str">
        <f>IF(C102="","",IFERROR(_xlfn.XLOOKUP(AW102,HELPER!$F$8:$F$48,HELPER!$G$8:$G$48,,1),""))</f>
        <v/>
      </c>
      <c r="AY102" s="168"/>
      <c r="AZ102" s="148"/>
    </row>
    <row r="103" spans="1:52" ht="15" customHeight="1" x14ac:dyDescent="0.25">
      <c r="A103" s="168"/>
      <c r="B103" s="111">
        <v>34</v>
      </c>
      <c r="C103" s="346" t="str">
        <f>IF('INPUT DATA'!N44="","",'INPUT DATA'!N44)</f>
        <v/>
      </c>
      <c r="D103" s="347"/>
      <c r="E103" s="347"/>
      <c r="F103" s="200"/>
      <c r="G103" s="201"/>
      <c r="H103" s="201"/>
      <c r="I103" s="201"/>
      <c r="J103" s="202"/>
      <c r="K103" s="194" t="str">
        <f t="shared" si="32"/>
        <v/>
      </c>
      <c r="L103" s="170" t="str">
        <f t="shared" si="33"/>
        <v/>
      </c>
      <c r="M103" s="188" t="str">
        <f t="shared" si="34"/>
        <v/>
      </c>
      <c r="N103" s="105"/>
      <c r="O103" s="106"/>
      <c r="P103" s="106"/>
      <c r="Q103" s="106"/>
      <c r="R103" s="107"/>
      <c r="S103" s="217" t="str">
        <f t="shared" si="21"/>
        <v/>
      </c>
      <c r="T103" s="91" t="str">
        <f t="shared" si="22"/>
        <v/>
      </c>
      <c r="U103" s="218" t="str">
        <f t="shared" si="23"/>
        <v/>
      </c>
      <c r="V103" s="230"/>
      <c r="W103" s="226"/>
      <c r="X103" s="231"/>
      <c r="Y103" s="194" t="str">
        <f t="shared" si="35"/>
        <v/>
      </c>
      <c r="Z103" s="170" t="str">
        <f t="shared" si="36"/>
        <v/>
      </c>
      <c r="AA103" s="188" t="str">
        <f t="shared" si="37"/>
        <v/>
      </c>
      <c r="AB103" s="230"/>
      <c r="AC103" s="226"/>
      <c r="AD103" s="231"/>
      <c r="AE103" s="194" t="str">
        <f t="shared" si="38"/>
        <v/>
      </c>
      <c r="AF103" s="170" t="str">
        <f t="shared" si="39"/>
        <v/>
      </c>
      <c r="AG103" s="188" t="str">
        <f t="shared" si="40"/>
        <v/>
      </c>
      <c r="AH103" s="105"/>
      <c r="AI103" s="106"/>
      <c r="AJ103" s="107"/>
      <c r="AK103" s="90" t="str">
        <f t="shared" si="24"/>
        <v/>
      </c>
      <c r="AL103" s="91" t="str">
        <f t="shared" si="25"/>
        <v/>
      </c>
      <c r="AM103" s="93" t="str">
        <f t="shared" si="26"/>
        <v/>
      </c>
      <c r="AN103" s="162"/>
      <c r="AO103" s="107"/>
      <c r="AP103" s="163"/>
      <c r="AQ103" s="157" t="str">
        <f t="shared" si="27"/>
        <v/>
      </c>
      <c r="AR103" s="91" t="str">
        <f t="shared" si="28"/>
        <v/>
      </c>
      <c r="AS103" s="93" t="str">
        <f t="shared" si="29"/>
        <v/>
      </c>
      <c r="AT103" s="90" t="str">
        <f t="shared" si="30"/>
        <v/>
      </c>
      <c r="AU103" s="93" t="str">
        <f t="shared" si="31"/>
        <v/>
      </c>
      <c r="AV103" s="241" t="str">
        <f t="shared" si="41"/>
        <v/>
      </c>
      <c r="AW103" s="238" t="str">
        <f>IF(C103="","",IFERROR(_xlfn.XLOOKUP(AV103,HELPER!$C$8:$C$48,HELPER!$D$8:$D$48,,1),""))</f>
        <v/>
      </c>
      <c r="AX103" s="113" t="str">
        <f>IF(C103="","",IFERROR(_xlfn.XLOOKUP(AW103,HELPER!$F$8:$F$48,HELPER!$G$8:$G$48,,1),""))</f>
        <v/>
      </c>
      <c r="AY103" s="168"/>
      <c r="AZ103" s="148"/>
    </row>
    <row r="104" spans="1:52" ht="15" customHeight="1" x14ac:dyDescent="0.25">
      <c r="A104" s="168"/>
      <c r="B104" s="111">
        <v>35</v>
      </c>
      <c r="C104" s="346" t="str">
        <f>IF('INPUT DATA'!N45="","",'INPUT DATA'!N45)</f>
        <v/>
      </c>
      <c r="D104" s="347"/>
      <c r="E104" s="347"/>
      <c r="F104" s="200"/>
      <c r="G104" s="201"/>
      <c r="H104" s="201"/>
      <c r="I104" s="201"/>
      <c r="J104" s="202"/>
      <c r="K104" s="194" t="str">
        <f t="shared" si="32"/>
        <v/>
      </c>
      <c r="L104" s="170" t="str">
        <f t="shared" si="33"/>
        <v/>
      </c>
      <c r="M104" s="188" t="str">
        <f t="shared" si="34"/>
        <v/>
      </c>
      <c r="N104" s="105"/>
      <c r="O104" s="106"/>
      <c r="P104" s="106"/>
      <c r="Q104" s="106"/>
      <c r="R104" s="107"/>
      <c r="S104" s="217" t="str">
        <f t="shared" si="21"/>
        <v/>
      </c>
      <c r="T104" s="91" t="str">
        <f t="shared" si="22"/>
        <v/>
      </c>
      <c r="U104" s="218" t="str">
        <f t="shared" si="23"/>
        <v/>
      </c>
      <c r="V104" s="230"/>
      <c r="W104" s="226"/>
      <c r="X104" s="231"/>
      <c r="Y104" s="194" t="str">
        <f t="shared" si="35"/>
        <v/>
      </c>
      <c r="Z104" s="170" t="str">
        <f t="shared" si="36"/>
        <v/>
      </c>
      <c r="AA104" s="188" t="str">
        <f t="shared" si="37"/>
        <v/>
      </c>
      <c r="AB104" s="230"/>
      <c r="AC104" s="226"/>
      <c r="AD104" s="231"/>
      <c r="AE104" s="194" t="str">
        <f t="shared" si="38"/>
        <v/>
      </c>
      <c r="AF104" s="170" t="str">
        <f t="shared" si="39"/>
        <v/>
      </c>
      <c r="AG104" s="188" t="str">
        <f t="shared" si="40"/>
        <v/>
      </c>
      <c r="AH104" s="105"/>
      <c r="AI104" s="106"/>
      <c r="AJ104" s="107"/>
      <c r="AK104" s="90" t="str">
        <f t="shared" si="24"/>
        <v/>
      </c>
      <c r="AL104" s="91" t="str">
        <f t="shared" si="25"/>
        <v/>
      </c>
      <c r="AM104" s="93" t="str">
        <f t="shared" si="26"/>
        <v/>
      </c>
      <c r="AN104" s="162"/>
      <c r="AO104" s="107"/>
      <c r="AP104" s="163"/>
      <c r="AQ104" s="157" t="str">
        <f t="shared" si="27"/>
        <v/>
      </c>
      <c r="AR104" s="91" t="str">
        <f t="shared" si="28"/>
        <v/>
      </c>
      <c r="AS104" s="93" t="str">
        <f t="shared" si="29"/>
        <v/>
      </c>
      <c r="AT104" s="90" t="str">
        <f t="shared" si="30"/>
        <v/>
      </c>
      <c r="AU104" s="93" t="str">
        <f t="shared" si="31"/>
        <v/>
      </c>
      <c r="AV104" s="241" t="str">
        <f t="shared" si="41"/>
        <v/>
      </c>
      <c r="AW104" s="238" t="str">
        <f>IF(C104="","",IFERROR(_xlfn.XLOOKUP(AV104,HELPER!$C$8:$C$48,HELPER!$D$8:$D$48,,1),""))</f>
        <v/>
      </c>
      <c r="AX104" s="113" t="str">
        <f>IF(C104="","",IFERROR(_xlfn.XLOOKUP(AW104,HELPER!$F$8:$F$48,HELPER!$G$8:$G$48,,1),""))</f>
        <v/>
      </c>
      <c r="AY104" s="168"/>
      <c r="AZ104" s="148"/>
    </row>
    <row r="105" spans="1:52" ht="15" customHeight="1" x14ac:dyDescent="0.25">
      <c r="A105" s="168"/>
      <c r="B105" s="111">
        <v>36</v>
      </c>
      <c r="C105" s="346" t="str">
        <f>IF('INPUT DATA'!N46="","",'INPUT DATA'!N46)</f>
        <v/>
      </c>
      <c r="D105" s="347"/>
      <c r="E105" s="347"/>
      <c r="F105" s="200"/>
      <c r="G105" s="201"/>
      <c r="H105" s="201"/>
      <c r="I105" s="201"/>
      <c r="J105" s="202"/>
      <c r="K105" s="194" t="str">
        <f t="shared" si="32"/>
        <v/>
      </c>
      <c r="L105" s="170" t="str">
        <f t="shared" si="33"/>
        <v/>
      </c>
      <c r="M105" s="188" t="str">
        <f t="shared" si="34"/>
        <v/>
      </c>
      <c r="N105" s="105"/>
      <c r="O105" s="106"/>
      <c r="P105" s="106"/>
      <c r="Q105" s="106"/>
      <c r="R105" s="107"/>
      <c r="S105" s="217" t="str">
        <f t="shared" si="21"/>
        <v/>
      </c>
      <c r="T105" s="91" t="str">
        <f t="shared" si="22"/>
        <v/>
      </c>
      <c r="U105" s="218" t="str">
        <f t="shared" si="23"/>
        <v/>
      </c>
      <c r="V105" s="230"/>
      <c r="W105" s="226"/>
      <c r="X105" s="231"/>
      <c r="Y105" s="194" t="str">
        <f t="shared" si="35"/>
        <v/>
      </c>
      <c r="Z105" s="170" t="str">
        <f t="shared" si="36"/>
        <v/>
      </c>
      <c r="AA105" s="188" t="str">
        <f t="shared" si="37"/>
        <v/>
      </c>
      <c r="AB105" s="230"/>
      <c r="AC105" s="226"/>
      <c r="AD105" s="231"/>
      <c r="AE105" s="194" t="str">
        <f t="shared" si="38"/>
        <v/>
      </c>
      <c r="AF105" s="170" t="str">
        <f t="shared" si="39"/>
        <v/>
      </c>
      <c r="AG105" s="188" t="str">
        <f t="shared" si="40"/>
        <v/>
      </c>
      <c r="AH105" s="105"/>
      <c r="AI105" s="106"/>
      <c r="AJ105" s="107"/>
      <c r="AK105" s="90" t="str">
        <f t="shared" si="24"/>
        <v/>
      </c>
      <c r="AL105" s="91" t="str">
        <f t="shared" si="25"/>
        <v/>
      </c>
      <c r="AM105" s="93" t="str">
        <f t="shared" si="26"/>
        <v/>
      </c>
      <c r="AN105" s="162"/>
      <c r="AO105" s="107"/>
      <c r="AP105" s="163"/>
      <c r="AQ105" s="157" t="str">
        <f t="shared" si="27"/>
        <v/>
      </c>
      <c r="AR105" s="91" t="str">
        <f t="shared" si="28"/>
        <v/>
      </c>
      <c r="AS105" s="93" t="str">
        <f t="shared" si="29"/>
        <v/>
      </c>
      <c r="AT105" s="90" t="str">
        <f t="shared" si="30"/>
        <v/>
      </c>
      <c r="AU105" s="93" t="str">
        <f t="shared" si="31"/>
        <v/>
      </c>
      <c r="AV105" s="241" t="str">
        <f t="shared" si="41"/>
        <v/>
      </c>
      <c r="AW105" s="238" t="str">
        <f>IF(C105="","",IFERROR(_xlfn.XLOOKUP(AV105,HELPER!$C$8:$C$48,HELPER!$D$8:$D$48,,1),""))</f>
        <v/>
      </c>
      <c r="AX105" s="113" t="str">
        <f>IF(C105="","",IFERROR(_xlfn.XLOOKUP(AW105,HELPER!$F$8:$F$48,HELPER!$G$8:$G$48,,1),""))</f>
        <v/>
      </c>
      <c r="AY105" s="168"/>
      <c r="AZ105" s="148"/>
    </row>
    <row r="106" spans="1:52" ht="15" customHeight="1" x14ac:dyDescent="0.25">
      <c r="A106" s="168"/>
      <c r="B106" s="111">
        <v>37</v>
      </c>
      <c r="C106" s="346" t="str">
        <f>IF('INPUT DATA'!N47="","",'INPUT DATA'!N47)</f>
        <v/>
      </c>
      <c r="D106" s="347"/>
      <c r="E106" s="347"/>
      <c r="F106" s="200"/>
      <c r="G106" s="201"/>
      <c r="H106" s="201"/>
      <c r="I106" s="201"/>
      <c r="J106" s="202"/>
      <c r="K106" s="194" t="str">
        <f t="shared" si="32"/>
        <v/>
      </c>
      <c r="L106" s="170" t="str">
        <f t="shared" si="33"/>
        <v/>
      </c>
      <c r="M106" s="188" t="str">
        <f t="shared" si="34"/>
        <v/>
      </c>
      <c r="N106" s="105"/>
      <c r="O106" s="106"/>
      <c r="P106" s="106"/>
      <c r="Q106" s="106"/>
      <c r="R106" s="107"/>
      <c r="S106" s="217" t="str">
        <f t="shared" si="21"/>
        <v/>
      </c>
      <c r="T106" s="91" t="str">
        <f t="shared" si="22"/>
        <v/>
      </c>
      <c r="U106" s="218" t="str">
        <f t="shared" si="23"/>
        <v/>
      </c>
      <c r="V106" s="230"/>
      <c r="W106" s="226"/>
      <c r="X106" s="231"/>
      <c r="Y106" s="194" t="str">
        <f t="shared" si="35"/>
        <v/>
      </c>
      <c r="Z106" s="170" t="str">
        <f t="shared" si="36"/>
        <v/>
      </c>
      <c r="AA106" s="188" t="str">
        <f t="shared" si="37"/>
        <v/>
      </c>
      <c r="AB106" s="230"/>
      <c r="AC106" s="226"/>
      <c r="AD106" s="231"/>
      <c r="AE106" s="194" t="str">
        <f t="shared" si="38"/>
        <v/>
      </c>
      <c r="AF106" s="170" t="str">
        <f t="shared" si="39"/>
        <v/>
      </c>
      <c r="AG106" s="188" t="str">
        <f t="shared" si="40"/>
        <v/>
      </c>
      <c r="AH106" s="105"/>
      <c r="AI106" s="106"/>
      <c r="AJ106" s="107"/>
      <c r="AK106" s="90" t="str">
        <f t="shared" si="24"/>
        <v/>
      </c>
      <c r="AL106" s="91" t="str">
        <f t="shared" si="25"/>
        <v/>
      </c>
      <c r="AM106" s="93" t="str">
        <f t="shared" si="26"/>
        <v/>
      </c>
      <c r="AN106" s="162"/>
      <c r="AO106" s="107"/>
      <c r="AP106" s="163"/>
      <c r="AQ106" s="157" t="str">
        <f t="shared" si="27"/>
        <v/>
      </c>
      <c r="AR106" s="91" t="str">
        <f t="shared" si="28"/>
        <v/>
      </c>
      <c r="AS106" s="93" t="str">
        <f t="shared" si="29"/>
        <v/>
      </c>
      <c r="AT106" s="90" t="str">
        <f t="shared" si="30"/>
        <v/>
      </c>
      <c r="AU106" s="93" t="str">
        <f t="shared" si="31"/>
        <v/>
      </c>
      <c r="AV106" s="241" t="str">
        <f t="shared" si="41"/>
        <v/>
      </c>
      <c r="AW106" s="238" t="str">
        <f>IF(C106="","",IFERROR(_xlfn.XLOOKUP(AV106,HELPER!$C$8:$C$48,HELPER!$D$8:$D$48,,1),""))</f>
        <v/>
      </c>
      <c r="AX106" s="113" t="str">
        <f>IF(C106="","",IFERROR(_xlfn.XLOOKUP(AW106,HELPER!$F$8:$F$48,HELPER!$G$8:$G$48,,1),""))</f>
        <v/>
      </c>
      <c r="AY106" s="168"/>
      <c r="AZ106" s="148"/>
    </row>
    <row r="107" spans="1:52" ht="15" customHeight="1" x14ac:dyDescent="0.25">
      <c r="A107" s="168"/>
      <c r="B107" s="111">
        <v>38</v>
      </c>
      <c r="C107" s="346" t="str">
        <f>IF('INPUT DATA'!N48="","",'INPUT DATA'!N48)</f>
        <v/>
      </c>
      <c r="D107" s="347"/>
      <c r="E107" s="347"/>
      <c r="F107" s="200"/>
      <c r="G107" s="201"/>
      <c r="H107" s="201"/>
      <c r="I107" s="201"/>
      <c r="J107" s="202"/>
      <c r="K107" s="194" t="str">
        <f t="shared" si="32"/>
        <v/>
      </c>
      <c r="L107" s="170" t="str">
        <f t="shared" si="33"/>
        <v/>
      </c>
      <c r="M107" s="188" t="str">
        <f t="shared" si="34"/>
        <v/>
      </c>
      <c r="N107" s="105"/>
      <c r="O107" s="106"/>
      <c r="P107" s="106"/>
      <c r="Q107" s="106"/>
      <c r="R107" s="107"/>
      <c r="S107" s="217" t="str">
        <f t="shared" si="21"/>
        <v/>
      </c>
      <c r="T107" s="91" t="str">
        <f t="shared" si="22"/>
        <v/>
      </c>
      <c r="U107" s="218" t="str">
        <f t="shared" si="23"/>
        <v/>
      </c>
      <c r="V107" s="230"/>
      <c r="W107" s="226"/>
      <c r="X107" s="231"/>
      <c r="Y107" s="194" t="str">
        <f t="shared" si="35"/>
        <v/>
      </c>
      <c r="Z107" s="170" t="str">
        <f t="shared" si="36"/>
        <v/>
      </c>
      <c r="AA107" s="188" t="str">
        <f t="shared" si="37"/>
        <v/>
      </c>
      <c r="AB107" s="230"/>
      <c r="AC107" s="226"/>
      <c r="AD107" s="231"/>
      <c r="AE107" s="194" t="str">
        <f t="shared" si="38"/>
        <v/>
      </c>
      <c r="AF107" s="170" t="str">
        <f t="shared" si="39"/>
        <v/>
      </c>
      <c r="AG107" s="188" t="str">
        <f t="shared" si="40"/>
        <v/>
      </c>
      <c r="AH107" s="105"/>
      <c r="AI107" s="106"/>
      <c r="AJ107" s="107"/>
      <c r="AK107" s="90" t="str">
        <f t="shared" si="24"/>
        <v/>
      </c>
      <c r="AL107" s="91" t="str">
        <f t="shared" si="25"/>
        <v/>
      </c>
      <c r="AM107" s="93" t="str">
        <f t="shared" si="26"/>
        <v/>
      </c>
      <c r="AN107" s="162"/>
      <c r="AO107" s="107"/>
      <c r="AP107" s="163"/>
      <c r="AQ107" s="157" t="str">
        <f t="shared" si="27"/>
        <v/>
      </c>
      <c r="AR107" s="91" t="str">
        <f t="shared" si="28"/>
        <v/>
      </c>
      <c r="AS107" s="93" t="str">
        <f t="shared" si="29"/>
        <v/>
      </c>
      <c r="AT107" s="90" t="str">
        <f t="shared" si="30"/>
        <v/>
      </c>
      <c r="AU107" s="93" t="str">
        <f t="shared" si="31"/>
        <v/>
      </c>
      <c r="AV107" s="241" t="str">
        <f t="shared" si="41"/>
        <v/>
      </c>
      <c r="AW107" s="238" t="str">
        <f>IF(C107="","",IFERROR(_xlfn.XLOOKUP(AV107,HELPER!$C$8:$C$48,HELPER!$D$8:$D$48,,1),""))</f>
        <v/>
      </c>
      <c r="AX107" s="113" t="str">
        <f>IF(C107="","",IFERROR(_xlfn.XLOOKUP(AW107,HELPER!$F$8:$F$48,HELPER!$G$8:$G$48,,1),""))</f>
        <v/>
      </c>
      <c r="AY107" s="168"/>
      <c r="AZ107" s="148"/>
    </row>
    <row r="108" spans="1:52" ht="15" customHeight="1" x14ac:dyDescent="0.25">
      <c r="A108" s="168"/>
      <c r="B108" s="111">
        <v>39</v>
      </c>
      <c r="C108" s="346" t="str">
        <f>IF('INPUT DATA'!N49="","",'INPUT DATA'!N49)</f>
        <v/>
      </c>
      <c r="D108" s="347"/>
      <c r="E108" s="347"/>
      <c r="F108" s="200"/>
      <c r="G108" s="201"/>
      <c r="H108" s="201"/>
      <c r="I108" s="201"/>
      <c r="J108" s="202"/>
      <c r="K108" s="194" t="str">
        <f t="shared" si="32"/>
        <v/>
      </c>
      <c r="L108" s="170" t="str">
        <f t="shared" si="33"/>
        <v/>
      </c>
      <c r="M108" s="188" t="str">
        <f t="shared" si="34"/>
        <v/>
      </c>
      <c r="N108" s="105"/>
      <c r="O108" s="106"/>
      <c r="P108" s="106"/>
      <c r="Q108" s="106"/>
      <c r="R108" s="107"/>
      <c r="S108" s="217" t="str">
        <f t="shared" si="21"/>
        <v/>
      </c>
      <c r="T108" s="91" t="str">
        <f t="shared" si="22"/>
        <v/>
      </c>
      <c r="U108" s="218" t="str">
        <f t="shared" si="23"/>
        <v/>
      </c>
      <c r="V108" s="230"/>
      <c r="W108" s="226"/>
      <c r="X108" s="231"/>
      <c r="Y108" s="194" t="str">
        <f t="shared" si="35"/>
        <v/>
      </c>
      <c r="Z108" s="170" t="str">
        <f t="shared" si="36"/>
        <v/>
      </c>
      <c r="AA108" s="188" t="str">
        <f t="shared" si="37"/>
        <v/>
      </c>
      <c r="AB108" s="230"/>
      <c r="AC108" s="226"/>
      <c r="AD108" s="231"/>
      <c r="AE108" s="194" t="str">
        <f t="shared" si="38"/>
        <v/>
      </c>
      <c r="AF108" s="170" t="str">
        <f t="shared" si="39"/>
        <v/>
      </c>
      <c r="AG108" s="188" t="str">
        <f t="shared" si="40"/>
        <v/>
      </c>
      <c r="AH108" s="105"/>
      <c r="AI108" s="106"/>
      <c r="AJ108" s="107"/>
      <c r="AK108" s="90" t="str">
        <f t="shared" si="24"/>
        <v/>
      </c>
      <c r="AL108" s="91" t="str">
        <f t="shared" si="25"/>
        <v/>
      </c>
      <c r="AM108" s="93" t="str">
        <f t="shared" si="26"/>
        <v/>
      </c>
      <c r="AN108" s="162"/>
      <c r="AO108" s="107"/>
      <c r="AP108" s="163"/>
      <c r="AQ108" s="157" t="str">
        <f t="shared" si="27"/>
        <v/>
      </c>
      <c r="AR108" s="91" t="str">
        <f t="shared" si="28"/>
        <v/>
      </c>
      <c r="AS108" s="93" t="str">
        <f t="shared" si="29"/>
        <v/>
      </c>
      <c r="AT108" s="90" t="str">
        <f t="shared" si="30"/>
        <v/>
      </c>
      <c r="AU108" s="93" t="str">
        <f t="shared" si="31"/>
        <v/>
      </c>
      <c r="AV108" s="241" t="str">
        <f t="shared" si="41"/>
        <v/>
      </c>
      <c r="AW108" s="238" t="str">
        <f>IF(C108="","",IFERROR(_xlfn.XLOOKUP(AV108,HELPER!$C$8:$C$48,HELPER!$D$8:$D$48,,1),""))</f>
        <v/>
      </c>
      <c r="AX108" s="113" t="str">
        <f>IF(C108="","",IFERROR(_xlfn.XLOOKUP(AW108,HELPER!$F$8:$F$48,HELPER!$G$8:$G$48,,1),""))</f>
        <v/>
      </c>
      <c r="AY108" s="168"/>
      <c r="AZ108" s="148"/>
    </row>
    <row r="109" spans="1:52" ht="15" customHeight="1" x14ac:dyDescent="0.25">
      <c r="A109" s="168"/>
      <c r="B109" s="111">
        <v>40</v>
      </c>
      <c r="C109" s="346" t="str">
        <f>IF('INPUT DATA'!N50="","",'INPUT DATA'!N50)</f>
        <v/>
      </c>
      <c r="D109" s="347"/>
      <c r="E109" s="347"/>
      <c r="F109" s="200"/>
      <c r="G109" s="201"/>
      <c r="H109" s="201"/>
      <c r="I109" s="201"/>
      <c r="J109" s="202"/>
      <c r="K109" s="194" t="str">
        <f t="shared" si="32"/>
        <v/>
      </c>
      <c r="L109" s="170" t="str">
        <f t="shared" si="33"/>
        <v/>
      </c>
      <c r="M109" s="188" t="str">
        <f t="shared" si="34"/>
        <v/>
      </c>
      <c r="N109" s="105"/>
      <c r="O109" s="106"/>
      <c r="P109" s="106"/>
      <c r="Q109" s="106"/>
      <c r="R109" s="107"/>
      <c r="S109" s="217" t="str">
        <f t="shared" si="21"/>
        <v/>
      </c>
      <c r="T109" s="91" t="str">
        <f t="shared" si="22"/>
        <v/>
      </c>
      <c r="U109" s="218" t="str">
        <f t="shared" si="23"/>
        <v/>
      </c>
      <c r="V109" s="230"/>
      <c r="W109" s="226"/>
      <c r="X109" s="231"/>
      <c r="Y109" s="194" t="str">
        <f t="shared" si="35"/>
        <v/>
      </c>
      <c r="Z109" s="170" t="str">
        <f t="shared" si="36"/>
        <v/>
      </c>
      <c r="AA109" s="188" t="str">
        <f t="shared" si="37"/>
        <v/>
      </c>
      <c r="AB109" s="230"/>
      <c r="AC109" s="226"/>
      <c r="AD109" s="231"/>
      <c r="AE109" s="194" t="str">
        <f t="shared" si="38"/>
        <v/>
      </c>
      <c r="AF109" s="170" t="str">
        <f t="shared" si="39"/>
        <v/>
      </c>
      <c r="AG109" s="188" t="str">
        <f t="shared" si="40"/>
        <v/>
      </c>
      <c r="AH109" s="105"/>
      <c r="AI109" s="106"/>
      <c r="AJ109" s="107"/>
      <c r="AK109" s="90" t="str">
        <f t="shared" si="24"/>
        <v/>
      </c>
      <c r="AL109" s="91" t="str">
        <f t="shared" si="25"/>
        <v/>
      </c>
      <c r="AM109" s="93" t="str">
        <f t="shared" si="26"/>
        <v/>
      </c>
      <c r="AN109" s="162"/>
      <c r="AO109" s="107"/>
      <c r="AP109" s="163"/>
      <c r="AQ109" s="157" t="str">
        <f t="shared" si="27"/>
        <v/>
      </c>
      <c r="AR109" s="91" t="str">
        <f t="shared" si="28"/>
        <v/>
      </c>
      <c r="AS109" s="93" t="str">
        <f t="shared" si="29"/>
        <v/>
      </c>
      <c r="AT109" s="90" t="str">
        <f t="shared" si="30"/>
        <v/>
      </c>
      <c r="AU109" s="93" t="str">
        <f t="shared" si="31"/>
        <v/>
      </c>
      <c r="AV109" s="241" t="str">
        <f t="shared" si="41"/>
        <v/>
      </c>
      <c r="AW109" s="238" t="str">
        <f>IF(C109="","",IFERROR(_xlfn.XLOOKUP(AV109,HELPER!$C$8:$C$48,HELPER!$D$8:$D$48,,1),""))</f>
        <v/>
      </c>
      <c r="AX109" s="113" t="str">
        <f>IF(C109="","",IFERROR(_xlfn.XLOOKUP(AW109,HELPER!$F$8:$F$48,HELPER!$G$8:$G$48,,1),""))</f>
        <v/>
      </c>
      <c r="AY109" s="168"/>
      <c r="AZ109" s="148"/>
    </row>
    <row r="110" spans="1:52" ht="15" customHeight="1" x14ac:dyDescent="0.25">
      <c r="A110" s="168"/>
      <c r="B110" s="111">
        <v>41</v>
      </c>
      <c r="C110" s="346" t="str">
        <f>IF('INPUT DATA'!N51="","",'INPUT DATA'!N51)</f>
        <v/>
      </c>
      <c r="D110" s="347"/>
      <c r="E110" s="347"/>
      <c r="F110" s="200"/>
      <c r="G110" s="201"/>
      <c r="H110" s="201"/>
      <c r="I110" s="201"/>
      <c r="J110" s="202"/>
      <c r="K110" s="194" t="str">
        <f t="shared" si="32"/>
        <v/>
      </c>
      <c r="L110" s="170" t="str">
        <f t="shared" si="33"/>
        <v/>
      </c>
      <c r="M110" s="188" t="str">
        <f t="shared" si="34"/>
        <v/>
      </c>
      <c r="N110" s="105"/>
      <c r="O110" s="106"/>
      <c r="P110" s="106"/>
      <c r="Q110" s="106"/>
      <c r="R110" s="107"/>
      <c r="S110" s="217" t="str">
        <f t="shared" si="21"/>
        <v/>
      </c>
      <c r="T110" s="91" t="str">
        <f t="shared" si="22"/>
        <v/>
      </c>
      <c r="U110" s="218" t="str">
        <f t="shared" si="23"/>
        <v/>
      </c>
      <c r="V110" s="230"/>
      <c r="W110" s="226"/>
      <c r="X110" s="231"/>
      <c r="Y110" s="194" t="str">
        <f t="shared" si="35"/>
        <v/>
      </c>
      <c r="Z110" s="170" t="str">
        <f t="shared" si="36"/>
        <v/>
      </c>
      <c r="AA110" s="188" t="str">
        <f t="shared" si="37"/>
        <v/>
      </c>
      <c r="AB110" s="230"/>
      <c r="AC110" s="226"/>
      <c r="AD110" s="231"/>
      <c r="AE110" s="194" t="str">
        <f t="shared" si="38"/>
        <v/>
      </c>
      <c r="AF110" s="170" t="str">
        <f t="shared" si="39"/>
        <v/>
      </c>
      <c r="AG110" s="188" t="str">
        <f t="shared" si="40"/>
        <v/>
      </c>
      <c r="AH110" s="105"/>
      <c r="AI110" s="106"/>
      <c r="AJ110" s="107"/>
      <c r="AK110" s="90" t="str">
        <f t="shared" si="24"/>
        <v/>
      </c>
      <c r="AL110" s="91" t="str">
        <f t="shared" si="25"/>
        <v/>
      </c>
      <c r="AM110" s="93" t="str">
        <f t="shared" si="26"/>
        <v/>
      </c>
      <c r="AN110" s="162"/>
      <c r="AO110" s="107"/>
      <c r="AP110" s="163"/>
      <c r="AQ110" s="157" t="str">
        <f t="shared" si="27"/>
        <v/>
      </c>
      <c r="AR110" s="91" t="str">
        <f t="shared" si="28"/>
        <v/>
      </c>
      <c r="AS110" s="93" t="str">
        <f t="shared" si="29"/>
        <v/>
      </c>
      <c r="AT110" s="90" t="str">
        <f t="shared" si="30"/>
        <v/>
      </c>
      <c r="AU110" s="93" t="str">
        <f t="shared" si="31"/>
        <v/>
      </c>
      <c r="AV110" s="241" t="str">
        <f t="shared" si="41"/>
        <v/>
      </c>
      <c r="AW110" s="238" t="str">
        <f>IF(C110="","",IFERROR(_xlfn.XLOOKUP(AV110,HELPER!$C$8:$C$48,HELPER!$D$8:$D$48,,1),""))</f>
        <v/>
      </c>
      <c r="AX110" s="113" t="str">
        <f>IF(C110="","",IFERROR(_xlfn.XLOOKUP(AW110,HELPER!$F$8:$F$48,HELPER!$G$8:$G$48,,1),""))</f>
        <v/>
      </c>
      <c r="AY110" s="168"/>
      <c r="AZ110" s="148"/>
    </row>
    <row r="111" spans="1:52" ht="15" customHeight="1" x14ac:dyDescent="0.25">
      <c r="A111" s="168"/>
      <c r="B111" s="111">
        <v>42</v>
      </c>
      <c r="C111" s="346" t="str">
        <f>IF('INPUT DATA'!N52="","",'INPUT DATA'!N52)</f>
        <v/>
      </c>
      <c r="D111" s="347"/>
      <c r="E111" s="347"/>
      <c r="F111" s="200"/>
      <c r="G111" s="201"/>
      <c r="H111" s="201"/>
      <c r="I111" s="201"/>
      <c r="J111" s="202"/>
      <c r="K111" s="194" t="str">
        <f t="shared" si="32"/>
        <v/>
      </c>
      <c r="L111" s="170" t="str">
        <f t="shared" si="33"/>
        <v/>
      </c>
      <c r="M111" s="188" t="str">
        <f t="shared" si="34"/>
        <v/>
      </c>
      <c r="N111" s="105"/>
      <c r="O111" s="106"/>
      <c r="P111" s="106"/>
      <c r="Q111" s="106"/>
      <c r="R111" s="107"/>
      <c r="S111" s="217" t="str">
        <f t="shared" si="21"/>
        <v/>
      </c>
      <c r="T111" s="91" t="str">
        <f t="shared" si="22"/>
        <v/>
      </c>
      <c r="U111" s="218" t="str">
        <f t="shared" si="23"/>
        <v/>
      </c>
      <c r="V111" s="230"/>
      <c r="W111" s="226"/>
      <c r="X111" s="231"/>
      <c r="Y111" s="194" t="str">
        <f t="shared" si="35"/>
        <v/>
      </c>
      <c r="Z111" s="170" t="str">
        <f t="shared" si="36"/>
        <v/>
      </c>
      <c r="AA111" s="188" t="str">
        <f t="shared" si="37"/>
        <v/>
      </c>
      <c r="AB111" s="230"/>
      <c r="AC111" s="226"/>
      <c r="AD111" s="231"/>
      <c r="AE111" s="194" t="str">
        <f t="shared" si="38"/>
        <v/>
      </c>
      <c r="AF111" s="170" t="str">
        <f t="shared" si="39"/>
        <v/>
      </c>
      <c r="AG111" s="188" t="str">
        <f t="shared" si="40"/>
        <v/>
      </c>
      <c r="AH111" s="105"/>
      <c r="AI111" s="106"/>
      <c r="AJ111" s="107"/>
      <c r="AK111" s="90" t="str">
        <f t="shared" si="24"/>
        <v/>
      </c>
      <c r="AL111" s="91" t="str">
        <f t="shared" si="25"/>
        <v/>
      </c>
      <c r="AM111" s="93" t="str">
        <f t="shared" si="26"/>
        <v/>
      </c>
      <c r="AN111" s="162"/>
      <c r="AO111" s="107"/>
      <c r="AP111" s="163"/>
      <c r="AQ111" s="157" t="str">
        <f t="shared" si="27"/>
        <v/>
      </c>
      <c r="AR111" s="91" t="str">
        <f t="shared" si="28"/>
        <v/>
      </c>
      <c r="AS111" s="93" t="str">
        <f t="shared" si="29"/>
        <v/>
      </c>
      <c r="AT111" s="90" t="str">
        <f t="shared" si="30"/>
        <v/>
      </c>
      <c r="AU111" s="93" t="str">
        <f t="shared" si="31"/>
        <v/>
      </c>
      <c r="AV111" s="241" t="str">
        <f t="shared" si="41"/>
        <v/>
      </c>
      <c r="AW111" s="238" t="str">
        <f>IF(C111="","",IFERROR(_xlfn.XLOOKUP(AV111,HELPER!$C$8:$C$48,HELPER!$D$8:$D$48,,1),""))</f>
        <v/>
      </c>
      <c r="AX111" s="113" t="str">
        <f>IF(C111="","",IFERROR(_xlfn.XLOOKUP(AW111,HELPER!$F$8:$F$48,HELPER!$G$8:$G$48,,1),""))</f>
        <v/>
      </c>
      <c r="AY111" s="168"/>
      <c r="AZ111" s="148"/>
    </row>
    <row r="112" spans="1:52" ht="15" customHeight="1" x14ac:dyDescent="0.25">
      <c r="A112" s="168"/>
      <c r="B112" s="111">
        <v>43</v>
      </c>
      <c r="C112" s="346" t="str">
        <f>IF('INPUT DATA'!N53="","",'INPUT DATA'!N53)</f>
        <v/>
      </c>
      <c r="D112" s="347"/>
      <c r="E112" s="347"/>
      <c r="F112" s="200"/>
      <c r="G112" s="201"/>
      <c r="H112" s="201"/>
      <c r="I112" s="201"/>
      <c r="J112" s="202"/>
      <c r="K112" s="194" t="str">
        <f t="shared" si="32"/>
        <v/>
      </c>
      <c r="L112" s="170" t="str">
        <f t="shared" si="33"/>
        <v/>
      </c>
      <c r="M112" s="188" t="str">
        <f t="shared" si="34"/>
        <v/>
      </c>
      <c r="N112" s="105"/>
      <c r="O112" s="106"/>
      <c r="P112" s="106"/>
      <c r="Q112" s="106"/>
      <c r="R112" s="107"/>
      <c r="S112" s="217" t="str">
        <f t="shared" si="21"/>
        <v/>
      </c>
      <c r="T112" s="91" t="str">
        <f t="shared" si="22"/>
        <v/>
      </c>
      <c r="U112" s="218" t="str">
        <f t="shared" si="23"/>
        <v/>
      </c>
      <c r="V112" s="230"/>
      <c r="W112" s="226"/>
      <c r="X112" s="231"/>
      <c r="Y112" s="194" t="str">
        <f t="shared" si="35"/>
        <v/>
      </c>
      <c r="Z112" s="170" t="str">
        <f t="shared" si="36"/>
        <v/>
      </c>
      <c r="AA112" s="188" t="str">
        <f t="shared" si="37"/>
        <v/>
      </c>
      <c r="AB112" s="230"/>
      <c r="AC112" s="226"/>
      <c r="AD112" s="231"/>
      <c r="AE112" s="194" t="str">
        <f t="shared" si="38"/>
        <v/>
      </c>
      <c r="AF112" s="170" t="str">
        <f t="shared" si="39"/>
        <v/>
      </c>
      <c r="AG112" s="188" t="str">
        <f t="shared" si="40"/>
        <v/>
      </c>
      <c r="AH112" s="105"/>
      <c r="AI112" s="106"/>
      <c r="AJ112" s="107"/>
      <c r="AK112" s="90" t="str">
        <f t="shared" si="24"/>
        <v/>
      </c>
      <c r="AL112" s="91" t="str">
        <f t="shared" si="25"/>
        <v/>
      </c>
      <c r="AM112" s="93" t="str">
        <f t="shared" si="26"/>
        <v/>
      </c>
      <c r="AN112" s="162"/>
      <c r="AO112" s="107"/>
      <c r="AP112" s="163"/>
      <c r="AQ112" s="157" t="str">
        <f t="shared" si="27"/>
        <v/>
      </c>
      <c r="AR112" s="91" t="str">
        <f t="shared" si="28"/>
        <v/>
      </c>
      <c r="AS112" s="93" t="str">
        <f t="shared" si="29"/>
        <v/>
      </c>
      <c r="AT112" s="90" t="str">
        <f t="shared" si="30"/>
        <v/>
      </c>
      <c r="AU112" s="93" t="str">
        <f t="shared" si="31"/>
        <v/>
      </c>
      <c r="AV112" s="241" t="str">
        <f t="shared" si="41"/>
        <v/>
      </c>
      <c r="AW112" s="238" t="str">
        <f>IF(C112="","",IFERROR(_xlfn.XLOOKUP(AV112,HELPER!$C$8:$C$48,HELPER!$D$8:$D$48,,1),""))</f>
        <v/>
      </c>
      <c r="AX112" s="113" t="str">
        <f>IF(C112="","",IFERROR(_xlfn.XLOOKUP(AW112,HELPER!$F$8:$F$48,HELPER!$G$8:$G$48,,1),""))</f>
        <v/>
      </c>
      <c r="AY112" s="168"/>
      <c r="AZ112" s="148"/>
    </row>
    <row r="113" spans="1:52" ht="15" customHeight="1" x14ac:dyDescent="0.25">
      <c r="A113" s="168"/>
      <c r="B113" s="111">
        <v>44</v>
      </c>
      <c r="C113" s="346" t="str">
        <f>IF('INPUT DATA'!N54="","",'INPUT DATA'!N54)</f>
        <v/>
      </c>
      <c r="D113" s="347"/>
      <c r="E113" s="347"/>
      <c r="F113" s="200"/>
      <c r="G113" s="201"/>
      <c r="H113" s="201"/>
      <c r="I113" s="201"/>
      <c r="J113" s="202"/>
      <c r="K113" s="194" t="str">
        <f t="shared" si="32"/>
        <v/>
      </c>
      <c r="L113" s="170" t="str">
        <f t="shared" si="33"/>
        <v/>
      </c>
      <c r="M113" s="188" t="str">
        <f t="shared" si="34"/>
        <v/>
      </c>
      <c r="N113" s="105"/>
      <c r="O113" s="106"/>
      <c r="P113" s="106"/>
      <c r="Q113" s="106"/>
      <c r="R113" s="107"/>
      <c r="S113" s="217" t="str">
        <f t="shared" si="21"/>
        <v/>
      </c>
      <c r="T113" s="91" t="str">
        <f t="shared" si="22"/>
        <v/>
      </c>
      <c r="U113" s="218" t="str">
        <f t="shared" si="23"/>
        <v/>
      </c>
      <c r="V113" s="230"/>
      <c r="W113" s="226"/>
      <c r="X113" s="231"/>
      <c r="Y113" s="194" t="str">
        <f t="shared" si="35"/>
        <v/>
      </c>
      <c r="Z113" s="170" t="str">
        <f t="shared" si="36"/>
        <v/>
      </c>
      <c r="AA113" s="188" t="str">
        <f t="shared" si="37"/>
        <v/>
      </c>
      <c r="AB113" s="230"/>
      <c r="AC113" s="226"/>
      <c r="AD113" s="231"/>
      <c r="AE113" s="194" t="str">
        <f t="shared" si="38"/>
        <v/>
      </c>
      <c r="AF113" s="170" t="str">
        <f t="shared" si="39"/>
        <v/>
      </c>
      <c r="AG113" s="188" t="str">
        <f t="shared" si="40"/>
        <v/>
      </c>
      <c r="AH113" s="105"/>
      <c r="AI113" s="106"/>
      <c r="AJ113" s="107"/>
      <c r="AK113" s="90" t="str">
        <f t="shared" si="24"/>
        <v/>
      </c>
      <c r="AL113" s="91" t="str">
        <f t="shared" si="25"/>
        <v/>
      </c>
      <c r="AM113" s="93" t="str">
        <f t="shared" si="26"/>
        <v/>
      </c>
      <c r="AN113" s="162"/>
      <c r="AO113" s="107"/>
      <c r="AP113" s="163"/>
      <c r="AQ113" s="157" t="str">
        <f t="shared" si="27"/>
        <v/>
      </c>
      <c r="AR113" s="91" t="str">
        <f t="shared" si="28"/>
        <v/>
      </c>
      <c r="AS113" s="93" t="str">
        <f t="shared" si="29"/>
        <v/>
      </c>
      <c r="AT113" s="90" t="str">
        <f t="shared" si="30"/>
        <v/>
      </c>
      <c r="AU113" s="93" t="str">
        <f t="shared" si="31"/>
        <v/>
      </c>
      <c r="AV113" s="241" t="str">
        <f t="shared" si="41"/>
        <v/>
      </c>
      <c r="AW113" s="238" t="str">
        <f>IF(C113="","",IFERROR(_xlfn.XLOOKUP(AV113,HELPER!$C$8:$C$48,HELPER!$D$8:$D$48,,1),""))</f>
        <v/>
      </c>
      <c r="AX113" s="113" t="str">
        <f>IF(C113="","",IFERROR(_xlfn.XLOOKUP(AW113,HELPER!$F$8:$F$48,HELPER!$G$8:$G$48,,1),""))</f>
        <v/>
      </c>
      <c r="AY113" s="168"/>
      <c r="AZ113" s="148"/>
    </row>
    <row r="114" spans="1:52" ht="15" customHeight="1" x14ac:dyDescent="0.25">
      <c r="A114" s="168"/>
      <c r="B114" s="111">
        <v>45</v>
      </c>
      <c r="C114" s="346" t="str">
        <f>IF('INPUT DATA'!N55="","",'INPUT DATA'!N55)</f>
        <v/>
      </c>
      <c r="D114" s="347"/>
      <c r="E114" s="347"/>
      <c r="F114" s="200"/>
      <c r="G114" s="201"/>
      <c r="H114" s="201"/>
      <c r="I114" s="201"/>
      <c r="J114" s="202"/>
      <c r="K114" s="194" t="str">
        <f t="shared" si="32"/>
        <v/>
      </c>
      <c r="L114" s="170" t="str">
        <f t="shared" si="33"/>
        <v/>
      </c>
      <c r="M114" s="188" t="str">
        <f t="shared" si="34"/>
        <v/>
      </c>
      <c r="N114" s="105"/>
      <c r="O114" s="106"/>
      <c r="P114" s="106"/>
      <c r="Q114" s="106"/>
      <c r="R114" s="107"/>
      <c r="S114" s="217" t="str">
        <f t="shared" si="21"/>
        <v/>
      </c>
      <c r="T114" s="91" t="str">
        <f t="shared" si="22"/>
        <v/>
      </c>
      <c r="U114" s="218" t="str">
        <f t="shared" si="23"/>
        <v/>
      </c>
      <c r="V114" s="230"/>
      <c r="W114" s="226"/>
      <c r="X114" s="231"/>
      <c r="Y114" s="194" t="str">
        <f t="shared" si="35"/>
        <v/>
      </c>
      <c r="Z114" s="170" t="str">
        <f t="shared" si="36"/>
        <v/>
      </c>
      <c r="AA114" s="188" t="str">
        <f t="shared" si="37"/>
        <v/>
      </c>
      <c r="AB114" s="230"/>
      <c r="AC114" s="226"/>
      <c r="AD114" s="231"/>
      <c r="AE114" s="194" t="str">
        <f t="shared" si="38"/>
        <v/>
      </c>
      <c r="AF114" s="170" t="str">
        <f t="shared" si="39"/>
        <v/>
      </c>
      <c r="AG114" s="188" t="str">
        <f t="shared" si="40"/>
        <v/>
      </c>
      <c r="AH114" s="105"/>
      <c r="AI114" s="106"/>
      <c r="AJ114" s="107"/>
      <c r="AK114" s="90" t="str">
        <f t="shared" si="24"/>
        <v/>
      </c>
      <c r="AL114" s="91" t="str">
        <f t="shared" si="25"/>
        <v/>
      </c>
      <c r="AM114" s="93" t="str">
        <f t="shared" si="26"/>
        <v/>
      </c>
      <c r="AN114" s="162"/>
      <c r="AO114" s="107"/>
      <c r="AP114" s="163"/>
      <c r="AQ114" s="157" t="str">
        <f t="shared" si="27"/>
        <v/>
      </c>
      <c r="AR114" s="91" t="str">
        <f t="shared" si="28"/>
        <v/>
      </c>
      <c r="AS114" s="93" t="str">
        <f t="shared" si="29"/>
        <v/>
      </c>
      <c r="AT114" s="90" t="str">
        <f t="shared" si="30"/>
        <v/>
      </c>
      <c r="AU114" s="93" t="str">
        <f t="shared" si="31"/>
        <v/>
      </c>
      <c r="AV114" s="241" t="str">
        <f t="shared" si="41"/>
        <v/>
      </c>
      <c r="AW114" s="238" t="str">
        <f>IF(C114="","",IFERROR(_xlfn.XLOOKUP(AV114,HELPER!$C$8:$C$48,HELPER!$D$8:$D$48,,1),""))</f>
        <v/>
      </c>
      <c r="AX114" s="113" t="str">
        <f>IF(C114="","",IFERROR(_xlfn.XLOOKUP(AW114,HELPER!$F$8:$F$48,HELPER!$G$8:$G$48,,1),""))</f>
        <v/>
      </c>
      <c r="AY114" s="168"/>
      <c r="AZ114" s="148"/>
    </row>
    <row r="115" spans="1:52" ht="15" customHeight="1" x14ac:dyDescent="0.25">
      <c r="A115" s="168"/>
      <c r="B115" s="111">
        <v>46</v>
      </c>
      <c r="C115" s="346" t="str">
        <f>IF('INPUT DATA'!N56="","",'INPUT DATA'!N56)</f>
        <v/>
      </c>
      <c r="D115" s="347"/>
      <c r="E115" s="347"/>
      <c r="F115" s="200"/>
      <c r="G115" s="201"/>
      <c r="H115" s="201"/>
      <c r="I115" s="201"/>
      <c r="J115" s="202"/>
      <c r="K115" s="194" t="str">
        <f t="shared" si="32"/>
        <v/>
      </c>
      <c r="L115" s="170" t="str">
        <f t="shared" si="33"/>
        <v/>
      </c>
      <c r="M115" s="188" t="str">
        <f t="shared" si="34"/>
        <v/>
      </c>
      <c r="N115" s="105"/>
      <c r="O115" s="106"/>
      <c r="P115" s="106"/>
      <c r="Q115" s="106"/>
      <c r="R115" s="107"/>
      <c r="S115" s="217" t="str">
        <f t="shared" si="21"/>
        <v/>
      </c>
      <c r="T115" s="91" t="str">
        <f t="shared" si="22"/>
        <v/>
      </c>
      <c r="U115" s="218" t="str">
        <f t="shared" si="23"/>
        <v/>
      </c>
      <c r="V115" s="230"/>
      <c r="W115" s="226"/>
      <c r="X115" s="231"/>
      <c r="Y115" s="194" t="str">
        <f t="shared" si="35"/>
        <v/>
      </c>
      <c r="Z115" s="170" t="str">
        <f t="shared" si="36"/>
        <v/>
      </c>
      <c r="AA115" s="188" t="str">
        <f t="shared" si="37"/>
        <v/>
      </c>
      <c r="AB115" s="230"/>
      <c r="AC115" s="226"/>
      <c r="AD115" s="231"/>
      <c r="AE115" s="194" t="str">
        <f t="shared" si="38"/>
        <v/>
      </c>
      <c r="AF115" s="170" t="str">
        <f t="shared" si="39"/>
        <v/>
      </c>
      <c r="AG115" s="188" t="str">
        <f t="shared" si="40"/>
        <v/>
      </c>
      <c r="AH115" s="105"/>
      <c r="AI115" s="106"/>
      <c r="AJ115" s="107"/>
      <c r="AK115" s="90" t="str">
        <f t="shared" si="24"/>
        <v/>
      </c>
      <c r="AL115" s="91" t="str">
        <f t="shared" si="25"/>
        <v/>
      </c>
      <c r="AM115" s="93" t="str">
        <f t="shared" si="26"/>
        <v/>
      </c>
      <c r="AN115" s="162"/>
      <c r="AO115" s="107"/>
      <c r="AP115" s="163"/>
      <c r="AQ115" s="157" t="str">
        <f t="shared" si="27"/>
        <v/>
      </c>
      <c r="AR115" s="91" t="str">
        <f t="shared" si="28"/>
        <v/>
      </c>
      <c r="AS115" s="93" t="str">
        <f t="shared" si="29"/>
        <v/>
      </c>
      <c r="AT115" s="90" t="str">
        <f t="shared" si="30"/>
        <v/>
      </c>
      <c r="AU115" s="93" t="str">
        <f t="shared" si="31"/>
        <v/>
      </c>
      <c r="AV115" s="241" t="str">
        <f t="shared" si="41"/>
        <v/>
      </c>
      <c r="AW115" s="238" t="str">
        <f>IF(C115="","",IFERROR(_xlfn.XLOOKUP(AV115,HELPER!$C$8:$C$48,HELPER!$D$8:$D$48,,1),""))</f>
        <v/>
      </c>
      <c r="AX115" s="113" t="str">
        <f>IF(C115="","",IFERROR(_xlfn.XLOOKUP(AW115,HELPER!$F$8:$F$48,HELPER!$G$8:$G$48,,1),""))</f>
        <v/>
      </c>
      <c r="AY115" s="168"/>
      <c r="AZ115" s="148"/>
    </row>
    <row r="116" spans="1:52" ht="15" customHeight="1" x14ac:dyDescent="0.25">
      <c r="A116" s="168"/>
      <c r="B116" s="111">
        <v>47</v>
      </c>
      <c r="C116" s="346" t="str">
        <f>IF('INPUT DATA'!N57="","",'INPUT DATA'!N57)</f>
        <v/>
      </c>
      <c r="D116" s="347"/>
      <c r="E116" s="347"/>
      <c r="F116" s="200"/>
      <c r="G116" s="201"/>
      <c r="H116" s="201"/>
      <c r="I116" s="201"/>
      <c r="J116" s="202"/>
      <c r="K116" s="194" t="str">
        <f t="shared" si="32"/>
        <v/>
      </c>
      <c r="L116" s="170" t="str">
        <f t="shared" si="33"/>
        <v/>
      </c>
      <c r="M116" s="188" t="str">
        <f t="shared" si="34"/>
        <v/>
      </c>
      <c r="N116" s="105"/>
      <c r="O116" s="106"/>
      <c r="P116" s="106"/>
      <c r="Q116" s="106"/>
      <c r="R116" s="107"/>
      <c r="S116" s="217" t="str">
        <f t="shared" si="21"/>
        <v/>
      </c>
      <c r="T116" s="91" t="str">
        <f t="shared" si="22"/>
        <v/>
      </c>
      <c r="U116" s="218" t="str">
        <f t="shared" si="23"/>
        <v/>
      </c>
      <c r="V116" s="230"/>
      <c r="W116" s="226"/>
      <c r="X116" s="231"/>
      <c r="Y116" s="194" t="str">
        <f t="shared" si="35"/>
        <v/>
      </c>
      <c r="Z116" s="170" t="str">
        <f t="shared" si="36"/>
        <v/>
      </c>
      <c r="AA116" s="188" t="str">
        <f t="shared" si="37"/>
        <v/>
      </c>
      <c r="AB116" s="230"/>
      <c r="AC116" s="226"/>
      <c r="AD116" s="231"/>
      <c r="AE116" s="194" t="str">
        <f t="shared" si="38"/>
        <v/>
      </c>
      <c r="AF116" s="170" t="str">
        <f t="shared" si="39"/>
        <v/>
      </c>
      <c r="AG116" s="188" t="str">
        <f t="shared" si="40"/>
        <v/>
      </c>
      <c r="AH116" s="105"/>
      <c r="AI116" s="106"/>
      <c r="AJ116" s="107"/>
      <c r="AK116" s="90" t="str">
        <f t="shared" si="24"/>
        <v/>
      </c>
      <c r="AL116" s="91" t="str">
        <f t="shared" si="25"/>
        <v/>
      </c>
      <c r="AM116" s="93" t="str">
        <f t="shared" si="26"/>
        <v/>
      </c>
      <c r="AN116" s="162"/>
      <c r="AO116" s="107"/>
      <c r="AP116" s="163"/>
      <c r="AQ116" s="157" t="str">
        <f t="shared" si="27"/>
        <v/>
      </c>
      <c r="AR116" s="91" t="str">
        <f t="shared" si="28"/>
        <v/>
      </c>
      <c r="AS116" s="93" t="str">
        <f t="shared" si="29"/>
        <v/>
      </c>
      <c r="AT116" s="90" t="str">
        <f t="shared" si="30"/>
        <v/>
      </c>
      <c r="AU116" s="93" t="str">
        <f t="shared" si="31"/>
        <v/>
      </c>
      <c r="AV116" s="241" t="str">
        <f t="shared" si="41"/>
        <v/>
      </c>
      <c r="AW116" s="238" t="str">
        <f>IF(C116="","",IFERROR(_xlfn.XLOOKUP(AV116,HELPER!$C$8:$C$48,HELPER!$D$8:$D$48,,1),""))</f>
        <v/>
      </c>
      <c r="AX116" s="113" t="str">
        <f>IF(C116="","",IFERROR(_xlfn.XLOOKUP(AW116,HELPER!$F$8:$F$48,HELPER!$G$8:$G$48,,1),""))</f>
        <v/>
      </c>
      <c r="AY116" s="168"/>
      <c r="AZ116" s="148"/>
    </row>
    <row r="117" spans="1:52" ht="15" customHeight="1" x14ac:dyDescent="0.25">
      <c r="A117" s="168"/>
      <c r="B117" s="111">
        <v>48</v>
      </c>
      <c r="C117" s="346" t="str">
        <f>IF('INPUT DATA'!N58="","",'INPUT DATA'!N58)</f>
        <v/>
      </c>
      <c r="D117" s="347"/>
      <c r="E117" s="347"/>
      <c r="F117" s="200"/>
      <c r="G117" s="201"/>
      <c r="H117" s="201"/>
      <c r="I117" s="201"/>
      <c r="J117" s="202"/>
      <c r="K117" s="194" t="str">
        <f t="shared" si="32"/>
        <v/>
      </c>
      <c r="L117" s="170" t="str">
        <f t="shared" si="33"/>
        <v/>
      </c>
      <c r="M117" s="188" t="str">
        <f t="shared" si="34"/>
        <v/>
      </c>
      <c r="N117" s="105"/>
      <c r="O117" s="106"/>
      <c r="P117" s="106"/>
      <c r="Q117" s="106"/>
      <c r="R117" s="107"/>
      <c r="S117" s="217" t="str">
        <f t="shared" si="21"/>
        <v/>
      </c>
      <c r="T117" s="91" t="str">
        <f t="shared" si="22"/>
        <v/>
      </c>
      <c r="U117" s="218" t="str">
        <f t="shared" si="23"/>
        <v/>
      </c>
      <c r="V117" s="230"/>
      <c r="W117" s="226"/>
      <c r="X117" s="231"/>
      <c r="Y117" s="194" t="str">
        <f t="shared" si="35"/>
        <v/>
      </c>
      <c r="Z117" s="170" t="str">
        <f t="shared" si="36"/>
        <v/>
      </c>
      <c r="AA117" s="188" t="str">
        <f t="shared" si="37"/>
        <v/>
      </c>
      <c r="AB117" s="230"/>
      <c r="AC117" s="226"/>
      <c r="AD117" s="231"/>
      <c r="AE117" s="194" t="str">
        <f t="shared" si="38"/>
        <v/>
      </c>
      <c r="AF117" s="170" t="str">
        <f t="shared" si="39"/>
        <v/>
      </c>
      <c r="AG117" s="188" t="str">
        <f t="shared" si="40"/>
        <v/>
      </c>
      <c r="AH117" s="105"/>
      <c r="AI117" s="106"/>
      <c r="AJ117" s="107"/>
      <c r="AK117" s="90" t="str">
        <f t="shared" si="24"/>
        <v/>
      </c>
      <c r="AL117" s="91" t="str">
        <f t="shared" si="25"/>
        <v/>
      </c>
      <c r="AM117" s="93" t="str">
        <f t="shared" si="26"/>
        <v/>
      </c>
      <c r="AN117" s="162"/>
      <c r="AO117" s="107"/>
      <c r="AP117" s="163"/>
      <c r="AQ117" s="157" t="str">
        <f t="shared" si="27"/>
        <v/>
      </c>
      <c r="AR117" s="91" t="str">
        <f t="shared" si="28"/>
        <v/>
      </c>
      <c r="AS117" s="93" t="str">
        <f t="shared" si="29"/>
        <v/>
      </c>
      <c r="AT117" s="90" t="str">
        <f t="shared" si="30"/>
        <v/>
      </c>
      <c r="AU117" s="93" t="str">
        <f t="shared" si="31"/>
        <v/>
      </c>
      <c r="AV117" s="241" t="str">
        <f t="shared" si="41"/>
        <v/>
      </c>
      <c r="AW117" s="238" t="str">
        <f>IF(C117="","",IFERROR(_xlfn.XLOOKUP(AV117,HELPER!$C$8:$C$48,HELPER!$D$8:$D$48,,1),""))</f>
        <v/>
      </c>
      <c r="AX117" s="113" t="str">
        <f>IF(C117="","",IFERROR(_xlfn.XLOOKUP(AW117,HELPER!$F$8:$F$48,HELPER!$G$8:$G$48,,1),""))</f>
        <v/>
      </c>
      <c r="AY117" s="168"/>
      <c r="AZ117" s="148"/>
    </row>
    <row r="118" spans="1:52" ht="15" customHeight="1" x14ac:dyDescent="0.25">
      <c r="A118" s="168"/>
      <c r="B118" s="111">
        <v>49</v>
      </c>
      <c r="C118" s="346" t="str">
        <f>IF('INPUT DATA'!N59="","",'INPUT DATA'!N59)</f>
        <v/>
      </c>
      <c r="D118" s="347"/>
      <c r="E118" s="347"/>
      <c r="F118" s="200"/>
      <c r="G118" s="201"/>
      <c r="H118" s="201"/>
      <c r="I118" s="201"/>
      <c r="J118" s="202"/>
      <c r="K118" s="194" t="str">
        <f t="shared" si="32"/>
        <v/>
      </c>
      <c r="L118" s="170" t="str">
        <f t="shared" si="33"/>
        <v/>
      </c>
      <c r="M118" s="188" t="str">
        <f t="shared" si="34"/>
        <v/>
      </c>
      <c r="N118" s="105"/>
      <c r="O118" s="106"/>
      <c r="P118" s="106"/>
      <c r="Q118" s="106"/>
      <c r="R118" s="107"/>
      <c r="S118" s="217" t="str">
        <f t="shared" si="21"/>
        <v/>
      </c>
      <c r="T118" s="91" t="str">
        <f t="shared" si="22"/>
        <v/>
      </c>
      <c r="U118" s="218" t="str">
        <f t="shared" si="23"/>
        <v/>
      </c>
      <c r="V118" s="230"/>
      <c r="W118" s="226"/>
      <c r="X118" s="231"/>
      <c r="Y118" s="194" t="str">
        <f t="shared" si="35"/>
        <v/>
      </c>
      <c r="Z118" s="170" t="str">
        <f t="shared" si="36"/>
        <v/>
      </c>
      <c r="AA118" s="188" t="str">
        <f t="shared" si="37"/>
        <v/>
      </c>
      <c r="AB118" s="230"/>
      <c r="AC118" s="226"/>
      <c r="AD118" s="231"/>
      <c r="AE118" s="194" t="str">
        <f t="shared" si="38"/>
        <v/>
      </c>
      <c r="AF118" s="170" t="str">
        <f t="shared" si="39"/>
        <v/>
      </c>
      <c r="AG118" s="188" t="str">
        <f t="shared" si="40"/>
        <v/>
      </c>
      <c r="AH118" s="105"/>
      <c r="AI118" s="106"/>
      <c r="AJ118" s="107"/>
      <c r="AK118" s="90" t="str">
        <f t="shared" si="24"/>
        <v/>
      </c>
      <c r="AL118" s="91" t="str">
        <f t="shared" si="25"/>
        <v/>
      </c>
      <c r="AM118" s="93" t="str">
        <f t="shared" si="26"/>
        <v/>
      </c>
      <c r="AN118" s="162"/>
      <c r="AO118" s="107"/>
      <c r="AP118" s="163"/>
      <c r="AQ118" s="157" t="str">
        <f t="shared" si="27"/>
        <v/>
      </c>
      <c r="AR118" s="91" t="str">
        <f t="shared" si="28"/>
        <v/>
      </c>
      <c r="AS118" s="93" t="str">
        <f t="shared" si="29"/>
        <v/>
      </c>
      <c r="AT118" s="90" t="str">
        <f t="shared" si="30"/>
        <v/>
      </c>
      <c r="AU118" s="93" t="str">
        <f t="shared" si="31"/>
        <v/>
      </c>
      <c r="AV118" s="241" t="str">
        <f t="shared" si="41"/>
        <v/>
      </c>
      <c r="AW118" s="238" t="str">
        <f>IF(C118="","",IFERROR(_xlfn.XLOOKUP(AV118,HELPER!$C$8:$C$48,HELPER!$D$8:$D$48,,1),""))</f>
        <v/>
      </c>
      <c r="AX118" s="113" t="str">
        <f>IF(C118="","",IFERROR(_xlfn.XLOOKUP(AW118,HELPER!$F$8:$F$48,HELPER!$G$8:$G$48,,1),""))</f>
        <v/>
      </c>
      <c r="AY118" s="168"/>
      <c r="AZ118" s="148"/>
    </row>
    <row r="119" spans="1:52" ht="15" customHeight="1" thickBot="1" x14ac:dyDescent="0.3">
      <c r="A119" s="168"/>
      <c r="B119" s="112">
        <v>50</v>
      </c>
      <c r="C119" s="362" t="str">
        <f>IF('INPUT DATA'!N60="","",'INPUT DATA'!N60)</f>
        <v/>
      </c>
      <c r="D119" s="363"/>
      <c r="E119" s="363"/>
      <c r="F119" s="203"/>
      <c r="G119" s="204"/>
      <c r="H119" s="204"/>
      <c r="I119" s="204"/>
      <c r="J119" s="205"/>
      <c r="K119" s="195" t="str">
        <f t="shared" si="32"/>
        <v/>
      </c>
      <c r="L119" s="189" t="str">
        <f t="shared" si="33"/>
        <v/>
      </c>
      <c r="M119" s="190" t="str">
        <f t="shared" si="34"/>
        <v/>
      </c>
      <c r="N119" s="114"/>
      <c r="O119" s="115"/>
      <c r="P119" s="115"/>
      <c r="Q119" s="115"/>
      <c r="R119" s="116"/>
      <c r="S119" s="219" t="str">
        <f t="shared" si="21"/>
        <v/>
      </c>
      <c r="T119" s="220" t="str">
        <f t="shared" si="22"/>
        <v/>
      </c>
      <c r="U119" s="221" t="str">
        <f t="shared" si="23"/>
        <v/>
      </c>
      <c r="V119" s="232"/>
      <c r="W119" s="233"/>
      <c r="X119" s="234"/>
      <c r="Y119" s="195" t="str">
        <f t="shared" si="35"/>
        <v/>
      </c>
      <c r="Z119" s="189" t="str">
        <f t="shared" si="36"/>
        <v/>
      </c>
      <c r="AA119" s="190" t="str">
        <f t="shared" si="37"/>
        <v/>
      </c>
      <c r="AB119" s="232"/>
      <c r="AC119" s="233"/>
      <c r="AD119" s="234"/>
      <c r="AE119" s="195" t="str">
        <f t="shared" si="38"/>
        <v/>
      </c>
      <c r="AF119" s="189" t="str">
        <f t="shared" si="39"/>
        <v/>
      </c>
      <c r="AG119" s="190" t="str">
        <f t="shared" si="40"/>
        <v/>
      </c>
      <c r="AH119" s="114"/>
      <c r="AI119" s="115"/>
      <c r="AJ119" s="116"/>
      <c r="AK119" s="117" t="str">
        <f t="shared" si="24"/>
        <v/>
      </c>
      <c r="AL119" s="118" t="str">
        <f t="shared" si="25"/>
        <v/>
      </c>
      <c r="AM119" s="119" t="str">
        <f t="shared" si="26"/>
        <v/>
      </c>
      <c r="AN119" s="164"/>
      <c r="AO119" s="165"/>
      <c r="AP119" s="166"/>
      <c r="AQ119" s="167" t="str">
        <f t="shared" si="27"/>
        <v/>
      </c>
      <c r="AR119" s="118" t="str">
        <f t="shared" si="28"/>
        <v/>
      </c>
      <c r="AS119" s="119" t="str">
        <f t="shared" si="29"/>
        <v/>
      </c>
      <c r="AT119" s="117" t="str">
        <f t="shared" si="30"/>
        <v/>
      </c>
      <c r="AU119" s="119" t="str">
        <f t="shared" si="31"/>
        <v/>
      </c>
      <c r="AV119" s="242" t="str">
        <f t="shared" si="41"/>
        <v/>
      </c>
      <c r="AW119" s="239" t="str">
        <f>IF(C119="","",IFERROR(_xlfn.XLOOKUP(AV119,HELPER!$C$8:$C$48,HELPER!$D$8:$D$48,,1),""))</f>
        <v/>
      </c>
      <c r="AX119" s="120" t="str">
        <f>IF(C119="","",IFERROR(_xlfn.XLOOKUP(AW119,HELPER!$F$8:$F$48,HELPER!$G$8:$G$48,,1),""))</f>
        <v/>
      </c>
      <c r="AY119" s="168"/>
      <c r="AZ119" s="148"/>
    </row>
    <row r="120" spans="1:52" ht="13.2" x14ac:dyDescent="0.25">
      <c r="A120" s="168"/>
      <c r="B120" s="168"/>
      <c r="C120" s="364"/>
      <c r="D120" s="365"/>
      <c r="E120" s="365"/>
      <c r="N120" s="168"/>
      <c r="O120" s="168"/>
      <c r="P120" s="168"/>
      <c r="Q120" s="168"/>
      <c r="R120" s="168"/>
      <c r="S120" s="168"/>
      <c r="T120" s="168"/>
      <c r="U120" s="168"/>
      <c r="V120" s="168"/>
      <c r="W120" s="168"/>
      <c r="X120" s="168"/>
      <c r="Y120" s="168"/>
      <c r="Z120" s="168"/>
      <c r="AA120" s="168"/>
      <c r="AB120" s="168"/>
      <c r="AC120" s="168"/>
      <c r="AD120" s="168"/>
      <c r="AE120" s="168"/>
      <c r="AF120" s="168"/>
      <c r="AG120" s="168"/>
      <c r="AH120" s="168"/>
      <c r="AI120" s="168"/>
      <c r="AJ120" s="168"/>
      <c r="AK120" s="168"/>
      <c r="AL120" s="168"/>
      <c r="AM120" s="168"/>
      <c r="AN120" s="168"/>
      <c r="AO120" s="168"/>
      <c r="AP120" s="168"/>
      <c r="AQ120" s="168"/>
      <c r="AR120" s="168"/>
      <c r="AS120" s="168"/>
      <c r="AT120" s="168"/>
      <c r="AU120" s="168"/>
      <c r="AV120" s="168"/>
      <c r="AW120" s="168"/>
      <c r="AX120" s="168"/>
      <c r="AY120" s="168"/>
      <c r="AZ120" s="148"/>
    </row>
    <row r="121" spans="1:52" ht="13.2" x14ac:dyDescent="0.25">
      <c r="A121" s="168"/>
      <c r="B121" s="168"/>
      <c r="C121" s="364"/>
      <c r="D121" s="365"/>
      <c r="E121" s="365"/>
      <c r="N121" s="168"/>
      <c r="O121" s="168"/>
      <c r="P121" s="168"/>
      <c r="Q121" s="168"/>
      <c r="R121" s="168"/>
      <c r="S121" s="168"/>
      <c r="T121" s="168"/>
      <c r="U121" s="168"/>
      <c r="V121" s="168"/>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c r="AU121" s="168"/>
      <c r="AV121" s="168"/>
      <c r="AW121" s="168"/>
      <c r="AX121" s="168"/>
      <c r="AY121" s="168"/>
      <c r="AZ121" s="148"/>
    </row>
  </sheetData>
  <sheetProtection formatCells="0" formatColumns="0" formatRows="0"/>
  <mergeCells count="133">
    <mergeCell ref="B2:AX3"/>
    <mergeCell ref="F5:T5"/>
    <mergeCell ref="Z5:AJ5"/>
    <mergeCell ref="AQ5:AS5"/>
    <mergeCell ref="F7:AJ7"/>
    <mergeCell ref="AQ7:AS7"/>
    <mergeCell ref="B9:AX9"/>
    <mergeCell ref="B10:E15"/>
    <mergeCell ref="F10:I10"/>
    <mergeCell ref="J10:U10"/>
    <mergeCell ref="V10:Z11"/>
    <mergeCell ref="AA10:AM11"/>
    <mergeCell ref="AN10:AQ11"/>
    <mergeCell ref="AR10:AX11"/>
    <mergeCell ref="F11:I11"/>
    <mergeCell ref="J11:U11"/>
    <mergeCell ref="F12:U13"/>
    <mergeCell ref="V12:AM13"/>
    <mergeCell ref="AN12:AU14"/>
    <mergeCell ref="AV12:AV16"/>
    <mergeCell ref="AW12:AW16"/>
    <mergeCell ref="AX12:AX16"/>
    <mergeCell ref="F14:M14"/>
    <mergeCell ref="N14:U14"/>
    <mergeCell ref="V14:AA14"/>
    <mergeCell ref="AB14:AG14"/>
    <mergeCell ref="C21:E21"/>
    <mergeCell ref="C22:E22"/>
    <mergeCell ref="C23:E23"/>
    <mergeCell ref="C24:E24"/>
    <mergeCell ref="C25:E25"/>
    <mergeCell ref="C26:E26"/>
    <mergeCell ref="AH14:AM14"/>
    <mergeCell ref="B16:E16"/>
    <mergeCell ref="B17:AX17"/>
    <mergeCell ref="B18:AX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B69:AX69"/>
    <mergeCell ref="C70:E70"/>
    <mergeCell ref="C71:E71"/>
    <mergeCell ref="C72:E72"/>
    <mergeCell ref="C73:E73"/>
    <mergeCell ref="C74:E74"/>
    <mergeCell ref="C63:E63"/>
    <mergeCell ref="C64:E64"/>
    <mergeCell ref="C65:E65"/>
    <mergeCell ref="C66:E66"/>
    <mergeCell ref="C67:E67"/>
    <mergeCell ref="C68:E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21:E121"/>
    <mergeCell ref="C111:E111"/>
    <mergeCell ref="C112:E112"/>
    <mergeCell ref="C113:E113"/>
    <mergeCell ref="C114:E114"/>
    <mergeCell ref="C115:E115"/>
    <mergeCell ref="C116:E116"/>
  </mergeCells>
  <dataValidations count="68">
    <dataValidation allowBlank="1" showInputMessage="1" showErrorMessage="1" prompt="Products/Performance Tasks' Weighted Score (Behavioral Domain)" sqref="AM19:AM68 AM70:AM119" xr:uid="{A18E41F9-4BCF-4D4E-9774-927A6AF61AB6}"/>
    <dataValidation allowBlank="1" showInputMessage="1" showErrorMessage="1" prompt="Products/Performance Tasks' Percentage Score (Behavioral Domain)" sqref="AL19:AL68 AL70:AL119" xr:uid="{73D40500-9EB3-4E1B-97AC-E8C8FA91715A}"/>
    <dataValidation allowBlank="1" showInputMessage="1" showErrorMessage="1" prompt="Products/Performance Tasks' Highest Possible Score (Behavioral Domain)" sqref="AK19:AK68 AK70:AK119" xr:uid="{C92E6FE3-EBED-490B-AF64-23EA37330FBB}"/>
    <dataValidation allowBlank="1" showInputMessage="1" showErrorMessage="1" prompt="Products/Performance Tasks' Weighted Score (Affective Domain)" sqref="AG70:AG119 AG19:AG68" xr:uid="{5D02ACBC-7465-4EB4-85E6-C5EBFFE2ECE2}"/>
    <dataValidation allowBlank="1" showInputMessage="1" showErrorMessage="1" prompt="Products/Performance Tasks' Percentage Score (Affective Domain)" sqref="AF70:AF119 AF19:AF68" xr:uid="{7FFF3605-C65B-4879-8090-0F00149BAE5A}"/>
    <dataValidation allowBlank="1" showInputMessage="1" showErrorMessage="1" prompt="Products/Performance Tasks' Highest Possible Score (Affective Domain)" sqref="AE70:AE119 AE19:AE68" xr:uid="{874C9A52-58B0-4D4C-89FC-D73C626E889C}"/>
    <dataValidation type="custom" allowBlank="1" showInputMessage="1" showErrorMessage="1" errorTitle="Invalid Input" error="The score cannot be greater than the Highest Possible Score." prompt="Encode learner's raw score." sqref="AD19:AD68" xr:uid="{773ED946-55F5-4882-BD42-645A5A13AE68}">
      <formula1>AD1048546&lt;=$AD$16</formula1>
    </dataValidation>
    <dataValidation type="custom" allowBlank="1" showInputMessage="1" showErrorMessage="1" errorTitle="Invalid Input" error="The score cannot be greater than the Highest Possible Score." prompt="Encode learners' raw score." sqref="AD70:AD119" xr:uid="{B3F5BD33-B3D1-45CB-ABD1-CF5FBF37C19E}">
      <formula1>AD21&lt;=$AD$16</formula1>
    </dataValidation>
    <dataValidation type="custom" allowBlank="1" showInputMessage="1" showErrorMessage="1" errorTitle="Invalid Input" error="The score cannot be greater than the Highest Possible Score." prompt="Encode learners' raw score." sqref="AC70:AC119 AC19:AC68" xr:uid="{F82B015D-5727-42EB-813C-7D6B72218B03}">
      <formula1>AC19&lt;=$AC$16</formula1>
    </dataValidation>
    <dataValidation type="custom" allowBlank="1" showInputMessage="1" showErrorMessage="1" errorTitle="Invalid Input" error="The score cannot be greater than the Highest Possible Score." prompt="Encode learners' raw score." sqref="AB70:AB119 AB19:AB68" xr:uid="{E01660A1-D7EC-4B1B-8180-DAA0D0C4B861}">
      <formula1>AB19&lt;=$AB$16</formula1>
    </dataValidation>
    <dataValidation type="custom" allowBlank="1" showInputMessage="1" showErrorMessage="1" errorTitle="Invalid Input" error="The score cannot be greater than the Highest Possible Score." prompt="Encode learners' raw score." sqref="X19:X68" xr:uid="{AE3B9AA4-70DE-477A-A161-6D781DEA6FD8}">
      <formula1>X1048546&lt;=$X$16</formula1>
    </dataValidation>
    <dataValidation type="custom" allowBlank="1" showInputMessage="1" showErrorMessage="1" errorTitle="Invalid Input" error="The score cannot be greater than the Highest Possible Score." prompt="Encode learners' raw score." sqref="W19:W68" xr:uid="{FF5F7328-86BB-4D0D-AF01-2C06E43ADDEA}">
      <formula1>W19&lt;=$W$16</formula1>
    </dataValidation>
    <dataValidation allowBlank="1" showInputMessage="1" showErrorMessage="1" prompt="Written/Oral Works' Weighted Score (Affective Domain) " sqref="U19:U68" xr:uid="{777FBA14-63EB-4EC5-8E05-BC2E19EDEC5F}"/>
    <dataValidation allowBlank="1" showInputMessage="1" showErrorMessage="1" prompt="Written/Oral Works' Weighted Score (Affective Domain)" sqref="U70:U119" xr:uid="{8D2D19D0-7864-4D44-A23E-7B1DD484EDDB}"/>
    <dataValidation allowBlank="1" showInputMessage="1" showErrorMessage="1" prompt="Written/Oral Works' Percentage Score (Affective Domain)" sqref="T70:T119 T19:T68" xr:uid="{1C7B434C-A82E-4ED9-BBE1-D6D95C20CDAF}"/>
    <dataValidation allowBlank="1" showInputMessage="1" showErrorMessage="1" prompt="Written/Oral Works' Percentage Score (Cognitive Domain)" sqref="L70:L119" xr:uid="{97AACB6F-36C3-4DCE-8C7F-6535E874783E}"/>
    <dataValidation allowBlank="1" showInputMessage="1" showErrorMessage="1" prompt="Written/Oral Works' Weighted Score (Cognitive Domain)" sqref="M19:M68 M70:M119" xr:uid="{7874EACD-6D2B-46AE-95D1-2FDF41D50B19}"/>
    <dataValidation allowBlank="1" showInputMessage="1" showErrorMessage="1" prompt="Written/Oral Works' Percentage Score (Cognitive Domain)." sqref="L19:L68" xr:uid="{AF6BA519-2C5A-4A38-8E98-DD7FDBF9C030}"/>
    <dataValidation allowBlank="1" showInputMessage="1" showErrorMessage="1" prompt="Written/Oral Works' Total Score (Cognitive Domain)" sqref="K19:K68 K70:K119" xr:uid="{9670D1F2-5FB2-4715-912D-B45790B2ACC9}"/>
    <dataValidation type="custom" allowBlank="1" showInputMessage="1" showErrorMessage="1" errorTitle="Invalid Input" error="The score cannot be greater than the Highest Possible Score." prompt="Encode learners' raw score." sqref="X70:X119" xr:uid="{7006DBAA-1615-471B-A605-897655C51481}">
      <formula1>X70&lt;=$X$16</formula1>
    </dataValidation>
    <dataValidation type="custom" allowBlank="1" showInputMessage="1" showErrorMessage="1" errorTitle="Invalid Input" error="The score cannot be greater than the Highest Possible Score." prompt="Encode Learners' Raw Score." sqref="W70:W119" xr:uid="{ABE89430-12F1-4740-8124-CAAE5009EE08}">
      <formula1>W21&lt;=$W$16</formula1>
    </dataValidation>
    <dataValidation allowBlank="1" showInputMessage="1" showErrorMessage="1" prompt="Products/Performance Tasks' Weighted Score (Cognitive Domain)" sqref="AA19:AA68 AA70:AA119" xr:uid="{AFEAE181-2932-486C-B70D-FADB8455306E}"/>
    <dataValidation allowBlank="1" showInputMessage="1" showErrorMessage="1" prompt="Products/Performance Tasks' Percentage Score (Cognitive Domain)" sqref="Z19:Z68 Z70:Z119" xr:uid="{32C38400-4E2F-49F6-A4E2-BB29E4024911}"/>
    <dataValidation allowBlank="1" showInputMessage="1" showErrorMessage="1" prompt="Products/Performance Tasks' Total Score (Cognitive Domain)" sqref="Y19:Y68 Y70:Y119" xr:uid="{55B1D4DD-497A-4DAD-AF45-A2B29BB90E83}"/>
    <dataValidation type="custom" allowBlank="1" showInputMessage="1" showErrorMessage="1" errorTitle="Invalid Input" error="The score cannot be greater than the Highest Possible Score." prompt="Encode Learners' Raw Score." sqref="V19:V68 V70:V119" xr:uid="{4337F5B7-5B59-4E8A-B9A0-2A57FA104BB8}">
      <formula1>V19&lt;=$V$16</formula1>
    </dataValidation>
    <dataValidation type="custom" allowBlank="1" showInputMessage="1" showErrorMessage="1" errorTitle="Invalit Input" error="The score cannot be greater than the Highest Possible Score." prompt="Encode Learners' Raw Score." sqref="J19:J68" xr:uid="{3B6DB799-E1A1-4E93-89F3-449F786A21E4}">
      <formula1>J19&lt;=$J$16</formula1>
    </dataValidation>
    <dataValidation type="custom" allowBlank="1" showInputMessage="1" showErrorMessage="1" errorTitle="Invalid Input" error="The score cannot be greater than the Highest Possible Score" prompt="Encode Learners' Raw Score." sqref="P19:P68" xr:uid="{FFC3D5C2-B01D-4430-9FCB-9F67473E0766}">
      <formula1>P19&lt;=$P$16</formula1>
    </dataValidation>
    <dataValidation type="custom" allowBlank="1" showInputMessage="1" showErrorMessage="1" errorTitle="Invalid Input" error="The score cannot be greater than the Highest Possible Score." prompt="Encode Learners' Raw Score." sqref="N19:N68" xr:uid="{1535BE0E-8AAB-4C76-8030-EEEBC08408C3}">
      <formula1>N19&lt;=$N$16</formula1>
    </dataValidation>
    <dataValidation allowBlank="1" showInputMessage="1" showErrorMessage="1" prompt="Written/Oral Works' Total Score (Affective Domain) " sqref="S19:S68 S70:S119" xr:uid="{CEF5DDA6-7ABE-48D0-B2F6-43B3EB92A6A5}"/>
    <dataValidation type="custom" allowBlank="1" showInputMessage="1" showErrorMessage="1" errorTitle="Invalid Input" error="The score cannot be greater than the Highest Possible Score." prompt="Encode Learners' Raw Score." sqref="I19:I68" xr:uid="{82050034-61E0-4528-AA14-5B14C3BB4179}">
      <formula1>I19&lt;=$I$16</formula1>
    </dataValidation>
    <dataValidation type="custom" allowBlank="1" showInputMessage="1" showErrorMessage="1" errorTitle="Invalid Input" error="The score cannot be greater that the Highest Possible Score." prompt="Encode Learners' Raw Score." sqref="F70:F119" xr:uid="{DC304BEF-82DC-43D2-A181-9E0F3CA08714}">
      <formula1>F70&lt;=$F$16</formula1>
    </dataValidation>
    <dataValidation type="custom" allowBlank="1" showInputMessage="1" showErrorMessage="1" errorTitle="Invalid Input" error="The score cannot be greater that the Highest Possible Score." prompt="Encode Learners' Raw Score." sqref="J70:J119" xr:uid="{237C09B8-B56C-4CEE-BF22-4BA50C0AD37E}">
      <formula1>J70&lt;=$J$16</formula1>
    </dataValidation>
    <dataValidation type="custom" allowBlank="1" showInputMessage="1" showErrorMessage="1" errorTitle="Invalid Input" error="The score cannot be greater that the Highest Possible Score." prompt="Encode Learners' Raw Score." sqref="I70:I119" xr:uid="{96622C81-0293-44E0-83F4-031F964AE9A0}">
      <formula1>I70&lt;=$I$16</formula1>
    </dataValidation>
    <dataValidation type="custom" allowBlank="1" showInputMessage="1" showErrorMessage="1" errorTitle="Invalid Input" error="The score cannot be greater that the Highest Possible Score." prompt="Encode Learners' Raw Score." sqref="H70:H119" xr:uid="{15914175-CFB0-4BEB-8FF3-DCB5DF476C34}">
      <formula1>H70&lt;=$H$16</formula1>
    </dataValidation>
    <dataValidation type="custom" allowBlank="1" showInputMessage="1" showErrorMessage="1" errorTitle="Invalid Input" error="The score cannot be greater that the Highest Possible Score." prompt="Encode Learners' Raw Score." sqref="G70:G119" xr:uid="{CBE2A0B0-BD1B-4520-878F-54514BF27013}">
      <formula1>G70&lt;=$G$16</formula1>
    </dataValidation>
    <dataValidation type="custom" allowBlank="1" showInputMessage="1" showErrorMessage="1" errorTitle="Invalid Input" error="The score cannot be greater than the Highest Possible Score." prompt="Encode Learners' Raw Score." sqref="H19:H68" xr:uid="{BA0B36CE-1039-4A92-9643-B9110255E1D9}">
      <formula1>H19&lt;=$H$16</formula1>
    </dataValidation>
    <dataValidation type="custom" allowBlank="1" showInputMessage="1" showErrorMessage="1" errorTitle="Invalid Input" error="The score cannot be greater than the Highest Possible Score." prompt="Encode Learners' Raw Score." sqref="G19:G68" xr:uid="{03DA69C7-765A-4CAD-8C8B-19E3ECC1E7B9}">
      <formula1>G19&lt;=$G$16</formula1>
    </dataValidation>
    <dataValidation type="custom" allowBlank="1" showInputMessage="1" showErrorMessage="1" errorTitle="Invalid Input" error="The score cannot be greater than the Highest Possible Score." prompt="Encode Learners' Raw Score." sqref="F19:F68" xr:uid="{722A9015-92B7-4527-80A9-B778B712A83B}">
      <formula1>F19&lt;=$F$16</formula1>
    </dataValidation>
    <dataValidation type="custom" allowBlank="1" showInputMessage="1" showErrorMessage="1" errorTitle="Invalid Input" error="The score cannot be greater than the Highest Possible Score." sqref="AP70:AP119" xr:uid="{23737CA2-CFA2-49CB-8F50-7E95C985E18C}">
      <formula1>AP21&lt;=$AP$16</formula1>
    </dataValidation>
    <dataValidation type="custom" allowBlank="1" showInputMessage="1" showErrorMessage="1" errorTitle="Invalid Input" error="The score cannot be greater than the Highest Possible Score." prompt="Encode learners' raw scores." sqref="AP19:AP68" xr:uid="{B3302876-4E0B-4E4B-BAF8-66B97E98F9FE}">
      <formula1>AP19&lt;=$AP$16</formula1>
    </dataValidation>
    <dataValidation type="custom" allowBlank="1" showInputMessage="1" showErrorMessage="1" errorTitle="Invalid Input" error="The score cannot be greater than the Highest Possible Score." sqref="AO70:AO119" xr:uid="{952B23D3-9AAB-47C9-AD5B-B9C7D0548687}">
      <formula1>AO70&lt;=$AO$16</formula1>
    </dataValidation>
    <dataValidation type="custom" allowBlank="1" showInputMessage="1" showErrorMessage="1" errorTitle="Invalid Input" error="The score cannot be greater than the Highest Possible Score." sqref="AN70:AN119" xr:uid="{6275DAB3-EAFC-4210-BA03-9023F9688209}">
      <formula1>AN70&lt;=$AN$16</formula1>
    </dataValidation>
    <dataValidation type="custom" allowBlank="1" showInputMessage="1" showErrorMessage="1" errorTitle="Invalid Input" error="The score cannot be greater than the Highest Possible Score." prompt="Encode learners' raw scores." sqref="AO19:AO68" xr:uid="{20342627-8095-4482-AE53-ACFBEBD104F9}">
      <formula1>AO19&lt;=$AO$16</formula1>
    </dataValidation>
    <dataValidation type="custom" allowBlank="1" showInputMessage="1" showErrorMessage="1" errorTitle="Invalid Input" error="The score cannot be greater than the Highest Possible Score." prompt="Encode learners' raw scores." sqref="AN19:AN68" xr:uid="{E720EE7D-ECE1-45FF-B775-9C480921129D}">
      <formula1>AN19&lt;=$AN$16</formula1>
    </dataValidation>
    <dataValidation type="custom" allowBlank="1" showInputMessage="1" showErrorMessage="1" errorTitle="Invalid Input" error="The score cannot be greater than the Highest Possible Score." prompt="Encode learners' raw score." sqref="AJ70:AJ119 AJ19:AJ68" xr:uid="{FCEA2B77-24AE-45CE-AF22-8BF7F5049FB4}">
      <formula1>AJ19&lt;=$AJ$16</formula1>
    </dataValidation>
    <dataValidation type="custom" allowBlank="1" showInputMessage="1" showErrorMessage="1" errorTitle="Invalid Input" error="The score cannot be greater than the Highest Possible Score." prompt="Encode learners' raw score." sqref="AI70:AI119 AI19:AI68" xr:uid="{A31108EF-36F0-408E-9151-C4C5D5EDAC3C}">
      <formula1>AI19&lt;=$AI$16</formula1>
    </dataValidation>
    <dataValidation type="custom" allowBlank="1" showInputMessage="1" showErrorMessage="1" errorTitle="Invalid Input" error="The score cannot be greater than the Highest Possible Score." prompt="Encode Learners' Raw Score." sqref="R70:R119 R19:R68" xr:uid="{F321B8FB-C82D-4A47-A25B-AD4AADEAF4E8}">
      <formula1>R19&lt;=$R$16</formula1>
    </dataValidation>
    <dataValidation type="custom" allowBlank="1" showInputMessage="1" showErrorMessage="1" errorTitle="Invalid Input" error="The score cannot be greater than the Highest Possible Score." prompt="Encode Learners' Raw Score." sqref="Q70:Q119 Q19:Q68" xr:uid="{243433F6-59BC-4C7B-BB31-80ED0DE288B2}">
      <formula1>Q19&lt;=$Q$16</formula1>
    </dataValidation>
    <dataValidation type="custom" allowBlank="1" showInputMessage="1" showErrorMessage="1" errorTitle="Invalid Input" error="The score cannot be greater than the Highest Possible Score." prompt="Encode Learners' Raw Score." sqref="P70:P119" xr:uid="{B122853E-1B5B-4854-8CD0-CEEB655DDAF9}">
      <formula1>P61&lt;=$P$16</formula1>
    </dataValidation>
    <dataValidation type="custom" allowBlank="1" showInputMessage="1" showErrorMessage="1" errorTitle="Invalid Input" error="The score cannot be greater than the Highest Possible Score." prompt="Encode Learners' Raw Score." sqref="O70:O119" xr:uid="{37649B01-E8F1-47D9-A713-BB2DF4B53557}">
      <formula1>O70&lt;=$O$16</formula1>
    </dataValidation>
    <dataValidation type="custom" allowBlank="1" showInputMessage="1" showErrorMessage="1" errorTitle="Invalid Input" error="The scoure cannot be greater than the Highest Possible Score." prompt="Encode Learners' Raw Score." sqref="O19:O68" xr:uid="{059C078B-92A3-448B-81C9-DCD1C480E7ED}">
      <formula1>O19&lt;=$O$16</formula1>
    </dataValidation>
    <dataValidation type="custom" allowBlank="1" showInputMessage="1" showErrorMessage="1" errorTitle="Invalid Input" error="The score cannot be greater that the Highest Possible Score." prompt="Encode Learners' Raw Score." sqref="N70:N119" xr:uid="{0F009675-7DB9-42F7-ADBC-DDA1BF9A95B4}">
      <formula1>N70&lt;=$N$16</formula1>
    </dataValidation>
    <dataValidation type="custom" allowBlank="1" showInputMessage="1" showErrorMessage="1" errorTitle="Invalid Input" error="The score cannot be greater than the Highest Possible Score." prompt="Encode learners' raw score." sqref="AH70:AH119 AH19:AH68" xr:uid="{7DFD61E5-B642-49D2-8214-AB86B0583532}">
      <formula1>AH19&lt;=$AH$16</formula1>
    </dataValidation>
    <dataValidation type="whole" allowBlank="1" showInputMessage="1" showErrorMessage="1" prompt="Enter Highest Possible Score." sqref="AN16:AP16 AH16:AJ16 N16:R16 F16:J16 V16:X16 AB16:AD16" xr:uid="{C35D3DAC-8104-478D-AC14-CF60766014DD}">
      <formula1>0</formula1>
      <formula2>1000</formula2>
    </dataValidation>
    <dataValidation allowBlank="1" showInputMessage="1" showErrorMessage="1" prompt="Transmuted Term Grade" sqref="AW19:AW68 AW70:AW119" xr:uid="{6736EB26-96CD-4969-A86F-5825C0A59341}"/>
    <dataValidation allowBlank="1" showInputMessage="1" showErrorMessage="1" prompt="INITIAL GRADE" sqref="AV19:AV68 AV70:AV119" xr:uid="{9B520047-4696-4928-B8DC-22F6E27777F3}"/>
    <dataValidation allowBlank="1" showInputMessage="1" showErrorMessage="1" prompt="Examinations' Weighted Score" sqref="AU16 AU19:AU68 AU70:AU119" xr:uid="{FB233C8D-D9CD-477D-82EA-017CFA61F94B}"/>
    <dataValidation allowBlank="1" showInputMessage="1" showErrorMessage="1" prompt="Examinations' Percetage Score" sqref="AT16 AT19:AT68 AT70:AT119" xr:uid="{8E46676A-CB74-40E4-B370-62A5CF81279B}"/>
    <dataValidation allowBlank="1" showInputMessage="1" showErrorMessage="1" prompt="Weighted Score for Term Exam" sqref="AS70:AS119 AS19:AS68 AS16" xr:uid="{BFBA8E71-3DB3-493A-8F11-49294E03BB98}"/>
    <dataValidation allowBlank="1" showInputMessage="1" showErrorMessage="1" prompt="Weighted Score for Summative Test 2" sqref="AR70:AR119 AR19:AR68 AR16" xr:uid="{90B38C67-23C5-4918-8C35-491262BE2D0B}"/>
    <dataValidation allowBlank="1" showInputMessage="1" showErrorMessage="1" prompt="Weighted Score for Summative Test 1" sqref="AQ70:AQ119 AQ16 AQ19:AQ68" xr:uid="{1285E180-2DEB-4221-B80A-B0BCEA6BED33}"/>
    <dataValidation allowBlank="1" showInputMessage="1" showErrorMessage="1" prompt="Products/Performance Tasks' Weighted Score." sqref="AM16 AG16 AA16" xr:uid="{80F55E07-B26D-4711-9CA1-347BF8A4ABF3}"/>
    <dataValidation allowBlank="1" showInputMessage="1" showErrorMessage="1" prompt="Products/Performance Tasks' Percentage Score." sqref="AL16 AF16 Z16" xr:uid="{C38D93B5-8593-4CCA-92B3-15C6D872C268}"/>
    <dataValidation allowBlank="1" showInputMessage="1" showErrorMessage="1" prompt="Written/Oral Works' Weighted Score." sqref="M16 U16" xr:uid="{92621A35-8CF6-4C2B-9752-9AF5EF380700}"/>
    <dataValidation allowBlank="1" showInputMessage="1" showErrorMessage="1" prompt="Written/Oral Works' Percentage Score." sqref="T16 L16" xr:uid="{2DFE5643-D171-4535-A23B-BEA61811B4BC}"/>
    <dataValidation allowBlank="1" showInputMessage="1" showErrorMessage="1" prompt="Products/Performance Tasks' Highest Possible Score." sqref="AK16 AE16 Y16" xr:uid="{DE74B84F-8538-45A0-A66B-EED6C08ABDF4}"/>
    <dataValidation allowBlank="1" showInputMessage="1" showErrorMessage="1" prompt="Written/Oral Works' Highest Possible Score." sqref="S16 K16" xr:uid="{96EFB514-D682-4C0E-BF15-8D0BCB1477CF}"/>
    <dataValidation allowBlank="1" showInputMessage="1" showErrorMessage="1" prompt="Do not type name of learners here. Go to INPUT DATA sheet." sqref="C19:E68 C70:E119" xr:uid="{94142187-653F-4647-A053-798DBE972B20}"/>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E800-BAB6-4A03-BD73-DFF3C5BA0A07}">
  <sheetPr>
    <tabColor rgb="FFFFFF00"/>
    <outlinePr summaryBelow="0" summaryRight="0"/>
    <pageSetUpPr fitToPage="1"/>
  </sheetPr>
  <dimension ref="A1:AZ121"/>
  <sheetViews>
    <sheetView showGridLines="0" zoomScale="85" zoomScaleNormal="85" workbookViewId="0">
      <pane ySplit="16" topLeftCell="A17" activePane="bottomLeft" state="frozen"/>
      <selection pane="bottomLeft" activeCell="A2" sqref="A2"/>
    </sheetView>
  </sheetViews>
  <sheetFormatPr defaultColWidth="12.6640625" defaultRowHeight="15.75" customHeight="1" x14ac:dyDescent="0.25"/>
  <cols>
    <col min="1" max="2" width="3.88671875" style="169" customWidth="1"/>
    <col min="3" max="5" width="12.6640625" style="169"/>
    <col min="6" max="10" width="3.88671875" style="169" customWidth="1"/>
    <col min="11" max="13" width="5.33203125" style="169" customWidth="1"/>
    <col min="14" max="18" width="3.88671875" style="169" customWidth="1"/>
    <col min="19" max="21" width="5.33203125" style="169" customWidth="1"/>
    <col min="22" max="24" width="3.88671875" style="169" customWidth="1"/>
    <col min="25" max="27" width="5.33203125" style="169" customWidth="1"/>
    <col min="28" max="30" width="3.88671875" style="169" customWidth="1"/>
    <col min="31" max="33" width="5.33203125" style="169" customWidth="1"/>
    <col min="34" max="36" width="3.88671875" style="169" customWidth="1"/>
    <col min="37" max="39" width="5.33203125" style="169" customWidth="1"/>
    <col min="40" max="42" width="5.77734375" style="169" customWidth="1"/>
    <col min="43" max="45" width="8" style="169" customWidth="1"/>
    <col min="46" max="47" width="5.77734375" style="169" customWidth="1"/>
    <col min="48" max="48" width="7.33203125" style="169" customWidth="1"/>
    <col min="49" max="49" width="10.109375" style="169" customWidth="1"/>
    <col min="50" max="50" width="14.5546875" style="169" customWidth="1"/>
    <col min="51" max="51" width="12.6640625" style="169" customWidth="1"/>
    <col min="52" max="52" width="3.88671875" style="169" customWidth="1"/>
    <col min="53" max="16384" width="12.6640625" style="169"/>
  </cols>
  <sheetData>
    <row r="1" spans="1:52" ht="15.75" customHeight="1" x14ac:dyDescent="0.5">
      <c r="A1" s="143"/>
      <c r="AZ1" s="145"/>
    </row>
    <row r="2" spans="1:52" ht="15.75" customHeight="1" x14ac:dyDescent="0.25">
      <c r="B2" s="348" t="s">
        <v>68</v>
      </c>
      <c r="C2" s="349"/>
      <c r="D2" s="349"/>
      <c r="E2" s="349"/>
      <c r="F2" s="349"/>
      <c r="G2" s="349"/>
      <c r="H2" s="349"/>
      <c r="I2" s="349"/>
      <c r="J2" s="349"/>
      <c r="K2" s="349"/>
      <c r="L2" s="349"/>
      <c r="M2" s="349"/>
      <c r="N2" s="349"/>
      <c r="O2" s="349"/>
      <c r="P2" s="349"/>
      <c r="Q2" s="349"/>
      <c r="R2" s="349"/>
      <c r="S2" s="349"/>
      <c r="T2" s="349"/>
      <c r="U2" s="349"/>
      <c r="V2" s="349"/>
      <c r="W2" s="349"/>
      <c r="X2" s="349"/>
      <c r="Y2" s="349"/>
      <c r="Z2" s="349"/>
      <c r="AA2" s="349"/>
      <c r="AB2" s="349"/>
      <c r="AC2" s="349"/>
      <c r="AD2" s="349"/>
      <c r="AE2" s="349"/>
      <c r="AF2" s="349"/>
      <c r="AG2" s="349"/>
      <c r="AH2" s="349"/>
      <c r="AI2" s="349"/>
      <c r="AJ2" s="349"/>
      <c r="AK2" s="349"/>
      <c r="AL2" s="349"/>
      <c r="AM2" s="349"/>
      <c r="AN2" s="349"/>
      <c r="AO2" s="349"/>
      <c r="AP2" s="349"/>
      <c r="AQ2" s="349"/>
      <c r="AR2" s="349"/>
      <c r="AS2" s="349"/>
      <c r="AT2" s="349"/>
      <c r="AU2" s="349"/>
      <c r="AV2" s="349"/>
      <c r="AW2" s="349"/>
      <c r="AX2" s="349"/>
      <c r="AZ2" s="145"/>
    </row>
    <row r="3" spans="1:52" ht="15.75" customHeight="1" x14ac:dyDescent="0.25">
      <c r="B3" s="349"/>
      <c r="C3" s="349"/>
      <c r="D3" s="349"/>
      <c r="E3" s="349"/>
      <c r="F3" s="349"/>
      <c r="G3" s="349"/>
      <c r="H3" s="349"/>
      <c r="I3" s="349"/>
      <c r="J3" s="349"/>
      <c r="K3" s="349"/>
      <c r="L3" s="349"/>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Z3" s="145"/>
    </row>
    <row r="4" spans="1:52" ht="15.75" customHeight="1" thickBot="1" x14ac:dyDescent="0.3">
      <c r="AZ4" s="145"/>
    </row>
    <row r="5" spans="1:52" ht="15.75" customHeight="1" thickBot="1" x14ac:dyDescent="0.35">
      <c r="A5" s="168"/>
      <c r="B5" s="168"/>
      <c r="C5" s="168"/>
      <c r="D5" s="147"/>
      <c r="E5" s="152" t="s">
        <v>1</v>
      </c>
      <c r="F5" s="301">
        <f>'INPUT DATA'!E10</f>
        <v>0</v>
      </c>
      <c r="G5" s="302"/>
      <c r="H5" s="302"/>
      <c r="I5" s="302"/>
      <c r="J5" s="302"/>
      <c r="K5" s="302"/>
      <c r="L5" s="302"/>
      <c r="M5" s="302"/>
      <c r="N5" s="302"/>
      <c r="O5" s="302"/>
      <c r="P5" s="302"/>
      <c r="Q5" s="302"/>
      <c r="R5" s="302"/>
      <c r="S5" s="302"/>
      <c r="T5" s="303"/>
      <c r="U5" s="153"/>
      <c r="V5" s="153"/>
      <c r="W5" s="153"/>
      <c r="X5" s="258"/>
      <c r="Y5" s="156" t="s">
        <v>3</v>
      </c>
      <c r="Z5" s="304">
        <f>'INPUT DATA'!E11</f>
        <v>0</v>
      </c>
      <c r="AA5" s="305"/>
      <c r="AB5" s="305"/>
      <c r="AC5" s="305"/>
      <c r="AD5" s="305"/>
      <c r="AE5" s="305"/>
      <c r="AF5" s="305"/>
      <c r="AG5" s="305"/>
      <c r="AH5" s="305"/>
      <c r="AI5" s="305"/>
      <c r="AJ5" s="306"/>
      <c r="AK5" s="259"/>
      <c r="AL5" s="257"/>
      <c r="AM5" s="257"/>
      <c r="AN5" s="257"/>
      <c r="AO5" s="257"/>
      <c r="AP5" s="152" t="s">
        <v>4</v>
      </c>
      <c r="AQ5" s="343">
        <f>'INPUT DATA'!E13</f>
        <v>0</v>
      </c>
      <c r="AR5" s="344"/>
      <c r="AS5" s="345"/>
      <c r="AW5" s="168"/>
      <c r="AX5" s="168"/>
      <c r="AY5" s="168"/>
      <c r="AZ5" s="148"/>
    </row>
    <row r="6" spans="1:52" ht="6" customHeight="1" thickBot="1" x14ac:dyDescent="0.35">
      <c r="A6" s="168"/>
      <c r="B6" s="168"/>
      <c r="C6" s="168"/>
      <c r="D6" s="147"/>
      <c r="E6" s="152"/>
      <c r="F6" s="252"/>
      <c r="G6" s="252"/>
      <c r="H6" s="252"/>
      <c r="I6" s="252"/>
      <c r="J6" s="252"/>
      <c r="K6" s="252"/>
      <c r="L6" s="252"/>
      <c r="M6" s="252"/>
      <c r="N6" s="253"/>
      <c r="O6" s="254"/>
      <c r="P6" s="254"/>
      <c r="Q6" s="254"/>
      <c r="R6" s="254"/>
      <c r="S6" s="254"/>
      <c r="T6" s="254"/>
      <c r="U6" s="255"/>
      <c r="V6" s="255"/>
      <c r="W6" s="255"/>
      <c r="X6" s="255"/>
      <c r="Y6" s="255"/>
      <c r="Z6" s="255"/>
      <c r="AA6" s="255"/>
      <c r="AB6" s="255"/>
      <c r="AC6" s="255"/>
      <c r="AD6" s="255"/>
      <c r="AE6" s="255"/>
      <c r="AF6" s="255"/>
      <c r="AG6" s="255"/>
      <c r="AH6" s="255"/>
      <c r="AI6" s="256"/>
      <c r="AJ6" s="256"/>
      <c r="AK6" s="252"/>
      <c r="AL6" s="253"/>
      <c r="AM6" s="254"/>
      <c r="AN6" s="254"/>
      <c r="AO6" s="254"/>
      <c r="AP6" s="152"/>
      <c r="AQ6" s="154"/>
      <c r="AR6" s="155"/>
      <c r="AS6" s="155"/>
      <c r="AW6" s="168"/>
      <c r="AX6" s="168"/>
      <c r="AY6" s="168"/>
      <c r="AZ6" s="148"/>
    </row>
    <row r="7" spans="1:52" ht="15.75" customHeight="1" thickBot="1" x14ac:dyDescent="0.35">
      <c r="A7" s="168"/>
      <c r="B7" s="168"/>
      <c r="C7" s="168"/>
      <c r="D7" s="147"/>
      <c r="E7" s="152" t="s">
        <v>6</v>
      </c>
      <c r="F7" s="301">
        <f>'INPUT DATA'!E14</f>
        <v>0</v>
      </c>
      <c r="G7" s="302"/>
      <c r="H7" s="302"/>
      <c r="I7" s="302"/>
      <c r="J7" s="302"/>
      <c r="K7" s="302"/>
      <c r="L7" s="302"/>
      <c r="M7" s="302"/>
      <c r="N7" s="302"/>
      <c r="O7" s="302"/>
      <c r="P7" s="302"/>
      <c r="Q7" s="302"/>
      <c r="R7" s="302"/>
      <c r="S7" s="302"/>
      <c r="T7" s="302"/>
      <c r="U7" s="302"/>
      <c r="V7" s="302"/>
      <c r="W7" s="302"/>
      <c r="X7" s="302"/>
      <c r="Y7" s="302"/>
      <c r="Z7" s="302"/>
      <c r="AA7" s="302"/>
      <c r="AB7" s="302"/>
      <c r="AC7" s="302"/>
      <c r="AD7" s="302"/>
      <c r="AE7" s="302"/>
      <c r="AF7" s="302"/>
      <c r="AG7" s="302"/>
      <c r="AH7" s="302"/>
      <c r="AI7" s="302"/>
      <c r="AJ7" s="303"/>
      <c r="AK7" s="257"/>
      <c r="AL7" s="257"/>
      <c r="AM7" s="257"/>
      <c r="AN7" s="257"/>
      <c r="AO7" s="257"/>
      <c r="AP7" s="152" t="s">
        <v>7</v>
      </c>
      <c r="AQ7" s="343">
        <f>'INPUT DATA'!E15</f>
        <v>0</v>
      </c>
      <c r="AR7" s="344"/>
      <c r="AS7" s="345"/>
      <c r="AW7" s="168"/>
      <c r="AX7" s="168"/>
      <c r="AY7" s="168"/>
      <c r="AZ7" s="148"/>
    </row>
    <row r="8" spans="1:52" ht="13.8" thickBot="1" x14ac:dyDescent="0.3">
      <c r="A8" s="168"/>
      <c r="B8" s="168"/>
      <c r="C8" s="168"/>
      <c r="D8" s="168"/>
      <c r="E8" s="168"/>
      <c r="F8" s="168"/>
      <c r="G8" s="168"/>
      <c r="H8" s="168"/>
      <c r="I8" s="168"/>
      <c r="J8" s="168"/>
      <c r="K8" s="168"/>
      <c r="L8" s="168"/>
      <c r="M8" s="168"/>
      <c r="N8" s="168"/>
      <c r="O8" s="168"/>
      <c r="P8" s="168"/>
      <c r="Q8" s="168"/>
      <c r="R8" s="168"/>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68"/>
      <c r="AS8" s="168"/>
      <c r="AT8" s="168"/>
      <c r="AU8" s="168"/>
      <c r="AV8" s="168"/>
      <c r="AW8" s="168"/>
      <c r="AX8" s="168"/>
      <c r="AY8" s="168"/>
      <c r="AZ8" s="148"/>
    </row>
    <row r="9" spans="1:52" ht="15.75" customHeight="1" thickBot="1" x14ac:dyDescent="0.35">
      <c r="A9" s="168"/>
      <c r="B9" s="350"/>
      <c r="C9" s="351"/>
      <c r="D9" s="351"/>
      <c r="E9" s="351"/>
      <c r="F9" s="351"/>
      <c r="G9" s="351"/>
      <c r="H9" s="351"/>
      <c r="I9" s="351"/>
      <c r="J9" s="351"/>
      <c r="K9" s="351"/>
      <c r="L9" s="351"/>
      <c r="M9" s="351"/>
      <c r="N9" s="351"/>
      <c r="O9" s="351"/>
      <c r="P9" s="351"/>
      <c r="Q9" s="351"/>
      <c r="R9" s="351"/>
      <c r="S9" s="351"/>
      <c r="T9" s="351"/>
      <c r="U9" s="351"/>
      <c r="V9" s="351"/>
      <c r="W9" s="351"/>
      <c r="X9" s="351"/>
      <c r="Y9" s="351"/>
      <c r="Z9" s="351"/>
      <c r="AA9" s="351"/>
      <c r="AB9" s="351"/>
      <c r="AC9" s="351"/>
      <c r="AD9" s="351"/>
      <c r="AE9" s="351"/>
      <c r="AF9" s="351"/>
      <c r="AG9" s="351"/>
      <c r="AH9" s="351"/>
      <c r="AI9" s="351"/>
      <c r="AJ9" s="351"/>
      <c r="AK9" s="351"/>
      <c r="AL9" s="351"/>
      <c r="AM9" s="351"/>
      <c r="AN9" s="351"/>
      <c r="AO9" s="351"/>
      <c r="AP9" s="351"/>
      <c r="AQ9" s="351"/>
      <c r="AR9" s="351"/>
      <c r="AS9" s="351"/>
      <c r="AT9" s="351"/>
      <c r="AU9" s="351"/>
      <c r="AV9" s="351"/>
      <c r="AW9" s="351"/>
      <c r="AX9" s="352"/>
      <c r="AY9" s="168"/>
      <c r="AZ9" s="149"/>
    </row>
    <row r="10" spans="1:52" ht="14.4" thickBot="1" x14ac:dyDescent="0.3">
      <c r="A10" s="168"/>
      <c r="B10" s="373" t="s">
        <v>61</v>
      </c>
      <c r="C10" s="374"/>
      <c r="D10" s="374"/>
      <c r="E10" s="375"/>
      <c r="F10" s="382" t="s">
        <v>11</v>
      </c>
      <c r="G10" s="383"/>
      <c r="H10" s="383"/>
      <c r="I10" s="383"/>
      <c r="J10" s="387">
        <f>'INPUT DATA'!E25</f>
        <v>0</v>
      </c>
      <c r="K10" s="388"/>
      <c r="L10" s="388"/>
      <c r="M10" s="388"/>
      <c r="N10" s="388"/>
      <c r="O10" s="388"/>
      <c r="P10" s="388"/>
      <c r="Q10" s="388"/>
      <c r="R10" s="388"/>
      <c r="S10" s="388"/>
      <c r="T10" s="388"/>
      <c r="U10" s="389"/>
      <c r="V10" s="325" t="s">
        <v>12</v>
      </c>
      <c r="W10" s="326"/>
      <c r="X10" s="326"/>
      <c r="Y10" s="326"/>
      <c r="Z10" s="327"/>
      <c r="AA10" s="335">
        <f>'INPUT DATA'!E23</f>
        <v>0</v>
      </c>
      <c r="AB10" s="331"/>
      <c r="AC10" s="331"/>
      <c r="AD10" s="331"/>
      <c r="AE10" s="331"/>
      <c r="AF10" s="331"/>
      <c r="AG10" s="331"/>
      <c r="AH10" s="331"/>
      <c r="AI10" s="331"/>
      <c r="AJ10" s="331"/>
      <c r="AK10" s="331"/>
      <c r="AL10" s="331"/>
      <c r="AM10" s="336"/>
      <c r="AN10" s="325" t="s">
        <v>13</v>
      </c>
      <c r="AO10" s="326"/>
      <c r="AP10" s="326"/>
      <c r="AQ10" s="327"/>
      <c r="AR10" s="331">
        <f>'INPUT DATA'!E24</f>
        <v>0</v>
      </c>
      <c r="AS10" s="331"/>
      <c r="AT10" s="331"/>
      <c r="AU10" s="331"/>
      <c r="AV10" s="331"/>
      <c r="AW10" s="331"/>
      <c r="AX10" s="332"/>
      <c r="AY10" s="168"/>
      <c r="AZ10" s="148"/>
    </row>
    <row r="11" spans="1:52" ht="14.4" thickBot="1" x14ac:dyDescent="0.3">
      <c r="A11" s="168"/>
      <c r="B11" s="376"/>
      <c r="C11" s="377"/>
      <c r="D11" s="377"/>
      <c r="E11" s="375"/>
      <c r="F11" s="384" t="s">
        <v>14</v>
      </c>
      <c r="G11" s="385"/>
      <c r="H11" s="385"/>
      <c r="I11" s="386"/>
      <c r="J11" s="390">
        <f>'INPUT DATA'!E26</f>
        <v>0</v>
      </c>
      <c r="K11" s="391"/>
      <c r="L11" s="391"/>
      <c r="M11" s="391"/>
      <c r="N11" s="391"/>
      <c r="O11" s="391"/>
      <c r="P11" s="391"/>
      <c r="Q11" s="391"/>
      <c r="R11" s="391"/>
      <c r="S11" s="391"/>
      <c r="T11" s="391"/>
      <c r="U11" s="391"/>
      <c r="V11" s="328"/>
      <c r="W11" s="329"/>
      <c r="X11" s="329"/>
      <c r="Y11" s="329"/>
      <c r="Z11" s="330"/>
      <c r="AA11" s="337"/>
      <c r="AB11" s="338"/>
      <c r="AC11" s="338"/>
      <c r="AD11" s="338"/>
      <c r="AE11" s="338"/>
      <c r="AF11" s="338"/>
      <c r="AG11" s="338"/>
      <c r="AH11" s="338"/>
      <c r="AI11" s="338"/>
      <c r="AJ11" s="338"/>
      <c r="AK11" s="338"/>
      <c r="AL11" s="338"/>
      <c r="AM11" s="339"/>
      <c r="AN11" s="328"/>
      <c r="AO11" s="329"/>
      <c r="AP11" s="329"/>
      <c r="AQ11" s="330"/>
      <c r="AR11" s="333"/>
      <c r="AS11" s="333"/>
      <c r="AT11" s="333"/>
      <c r="AU11" s="333"/>
      <c r="AV11" s="333"/>
      <c r="AW11" s="333"/>
      <c r="AX11" s="334"/>
      <c r="AY11" s="168"/>
      <c r="AZ11" s="148"/>
    </row>
    <row r="12" spans="1:52" ht="13.2" customHeight="1" x14ac:dyDescent="0.25">
      <c r="A12" s="168"/>
      <c r="B12" s="376"/>
      <c r="C12" s="377"/>
      <c r="D12" s="377"/>
      <c r="E12" s="374"/>
      <c r="F12" s="325" t="s">
        <v>66</v>
      </c>
      <c r="G12" s="326"/>
      <c r="H12" s="326"/>
      <c r="I12" s="326"/>
      <c r="J12" s="326"/>
      <c r="K12" s="326"/>
      <c r="L12" s="326"/>
      <c r="M12" s="326"/>
      <c r="N12" s="326"/>
      <c r="O12" s="326"/>
      <c r="P12" s="326"/>
      <c r="Q12" s="326"/>
      <c r="R12" s="326"/>
      <c r="S12" s="326"/>
      <c r="T12" s="326"/>
      <c r="U12" s="327"/>
      <c r="V12" s="310" t="s">
        <v>64</v>
      </c>
      <c r="W12" s="311"/>
      <c r="X12" s="311"/>
      <c r="Y12" s="311"/>
      <c r="Z12" s="311"/>
      <c r="AA12" s="311"/>
      <c r="AB12" s="311"/>
      <c r="AC12" s="311"/>
      <c r="AD12" s="311"/>
      <c r="AE12" s="311"/>
      <c r="AF12" s="311"/>
      <c r="AG12" s="311"/>
      <c r="AH12" s="311"/>
      <c r="AI12" s="311"/>
      <c r="AJ12" s="311"/>
      <c r="AK12" s="311"/>
      <c r="AL12" s="311"/>
      <c r="AM12" s="312"/>
      <c r="AN12" s="313" t="s">
        <v>67</v>
      </c>
      <c r="AO12" s="314"/>
      <c r="AP12" s="314"/>
      <c r="AQ12" s="314"/>
      <c r="AR12" s="319"/>
      <c r="AS12" s="319"/>
      <c r="AT12" s="319"/>
      <c r="AU12" s="320"/>
      <c r="AV12" s="340" t="s">
        <v>15</v>
      </c>
      <c r="AW12" s="340" t="s">
        <v>16</v>
      </c>
      <c r="AX12" s="340" t="s">
        <v>17</v>
      </c>
      <c r="AY12" s="168"/>
      <c r="AZ12" s="148"/>
    </row>
    <row r="13" spans="1:52" ht="14.4" customHeight="1" thickBot="1" x14ac:dyDescent="0.3">
      <c r="A13" s="168"/>
      <c r="B13" s="376"/>
      <c r="C13" s="377"/>
      <c r="D13" s="377"/>
      <c r="E13" s="374"/>
      <c r="F13" s="392"/>
      <c r="G13" s="393"/>
      <c r="H13" s="393"/>
      <c r="I13" s="393"/>
      <c r="J13" s="393"/>
      <c r="K13" s="393"/>
      <c r="L13" s="393"/>
      <c r="M13" s="393"/>
      <c r="N13" s="393"/>
      <c r="O13" s="393"/>
      <c r="P13" s="393"/>
      <c r="Q13" s="393"/>
      <c r="R13" s="393"/>
      <c r="S13" s="393"/>
      <c r="T13" s="393"/>
      <c r="U13" s="394"/>
      <c r="V13" s="313"/>
      <c r="W13" s="314"/>
      <c r="X13" s="314"/>
      <c r="Y13" s="314"/>
      <c r="Z13" s="314"/>
      <c r="AA13" s="314"/>
      <c r="AB13" s="314"/>
      <c r="AC13" s="314"/>
      <c r="AD13" s="314"/>
      <c r="AE13" s="314"/>
      <c r="AF13" s="314"/>
      <c r="AG13" s="314"/>
      <c r="AH13" s="314"/>
      <c r="AI13" s="314"/>
      <c r="AJ13" s="314"/>
      <c r="AK13" s="314"/>
      <c r="AL13" s="314"/>
      <c r="AM13" s="315"/>
      <c r="AN13" s="313"/>
      <c r="AO13" s="314"/>
      <c r="AP13" s="314"/>
      <c r="AQ13" s="314"/>
      <c r="AR13" s="314"/>
      <c r="AS13" s="314"/>
      <c r="AT13" s="314"/>
      <c r="AU13" s="321"/>
      <c r="AV13" s="341"/>
      <c r="AW13" s="341"/>
      <c r="AX13" s="341"/>
      <c r="AY13" s="168"/>
      <c r="AZ13" s="148"/>
    </row>
    <row r="14" spans="1:52" ht="13.8" thickBot="1" x14ac:dyDescent="0.3">
      <c r="A14" s="168"/>
      <c r="B14" s="378"/>
      <c r="C14" s="377"/>
      <c r="D14" s="377"/>
      <c r="E14" s="374"/>
      <c r="F14" s="307" t="s">
        <v>62</v>
      </c>
      <c r="G14" s="308"/>
      <c r="H14" s="308"/>
      <c r="I14" s="308"/>
      <c r="J14" s="308"/>
      <c r="K14" s="308"/>
      <c r="L14" s="308"/>
      <c r="M14" s="395"/>
      <c r="N14" s="307" t="s">
        <v>63</v>
      </c>
      <c r="O14" s="308"/>
      <c r="P14" s="308"/>
      <c r="Q14" s="308"/>
      <c r="R14" s="308"/>
      <c r="S14" s="308"/>
      <c r="T14" s="308"/>
      <c r="U14" s="309"/>
      <c r="V14" s="307" t="s">
        <v>62</v>
      </c>
      <c r="W14" s="308"/>
      <c r="X14" s="308"/>
      <c r="Y14" s="308"/>
      <c r="Z14" s="308"/>
      <c r="AA14" s="309"/>
      <c r="AB14" s="307" t="s">
        <v>63</v>
      </c>
      <c r="AC14" s="308"/>
      <c r="AD14" s="308"/>
      <c r="AE14" s="308"/>
      <c r="AF14" s="308"/>
      <c r="AG14" s="309"/>
      <c r="AH14" s="316" t="s">
        <v>65</v>
      </c>
      <c r="AI14" s="317"/>
      <c r="AJ14" s="317"/>
      <c r="AK14" s="317"/>
      <c r="AL14" s="317"/>
      <c r="AM14" s="318"/>
      <c r="AN14" s="322"/>
      <c r="AO14" s="323"/>
      <c r="AP14" s="323"/>
      <c r="AQ14" s="323"/>
      <c r="AR14" s="323"/>
      <c r="AS14" s="323"/>
      <c r="AT14" s="323"/>
      <c r="AU14" s="324"/>
      <c r="AV14" s="341"/>
      <c r="AW14" s="341"/>
      <c r="AX14" s="341"/>
      <c r="AY14" s="168"/>
      <c r="AZ14" s="148"/>
    </row>
    <row r="15" spans="1:52" ht="13.8" thickBot="1" x14ac:dyDescent="0.3">
      <c r="A15" s="168"/>
      <c r="B15" s="376"/>
      <c r="C15" s="377"/>
      <c r="D15" s="377"/>
      <c r="E15" s="374"/>
      <c r="F15" s="209">
        <v>1</v>
      </c>
      <c r="G15" s="210">
        <v>2</v>
      </c>
      <c r="H15" s="210">
        <v>3</v>
      </c>
      <c r="I15" s="210">
        <v>4</v>
      </c>
      <c r="J15" s="211">
        <v>5</v>
      </c>
      <c r="K15" s="212" t="s">
        <v>19</v>
      </c>
      <c r="L15" s="212" t="s">
        <v>20</v>
      </c>
      <c r="M15" s="213" t="s">
        <v>21</v>
      </c>
      <c r="N15" s="209">
        <v>1</v>
      </c>
      <c r="O15" s="210">
        <v>2</v>
      </c>
      <c r="P15" s="210">
        <v>3</v>
      </c>
      <c r="Q15" s="210">
        <v>4</v>
      </c>
      <c r="R15" s="211">
        <v>5</v>
      </c>
      <c r="S15" s="212" t="s">
        <v>19</v>
      </c>
      <c r="T15" s="212" t="s">
        <v>20</v>
      </c>
      <c r="U15" s="213" t="s">
        <v>21</v>
      </c>
      <c r="V15" s="222">
        <v>1</v>
      </c>
      <c r="W15" s="223">
        <v>2</v>
      </c>
      <c r="X15" s="223">
        <v>3</v>
      </c>
      <c r="Y15" s="224" t="s">
        <v>19</v>
      </c>
      <c r="Z15" s="224" t="s">
        <v>20</v>
      </c>
      <c r="AA15" s="225" t="s">
        <v>21</v>
      </c>
      <c r="AB15" s="222">
        <v>1</v>
      </c>
      <c r="AC15" s="223">
        <v>2</v>
      </c>
      <c r="AD15" s="223">
        <v>3</v>
      </c>
      <c r="AE15" s="224" t="s">
        <v>19</v>
      </c>
      <c r="AF15" s="224" t="s">
        <v>20</v>
      </c>
      <c r="AG15" s="225" t="s">
        <v>21</v>
      </c>
      <c r="AH15" s="179">
        <v>1</v>
      </c>
      <c r="AI15" s="177">
        <v>2</v>
      </c>
      <c r="AJ15" s="177">
        <v>3</v>
      </c>
      <c r="AK15" s="178" t="s">
        <v>19</v>
      </c>
      <c r="AL15" s="178" t="s">
        <v>20</v>
      </c>
      <c r="AM15" s="180" t="s">
        <v>21</v>
      </c>
      <c r="AN15" s="171" t="s">
        <v>22</v>
      </c>
      <c r="AO15" s="124" t="s">
        <v>23</v>
      </c>
      <c r="AP15" s="125" t="s">
        <v>24</v>
      </c>
      <c r="AQ15" s="127" t="s">
        <v>25</v>
      </c>
      <c r="AR15" s="128" t="s">
        <v>26</v>
      </c>
      <c r="AS15" s="129" t="s">
        <v>27</v>
      </c>
      <c r="AT15" s="126" t="s">
        <v>20</v>
      </c>
      <c r="AU15" s="126" t="s">
        <v>21</v>
      </c>
      <c r="AV15" s="341"/>
      <c r="AW15" s="341"/>
      <c r="AX15" s="341"/>
      <c r="AY15" s="168"/>
      <c r="AZ15" s="148"/>
    </row>
    <row r="16" spans="1:52" ht="14.4" thickBot="1" x14ac:dyDescent="0.3">
      <c r="A16" s="168"/>
      <c r="B16" s="379" t="s">
        <v>28</v>
      </c>
      <c r="C16" s="380"/>
      <c r="D16" s="380"/>
      <c r="E16" s="381"/>
      <c r="F16" s="206"/>
      <c r="G16" s="207"/>
      <c r="H16" s="207"/>
      <c r="I16" s="207"/>
      <c r="J16" s="208"/>
      <c r="K16" s="173" t="str">
        <f>IF(COUNT($F16:$J16)=0,"",SUM($F16:$J16))</f>
        <v/>
      </c>
      <c r="L16" s="174">
        <v>100</v>
      </c>
      <c r="M16" s="175">
        <v>0.1</v>
      </c>
      <c r="N16" s="206"/>
      <c r="O16" s="207"/>
      <c r="P16" s="207"/>
      <c r="Q16" s="207"/>
      <c r="R16" s="208"/>
      <c r="S16" s="173" t="str">
        <f>IF(COUNT($N16:$R16)=0,"",SUM($N16:$R16))</f>
        <v/>
      </c>
      <c r="T16" s="174">
        <v>100</v>
      </c>
      <c r="U16" s="176">
        <v>0.1</v>
      </c>
      <c r="V16" s="181"/>
      <c r="W16" s="182"/>
      <c r="X16" s="182"/>
      <c r="Y16" s="183" t="str">
        <f>IF(COUNT($V16:$X16)=0,"",SUM($V16:$X16))</f>
        <v/>
      </c>
      <c r="Z16" s="184">
        <v>100</v>
      </c>
      <c r="AA16" s="185">
        <v>0.1</v>
      </c>
      <c r="AB16" s="181"/>
      <c r="AC16" s="182"/>
      <c r="AD16" s="182"/>
      <c r="AE16" s="183" t="str">
        <f>IF(COUNT($AB16:$AD16)=0,"",SUM($AB16:$AD16))</f>
        <v/>
      </c>
      <c r="AF16" s="184">
        <v>100</v>
      </c>
      <c r="AG16" s="185">
        <v>0.1</v>
      </c>
      <c r="AH16" s="181"/>
      <c r="AI16" s="182"/>
      <c r="AJ16" s="182"/>
      <c r="AK16" s="183" t="str">
        <f>IF(COUNT($AH16:$AJ16)=0,"",SUM($AH16:$AJ16))</f>
        <v/>
      </c>
      <c r="AL16" s="184">
        <v>100</v>
      </c>
      <c r="AM16" s="185">
        <v>0.3</v>
      </c>
      <c r="AN16" s="172"/>
      <c r="AO16" s="150"/>
      <c r="AP16" s="151"/>
      <c r="AQ16" s="135">
        <v>30</v>
      </c>
      <c r="AR16" s="136">
        <v>30</v>
      </c>
      <c r="AS16" s="137">
        <v>40</v>
      </c>
      <c r="AT16" s="122">
        <v>100</v>
      </c>
      <c r="AU16" s="123">
        <v>0.3</v>
      </c>
      <c r="AV16" s="342"/>
      <c r="AW16" s="342"/>
      <c r="AX16" s="342"/>
      <c r="AY16" s="168"/>
      <c r="AZ16" s="148"/>
    </row>
    <row r="17" spans="1:52" ht="14.4" thickBot="1" x14ac:dyDescent="0.3">
      <c r="A17" s="168"/>
      <c r="B17" s="366" t="s">
        <v>2</v>
      </c>
      <c r="C17" s="367"/>
      <c r="D17" s="367"/>
      <c r="E17" s="367"/>
      <c r="F17" s="368"/>
      <c r="G17" s="368"/>
      <c r="H17" s="368"/>
      <c r="I17" s="368"/>
      <c r="J17" s="368"/>
      <c r="K17" s="368"/>
      <c r="L17" s="368"/>
      <c r="M17" s="368"/>
      <c r="N17" s="368"/>
      <c r="O17" s="368"/>
      <c r="P17" s="368"/>
      <c r="Q17" s="368"/>
      <c r="R17" s="368"/>
      <c r="S17" s="368"/>
      <c r="T17" s="368"/>
      <c r="U17" s="368"/>
      <c r="V17" s="368"/>
      <c r="W17" s="368"/>
      <c r="X17" s="368"/>
      <c r="Y17" s="368"/>
      <c r="Z17" s="368"/>
      <c r="AA17" s="368"/>
      <c r="AB17" s="368"/>
      <c r="AC17" s="368"/>
      <c r="AD17" s="368"/>
      <c r="AE17" s="368"/>
      <c r="AF17" s="368"/>
      <c r="AG17" s="368"/>
      <c r="AH17" s="368"/>
      <c r="AI17" s="368"/>
      <c r="AJ17" s="368"/>
      <c r="AK17" s="368"/>
      <c r="AL17" s="368"/>
      <c r="AM17" s="368"/>
      <c r="AN17" s="367"/>
      <c r="AO17" s="367"/>
      <c r="AP17" s="367"/>
      <c r="AQ17" s="367"/>
      <c r="AR17" s="367"/>
      <c r="AS17" s="367"/>
      <c r="AT17" s="367"/>
      <c r="AU17" s="367"/>
      <c r="AV17" s="367"/>
      <c r="AW17" s="367"/>
      <c r="AX17" s="369"/>
      <c r="AY17" s="168"/>
      <c r="AZ17" s="148"/>
    </row>
    <row r="18" spans="1:52" ht="14.4" thickBot="1" x14ac:dyDescent="0.3">
      <c r="A18" s="168"/>
      <c r="B18" s="370" t="s">
        <v>8</v>
      </c>
      <c r="C18" s="358"/>
      <c r="D18" s="358"/>
      <c r="E18" s="358"/>
      <c r="F18" s="360"/>
      <c r="G18" s="360"/>
      <c r="H18" s="360"/>
      <c r="I18" s="360"/>
      <c r="J18" s="360"/>
      <c r="K18" s="360"/>
      <c r="L18" s="360"/>
      <c r="M18" s="360"/>
      <c r="N18" s="358"/>
      <c r="O18" s="358"/>
      <c r="P18" s="358"/>
      <c r="Q18" s="358"/>
      <c r="R18" s="358"/>
      <c r="S18" s="360"/>
      <c r="T18" s="360"/>
      <c r="U18" s="360"/>
      <c r="V18" s="360"/>
      <c r="W18" s="360"/>
      <c r="X18" s="360"/>
      <c r="Y18" s="360"/>
      <c r="Z18" s="360"/>
      <c r="AA18" s="360"/>
      <c r="AB18" s="360"/>
      <c r="AC18" s="360"/>
      <c r="AD18" s="360"/>
      <c r="AE18" s="360"/>
      <c r="AF18" s="360"/>
      <c r="AG18" s="360"/>
      <c r="AH18" s="358"/>
      <c r="AI18" s="358"/>
      <c r="AJ18" s="358"/>
      <c r="AK18" s="358"/>
      <c r="AL18" s="358"/>
      <c r="AM18" s="358"/>
      <c r="AN18" s="360"/>
      <c r="AO18" s="360"/>
      <c r="AP18" s="360"/>
      <c r="AQ18" s="358"/>
      <c r="AR18" s="358"/>
      <c r="AS18" s="358"/>
      <c r="AT18" s="358"/>
      <c r="AU18" s="358"/>
      <c r="AV18" s="358"/>
      <c r="AW18" s="358"/>
      <c r="AX18" s="361"/>
      <c r="AY18" s="168"/>
      <c r="AZ18" s="148"/>
    </row>
    <row r="19" spans="1:52" ht="15" customHeight="1" x14ac:dyDescent="0.25">
      <c r="A19" s="168"/>
      <c r="B19" s="98">
        <v>1</v>
      </c>
      <c r="C19" s="371" t="str">
        <f>IF('INPUT DATA'!K11="","",'INPUT DATA'!K11)</f>
        <v/>
      </c>
      <c r="D19" s="372"/>
      <c r="E19" s="372"/>
      <c r="F19" s="249"/>
      <c r="G19" s="250"/>
      <c r="H19" s="250"/>
      <c r="I19" s="250"/>
      <c r="J19" s="251"/>
      <c r="K19" s="193" t="str">
        <f>IF(COUNT($F19:$J19)=0,"",SUM($F19:$J19))</f>
        <v/>
      </c>
      <c r="L19" s="191" t="str">
        <f>IF(ISERROR(IF($K19="","",ROUND(($K19/$K$16)*$L$16,2))),"",IF($K19="","",ROUND(($K19/$K$16)*$L$16,2)))</f>
        <v/>
      </c>
      <c r="M19" s="192" t="str">
        <f>IF($L19="","",ROUND($L19*$M$16,2))</f>
        <v/>
      </c>
      <c r="N19" s="99"/>
      <c r="O19" s="100"/>
      <c r="P19" s="101"/>
      <c r="Q19" s="101"/>
      <c r="R19" s="102"/>
      <c r="S19" s="214" t="str">
        <f t="shared" ref="S19:S68" si="0">IF(COUNT($N19:$R19)=0,"",SUM($N19:$R19))</f>
        <v/>
      </c>
      <c r="T19" s="215" t="str">
        <f t="shared" ref="T19:T68" si="1">IF(ISERROR(IF($S19="","",ROUND(($S19/$S$16)*$T$16,2))),"",IF($S19="","",ROUND(($S19/$S$16)*$T$16,2)))</f>
        <v/>
      </c>
      <c r="U19" s="216" t="str">
        <f t="shared" ref="U19:U68" si="2">IF($T19="","",ROUND($T19*$U$16,2))</f>
        <v/>
      </c>
      <c r="V19" s="227"/>
      <c r="W19" s="228"/>
      <c r="X19" s="235"/>
      <c r="Y19" s="196" t="str">
        <f>IF(COUNT($V19:$X19)=0,"",SUM($V19:$X19))</f>
        <v/>
      </c>
      <c r="Z19" s="186" t="str">
        <f>IF(ISERROR(IF($Y19="","",ROUND(($Y19/$Y$16)*$Z$16,2))),"",IF($Y19="","",ROUND(($Y19/$Y$16)*$Z$16,2)))</f>
        <v/>
      </c>
      <c r="AA19" s="187" t="str">
        <f>IF($Z19="","",ROUND($Z19*$AA$16,2))</f>
        <v/>
      </c>
      <c r="AB19" s="227"/>
      <c r="AC19" s="228"/>
      <c r="AD19" s="229"/>
      <c r="AE19" s="196" t="str">
        <f>IF(COUNT($AB19:$AD19)=0,"",SUM($AB19:$AD19))</f>
        <v/>
      </c>
      <c r="AF19" s="186" t="str">
        <f>IF(ISERROR(IF($AE19="","",ROUND(($AE19/$AE$16)*$AF$16,2))),"",IF($AE19="","",ROUND(($AE19/$AE$16)*$AF$16,2)))</f>
        <v/>
      </c>
      <c r="AG19" s="187" t="str">
        <f>IF($AF19="","",ROUND($AF19*$AG$16,2))</f>
        <v/>
      </c>
      <c r="AH19" s="103"/>
      <c r="AI19" s="101"/>
      <c r="AJ19" s="102"/>
      <c r="AK19" s="87" t="str">
        <f t="shared" ref="AK19:AK68" si="3">IF(COUNT($AH19:$AJ19)=0,"",SUM($AH19:$AJ19))</f>
        <v/>
      </c>
      <c r="AL19" s="88" t="str">
        <f t="shared" ref="AL19:AL68" si="4">IF(ISERROR(IF($AK19="","",ROUND(($AK19/$AK$16)*$AL$16,2))),"",IF($AK19="","",ROUND(($AK19/$AK$16)*$AL$16,2)))</f>
        <v/>
      </c>
      <c r="AM19" s="158" t="str">
        <f t="shared" ref="AM19:AM68" si="5">IF($AL19="","",ROUND($AL19*$AM$16,2))</f>
        <v/>
      </c>
      <c r="AN19" s="159"/>
      <c r="AO19" s="160"/>
      <c r="AP19" s="161"/>
      <c r="AQ19" s="157" t="str">
        <f t="shared" ref="AQ19:AQ68" si="6">IFERROR(IF(AN19="","",ROUND(AN19/$AN$16*$AQ$16,2)),"")</f>
        <v/>
      </c>
      <c r="AR19" s="91" t="str">
        <f t="shared" ref="AR19:AR68" si="7">IFERROR(IF(AO19="","",ROUND(AO19/$AO$16*$AR$16,2)),"")</f>
        <v/>
      </c>
      <c r="AS19" s="93" t="str">
        <f t="shared" ref="AS19:AS68" si="8">IFERROR(IF(AP19="","",ROUND(AP19/$AP$16*$AS$16,2)),"")</f>
        <v/>
      </c>
      <c r="AT19" s="87" t="str">
        <f t="shared" ref="AT19:AT68" si="9">IF(COUNT($AQ19:$AS19)=0,"",SUM($AQ19:$AS19))</f>
        <v/>
      </c>
      <c r="AU19" s="89" t="str">
        <f t="shared" ref="AU19:AU68" si="10">IFERROR(IF(AT19="","",ROUND(AT19*$AU$16,2)),"")</f>
        <v/>
      </c>
      <c r="AV19" s="94" t="str">
        <f>IF(C19="","",IFERROR(ROUND(M19+U19+AA19+AG19+AM19+AU19,2),""))</f>
        <v/>
      </c>
      <c r="AW19" s="95" t="str">
        <f>IF(C19="","",IFERROR(_xlfn.XLOOKUP(AV19,HELPER!$C$8:$C$48,HELPER!$D$8:$D$48,,1),""))</f>
        <v/>
      </c>
      <c r="AX19" s="96" t="str">
        <f>IF(C19="","",IFERROR(_xlfn.XLOOKUP(AW19,HELPER!$F$8:$F$48,HELPER!$G$8:$G$48,,1),""))</f>
        <v/>
      </c>
      <c r="AY19" s="168"/>
      <c r="AZ19" s="148"/>
    </row>
    <row r="20" spans="1:52" ht="15" customHeight="1" x14ac:dyDescent="0.25">
      <c r="A20" s="168"/>
      <c r="B20" s="104">
        <v>2</v>
      </c>
      <c r="C20" s="371" t="str">
        <f>IF('INPUT DATA'!K12="","",'INPUT DATA'!K12)</f>
        <v/>
      </c>
      <c r="D20" s="372"/>
      <c r="E20" s="372"/>
      <c r="F20" s="243"/>
      <c r="G20" s="244"/>
      <c r="H20" s="244"/>
      <c r="I20" s="244"/>
      <c r="J20" s="245"/>
      <c r="K20" s="194" t="str">
        <f t="shared" ref="K20:K83" si="11">IF(COUNT($F20:$J20)=0,"",SUM($F20:$J20))</f>
        <v/>
      </c>
      <c r="L20" s="170" t="str">
        <f t="shared" ref="L20:L83" si="12">IF(ISERROR(IF($K20="","",ROUND(($K20/$K$16)*$L$16,2))),"",IF($K20="","",ROUND(($K20/$K$16)*$L$16,2)))</f>
        <v/>
      </c>
      <c r="M20" s="188" t="str">
        <f t="shared" ref="M20:M83" si="13">IF($L20="","",ROUND($L20*$M$16,2))</f>
        <v/>
      </c>
      <c r="N20" s="99"/>
      <c r="O20" s="106"/>
      <c r="P20" s="106"/>
      <c r="Q20" s="106"/>
      <c r="R20" s="107"/>
      <c r="S20" s="217" t="str">
        <f t="shared" si="0"/>
        <v/>
      </c>
      <c r="T20" s="91" t="str">
        <f t="shared" si="1"/>
        <v/>
      </c>
      <c r="U20" s="218" t="str">
        <f t="shared" si="2"/>
        <v/>
      </c>
      <c r="V20" s="230"/>
      <c r="W20" s="226"/>
      <c r="X20" s="236"/>
      <c r="Y20" s="194" t="str">
        <f t="shared" ref="Y20:Y83" si="14">IF(COUNT($V20:$X20)=0,"",SUM($V20:$X20))</f>
        <v/>
      </c>
      <c r="Z20" s="170" t="str">
        <f t="shared" ref="Z20:Z83" si="15">IF(ISERROR(IF($Y20="","",ROUND(($Y20/$Y$16)*$Z$16,2))),"",IF($Y20="","",ROUND(($Y20/$Y$16)*$Z$16,2)))</f>
        <v/>
      </c>
      <c r="AA20" s="188" t="str">
        <f t="shared" ref="AA20:AA83" si="16">IF($Z20="","",ROUND($Z20*$AA$16,2))</f>
        <v/>
      </c>
      <c r="AB20" s="230"/>
      <c r="AC20" s="226"/>
      <c r="AD20" s="231"/>
      <c r="AE20" s="194" t="str">
        <f t="shared" ref="AE20:AE83" si="17">IF(COUNT($AB20:$AD20)=0,"",SUM($AB20:$AD20))</f>
        <v/>
      </c>
      <c r="AF20" s="170" t="str">
        <f t="shared" ref="AF20:AF83" si="18">IF(ISERROR(IF($AE20="","",ROUND(($AE20/$AE$16)*$AF$16,2))),"",IF($AE20="","",ROUND(($AE20/$AE$16)*$AF$16,2)))</f>
        <v/>
      </c>
      <c r="AG20" s="188" t="str">
        <f t="shared" ref="AG20:AG83" si="19">IF($AF20="","",ROUND($AF20*$AG$16,2))</f>
        <v/>
      </c>
      <c r="AH20" s="105"/>
      <c r="AI20" s="106"/>
      <c r="AJ20" s="107"/>
      <c r="AK20" s="90" t="str">
        <f t="shared" si="3"/>
        <v/>
      </c>
      <c r="AL20" s="91" t="str">
        <f t="shared" si="4"/>
        <v/>
      </c>
      <c r="AM20" s="93" t="str">
        <f t="shared" si="5"/>
        <v/>
      </c>
      <c r="AN20" s="162"/>
      <c r="AO20" s="107"/>
      <c r="AP20" s="163"/>
      <c r="AQ20" s="157" t="str">
        <f t="shared" si="6"/>
        <v/>
      </c>
      <c r="AR20" s="91" t="str">
        <f t="shared" si="7"/>
        <v/>
      </c>
      <c r="AS20" s="93" t="str">
        <f t="shared" si="8"/>
        <v/>
      </c>
      <c r="AT20" s="90" t="str">
        <f t="shared" si="9"/>
        <v/>
      </c>
      <c r="AU20" s="92" t="str">
        <f t="shared" si="10"/>
        <v/>
      </c>
      <c r="AV20" s="94" t="str">
        <f t="shared" ref="AV20:AV83" si="20">IF(C20="","",IFERROR(ROUND(M20+U20+AA20+AG20+AM20+AU20,2),""))</f>
        <v/>
      </c>
      <c r="AW20" s="95" t="str">
        <f>IF(C20="","",IFERROR(_xlfn.XLOOKUP(AV20,HELPER!$C$8:$C$48,HELPER!$D$8:$D$48,,1),""))</f>
        <v/>
      </c>
      <c r="AX20" s="96" t="str">
        <f>IF(C20="","",IFERROR(_xlfn.XLOOKUP(AW20,HELPER!$F$8:$F$48,HELPER!$G$8:$G$48,,1),""))</f>
        <v/>
      </c>
      <c r="AY20" s="168"/>
      <c r="AZ20" s="148"/>
    </row>
    <row r="21" spans="1:52" ht="15" customHeight="1" x14ac:dyDescent="0.25">
      <c r="A21" s="168"/>
      <c r="B21" s="104">
        <v>3</v>
      </c>
      <c r="C21" s="371" t="str">
        <f>IF('INPUT DATA'!K13="","",'INPUT DATA'!K13)</f>
        <v/>
      </c>
      <c r="D21" s="372"/>
      <c r="E21" s="372"/>
      <c r="F21" s="243"/>
      <c r="G21" s="244"/>
      <c r="H21" s="244"/>
      <c r="I21" s="244"/>
      <c r="J21" s="245"/>
      <c r="K21" s="194" t="str">
        <f t="shared" si="11"/>
        <v/>
      </c>
      <c r="L21" s="170" t="str">
        <f t="shared" si="12"/>
        <v/>
      </c>
      <c r="M21" s="188" t="str">
        <f t="shared" si="13"/>
        <v/>
      </c>
      <c r="N21" s="99"/>
      <c r="O21" s="106"/>
      <c r="P21" s="106"/>
      <c r="Q21" s="106"/>
      <c r="R21" s="107"/>
      <c r="S21" s="217" t="str">
        <f t="shared" si="0"/>
        <v/>
      </c>
      <c r="T21" s="91" t="str">
        <f t="shared" si="1"/>
        <v/>
      </c>
      <c r="U21" s="218" t="str">
        <f t="shared" si="2"/>
        <v/>
      </c>
      <c r="V21" s="230"/>
      <c r="W21" s="226"/>
      <c r="X21" s="236"/>
      <c r="Y21" s="194" t="str">
        <f t="shared" si="14"/>
        <v/>
      </c>
      <c r="Z21" s="170" t="str">
        <f t="shared" si="15"/>
        <v/>
      </c>
      <c r="AA21" s="188" t="str">
        <f t="shared" si="16"/>
        <v/>
      </c>
      <c r="AB21" s="230"/>
      <c r="AC21" s="226"/>
      <c r="AD21" s="231"/>
      <c r="AE21" s="194" t="str">
        <f t="shared" si="17"/>
        <v/>
      </c>
      <c r="AF21" s="170" t="str">
        <f t="shared" si="18"/>
        <v/>
      </c>
      <c r="AG21" s="188" t="str">
        <f t="shared" si="19"/>
        <v/>
      </c>
      <c r="AH21" s="105"/>
      <c r="AI21" s="106"/>
      <c r="AJ21" s="107"/>
      <c r="AK21" s="90" t="str">
        <f t="shared" si="3"/>
        <v/>
      </c>
      <c r="AL21" s="91" t="str">
        <f t="shared" si="4"/>
        <v/>
      </c>
      <c r="AM21" s="93" t="str">
        <f t="shared" si="5"/>
        <v/>
      </c>
      <c r="AN21" s="162"/>
      <c r="AO21" s="107"/>
      <c r="AP21" s="163"/>
      <c r="AQ21" s="157" t="str">
        <f t="shared" si="6"/>
        <v/>
      </c>
      <c r="AR21" s="91" t="str">
        <f t="shared" si="7"/>
        <v/>
      </c>
      <c r="AS21" s="93" t="str">
        <f t="shared" si="8"/>
        <v/>
      </c>
      <c r="AT21" s="90" t="str">
        <f t="shared" si="9"/>
        <v/>
      </c>
      <c r="AU21" s="92" t="str">
        <f t="shared" si="10"/>
        <v/>
      </c>
      <c r="AV21" s="94" t="str">
        <f t="shared" si="20"/>
        <v/>
      </c>
      <c r="AW21" s="95" t="str">
        <f>IF(C21="","",IFERROR(_xlfn.XLOOKUP(AV21,HELPER!$C$8:$C$48,HELPER!$D$8:$D$48,,1),""))</f>
        <v/>
      </c>
      <c r="AX21" s="96" t="str">
        <f>IF(C21="","",IFERROR(_xlfn.XLOOKUP(AW21,HELPER!$F$8:$F$48,HELPER!$G$8:$G$48,,1),""))</f>
        <v/>
      </c>
      <c r="AY21" s="168"/>
      <c r="AZ21" s="148"/>
    </row>
    <row r="22" spans="1:52" ht="15" customHeight="1" x14ac:dyDescent="0.25">
      <c r="A22" s="168"/>
      <c r="B22" s="104">
        <v>4</v>
      </c>
      <c r="C22" s="371" t="str">
        <f>IF('INPUT DATA'!K14="","",'INPUT DATA'!K14)</f>
        <v/>
      </c>
      <c r="D22" s="372"/>
      <c r="E22" s="372"/>
      <c r="F22" s="243"/>
      <c r="G22" s="244"/>
      <c r="H22" s="244"/>
      <c r="I22" s="244"/>
      <c r="J22" s="245"/>
      <c r="K22" s="194" t="str">
        <f t="shared" si="11"/>
        <v/>
      </c>
      <c r="L22" s="170" t="str">
        <f t="shared" si="12"/>
        <v/>
      </c>
      <c r="M22" s="188" t="str">
        <f t="shared" si="13"/>
        <v/>
      </c>
      <c r="N22" s="99"/>
      <c r="O22" s="106"/>
      <c r="P22" s="106"/>
      <c r="Q22" s="106"/>
      <c r="R22" s="107"/>
      <c r="S22" s="217" t="str">
        <f t="shared" si="0"/>
        <v/>
      </c>
      <c r="T22" s="91" t="str">
        <f t="shared" si="1"/>
        <v/>
      </c>
      <c r="U22" s="218" t="str">
        <f t="shared" si="2"/>
        <v/>
      </c>
      <c r="V22" s="230"/>
      <c r="W22" s="226"/>
      <c r="X22" s="236"/>
      <c r="Y22" s="194" t="str">
        <f t="shared" si="14"/>
        <v/>
      </c>
      <c r="Z22" s="170" t="str">
        <f t="shared" si="15"/>
        <v/>
      </c>
      <c r="AA22" s="188" t="str">
        <f t="shared" si="16"/>
        <v/>
      </c>
      <c r="AB22" s="230"/>
      <c r="AC22" s="226"/>
      <c r="AD22" s="231"/>
      <c r="AE22" s="194" t="str">
        <f t="shared" si="17"/>
        <v/>
      </c>
      <c r="AF22" s="170" t="str">
        <f t="shared" si="18"/>
        <v/>
      </c>
      <c r="AG22" s="188" t="str">
        <f t="shared" si="19"/>
        <v/>
      </c>
      <c r="AH22" s="105"/>
      <c r="AI22" s="106"/>
      <c r="AJ22" s="107"/>
      <c r="AK22" s="90" t="str">
        <f t="shared" si="3"/>
        <v/>
      </c>
      <c r="AL22" s="91" t="str">
        <f t="shared" si="4"/>
        <v/>
      </c>
      <c r="AM22" s="93" t="str">
        <f t="shared" si="5"/>
        <v/>
      </c>
      <c r="AN22" s="162"/>
      <c r="AO22" s="107"/>
      <c r="AP22" s="163"/>
      <c r="AQ22" s="157" t="str">
        <f t="shared" si="6"/>
        <v/>
      </c>
      <c r="AR22" s="91" t="str">
        <f t="shared" si="7"/>
        <v/>
      </c>
      <c r="AS22" s="93" t="str">
        <f t="shared" si="8"/>
        <v/>
      </c>
      <c r="AT22" s="90" t="str">
        <f t="shared" si="9"/>
        <v/>
      </c>
      <c r="AU22" s="92" t="str">
        <f t="shared" si="10"/>
        <v/>
      </c>
      <c r="AV22" s="94" t="str">
        <f t="shared" si="20"/>
        <v/>
      </c>
      <c r="AW22" s="95" t="str">
        <f>IF(C22="","",IFERROR(_xlfn.XLOOKUP(AV22,HELPER!$C$8:$C$48,HELPER!$D$8:$D$48,,1),""))</f>
        <v/>
      </c>
      <c r="AX22" s="96" t="str">
        <f>IF(C22="","",IFERROR(_xlfn.XLOOKUP(AW22,HELPER!$F$8:$F$48,HELPER!$G$8:$G$48,,1),""))</f>
        <v/>
      </c>
      <c r="AY22" s="168"/>
      <c r="AZ22" s="148"/>
    </row>
    <row r="23" spans="1:52" ht="15" customHeight="1" x14ac:dyDescent="0.25">
      <c r="A23" s="168"/>
      <c r="B23" s="104">
        <v>5</v>
      </c>
      <c r="C23" s="355" t="str">
        <f>IF('INPUT DATA'!K15="","",'INPUT DATA'!K15)</f>
        <v/>
      </c>
      <c r="D23" s="356"/>
      <c r="E23" s="356"/>
      <c r="F23" s="243"/>
      <c r="G23" s="244"/>
      <c r="H23" s="244"/>
      <c r="I23" s="244"/>
      <c r="J23" s="245"/>
      <c r="K23" s="194" t="str">
        <f t="shared" si="11"/>
        <v/>
      </c>
      <c r="L23" s="170" t="str">
        <f t="shared" si="12"/>
        <v/>
      </c>
      <c r="M23" s="188" t="str">
        <f t="shared" si="13"/>
        <v/>
      </c>
      <c r="N23" s="99"/>
      <c r="O23" s="106"/>
      <c r="P23" s="106"/>
      <c r="Q23" s="106"/>
      <c r="R23" s="107"/>
      <c r="S23" s="217" t="str">
        <f t="shared" si="0"/>
        <v/>
      </c>
      <c r="T23" s="91" t="str">
        <f t="shared" si="1"/>
        <v/>
      </c>
      <c r="U23" s="218" t="str">
        <f t="shared" si="2"/>
        <v/>
      </c>
      <c r="V23" s="230"/>
      <c r="W23" s="226"/>
      <c r="X23" s="236"/>
      <c r="Y23" s="194" t="str">
        <f t="shared" si="14"/>
        <v/>
      </c>
      <c r="Z23" s="170" t="str">
        <f t="shared" si="15"/>
        <v/>
      </c>
      <c r="AA23" s="188" t="str">
        <f t="shared" si="16"/>
        <v/>
      </c>
      <c r="AB23" s="230"/>
      <c r="AC23" s="226"/>
      <c r="AD23" s="231"/>
      <c r="AE23" s="194" t="str">
        <f t="shared" si="17"/>
        <v/>
      </c>
      <c r="AF23" s="170" t="str">
        <f t="shared" si="18"/>
        <v/>
      </c>
      <c r="AG23" s="188" t="str">
        <f t="shared" si="19"/>
        <v/>
      </c>
      <c r="AH23" s="105"/>
      <c r="AI23" s="106"/>
      <c r="AJ23" s="107"/>
      <c r="AK23" s="90" t="str">
        <f t="shared" si="3"/>
        <v/>
      </c>
      <c r="AL23" s="91" t="str">
        <f t="shared" si="4"/>
        <v/>
      </c>
      <c r="AM23" s="93" t="str">
        <f t="shared" si="5"/>
        <v/>
      </c>
      <c r="AN23" s="162"/>
      <c r="AO23" s="107"/>
      <c r="AP23" s="163"/>
      <c r="AQ23" s="157" t="str">
        <f t="shared" si="6"/>
        <v/>
      </c>
      <c r="AR23" s="91" t="str">
        <f t="shared" si="7"/>
        <v/>
      </c>
      <c r="AS23" s="93" t="str">
        <f t="shared" si="8"/>
        <v/>
      </c>
      <c r="AT23" s="90" t="str">
        <f t="shared" si="9"/>
        <v/>
      </c>
      <c r="AU23" s="92" t="str">
        <f t="shared" si="10"/>
        <v/>
      </c>
      <c r="AV23" s="94" t="str">
        <f t="shared" si="20"/>
        <v/>
      </c>
      <c r="AW23" s="95" t="str">
        <f>IF(C23="","",IFERROR(_xlfn.XLOOKUP(AV23,HELPER!$C$8:$C$48,HELPER!$D$8:$D$48,,1),""))</f>
        <v/>
      </c>
      <c r="AX23" s="96" t="str">
        <f>IF(C23="","",IFERROR(_xlfn.XLOOKUP(AW23,HELPER!$F$8:$F$48,HELPER!$G$8:$G$48,,1),""))</f>
        <v/>
      </c>
      <c r="AY23" s="168"/>
      <c r="AZ23" s="148"/>
    </row>
    <row r="24" spans="1:52" ht="15" customHeight="1" x14ac:dyDescent="0.25">
      <c r="A24" s="168"/>
      <c r="B24" s="104">
        <v>6</v>
      </c>
      <c r="C24" s="355" t="str">
        <f>IF('INPUT DATA'!K16="","",'INPUT DATA'!K16)</f>
        <v/>
      </c>
      <c r="D24" s="356"/>
      <c r="E24" s="356"/>
      <c r="F24" s="243"/>
      <c r="G24" s="244"/>
      <c r="H24" s="244"/>
      <c r="I24" s="244"/>
      <c r="J24" s="245"/>
      <c r="K24" s="194" t="str">
        <f t="shared" si="11"/>
        <v/>
      </c>
      <c r="L24" s="170" t="str">
        <f t="shared" si="12"/>
        <v/>
      </c>
      <c r="M24" s="188" t="str">
        <f t="shared" si="13"/>
        <v/>
      </c>
      <c r="N24" s="99"/>
      <c r="O24" s="106"/>
      <c r="P24" s="106"/>
      <c r="Q24" s="106"/>
      <c r="R24" s="107"/>
      <c r="S24" s="217" t="str">
        <f t="shared" si="0"/>
        <v/>
      </c>
      <c r="T24" s="91" t="str">
        <f t="shared" si="1"/>
        <v/>
      </c>
      <c r="U24" s="218" t="str">
        <f t="shared" si="2"/>
        <v/>
      </c>
      <c r="V24" s="230"/>
      <c r="W24" s="226"/>
      <c r="X24" s="236"/>
      <c r="Y24" s="194" t="str">
        <f t="shared" si="14"/>
        <v/>
      </c>
      <c r="Z24" s="170" t="str">
        <f t="shared" si="15"/>
        <v/>
      </c>
      <c r="AA24" s="188" t="str">
        <f t="shared" si="16"/>
        <v/>
      </c>
      <c r="AB24" s="230"/>
      <c r="AC24" s="226"/>
      <c r="AD24" s="231"/>
      <c r="AE24" s="194" t="str">
        <f t="shared" si="17"/>
        <v/>
      </c>
      <c r="AF24" s="170" t="str">
        <f t="shared" si="18"/>
        <v/>
      </c>
      <c r="AG24" s="188" t="str">
        <f t="shared" si="19"/>
        <v/>
      </c>
      <c r="AH24" s="105"/>
      <c r="AI24" s="106"/>
      <c r="AJ24" s="107"/>
      <c r="AK24" s="90" t="str">
        <f t="shared" si="3"/>
        <v/>
      </c>
      <c r="AL24" s="91" t="str">
        <f t="shared" si="4"/>
        <v/>
      </c>
      <c r="AM24" s="93" t="str">
        <f t="shared" si="5"/>
        <v/>
      </c>
      <c r="AN24" s="162"/>
      <c r="AO24" s="107"/>
      <c r="AP24" s="163"/>
      <c r="AQ24" s="157" t="str">
        <f t="shared" si="6"/>
        <v/>
      </c>
      <c r="AR24" s="91" t="str">
        <f t="shared" si="7"/>
        <v/>
      </c>
      <c r="AS24" s="93" t="str">
        <f t="shared" si="8"/>
        <v/>
      </c>
      <c r="AT24" s="90" t="str">
        <f t="shared" si="9"/>
        <v/>
      </c>
      <c r="AU24" s="92" t="str">
        <f t="shared" si="10"/>
        <v/>
      </c>
      <c r="AV24" s="94" t="str">
        <f t="shared" si="20"/>
        <v/>
      </c>
      <c r="AW24" s="95" t="str">
        <f>IF(C24="","",IFERROR(_xlfn.XLOOKUP(AV24,HELPER!$C$8:$C$48,HELPER!$D$8:$D$48,,1),""))</f>
        <v/>
      </c>
      <c r="AX24" s="96" t="str">
        <f>IF(C24="","",IFERROR(_xlfn.XLOOKUP(AW24,HELPER!$F$8:$F$48,HELPER!$G$8:$G$48,,1),""))</f>
        <v/>
      </c>
      <c r="AY24" s="168"/>
      <c r="AZ24" s="148"/>
    </row>
    <row r="25" spans="1:52" ht="15" customHeight="1" x14ac:dyDescent="0.25">
      <c r="A25" s="168"/>
      <c r="B25" s="104">
        <v>7</v>
      </c>
      <c r="C25" s="355" t="str">
        <f>IF('INPUT DATA'!K17="","",'INPUT DATA'!K17)</f>
        <v/>
      </c>
      <c r="D25" s="356"/>
      <c r="E25" s="356"/>
      <c r="F25" s="243"/>
      <c r="G25" s="244"/>
      <c r="H25" s="244"/>
      <c r="I25" s="244"/>
      <c r="J25" s="245"/>
      <c r="K25" s="194" t="str">
        <f t="shared" si="11"/>
        <v/>
      </c>
      <c r="L25" s="170" t="str">
        <f t="shared" si="12"/>
        <v/>
      </c>
      <c r="M25" s="188" t="str">
        <f t="shared" si="13"/>
        <v/>
      </c>
      <c r="N25" s="99"/>
      <c r="O25" s="106"/>
      <c r="P25" s="106"/>
      <c r="Q25" s="106"/>
      <c r="R25" s="107"/>
      <c r="S25" s="217" t="str">
        <f t="shared" si="0"/>
        <v/>
      </c>
      <c r="T25" s="91" t="str">
        <f t="shared" si="1"/>
        <v/>
      </c>
      <c r="U25" s="218" t="str">
        <f t="shared" si="2"/>
        <v/>
      </c>
      <c r="V25" s="230"/>
      <c r="W25" s="226"/>
      <c r="X25" s="236"/>
      <c r="Y25" s="194" t="str">
        <f t="shared" si="14"/>
        <v/>
      </c>
      <c r="Z25" s="170" t="str">
        <f t="shared" si="15"/>
        <v/>
      </c>
      <c r="AA25" s="188" t="str">
        <f t="shared" si="16"/>
        <v/>
      </c>
      <c r="AB25" s="230"/>
      <c r="AC25" s="226"/>
      <c r="AD25" s="231"/>
      <c r="AE25" s="194" t="str">
        <f t="shared" si="17"/>
        <v/>
      </c>
      <c r="AF25" s="170" t="str">
        <f t="shared" si="18"/>
        <v/>
      </c>
      <c r="AG25" s="188" t="str">
        <f t="shared" si="19"/>
        <v/>
      </c>
      <c r="AH25" s="105"/>
      <c r="AI25" s="106"/>
      <c r="AJ25" s="107"/>
      <c r="AK25" s="90" t="str">
        <f t="shared" si="3"/>
        <v/>
      </c>
      <c r="AL25" s="91" t="str">
        <f t="shared" si="4"/>
        <v/>
      </c>
      <c r="AM25" s="93" t="str">
        <f t="shared" si="5"/>
        <v/>
      </c>
      <c r="AN25" s="162"/>
      <c r="AO25" s="107"/>
      <c r="AP25" s="163"/>
      <c r="AQ25" s="157" t="str">
        <f t="shared" si="6"/>
        <v/>
      </c>
      <c r="AR25" s="91" t="str">
        <f t="shared" si="7"/>
        <v/>
      </c>
      <c r="AS25" s="93" t="str">
        <f t="shared" si="8"/>
        <v/>
      </c>
      <c r="AT25" s="90" t="str">
        <f t="shared" si="9"/>
        <v/>
      </c>
      <c r="AU25" s="92" t="str">
        <f t="shared" si="10"/>
        <v/>
      </c>
      <c r="AV25" s="94" t="str">
        <f t="shared" si="20"/>
        <v/>
      </c>
      <c r="AW25" s="95" t="str">
        <f>IF(C25="","",IFERROR(_xlfn.XLOOKUP(AV25,HELPER!$C$8:$C$48,HELPER!$D$8:$D$48,,1),""))</f>
        <v/>
      </c>
      <c r="AX25" s="96" t="str">
        <f>IF(C25="","",IFERROR(_xlfn.XLOOKUP(AW25,HELPER!$F$8:$F$48,HELPER!$G$8:$G$48,,1),""))</f>
        <v/>
      </c>
      <c r="AY25" s="168"/>
      <c r="AZ25" s="148"/>
    </row>
    <row r="26" spans="1:52" ht="15" customHeight="1" x14ac:dyDescent="0.25">
      <c r="A26" s="168"/>
      <c r="B26" s="104">
        <v>8</v>
      </c>
      <c r="C26" s="355" t="str">
        <f>IF('INPUT DATA'!K18="","",'INPUT DATA'!K18)</f>
        <v/>
      </c>
      <c r="D26" s="356"/>
      <c r="E26" s="356"/>
      <c r="F26" s="243"/>
      <c r="G26" s="244"/>
      <c r="H26" s="244"/>
      <c r="I26" s="244"/>
      <c r="J26" s="245"/>
      <c r="K26" s="194" t="str">
        <f t="shared" si="11"/>
        <v/>
      </c>
      <c r="L26" s="170" t="str">
        <f t="shared" si="12"/>
        <v/>
      </c>
      <c r="M26" s="188" t="str">
        <f t="shared" si="13"/>
        <v/>
      </c>
      <c r="N26" s="99"/>
      <c r="O26" s="106"/>
      <c r="P26" s="106"/>
      <c r="Q26" s="106"/>
      <c r="R26" s="107"/>
      <c r="S26" s="217" t="str">
        <f t="shared" si="0"/>
        <v/>
      </c>
      <c r="T26" s="91" t="str">
        <f t="shared" si="1"/>
        <v/>
      </c>
      <c r="U26" s="218" t="str">
        <f t="shared" si="2"/>
        <v/>
      </c>
      <c r="V26" s="230"/>
      <c r="W26" s="226"/>
      <c r="X26" s="236"/>
      <c r="Y26" s="194" t="str">
        <f t="shared" si="14"/>
        <v/>
      </c>
      <c r="Z26" s="170" t="str">
        <f t="shared" si="15"/>
        <v/>
      </c>
      <c r="AA26" s="188" t="str">
        <f t="shared" si="16"/>
        <v/>
      </c>
      <c r="AB26" s="230"/>
      <c r="AC26" s="226"/>
      <c r="AD26" s="231"/>
      <c r="AE26" s="194" t="str">
        <f t="shared" si="17"/>
        <v/>
      </c>
      <c r="AF26" s="170" t="str">
        <f t="shared" si="18"/>
        <v/>
      </c>
      <c r="AG26" s="188" t="str">
        <f t="shared" si="19"/>
        <v/>
      </c>
      <c r="AH26" s="105"/>
      <c r="AI26" s="106"/>
      <c r="AJ26" s="107"/>
      <c r="AK26" s="90" t="str">
        <f t="shared" si="3"/>
        <v/>
      </c>
      <c r="AL26" s="91" t="str">
        <f t="shared" si="4"/>
        <v/>
      </c>
      <c r="AM26" s="93" t="str">
        <f t="shared" si="5"/>
        <v/>
      </c>
      <c r="AN26" s="162"/>
      <c r="AO26" s="107"/>
      <c r="AP26" s="163"/>
      <c r="AQ26" s="157" t="str">
        <f t="shared" si="6"/>
        <v/>
      </c>
      <c r="AR26" s="91" t="str">
        <f t="shared" si="7"/>
        <v/>
      </c>
      <c r="AS26" s="93" t="str">
        <f t="shared" si="8"/>
        <v/>
      </c>
      <c r="AT26" s="90" t="str">
        <f t="shared" si="9"/>
        <v/>
      </c>
      <c r="AU26" s="92" t="str">
        <f t="shared" si="10"/>
        <v/>
      </c>
      <c r="AV26" s="94" t="str">
        <f t="shared" si="20"/>
        <v/>
      </c>
      <c r="AW26" s="95" t="str">
        <f>IF(C26="","",IFERROR(_xlfn.XLOOKUP(AV26,HELPER!$C$8:$C$48,HELPER!$D$8:$D$48,,1),""))</f>
        <v/>
      </c>
      <c r="AX26" s="96" t="str">
        <f>IF(C26="","",IFERROR(_xlfn.XLOOKUP(AW26,HELPER!$F$8:$F$48,HELPER!$G$8:$G$48,,1),""))</f>
        <v/>
      </c>
      <c r="AY26" s="168"/>
      <c r="AZ26" s="148"/>
    </row>
    <row r="27" spans="1:52" ht="15" customHeight="1" x14ac:dyDescent="0.25">
      <c r="A27" s="168"/>
      <c r="B27" s="104">
        <v>9</v>
      </c>
      <c r="C27" s="355" t="str">
        <f>IF('INPUT DATA'!K19="","",'INPUT DATA'!K19)</f>
        <v/>
      </c>
      <c r="D27" s="356"/>
      <c r="E27" s="356"/>
      <c r="F27" s="243"/>
      <c r="G27" s="244"/>
      <c r="H27" s="244"/>
      <c r="I27" s="244"/>
      <c r="J27" s="245"/>
      <c r="K27" s="194" t="str">
        <f t="shared" si="11"/>
        <v/>
      </c>
      <c r="L27" s="170" t="str">
        <f t="shared" si="12"/>
        <v/>
      </c>
      <c r="M27" s="188" t="str">
        <f t="shared" si="13"/>
        <v/>
      </c>
      <c r="N27" s="99"/>
      <c r="O27" s="106"/>
      <c r="P27" s="106"/>
      <c r="Q27" s="106"/>
      <c r="R27" s="107"/>
      <c r="S27" s="217" t="str">
        <f t="shared" si="0"/>
        <v/>
      </c>
      <c r="T27" s="91" t="str">
        <f t="shared" si="1"/>
        <v/>
      </c>
      <c r="U27" s="218" t="str">
        <f t="shared" si="2"/>
        <v/>
      </c>
      <c r="V27" s="230"/>
      <c r="W27" s="226"/>
      <c r="X27" s="236"/>
      <c r="Y27" s="194" t="str">
        <f t="shared" si="14"/>
        <v/>
      </c>
      <c r="Z27" s="170" t="str">
        <f t="shared" si="15"/>
        <v/>
      </c>
      <c r="AA27" s="188" t="str">
        <f t="shared" si="16"/>
        <v/>
      </c>
      <c r="AB27" s="230"/>
      <c r="AC27" s="226"/>
      <c r="AD27" s="231"/>
      <c r="AE27" s="194" t="str">
        <f t="shared" si="17"/>
        <v/>
      </c>
      <c r="AF27" s="170" t="str">
        <f t="shared" si="18"/>
        <v/>
      </c>
      <c r="AG27" s="188" t="str">
        <f t="shared" si="19"/>
        <v/>
      </c>
      <c r="AH27" s="105"/>
      <c r="AI27" s="106"/>
      <c r="AJ27" s="107"/>
      <c r="AK27" s="90" t="str">
        <f t="shared" si="3"/>
        <v/>
      </c>
      <c r="AL27" s="91" t="str">
        <f t="shared" si="4"/>
        <v/>
      </c>
      <c r="AM27" s="93" t="str">
        <f t="shared" si="5"/>
        <v/>
      </c>
      <c r="AN27" s="162"/>
      <c r="AO27" s="107"/>
      <c r="AP27" s="163"/>
      <c r="AQ27" s="157" t="str">
        <f t="shared" si="6"/>
        <v/>
      </c>
      <c r="AR27" s="91" t="str">
        <f t="shared" si="7"/>
        <v/>
      </c>
      <c r="AS27" s="93" t="str">
        <f t="shared" si="8"/>
        <v/>
      </c>
      <c r="AT27" s="90" t="str">
        <f t="shared" si="9"/>
        <v/>
      </c>
      <c r="AU27" s="92" t="str">
        <f t="shared" si="10"/>
        <v/>
      </c>
      <c r="AV27" s="94" t="str">
        <f t="shared" si="20"/>
        <v/>
      </c>
      <c r="AW27" s="95" t="str">
        <f>IF(C27="","",IFERROR(_xlfn.XLOOKUP(AV27,HELPER!$C$8:$C$48,HELPER!$D$8:$D$48,,1),""))</f>
        <v/>
      </c>
      <c r="AX27" s="96" t="str">
        <f>IF(C27="","",IFERROR(_xlfn.XLOOKUP(AW27,HELPER!$F$8:$F$48,HELPER!$G$8:$G$48,,1),""))</f>
        <v/>
      </c>
      <c r="AY27" s="168"/>
      <c r="AZ27" s="148"/>
    </row>
    <row r="28" spans="1:52" ht="15" customHeight="1" x14ac:dyDescent="0.25">
      <c r="A28" s="168"/>
      <c r="B28" s="104">
        <v>10</v>
      </c>
      <c r="C28" s="355" t="str">
        <f>IF('INPUT DATA'!K20="","",'INPUT DATA'!K20)</f>
        <v/>
      </c>
      <c r="D28" s="356"/>
      <c r="E28" s="356"/>
      <c r="F28" s="243"/>
      <c r="G28" s="244"/>
      <c r="H28" s="244"/>
      <c r="I28" s="244"/>
      <c r="J28" s="245"/>
      <c r="K28" s="194" t="str">
        <f t="shared" si="11"/>
        <v/>
      </c>
      <c r="L28" s="170" t="str">
        <f t="shared" si="12"/>
        <v/>
      </c>
      <c r="M28" s="188" t="str">
        <f t="shared" si="13"/>
        <v/>
      </c>
      <c r="N28" s="99"/>
      <c r="O28" s="106"/>
      <c r="P28" s="106"/>
      <c r="Q28" s="106"/>
      <c r="R28" s="107"/>
      <c r="S28" s="217" t="str">
        <f t="shared" si="0"/>
        <v/>
      </c>
      <c r="T28" s="91" t="str">
        <f t="shared" si="1"/>
        <v/>
      </c>
      <c r="U28" s="218" t="str">
        <f t="shared" si="2"/>
        <v/>
      </c>
      <c r="V28" s="230"/>
      <c r="W28" s="226"/>
      <c r="X28" s="236"/>
      <c r="Y28" s="194" t="str">
        <f t="shared" si="14"/>
        <v/>
      </c>
      <c r="Z28" s="170" t="str">
        <f t="shared" si="15"/>
        <v/>
      </c>
      <c r="AA28" s="188" t="str">
        <f t="shared" si="16"/>
        <v/>
      </c>
      <c r="AB28" s="230"/>
      <c r="AC28" s="226"/>
      <c r="AD28" s="231"/>
      <c r="AE28" s="194" t="str">
        <f t="shared" si="17"/>
        <v/>
      </c>
      <c r="AF28" s="170" t="str">
        <f t="shared" si="18"/>
        <v/>
      </c>
      <c r="AG28" s="188" t="str">
        <f t="shared" si="19"/>
        <v/>
      </c>
      <c r="AH28" s="105"/>
      <c r="AI28" s="106"/>
      <c r="AJ28" s="107"/>
      <c r="AK28" s="90" t="str">
        <f t="shared" si="3"/>
        <v/>
      </c>
      <c r="AL28" s="91" t="str">
        <f t="shared" si="4"/>
        <v/>
      </c>
      <c r="AM28" s="93" t="str">
        <f t="shared" si="5"/>
        <v/>
      </c>
      <c r="AN28" s="162"/>
      <c r="AO28" s="107"/>
      <c r="AP28" s="163"/>
      <c r="AQ28" s="157" t="str">
        <f t="shared" si="6"/>
        <v/>
      </c>
      <c r="AR28" s="91" t="str">
        <f t="shared" si="7"/>
        <v/>
      </c>
      <c r="AS28" s="93" t="str">
        <f t="shared" si="8"/>
        <v/>
      </c>
      <c r="AT28" s="90" t="str">
        <f t="shared" si="9"/>
        <v/>
      </c>
      <c r="AU28" s="92" t="str">
        <f t="shared" si="10"/>
        <v/>
      </c>
      <c r="AV28" s="94" t="str">
        <f t="shared" si="20"/>
        <v/>
      </c>
      <c r="AW28" s="95" t="str">
        <f>IF(C28="","",IFERROR(_xlfn.XLOOKUP(AV28,HELPER!$C$8:$C$48,HELPER!$D$8:$D$48,,1),""))</f>
        <v/>
      </c>
      <c r="AX28" s="96" t="str">
        <f>IF(C28="","",IFERROR(_xlfn.XLOOKUP(AW28,HELPER!$F$8:$F$48,HELPER!$G$8:$G$48,,1),""))</f>
        <v/>
      </c>
      <c r="AY28" s="168"/>
      <c r="AZ28" s="148"/>
    </row>
    <row r="29" spans="1:52" ht="15" customHeight="1" x14ac:dyDescent="0.25">
      <c r="A29" s="168"/>
      <c r="B29" s="104">
        <v>11</v>
      </c>
      <c r="C29" s="355" t="str">
        <f>IF('INPUT DATA'!K21="","",'INPUT DATA'!K21)</f>
        <v/>
      </c>
      <c r="D29" s="356"/>
      <c r="E29" s="356"/>
      <c r="F29" s="243"/>
      <c r="G29" s="244"/>
      <c r="H29" s="244"/>
      <c r="I29" s="244"/>
      <c r="J29" s="245"/>
      <c r="K29" s="194" t="str">
        <f t="shared" si="11"/>
        <v/>
      </c>
      <c r="L29" s="170" t="str">
        <f t="shared" si="12"/>
        <v/>
      </c>
      <c r="M29" s="188" t="str">
        <f t="shared" si="13"/>
        <v/>
      </c>
      <c r="N29" s="99"/>
      <c r="O29" s="106"/>
      <c r="P29" s="106"/>
      <c r="Q29" s="106"/>
      <c r="R29" s="107"/>
      <c r="S29" s="217" t="str">
        <f t="shared" si="0"/>
        <v/>
      </c>
      <c r="T29" s="91" t="str">
        <f t="shared" si="1"/>
        <v/>
      </c>
      <c r="U29" s="218" t="str">
        <f t="shared" si="2"/>
        <v/>
      </c>
      <c r="V29" s="230"/>
      <c r="W29" s="226"/>
      <c r="X29" s="236"/>
      <c r="Y29" s="194" t="str">
        <f t="shared" si="14"/>
        <v/>
      </c>
      <c r="Z29" s="170" t="str">
        <f t="shared" si="15"/>
        <v/>
      </c>
      <c r="AA29" s="188" t="str">
        <f t="shared" si="16"/>
        <v/>
      </c>
      <c r="AB29" s="230"/>
      <c r="AC29" s="226"/>
      <c r="AD29" s="231"/>
      <c r="AE29" s="194" t="str">
        <f t="shared" si="17"/>
        <v/>
      </c>
      <c r="AF29" s="170" t="str">
        <f t="shared" si="18"/>
        <v/>
      </c>
      <c r="AG29" s="188" t="str">
        <f t="shared" si="19"/>
        <v/>
      </c>
      <c r="AH29" s="105"/>
      <c r="AI29" s="106"/>
      <c r="AJ29" s="107"/>
      <c r="AK29" s="90" t="str">
        <f t="shared" si="3"/>
        <v/>
      </c>
      <c r="AL29" s="91" t="str">
        <f t="shared" si="4"/>
        <v/>
      </c>
      <c r="AM29" s="93" t="str">
        <f t="shared" si="5"/>
        <v/>
      </c>
      <c r="AN29" s="162"/>
      <c r="AO29" s="107"/>
      <c r="AP29" s="163"/>
      <c r="AQ29" s="157" t="str">
        <f t="shared" si="6"/>
        <v/>
      </c>
      <c r="AR29" s="91" t="str">
        <f t="shared" si="7"/>
        <v/>
      </c>
      <c r="AS29" s="93" t="str">
        <f t="shared" si="8"/>
        <v/>
      </c>
      <c r="AT29" s="90" t="str">
        <f t="shared" si="9"/>
        <v/>
      </c>
      <c r="AU29" s="92" t="str">
        <f t="shared" si="10"/>
        <v/>
      </c>
      <c r="AV29" s="94" t="str">
        <f t="shared" si="20"/>
        <v/>
      </c>
      <c r="AW29" s="95" t="str">
        <f>IF(C29="","",IFERROR(_xlfn.XLOOKUP(AV29,HELPER!$C$8:$C$48,HELPER!$D$8:$D$48,,1),""))</f>
        <v/>
      </c>
      <c r="AX29" s="96" t="str">
        <f>IF(C29="","",IFERROR(_xlfn.XLOOKUP(AW29,HELPER!$F$8:$F$48,HELPER!$G$8:$G$48,,1),""))</f>
        <v/>
      </c>
      <c r="AY29" s="168"/>
      <c r="AZ29" s="148"/>
    </row>
    <row r="30" spans="1:52" ht="15" customHeight="1" x14ac:dyDescent="0.25">
      <c r="A30" s="168"/>
      <c r="B30" s="104">
        <v>12</v>
      </c>
      <c r="C30" s="355" t="str">
        <f>IF('INPUT DATA'!K22="","",'INPUT DATA'!K22)</f>
        <v/>
      </c>
      <c r="D30" s="356"/>
      <c r="E30" s="356"/>
      <c r="F30" s="243"/>
      <c r="G30" s="244"/>
      <c r="H30" s="244"/>
      <c r="I30" s="244"/>
      <c r="J30" s="245"/>
      <c r="K30" s="194" t="str">
        <f t="shared" si="11"/>
        <v/>
      </c>
      <c r="L30" s="170" t="str">
        <f t="shared" si="12"/>
        <v/>
      </c>
      <c r="M30" s="188" t="str">
        <f t="shared" si="13"/>
        <v/>
      </c>
      <c r="N30" s="99"/>
      <c r="O30" s="106"/>
      <c r="P30" s="106"/>
      <c r="Q30" s="106"/>
      <c r="R30" s="107"/>
      <c r="S30" s="217" t="str">
        <f t="shared" si="0"/>
        <v/>
      </c>
      <c r="T30" s="91" t="str">
        <f t="shared" si="1"/>
        <v/>
      </c>
      <c r="U30" s="218" t="str">
        <f t="shared" si="2"/>
        <v/>
      </c>
      <c r="V30" s="230"/>
      <c r="W30" s="226"/>
      <c r="X30" s="236"/>
      <c r="Y30" s="194" t="str">
        <f t="shared" si="14"/>
        <v/>
      </c>
      <c r="Z30" s="170" t="str">
        <f t="shared" si="15"/>
        <v/>
      </c>
      <c r="AA30" s="188" t="str">
        <f t="shared" si="16"/>
        <v/>
      </c>
      <c r="AB30" s="230"/>
      <c r="AC30" s="226"/>
      <c r="AD30" s="231"/>
      <c r="AE30" s="194" t="str">
        <f t="shared" si="17"/>
        <v/>
      </c>
      <c r="AF30" s="170" t="str">
        <f t="shared" si="18"/>
        <v/>
      </c>
      <c r="AG30" s="188" t="str">
        <f t="shared" si="19"/>
        <v/>
      </c>
      <c r="AH30" s="105"/>
      <c r="AI30" s="106"/>
      <c r="AJ30" s="107"/>
      <c r="AK30" s="90" t="str">
        <f t="shared" si="3"/>
        <v/>
      </c>
      <c r="AL30" s="91" t="str">
        <f t="shared" si="4"/>
        <v/>
      </c>
      <c r="AM30" s="93" t="str">
        <f t="shared" si="5"/>
        <v/>
      </c>
      <c r="AN30" s="162"/>
      <c r="AO30" s="107"/>
      <c r="AP30" s="163"/>
      <c r="AQ30" s="157" t="str">
        <f t="shared" si="6"/>
        <v/>
      </c>
      <c r="AR30" s="91" t="str">
        <f t="shared" si="7"/>
        <v/>
      </c>
      <c r="AS30" s="93" t="str">
        <f t="shared" si="8"/>
        <v/>
      </c>
      <c r="AT30" s="90" t="str">
        <f t="shared" si="9"/>
        <v/>
      </c>
      <c r="AU30" s="92" t="str">
        <f t="shared" si="10"/>
        <v/>
      </c>
      <c r="AV30" s="94" t="str">
        <f t="shared" si="20"/>
        <v/>
      </c>
      <c r="AW30" s="95" t="str">
        <f>IF(C30="","",IFERROR(_xlfn.XLOOKUP(AV30,HELPER!$C$8:$C$48,HELPER!$D$8:$D$48,,1),""))</f>
        <v/>
      </c>
      <c r="AX30" s="96" t="str">
        <f>IF(C30="","",IFERROR(_xlfn.XLOOKUP(AW30,HELPER!$F$8:$F$48,HELPER!$G$8:$G$48,,1),""))</f>
        <v/>
      </c>
      <c r="AY30" s="168"/>
      <c r="AZ30" s="148"/>
    </row>
    <row r="31" spans="1:52" ht="15" customHeight="1" x14ac:dyDescent="0.25">
      <c r="A31" s="168"/>
      <c r="B31" s="104">
        <v>13</v>
      </c>
      <c r="C31" s="355" t="str">
        <f>IF('INPUT DATA'!K23="","",'INPUT DATA'!K23)</f>
        <v/>
      </c>
      <c r="D31" s="356"/>
      <c r="E31" s="356"/>
      <c r="F31" s="243"/>
      <c r="G31" s="244"/>
      <c r="H31" s="244"/>
      <c r="I31" s="244"/>
      <c r="J31" s="245"/>
      <c r="K31" s="194" t="str">
        <f t="shared" si="11"/>
        <v/>
      </c>
      <c r="L31" s="170" t="str">
        <f t="shared" si="12"/>
        <v/>
      </c>
      <c r="M31" s="188" t="str">
        <f t="shared" si="13"/>
        <v/>
      </c>
      <c r="N31" s="99"/>
      <c r="O31" s="106"/>
      <c r="P31" s="106"/>
      <c r="Q31" s="106"/>
      <c r="R31" s="107"/>
      <c r="S31" s="217" t="str">
        <f t="shared" si="0"/>
        <v/>
      </c>
      <c r="T31" s="91" t="str">
        <f t="shared" si="1"/>
        <v/>
      </c>
      <c r="U31" s="218" t="str">
        <f t="shared" si="2"/>
        <v/>
      </c>
      <c r="V31" s="230"/>
      <c r="W31" s="226"/>
      <c r="X31" s="236"/>
      <c r="Y31" s="194" t="str">
        <f t="shared" si="14"/>
        <v/>
      </c>
      <c r="Z31" s="170" t="str">
        <f t="shared" si="15"/>
        <v/>
      </c>
      <c r="AA31" s="188" t="str">
        <f t="shared" si="16"/>
        <v/>
      </c>
      <c r="AB31" s="230"/>
      <c r="AC31" s="226"/>
      <c r="AD31" s="231"/>
      <c r="AE31" s="194" t="str">
        <f t="shared" si="17"/>
        <v/>
      </c>
      <c r="AF31" s="170" t="str">
        <f t="shared" si="18"/>
        <v/>
      </c>
      <c r="AG31" s="188" t="str">
        <f t="shared" si="19"/>
        <v/>
      </c>
      <c r="AH31" s="105"/>
      <c r="AI31" s="106"/>
      <c r="AJ31" s="107"/>
      <c r="AK31" s="90" t="str">
        <f t="shared" si="3"/>
        <v/>
      </c>
      <c r="AL31" s="91" t="str">
        <f t="shared" si="4"/>
        <v/>
      </c>
      <c r="AM31" s="93" t="str">
        <f t="shared" si="5"/>
        <v/>
      </c>
      <c r="AN31" s="162"/>
      <c r="AO31" s="107"/>
      <c r="AP31" s="163"/>
      <c r="AQ31" s="157" t="str">
        <f t="shared" si="6"/>
        <v/>
      </c>
      <c r="AR31" s="91" t="str">
        <f t="shared" si="7"/>
        <v/>
      </c>
      <c r="AS31" s="93" t="str">
        <f t="shared" si="8"/>
        <v/>
      </c>
      <c r="AT31" s="90" t="str">
        <f t="shared" si="9"/>
        <v/>
      </c>
      <c r="AU31" s="92" t="str">
        <f t="shared" si="10"/>
        <v/>
      </c>
      <c r="AV31" s="94" t="str">
        <f t="shared" si="20"/>
        <v/>
      </c>
      <c r="AW31" s="95" t="str">
        <f>IF(C31="","",IFERROR(_xlfn.XLOOKUP(AV31,HELPER!$C$8:$C$48,HELPER!$D$8:$D$48,,1),""))</f>
        <v/>
      </c>
      <c r="AX31" s="96" t="str">
        <f>IF(C31="","",IFERROR(_xlfn.XLOOKUP(AW31,HELPER!$F$8:$F$48,HELPER!$G$8:$G$48,,1),""))</f>
        <v/>
      </c>
      <c r="AY31" s="168"/>
      <c r="AZ31" s="148"/>
    </row>
    <row r="32" spans="1:52" ht="15" customHeight="1" x14ac:dyDescent="0.25">
      <c r="A32" s="168"/>
      <c r="B32" s="104">
        <v>14</v>
      </c>
      <c r="C32" s="355" t="str">
        <f>IF('INPUT DATA'!K24="","",'INPUT DATA'!K24)</f>
        <v/>
      </c>
      <c r="D32" s="356"/>
      <c r="E32" s="356"/>
      <c r="F32" s="243"/>
      <c r="G32" s="244"/>
      <c r="H32" s="244"/>
      <c r="I32" s="244"/>
      <c r="J32" s="245"/>
      <c r="K32" s="194" t="str">
        <f t="shared" si="11"/>
        <v/>
      </c>
      <c r="L32" s="170" t="str">
        <f t="shared" si="12"/>
        <v/>
      </c>
      <c r="M32" s="188" t="str">
        <f t="shared" si="13"/>
        <v/>
      </c>
      <c r="N32" s="99"/>
      <c r="O32" s="106"/>
      <c r="P32" s="106"/>
      <c r="Q32" s="106"/>
      <c r="R32" s="107"/>
      <c r="S32" s="217" t="str">
        <f t="shared" si="0"/>
        <v/>
      </c>
      <c r="T32" s="91" t="str">
        <f t="shared" si="1"/>
        <v/>
      </c>
      <c r="U32" s="218" t="str">
        <f t="shared" si="2"/>
        <v/>
      </c>
      <c r="V32" s="230"/>
      <c r="W32" s="226"/>
      <c r="X32" s="236"/>
      <c r="Y32" s="194" t="str">
        <f t="shared" si="14"/>
        <v/>
      </c>
      <c r="Z32" s="170" t="str">
        <f t="shared" si="15"/>
        <v/>
      </c>
      <c r="AA32" s="188" t="str">
        <f t="shared" si="16"/>
        <v/>
      </c>
      <c r="AB32" s="230"/>
      <c r="AC32" s="226"/>
      <c r="AD32" s="231"/>
      <c r="AE32" s="194" t="str">
        <f t="shared" si="17"/>
        <v/>
      </c>
      <c r="AF32" s="170" t="str">
        <f t="shared" si="18"/>
        <v/>
      </c>
      <c r="AG32" s="188" t="str">
        <f t="shared" si="19"/>
        <v/>
      </c>
      <c r="AH32" s="105"/>
      <c r="AI32" s="106"/>
      <c r="AJ32" s="107"/>
      <c r="AK32" s="90" t="str">
        <f t="shared" si="3"/>
        <v/>
      </c>
      <c r="AL32" s="91" t="str">
        <f t="shared" si="4"/>
        <v/>
      </c>
      <c r="AM32" s="93" t="str">
        <f t="shared" si="5"/>
        <v/>
      </c>
      <c r="AN32" s="162"/>
      <c r="AO32" s="107"/>
      <c r="AP32" s="163"/>
      <c r="AQ32" s="157" t="str">
        <f t="shared" si="6"/>
        <v/>
      </c>
      <c r="AR32" s="91" t="str">
        <f t="shared" si="7"/>
        <v/>
      </c>
      <c r="AS32" s="93" t="str">
        <f t="shared" si="8"/>
        <v/>
      </c>
      <c r="AT32" s="90" t="str">
        <f t="shared" si="9"/>
        <v/>
      </c>
      <c r="AU32" s="92" t="str">
        <f t="shared" si="10"/>
        <v/>
      </c>
      <c r="AV32" s="94" t="str">
        <f t="shared" si="20"/>
        <v/>
      </c>
      <c r="AW32" s="95" t="str">
        <f>IF(C32="","",IFERROR(_xlfn.XLOOKUP(AV32,HELPER!$C$8:$C$48,HELPER!$D$8:$D$48,,1),""))</f>
        <v/>
      </c>
      <c r="AX32" s="96" t="str">
        <f>IF(C32="","",IFERROR(_xlfn.XLOOKUP(AW32,HELPER!$F$8:$F$48,HELPER!$G$8:$G$48,,1),""))</f>
        <v/>
      </c>
      <c r="AY32" s="168"/>
      <c r="AZ32" s="148"/>
    </row>
    <row r="33" spans="1:52" ht="15" customHeight="1" x14ac:dyDescent="0.25">
      <c r="A33" s="168"/>
      <c r="B33" s="104">
        <v>15</v>
      </c>
      <c r="C33" s="355" t="str">
        <f>IF('INPUT DATA'!K25="","",'INPUT DATA'!K25)</f>
        <v/>
      </c>
      <c r="D33" s="356"/>
      <c r="E33" s="356"/>
      <c r="F33" s="243"/>
      <c r="G33" s="244"/>
      <c r="H33" s="244"/>
      <c r="I33" s="244"/>
      <c r="J33" s="245"/>
      <c r="K33" s="194" t="str">
        <f t="shared" si="11"/>
        <v/>
      </c>
      <c r="L33" s="170" t="str">
        <f t="shared" si="12"/>
        <v/>
      </c>
      <c r="M33" s="188" t="str">
        <f t="shared" si="13"/>
        <v/>
      </c>
      <c r="N33" s="99"/>
      <c r="O33" s="106"/>
      <c r="P33" s="106"/>
      <c r="Q33" s="106"/>
      <c r="R33" s="107"/>
      <c r="S33" s="217" t="str">
        <f t="shared" si="0"/>
        <v/>
      </c>
      <c r="T33" s="91" t="str">
        <f t="shared" si="1"/>
        <v/>
      </c>
      <c r="U33" s="218" t="str">
        <f t="shared" si="2"/>
        <v/>
      </c>
      <c r="V33" s="230"/>
      <c r="W33" s="226"/>
      <c r="X33" s="236"/>
      <c r="Y33" s="194" t="str">
        <f t="shared" si="14"/>
        <v/>
      </c>
      <c r="Z33" s="170" t="str">
        <f t="shared" si="15"/>
        <v/>
      </c>
      <c r="AA33" s="188" t="str">
        <f t="shared" si="16"/>
        <v/>
      </c>
      <c r="AB33" s="230"/>
      <c r="AC33" s="226"/>
      <c r="AD33" s="231"/>
      <c r="AE33" s="194" t="str">
        <f t="shared" si="17"/>
        <v/>
      </c>
      <c r="AF33" s="170" t="str">
        <f t="shared" si="18"/>
        <v/>
      </c>
      <c r="AG33" s="188" t="str">
        <f t="shared" si="19"/>
        <v/>
      </c>
      <c r="AH33" s="105"/>
      <c r="AI33" s="106"/>
      <c r="AJ33" s="107"/>
      <c r="AK33" s="90" t="str">
        <f t="shared" si="3"/>
        <v/>
      </c>
      <c r="AL33" s="91" t="str">
        <f t="shared" si="4"/>
        <v/>
      </c>
      <c r="AM33" s="93" t="str">
        <f t="shared" si="5"/>
        <v/>
      </c>
      <c r="AN33" s="162"/>
      <c r="AO33" s="107"/>
      <c r="AP33" s="163"/>
      <c r="AQ33" s="157" t="str">
        <f t="shared" si="6"/>
        <v/>
      </c>
      <c r="AR33" s="91" t="str">
        <f t="shared" si="7"/>
        <v/>
      </c>
      <c r="AS33" s="93" t="str">
        <f t="shared" si="8"/>
        <v/>
      </c>
      <c r="AT33" s="90" t="str">
        <f t="shared" si="9"/>
        <v/>
      </c>
      <c r="AU33" s="92" t="str">
        <f t="shared" si="10"/>
        <v/>
      </c>
      <c r="AV33" s="94" t="str">
        <f t="shared" si="20"/>
        <v/>
      </c>
      <c r="AW33" s="95" t="str">
        <f>IF(C33="","",IFERROR(_xlfn.XLOOKUP(AV33,HELPER!$C$8:$C$48,HELPER!$D$8:$D$48,,1),""))</f>
        <v/>
      </c>
      <c r="AX33" s="96" t="str">
        <f>IF(C33="","",IFERROR(_xlfn.XLOOKUP(AW33,HELPER!$F$8:$F$48,HELPER!$G$8:$G$48,,1),""))</f>
        <v/>
      </c>
      <c r="AY33" s="168"/>
      <c r="AZ33" s="148"/>
    </row>
    <row r="34" spans="1:52" ht="15" customHeight="1" x14ac:dyDescent="0.25">
      <c r="A34" s="168"/>
      <c r="B34" s="104">
        <v>16</v>
      </c>
      <c r="C34" s="355" t="str">
        <f>IF('INPUT DATA'!K26="","",'INPUT DATA'!K26)</f>
        <v/>
      </c>
      <c r="D34" s="356"/>
      <c r="E34" s="356"/>
      <c r="F34" s="243"/>
      <c r="G34" s="244"/>
      <c r="H34" s="244"/>
      <c r="I34" s="244"/>
      <c r="J34" s="245"/>
      <c r="K34" s="194" t="str">
        <f t="shared" si="11"/>
        <v/>
      </c>
      <c r="L34" s="170" t="str">
        <f t="shared" si="12"/>
        <v/>
      </c>
      <c r="M34" s="188" t="str">
        <f t="shared" si="13"/>
        <v/>
      </c>
      <c r="N34" s="99"/>
      <c r="O34" s="106"/>
      <c r="P34" s="106"/>
      <c r="Q34" s="106"/>
      <c r="R34" s="107"/>
      <c r="S34" s="217" t="str">
        <f t="shared" si="0"/>
        <v/>
      </c>
      <c r="T34" s="91" t="str">
        <f t="shared" si="1"/>
        <v/>
      </c>
      <c r="U34" s="218" t="str">
        <f t="shared" si="2"/>
        <v/>
      </c>
      <c r="V34" s="230"/>
      <c r="W34" s="226"/>
      <c r="X34" s="236"/>
      <c r="Y34" s="194" t="str">
        <f t="shared" si="14"/>
        <v/>
      </c>
      <c r="Z34" s="170" t="str">
        <f t="shared" si="15"/>
        <v/>
      </c>
      <c r="AA34" s="188" t="str">
        <f t="shared" si="16"/>
        <v/>
      </c>
      <c r="AB34" s="230"/>
      <c r="AC34" s="226"/>
      <c r="AD34" s="231"/>
      <c r="AE34" s="194" t="str">
        <f t="shared" si="17"/>
        <v/>
      </c>
      <c r="AF34" s="170" t="str">
        <f t="shared" si="18"/>
        <v/>
      </c>
      <c r="AG34" s="188" t="str">
        <f t="shared" si="19"/>
        <v/>
      </c>
      <c r="AH34" s="105"/>
      <c r="AI34" s="106"/>
      <c r="AJ34" s="107"/>
      <c r="AK34" s="90" t="str">
        <f t="shared" si="3"/>
        <v/>
      </c>
      <c r="AL34" s="91" t="str">
        <f t="shared" si="4"/>
        <v/>
      </c>
      <c r="AM34" s="93" t="str">
        <f t="shared" si="5"/>
        <v/>
      </c>
      <c r="AN34" s="162"/>
      <c r="AO34" s="107"/>
      <c r="AP34" s="163"/>
      <c r="AQ34" s="157" t="str">
        <f t="shared" si="6"/>
        <v/>
      </c>
      <c r="AR34" s="91" t="str">
        <f t="shared" si="7"/>
        <v/>
      </c>
      <c r="AS34" s="93" t="str">
        <f t="shared" si="8"/>
        <v/>
      </c>
      <c r="AT34" s="90" t="str">
        <f t="shared" si="9"/>
        <v/>
      </c>
      <c r="AU34" s="92" t="str">
        <f t="shared" si="10"/>
        <v/>
      </c>
      <c r="AV34" s="94" t="str">
        <f t="shared" si="20"/>
        <v/>
      </c>
      <c r="AW34" s="95" t="str">
        <f>IF(C34="","",IFERROR(_xlfn.XLOOKUP(AV34,HELPER!$C$8:$C$48,HELPER!$D$8:$D$48,,1),""))</f>
        <v/>
      </c>
      <c r="AX34" s="96" t="str">
        <f>IF(C34="","",IFERROR(_xlfn.XLOOKUP(AW34,HELPER!$F$8:$F$48,HELPER!$G$8:$G$48,,1),""))</f>
        <v/>
      </c>
      <c r="AY34" s="168"/>
      <c r="AZ34" s="148"/>
    </row>
    <row r="35" spans="1:52" ht="15" customHeight="1" x14ac:dyDescent="0.25">
      <c r="A35" s="168"/>
      <c r="B35" s="104">
        <v>17</v>
      </c>
      <c r="C35" s="355" t="str">
        <f>IF('INPUT DATA'!K27="","",'INPUT DATA'!K27)</f>
        <v/>
      </c>
      <c r="D35" s="356"/>
      <c r="E35" s="356"/>
      <c r="F35" s="243"/>
      <c r="G35" s="244"/>
      <c r="H35" s="244"/>
      <c r="I35" s="244"/>
      <c r="J35" s="245"/>
      <c r="K35" s="194" t="str">
        <f t="shared" si="11"/>
        <v/>
      </c>
      <c r="L35" s="170" t="str">
        <f t="shared" si="12"/>
        <v/>
      </c>
      <c r="M35" s="188" t="str">
        <f t="shared" si="13"/>
        <v/>
      </c>
      <c r="N35" s="99"/>
      <c r="O35" s="106"/>
      <c r="P35" s="106"/>
      <c r="Q35" s="106"/>
      <c r="R35" s="107"/>
      <c r="S35" s="217" t="str">
        <f t="shared" si="0"/>
        <v/>
      </c>
      <c r="T35" s="91" t="str">
        <f t="shared" si="1"/>
        <v/>
      </c>
      <c r="U35" s="218" t="str">
        <f t="shared" si="2"/>
        <v/>
      </c>
      <c r="V35" s="230"/>
      <c r="W35" s="226"/>
      <c r="X35" s="236"/>
      <c r="Y35" s="194" t="str">
        <f t="shared" si="14"/>
        <v/>
      </c>
      <c r="Z35" s="170" t="str">
        <f t="shared" si="15"/>
        <v/>
      </c>
      <c r="AA35" s="188" t="str">
        <f t="shared" si="16"/>
        <v/>
      </c>
      <c r="AB35" s="230"/>
      <c r="AC35" s="226"/>
      <c r="AD35" s="231"/>
      <c r="AE35" s="194" t="str">
        <f t="shared" si="17"/>
        <v/>
      </c>
      <c r="AF35" s="170" t="str">
        <f t="shared" si="18"/>
        <v/>
      </c>
      <c r="AG35" s="188" t="str">
        <f t="shared" si="19"/>
        <v/>
      </c>
      <c r="AH35" s="105"/>
      <c r="AI35" s="106"/>
      <c r="AJ35" s="107"/>
      <c r="AK35" s="90" t="str">
        <f t="shared" si="3"/>
        <v/>
      </c>
      <c r="AL35" s="91" t="str">
        <f t="shared" si="4"/>
        <v/>
      </c>
      <c r="AM35" s="93" t="str">
        <f t="shared" si="5"/>
        <v/>
      </c>
      <c r="AN35" s="162"/>
      <c r="AO35" s="107"/>
      <c r="AP35" s="163"/>
      <c r="AQ35" s="157" t="str">
        <f t="shared" si="6"/>
        <v/>
      </c>
      <c r="AR35" s="91" t="str">
        <f t="shared" si="7"/>
        <v/>
      </c>
      <c r="AS35" s="93" t="str">
        <f t="shared" si="8"/>
        <v/>
      </c>
      <c r="AT35" s="90" t="str">
        <f t="shared" si="9"/>
        <v/>
      </c>
      <c r="AU35" s="92" t="str">
        <f t="shared" si="10"/>
        <v/>
      </c>
      <c r="AV35" s="94" t="str">
        <f t="shared" si="20"/>
        <v/>
      </c>
      <c r="AW35" s="95" t="str">
        <f>IF(C35="","",IFERROR(_xlfn.XLOOKUP(AV35,HELPER!$C$8:$C$48,HELPER!$D$8:$D$48,,1),""))</f>
        <v/>
      </c>
      <c r="AX35" s="96" t="str">
        <f>IF(C35="","",IFERROR(_xlfn.XLOOKUP(AW35,HELPER!$F$8:$F$48,HELPER!$G$8:$G$48,,1),""))</f>
        <v/>
      </c>
      <c r="AY35" s="168"/>
      <c r="AZ35" s="148"/>
    </row>
    <row r="36" spans="1:52" ht="15" customHeight="1" x14ac:dyDescent="0.25">
      <c r="A36" s="168"/>
      <c r="B36" s="104">
        <v>18</v>
      </c>
      <c r="C36" s="355" t="str">
        <f>IF('INPUT DATA'!K28="","",'INPUT DATA'!K28)</f>
        <v/>
      </c>
      <c r="D36" s="356"/>
      <c r="E36" s="356"/>
      <c r="F36" s="243"/>
      <c r="G36" s="244"/>
      <c r="H36" s="244"/>
      <c r="I36" s="244"/>
      <c r="J36" s="245"/>
      <c r="K36" s="194" t="str">
        <f t="shared" si="11"/>
        <v/>
      </c>
      <c r="L36" s="170" t="str">
        <f t="shared" si="12"/>
        <v/>
      </c>
      <c r="M36" s="188" t="str">
        <f t="shared" si="13"/>
        <v/>
      </c>
      <c r="N36" s="99"/>
      <c r="O36" s="106"/>
      <c r="P36" s="106"/>
      <c r="Q36" s="106"/>
      <c r="R36" s="107"/>
      <c r="S36" s="217" t="str">
        <f t="shared" si="0"/>
        <v/>
      </c>
      <c r="T36" s="91" t="str">
        <f t="shared" si="1"/>
        <v/>
      </c>
      <c r="U36" s="218" t="str">
        <f t="shared" si="2"/>
        <v/>
      </c>
      <c r="V36" s="230"/>
      <c r="W36" s="226"/>
      <c r="X36" s="236"/>
      <c r="Y36" s="194" t="str">
        <f t="shared" si="14"/>
        <v/>
      </c>
      <c r="Z36" s="170" t="str">
        <f t="shared" si="15"/>
        <v/>
      </c>
      <c r="AA36" s="188" t="str">
        <f t="shared" si="16"/>
        <v/>
      </c>
      <c r="AB36" s="230"/>
      <c r="AC36" s="226"/>
      <c r="AD36" s="231"/>
      <c r="AE36" s="194" t="str">
        <f t="shared" si="17"/>
        <v/>
      </c>
      <c r="AF36" s="170" t="str">
        <f t="shared" si="18"/>
        <v/>
      </c>
      <c r="AG36" s="188" t="str">
        <f t="shared" si="19"/>
        <v/>
      </c>
      <c r="AH36" s="105"/>
      <c r="AI36" s="106"/>
      <c r="AJ36" s="107"/>
      <c r="AK36" s="90" t="str">
        <f t="shared" si="3"/>
        <v/>
      </c>
      <c r="AL36" s="91" t="str">
        <f t="shared" si="4"/>
        <v/>
      </c>
      <c r="AM36" s="93" t="str">
        <f t="shared" si="5"/>
        <v/>
      </c>
      <c r="AN36" s="162"/>
      <c r="AO36" s="107"/>
      <c r="AP36" s="163"/>
      <c r="AQ36" s="157" t="str">
        <f t="shared" si="6"/>
        <v/>
      </c>
      <c r="AR36" s="91" t="str">
        <f t="shared" si="7"/>
        <v/>
      </c>
      <c r="AS36" s="93" t="str">
        <f t="shared" si="8"/>
        <v/>
      </c>
      <c r="AT36" s="90" t="str">
        <f t="shared" si="9"/>
        <v/>
      </c>
      <c r="AU36" s="92" t="str">
        <f t="shared" si="10"/>
        <v/>
      </c>
      <c r="AV36" s="94" t="str">
        <f t="shared" si="20"/>
        <v/>
      </c>
      <c r="AW36" s="95" t="str">
        <f>IF(C36="","",IFERROR(_xlfn.XLOOKUP(AV36,HELPER!$C$8:$C$48,HELPER!$D$8:$D$48,,1),""))</f>
        <v/>
      </c>
      <c r="AX36" s="96" t="str">
        <f>IF(C36="","",IFERROR(_xlfn.XLOOKUP(AW36,HELPER!$F$8:$F$48,HELPER!$G$8:$G$48,,1),""))</f>
        <v/>
      </c>
      <c r="AY36" s="168"/>
      <c r="AZ36" s="148"/>
    </row>
    <row r="37" spans="1:52" ht="15" customHeight="1" x14ac:dyDescent="0.25">
      <c r="A37" s="168"/>
      <c r="B37" s="104">
        <v>19</v>
      </c>
      <c r="C37" s="355" t="str">
        <f>IF('INPUT DATA'!K29="","",'INPUT DATA'!K29)</f>
        <v/>
      </c>
      <c r="D37" s="356"/>
      <c r="E37" s="356"/>
      <c r="F37" s="243"/>
      <c r="G37" s="244"/>
      <c r="H37" s="244"/>
      <c r="I37" s="244"/>
      <c r="J37" s="245"/>
      <c r="K37" s="194" t="str">
        <f t="shared" si="11"/>
        <v/>
      </c>
      <c r="L37" s="170" t="str">
        <f t="shared" si="12"/>
        <v/>
      </c>
      <c r="M37" s="188" t="str">
        <f t="shared" si="13"/>
        <v/>
      </c>
      <c r="N37" s="99"/>
      <c r="O37" s="106"/>
      <c r="P37" s="106"/>
      <c r="Q37" s="106"/>
      <c r="R37" s="107"/>
      <c r="S37" s="217" t="str">
        <f t="shared" si="0"/>
        <v/>
      </c>
      <c r="T37" s="91" t="str">
        <f t="shared" si="1"/>
        <v/>
      </c>
      <c r="U37" s="218" t="str">
        <f t="shared" si="2"/>
        <v/>
      </c>
      <c r="V37" s="230"/>
      <c r="W37" s="226"/>
      <c r="X37" s="236"/>
      <c r="Y37" s="194" t="str">
        <f t="shared" si="14"/>
        <v/>
      </c>
      <c r="Z37" s="170" t="str">
        <f t="shared" si="15"/>
        <v/>
      </c>
      <c r="AA37" s="188" t="str">
        <f t="shared" si="16"/>
        <v/>
      </c>
      <c r="AB37" s="230"/>
      <c r="AC37" s="226"/>
      <c r="AD37" s="231"/>
      <c r="AE37" s="194" t="str">
        <f t="shared" si="17"/>
        <v/>
      </c>
      <c r="AF37" s="170" t="str">
        <f t="shared" si="18"/>
        <v/>
      </c>
      <c r="AG37" s="188" t="str">
        <f t="shared" si="19"/>
        <v/>
      </c>
      <c r="AH37" s="105"/>
      <c r="AI37" s="106"/>
      <c r="AJ37" s="107"/>
      <c r="AK37" s="90" t="str">
        <f t="shared" si="3"/>
        <v/>
      </c>
      <c r="AL37" s="91" t="str">
        <f t="shared" si="4"/>
        <v/>
      </c>
      <c r="AM37" s="93" t="str">
        <f t="shared" si="5"/>
        <v/>
      </c>
      <c r="AN37" s="162"/>
      <c r="AO37" s="107"/>
      <c r="AP37" s="163"/>
      <c r="AQ37" s="157" t="str">
        <f t="shared" si="6"/>
        <v/>
      </c>
      <c r="AR37" s="91" t="str">
        <f t="shared" si="7"/>
        <v/>
      </c>
      <c r="AS37" s="93" t="str">
        <f t="shared" si="8"/>
        <v/>
      </c>
      <c r="AT37" s="90" t="str">
        <f t="shared" si="9"/>
        <v/>
      </c>
      <c r="AU37" s="92" t="str">
        <f t="shared" si="10"/>
        <v/>
      </c>
      <c r="AV37" s="94" t="str">
        <f t="shared" si="20"/>
        <v/>
      </c>
      <c r="AW37" s="95" t="str">
        <f>IF(C37="","",IFERROR(_xlfn.XLOOKUP(AV37,HELPER!$C$8:$C$48,HELPER!$D$8:$D$48,,1),""))</f>
        <v/>
      </c>
      <c r="AX37" s="96" t="str">
        <f>IF(C37="","",IFERROR(_xlfn.XLOOKUP(AW37,HELPER!$F$8:$F$48,HELPER!$G$8:$G$48,,1),""))</f>
        <v/>
      </c>
      <c r="AY37" s="168"/>
      <c r="AZ37" s="148"/>
    </row>
    <row r="38" spans="1:52" ht="15" customHeight="1" x14ac:dyDescent="0.25">
      <c r="A38" s="168"/>
      <c r="B38" s="108">
        <v>20</v>
      </c>
      <c r="C38" s="355" t="str">
        <f>IF('INPUT DATA'!K30="","",'INPUT DATA'!K30)</f>
        <v/>
      </c>
      <c r="D38" s="356"/>
      <c r="E38" s="356"/>
      <c r="F38" s="243"/>
      <c r="G38" s="244"/>
      <c r="H38" s="244"/>
      <c r="I38" s="244"/>
      <c r="J38" s="245"/>
      <c r="K38" s="194" t="str">
        <f t="shared" si="11"/>
        <v/>
      </c>
      <c r="L38" s="170" t="str">
        <f t="shared" si="12"/>
        <v/>
      </c>
      <c r="M38" s="188" t="str">
        <f t="shared" si="13"/>
        <v/>
      </c>
      <c r="N38" s="99"/>
      <c r="O38" s="106"/>
      <c r="P38" s="106"/>
      <c r="Q38" s="106"/>
      <c r="R38" s="107"/>
      <c r="S38" s="217" t="str">
        <f t="shared" si="0"/>
        <v/>
      </c>
      <c r="T38" s="91" t="str">
        <f t="shared" si="1"/>
        <v/>
      </c>
      <c r="U38" s="218" t="str">
        <f t="shared" si="2"/>
        <v/>
      </c>
      <c r="V38" s="230"/>
      <c r="W38" s="226"/>
      <c r="X38" s="236"/>
      <c r="Y38" s="194" t="str">
        <f t="shared" si="14"/>
        <v/>
      </c>
      <c r="Z38" s="170" t="str">
        <f t="shared" si="15"/>
        <v/>
      </c>
      <c r="AA38" s="188" t="str">
        <f t="shared" si="16"/>
        <v/>
      </c>
      <c r="AB38" s="230"/>
      <c r="AC38" s="226"/>
      <c r="AD38" s="231"/>
      <c r="AE38" s="194" t="str">
        <f t="shared" si="17"/>
        <v/>
      </c>
      <c r="AF38" s="170" t="str">
        <f t="shared" si="18"/>
        <v/>
      </c>
      <c r="AG38" s="188" t="str">
        <f t="shared" si="19"/>
        <v/>
      </c>
      <c r="AH38" s="105"/>
      <c r="AI38" s="106"/>
      <c r="AJ38" s="107"/>
      <c r="AK38" s="90" t="str">
        <f t="shared" si="3"/>
        <v/>
      </c>
      <c r="AL38" s="91" t="str">
        <f t="shared" si="4"/>
        <v/>
      </c>
      <c r="AM38" s="93" t="str">
        <f t="shared" si="5"/>
        <v/>
      </c>
      <c r="AN38" s="162"/>
      <c r="AO38" s="107"/>
      <c r="AP38" s="163"/>
      <c r="AQ38" s="157" t="str">
        <f t="shared" si="6"/>
        <v/>
      </c>
      <c r="AR38" s="91" t="str">
        <f t="shared" si="7"/>
        <v/>
      </c>
      <c r="AS38" s="93" t="str">
        <f t="shared" si="8"/>
        <v/>
      </c>
      <c r="AT38" s="90" t="str">
        <f t="shared" si="9"/>
        <v/>
      </c>
      <c r="AU38" s="92" t="str">
        <f t="shared" si="10"/>
        <v/>
      </c>
      <c r="AV38" s="94" t="str">
        <f t="shared" si="20"/>
        <v/>
      </c>
      <c r="AW38" s="95" t="str">
        <f>IF(C38="","",IFERROR(_xlfn.XLOOKUP(AV38,HELPER!$C$8:$C$48,HELPER!$D$8:$D$48,,1),""))</f>
        <v/>
      </c>
      <c r="AX38" s="96" t="str">
        <f>IF(C38="","",IFERROR(_xlfn.XLOOKUP(AW38,HELPER!$F$8:$F$48,HELPER!$G$8:$G$48,,1),""))</f>
        <v/>
      </c>
      <c r="AY38" s="168"/>
      <c r="AZ38" s="148"/>
    </row>
    <row r="39" spans="1:52" ht="15" customHeight="1" x14ac:dyDescent="0.25">
      <c r="A39" s="168"/>
      <c r="B39" s="108">
        <v>21</v>
      </c>
      <c r="C39" s="355" t="str">
        <f>IF('INPUT DATA'!K31="","",'INPUT DATA'!K31)</f>
        <v/>
      </c>
      <c r="D39" s="356"/>
      <c r="E39" s="356"/>
      <c r="F39" s="243"/>
      <c r="G39" s="244"/>
      <c r="H39" s="244"/>
      <c r="I39" s="244"/>
      <c r="J39" s="245"/>
      <c r="K39" s="194" t="str">
        <f t="shared" si="11"/>
        <v/>
      </c>
      <c r="L39" s="170" t="str">
        <f t="shared" si="12"/>
        <v/>
      </c>
      <c r="M39" s="188" t="str">
        <f t="shared" si="13"/>
        <v/>
      </c>
      <c r="N39" s="99"/>
      <c r="O39" s="106"/>
      <c r="P39" s="106"/>
      <c r="Q39" s="106"/>
      <c r="R39" s="107"/>
      <c r="S39" s="217" t="str">
        <f t="shared" si="0"/>
        <v/>
      </c>
      <c r="T39" s="91" t="str">
        <f t="shared" si="1"/>
        <v/>
      </c>
      <c r="U39" s="218" t="str">
        <f t="shared" si="2"/>
        <v/>
      </c>
      <c r="V39" s="230"/>
      <c r="W39" s="226"/>
      <c r="X39" s="236"/>
      <c r="Y39" s="194" t="str">
        <f t="shared" si="14"/>
        <v/>
      </c>
      <c r="Z39" s="170" t="str">
        <f t="shared" si="15"/>
        <v/>
      </c>
      <c r="AA39" s="188" t="str">
        <f t="shared" si="16"/>
        <v/>
      </c>
      <c r="AB39" s="230"/>
      <c r="AC39" s="226"/>
      <c r="AD39" s="231"/>
      <c r="AE39" s="194" t="str">
        <f t="shared" si="17"/>
        <v/>
      </c>
      <c r="AF39" s="170" t="str">
        <f t="shared" si="18"/>
        <v/>
      </c>
      <c r="AG39" s="188" t="str">
        <f t="shared" si="19"/>
        <v/>
      </c>
      <c r="AH39" s="105"/>
      <c r="AI39" s="106"/>
      <c r="AJ39" s="107"/>
      <c r="AK39" s="90" t="str">
        <f t="shared" si="3"/>
        <v/>
      </c>
      <c r="AL39" s="91" t="str">
        <f t="shared" si="4"/>
        <v/>
      </c>
      <c r="AM39" s="93" t="str">
        <f t="shared" si="5"/>
        <v/>
      </c>
      <c r="AN39" s="162"/>
      <c r="AO39" s="107"/>
      <c r="AP39" s="163"/>
      <c r="AQ39" s="157" t="str">
        <f t="shared" si="6"/>
        <v/>
      </c>
      <c r="AR39" s="91" t="str">
        <f t="shared" si="7"/>
        <v/>
      </c>
      <c r="AS39" s="93" t="str">
        <f t="shared" si="8"/>
        <v/>
      </c>
      <c r="AT39" s="90" t="str">
        <f t="shared" si="9"/>
        <v/>
      </c>
      <c r="AU39" s="92" t="str">
        <f t="shared" si="10"/>
        <v/>
      </c>
      <c r="AV39" s="94" t="str">
        <f t="shared" si="20"/>
        <v/>
      </c>
      <c r="AW39" s="95" t="str">
        <f>IF(C39="","",IFERROR(_xlfn.XLOOKUP(AV39,HELPER!$C$8:$C$48,HELPER!$D$8:$D$48,,1),""))</f>
        <v/>
      </c>
      <c r="AX39" s="96" t="str">
        <f>IF(C39="","",IFERROR(_xlfn.XLOOKUP(AW39,HELPER!$F$8:$F$48,HELPER!$G$8:$G$48,,1),""))</f>
        <v/>
      </c>
      <c r="AY39" s="168"/>
      <c r="AZ39" s="148"/>
    </row>
    <row r="40" spans="1:52" ht="15" customHeight="1" x14ac:dyDescent="0.25">
      <c r="A40" s="168"/>
      <c r="B40" s="108">
        <v>22</v>
      </c>
      <c r="C40" s="355" t="str">
        <f>IF('INPUT DATA'!K32="","",'INPUT DATA'!K32)</f>
        <v/>
      </c>
      <c r="D40" s="356"/>
      <c r="E40" s="356"/>
      <c r="F40" s="243"/>
      <c r="G40" s="244"/>
      <c r="H40" s="244"/>
      <c r="I40" s="244"/>
      <c r="J40" s="245"/>
      <c r="K40" s="194" t="str">
        <f t="shared" si="11"/>
        <v/>
      </c>
      <c r="L40" s="170" t="str">
        <f t="shared" si="12"/>
        <v/>
      </c>
      <c r="M40" s="188" t="str">
        <f t="shared" si="13"/>
        <v/>
      </c>
      <c r="N40" s="99"/>
      <c r="O40" s="106"/>
      <c r="P40" s="106"/>
      <c r="Q40" s="106"/>
      <c r="R40" s="107"/>
      <c r="S40" s="217" t="str">
        <f t="shared" si="0"/>
        <v/>
      </c>
      <c r="T40" s="91" t="str">
        <f t="shared" si="1"/>
        <v/>
      </c>
      <c r="U40" s="218" t="str">
        <f t="shared" si="2"/>
        <v/>
      </c>
      <c r="V40" s="230"/>
      <c r="W40" s="226"/>
      <c r="X40" s="236"/>
      <c r="Y40" s="194" t="str">
        <f t="shared" si="14"/>
        <v/>
      </c>
      <c r="Z40" s="170" t="str">
        <f t="shared" si="15"/>
        <v/>
      </c>
      <c r="AA40" s="188" t="str">
        <f t="shared" si="16"/>
        <v/>
      </c>
      <c r="AB40" s="230"/>
      <c r="AC40" s="226"/>
      <c r="AD40" s="231"/>
      <c r="AE40" s="194" t="str">
        <f t="shared" si="17"/>
        <v/>
      </c>
      <c r="AF40" s="170" t="str">
        <f t="shared" si="18"/>
        <v/>
      </c>
      <c r="AG40" s="188" t="str">
        <f t="shared" si="19"/>
        <v/>
      </c>
      <c r="AH40" s="105"/>
      <c r="AI40" s="106"/>
      <c r="AJ40" s="107"/>
      <c r="AK40" s="90" t="str">
        <f t="shared" si="3"/>
        <v/>
      </c>
      <c r="AL40" s="91" t="str">
        <f t="shared" si="4"/>
        <v/>
      </c>
      <c r="AM40" s="93" t="str">
        <f t="shared" si="5"/>
        <v/>
      </c>
      <c r="AN40" s="162"/>
      <c r="AO40" s="107"/>
      <c r="AP40" s="163"/>
      <c r="AQ40" s="157" t="str">
        <f t="shared" si="6"/>
        <v/>
      </c>
      <c r="AR40" s="91" t="str">
        <f t="shared" si="7"/>
        <v/>
      </c>
      <c r="AS40" s="93" t="str">
        <f t="shared" si="8"/>
        <v/>
      </c>
      <c r="AT40" s="90" t="str">
        <f t="shared" si="9"/>
        <v/>
      </c>
      <c r="AU40" s="92" t="str">
        <f t="shared" si="10"/>
        <v/>
      </c>
      <c r="AV40" s="94" t="str">
        <f t="shared" si="20"/>
        <v/>
      </c>
      <c r="AW40" s="95" t="str">
        <f>IF(C40="","",IFERROR(_xlfn.XLOOKUP(AV40,HELPER!$C$8:$C$48,HELPER!$D$8:$D$48,,1),""))</f>
        <v/>
      </c>
      <c r="AX40" s="96" t="str">
        <f>IF(C40="","",IFERROR(_xlfn.XLOOKUP(AW40,HELPER!$F$8:$F$48,HELPER!$G$8:$G$48,,1),""))</f>
        <v/>
      </c>
      <c r="AY40" s="168"/>
      <c r="AZ40" s="148"/>
    </row>
    <row r="41" spans="1:52" ht="15" customHeight="1" x14ac:dyDescent="0.25">
      <c r="A41" s="168"/>
      <c r="B41" s="108">
        <v>23</v>
      </c>
      <c r="C41" s="355" t="str">
        <f>IF('INPUT DATA'!K33="","",'INPUT DATA'!K33)</f>
        <v/>
      </c>
      <c r="D41" s="356"/>
      <c r="E41" s="356"/>
      <c r="F41" s="243"/>
      <c r="G41" s="244"/>
      <c r="H41" s="244"/>
      <c r="I41" s="244"/>
      <c r="J41" s="245"/>
      <c r="K41" s="194" t="str">
        <f t="shared" si="11"/>
        <v/>
      </c>
      <c r="L41" s="170" t="str">
        <f t="shared" si="12"/>
        <v/>
      </c>
      <c r="M41" s="188" t="str">
        <f t="shared" si="13"/>
        <v/>
      </c>
      <c r="N41" s="99"/>
      <c r="O41" s="106"/>
      <c r="P41" s="106"/>
      <c r="Q41" s="106"/>
      <c r="R41" s="107"/>
      <c r="S41" s="217" t="str">
        <f t="shared" si="0"/>
        <v/>
      </c>
      <c r="T41" s="91" t="str">
        <f t="shared" si="1"/>
        <v/>
      </c>
      <c r="U41" s="218" t="str">
        <f t="shared" si="2"/>
        <v/>
      </c>
      <c r="V41" s="230"/>
      <c r="W41" s="226"/>
      <c r="X41" s="236"/>
      <c r="Y41" s="194" t="str">
        <f t="shared" si="14"/>
        <v/>
      </c>
      <c r="Z41" s="170" t="str">
        <f t="shared" si="15"/>
        <v/>
      </c>
      <c r="AA41" s="188" t="str">
        <f t="shared" si="16"/>
        <v/>
      </c>
      <c r="AB41" s="230"/>
      <c r="AC41" s="226"/>
      <c r="AD41" s="231"/>
      <c r="AE41" s="194" t="str">
        <f t="shared" si="17"/>
        <v/>
      </c>
      <c r="AF41" s="170" t="str">
        <f t="shared" si="18"/>
        <v/>
      </c>
      <c r="AG41" s="188" t="str">
        <f t="shared" si="19"/>
        <v/>
      </c>
      <c r="AH41" s="105"/>
      <c r="AI41" s="106"/>
      <c r="AJ41" s="107"/>
      <c r="AK41" s="90" t="str">
        <f t="shared" si="3"/>
        <v/>
      </c>
      <c r="AL41" s="91" t="str">
        <f t="shared" si="4"/>
        <v/>
      </c>
      <c r="AM41" s="93" t="str">
        <f t="shared" si="5"/>
        <v/>
      </c>
      <c r="AN41" s="162"/>
      <c r="AO41" s="107"/>
      <c r="AP41" s="163"/>
      <c r="AQ41" s="157" t="str">
        <f t="shared" si="6"/>
        <v/>
      </c>
      <c r="AR41" s="91" t="str">
        <f t="shared" si="7"/>
        <v/>
      </c>
      <c r="AS41" s="93" t="str">
        <f t="shared" si="8"/>
        <v/>
      </c>
      <c r="AT41" s="90" t="str">
        <f t="shared" si="9"/>
        <v/>
      </c>
      <c r="AU41" s="92" t="str">
        <f t="shared" si="10"/>
        <v/>
      </c>
      <c r="AV41" s="94" t="str">
        <f t="shared" si="20"/>
        <v/>
      </c>
      <c r="AW41" s="95" t="str">
        <f>IF(C41="","",IFERROR(_xlfn.XLOOKUP(AV41,HELPER!$C$8:$C$48,HELPER!$D$8:$D$48,,1),""))</f>
        <v/>
      </c>
      <c r="AX41" s="96" t="str">
        <f>IF(C41="","",IFERROR(_xlfn.XLOOKUP(AW41,HELPER!$F$8:$F$48,HELPER!$G$8:$G$48,,1),""))</f>
        <v/>
      </c>
      <c r="AY41" s="168"/>
      <c r="AZ41" s="148"/>
    </row>
    <row r="42" spans="1:52" ht="15" customHeight="1" x14ac:dyDescent="0.25">
      <c r="A42" s="168"/>
      <c r="B42" s="108">
        <v>24</v>
      </c>
      <c r="C42" s="355" t="str">
        <f>IF('INPUT DATA'!K34="","",'INPUT DATA'!K34)</f>
        <v/>
      </c>
      <c r="D42" s="356"/>
      <c r="E42" s="356"/>
      <c r="F42" s="243"/>
      <c r="G42" s="244"/>
      <c r="H42" s="244"/>
      <c r="I42" s="244"/>
      <c r="J42" s="245"/>
      <c r="K42" s="194" t="str">
        <f t="shared" si="11"/>
        <v/>
      </c>
      <c r="L42" s="170" t="str">
        <f t="shared" si="12"/>
        <v/>
      </c>
      <c r="M42" s="188" t="str">
        <f t="shared" si="13"/>
        <v/>
      </c>
      <c r="N42" s="99"/>
      <c r="O42" s="106"/>
      <c r="P42" s="106"/>
      <c r="Q42" s="106"/>
      <c r="R42" s="107"/>
      <c r="S42" s="217" t="str">
        <f t="shared" si="0"/>
        <v/>
      </c>
      <c r="T42" s="91" t="str">
        <f t="shared" si="1"/>
        <v/>
      </c>
      <c r="U42" s="218" t="str">
        <f t="shared" si="2"/>
        <v/>
      </c>
      <c r="V42" s="230"/>
      <c r="W42" s="226"/>
      <c r="X42" s="236"/>
      <c r="Y42" s="194" t="str">
        <f t="shared" si="14"/>
        <v/>
      </c>
      <c r="Z42" s="170" t="str">
        <f t="shared" si="15"/>
        <v/>
      </c>
      <c r="AA42" s="188" t="str">
        <f t="shared" si="16"/>
        <v/>
      </c>
      <c r="AB42" s="230"/>
      <c r="AC42" s="226"/>
      <c r="AD42" s="231"/>
      <c r="AE42" s="194" t="str">
        <f t="shared" si="17"/>
        <v/>
      </c>
      <c r="AF42" s="170" t="str">
        <f t="shared" si="18"/>
        <v/>
      </c>
      <c r="AG42" s="188" t="str">
        <f t="shared" si="19"/>
        <v/>
      </c>
      <c r="AH42" s="105"/>
      <c r="AI42" s="106"/>
      <c r="AJ42" s="107"/>
      <c r="AK42" s="90" t="str">
        <f t="shared" si="3"/>
        <v/>
      </c>
      <c r="AL42" s="91" t="str">
        <f t="shared" si="4"/>
        <v/>
      </c>
      <c r="AM42" s="93" t="str">
        <f t="shared" si="5"/>
        <v/>
      </c>
      <c r="AN42" s="162"/>
      <c r="AO42" s="107"/>
      <c r="AP42" s="163"/>
      <c r="AQ42" s="157" t="str">
        <f t="shared" si="6"/>
        <v/>
      </c>
      <c r="AR42" s="91" t="str">
        <f t="shared" si="7"/>
        <v/>
      </c>
      <c r="AS42" s="93" t="str">
        <f t="shared" si="8"/>
        <v/>
      </c>
      <c r="AT42" s="90" t="str">
        <f t="shared" si="9"/>
        <v/>
      </c>
      <c r="AU42" s="92" t="str">
        <f t="shared" si="10"/>
        <v/>
      </c>
      <c r="AV42" s="94" t="str">
        <f t="shared" si="20"/>
        <v/>
      </c>
      <c r="AW42" s="95" t="str">
        <f>IF(C42="","",IFERROR(_xlfn.XLOOKUP(AV42,HELPER!$C$8:$C$48,HELPER!$D$8:$D$48,,1),""))</f>
        <v/>
      </c>
      <c r="AX42" s="96" t="str">
        <f>IF(C42="","",IFERROR(_xlfn.XLOOKUP(AW42,HELPER!$F$8:$F$48,HELPER!$G$8:$G$48,,1),""))</f>
        <v/>
      </c>
      <c r="AY42" s="168"/>
      <c r="AZ42" s="148"/>
    </row>
    <row r="43" spans="1:52" ht="15" customHeight="1" x14ac:dyDescent="0.25">
      <c r="A43" s="168"/>
      <c r="B43" s="108">
        <v>25</v>
      </c>
      <c r="C43" s="355" t="str">
        <f>IF('INPUT DATA'!K35="","",'INPUT DATA'!K35)</f>
        <v/>
      </c>
      <c r="D43" s="356"/>
      <c r="E43" s="356"/>
      <c r="F43" s="243"/>
      <c r="G43" s="244"/>
      <c r="H43" s="244"/>
      <c r="I43" s="244"/>
      <c r="J43" s="245"/>
      <c r="K43" s="194" t="str">
        <f t="shared" si="11"/>
        <v/>
      </c>
      <c r="L43" s="170" t="str">
        <f t="shared" si="12"/>
        <v/>
      </c>
      <c r="M43" s="188" t="str">
        <f t="shared" si="13"/>
        <v/>
      </c>
      <c r="N43" s="99"/>
      <c r="O43" s="106"/>
      <c r="P43" s="106"/>
      <c r="Q43" s="106"/>
      <c r="R43" s="107"/>
      <c r="S43" s="217" t="str">
        <f t="shared" si="0"/>
        <v/>
      </c>
      <c r="T43" s="91" t="str">
        <f t="shared" si="1"/>
        <v/>
      </c>
      <c r="U43" s="218" t="str">
        <f t="shared" si="2"/>
        <v/>
      </c>
      <c r="V43" s="230"/>
      <c r="W43" s="226"/>
      <c r="X43" s="236"/>
      <c r="Y43" s="194" t="str">
        <f t="shared" si="14"/>
        <v/>
      </c>
      <c r="Z43" s="170" t="str">
        <f t="shared" si="15"/>
        <v/>
      </c>
      <c r="AA43" s="188" t="str">
        <f t="shared" si="16"/>
        <v/>
      </c>
      <c r="AB43" s="230"/>
      <c r="AC43" s="226"/>
      <c r="AD43" s="231"/>
      <c r="AE43" s="194" t="str">
        <f t="shared" si="17"/>
        <v/>
      </c>
      <c r="AF43" s="170" t="str">
        <f t="shared" si="18"/>
        <v/>
      </c>
      <c r="AG43" s="188" t="str">
        <f t="shared" si="19"/>
        <v/>
      </c>
      <c r="AH43" s="105"/>
      <c r="AI43" s="106"/>
      <c r="AJ43" s="107"/>
      <c r="AK43" s="90" t="str">
        <f t="shared" si="3"/>
        <v/>
      </c>
      <c r="AL43" s="91" t="str">
        <f t="shared" si="4"/>
        <v/>
      </c>
      <c r="AM43" s="93" t="str">
        <f t="shared" si="5"/>
        <v/>
      </c>
      <c r="AN43" s="162"/>
      <c r="AO43" s="107"/>
      <c r="AP43" s="163"/>
      <c r="AQ43" s="157" t="str">
        <f t="shared" si="6"/>
        <v/>
      </c>
      <c r="AR43" s="91" t="str">
        <f t="shared" si="7"/>
        <v/>
      </c>
      <c r="AS43" s="93" t="str">
        <f t="shared" si="8"/>
        <v/>
      </c>
      <c r="AT43" s="90" t="str">
        <f t="shared" si="9"/>
        <v/>
      </c>
      <c r="AU43" s="92" t="str">
        <f t="shared" si="10"/>
        <v/>
      </c>
      <c r="AV43" s="94" t="str">
        <f t="shared" si="20"/>
        <v/>
      </c>
      <c r="AW43" s="95" t="str">
        <f>IF(C43="","",IFERROR(_xlfn.XLOOKUP(AV43,HELPER!$C$8:$C$48,HELPER!$D$8:$D$48,,1),""))</f>
        <v/>
      </c>
      <c r="AX43" s="96" t="str">
        <f>IF(C43="","",IFERROR(_xlfn.XLOOKUP(AW43,HELPER!$F$8:$F$48,HELPER!$G$8:$G$48,,1),""))</f>
        <v/>
      </c>
      <c r="AY43" s="168"/>
      <c r="AZ43" s="148"/>
    </row>
    <row r="44" spans="1:52" ht="15" customHeight="1" x14ac:dyDescent="0.25">
      <c r="A44" s="168"/>
      <c r="B44" s="108">
        <v>26</v>
      </c>
      <c r="C44" s="355" t="str">
        <f>IF('INPUT DATA'!K36="","",'INPUT DATA'!K36)</f>
        <v/>
      </c>
      <c r="D44" s="356"/>
      <c r="E44" s="356"/>
      <c r="F44" s="243"/>
      <c r="G44" s="244"/>
      <c r="H44" s="244"/>
      <c r="I44" s="244"/>
      <c r="J44" s="245"/>
      <c r="K44" s="194" t="str">
        <f t="shared" si="11"/>
        <v/>
      </c>
      <c r="L44" s="170" t="str">
        <f t="shared" si="12"/>
        <v/>
      </c>
      <c r="M44" s="188" t="str">
        <f t="shared" si="13"/>
        <v/>
      </c>
      <c r="N44" s="99"/>
      <c r="O44" s="106"/>
      <c r="P44" s="106"/>
      <c r="Q44" s="106"/>
      <c r="R44" s="107"/>
      <c r="S44" s="217" t="str">
        <f t="shared" si="0"/>
        <v/>
      </c>
      <c r="T44" s="91" t="str">
        <f t="shared" si="1"/>
        <v/>
      </c>
      <c r="U44" s="218" t="str">
        <f t="shared" si="2"/>
        <v/>
      </c>
      <c r="V44" s="230"/>
      <c r="W44" s="226"/>
      <c r="X44" s="236"/>
      <c r="Y44" s="194" t="str">
        <f t="shared" si="14"/>
        <v/>
      </c>
      <c r="Z44" s="170" t="str">
        <f t="shared" si="15"/>
        <v/>
      </c>
      <c r="AA44" s="188" t="str">
        <f t="shared" si="16"/>
        <v/>
      </c>
      <c r="AB44" s="230"/>
      <c r="AC44" s="226"/>
      <c r="AD44" s="231"/>
      <c r="AE44" s="194" t="str">
        <f t="shared" si="17"/>
        <v/>
      </c>
      <c r="AF44" s="170" t="str">
        <f t="shared" si="18"/>
        <v/>
      </c>
      <c r="AG44" s="188" t="str">
        <f t="shared" si="19"/>
        <v/>
      </c>
      <c r="AH44" s="105"/>
      <c r="AI44" s="106"/>
      <c r="AJ44" s="107"/>
      <c r="AK44" s="90" t="str">
        <f t="shared" si="3"/>
        <v/>
      </c>
      <c r="AL44" s="91" t="str">
        <f t="shared" si="4"/>
        <v/>
      </c>
      <c r="AM44" s="93" t="str">
        <f t="shared" si="5"/>
        <v/>
      </c>
      <c r="AN44" s="162"/>
      <c r="AO44" s="107"/>
      <c r="AP44" s="163"/>
      <c r="AQ44" s="157" t="str">
        <f t="shared" si="6"/>
        <v/>
      </c>
      <c r="AR44" s="91" t="str">
        <f t="shared" si="7"/>
        <v/>
      </c>
      <c r="AS44" s="93" t="str">
        <f t="shared" si="8"/>
        <v/>
      </c>
      <c r="AT44" s="90" t="str">
        <f t="shared" si="9"/>
        <v/>
      </c>
      <c r="AU44" s="92" t="str">
        <f t="shared" si="10"/>
        <v/>
      </c>
      <c r="AV44" s="94" t="str">
        <f t="shared" si="20"/>
        <v/>
      </c>
      <c r="AW44" s="95" t="str">
        <f>IF(C44="","",IFERROR(_xlfn.XLOOKUP(AV44,HELPER!$C$8:$C$48,HELPER!$D$8:$D$48,,1),""))</f>
        <v/>
      </c>
      <c r="AX44" s="96" t="str">
        <f>IF(C44="","",IFERROR(_xlfn.XLOOKUP(AW44,HELPER!$F$8:$F$48,HELPER!$G$8:$G$48,,1),""))</f>
        <v/>
      </c>
      <c r="AY44" s="168"/>
      <c r="AZ44" s="148"/>
    </row>
    <row r="45" spans="1:52" ht="15" customHeight="1" x14ac:dyDescent="0.25">
      <c r="A45" s="168"/>
      <c r="B45" s="108">
        <v>27</v>
      </c>
      <c r="C45" s="355" t="str">
        <f>IF('INPUT DATA'!K37="","",'INPUT DATA'!K37)</f>
        <v/>
      </c>
      <c r="D45" s="356"/>
      <c r="E45" s="356"/>
      <c r="F45" s="243"/>
      <c r="G45" s="244"/>
      <c r="H45" s="244"/>
      <c r="I45" s="244"/>
      <c r="J45" s="245"/>
      <c r="K45" s="194" t="str">
        <f t="shared" si="11"/>
        <v/>
      </c>
      <c r="L45" s="170" t="str">
        <f t="shared" si="12"/>
        <v/>
      </c>
      <c r="M45" s="188" t="str">
        <f t="shared" si="13"/>
        <v/>
      </c>
      <c r="N45" s="99"/>
      <c r="O45" s="106"/>
      <c r="P45" s="106"/>
      <c r="Q45" s="106"/>
      <c r="R45" s="107"/>
      <c r="S45" s="217" t="str">
        <f t="shared" si="0"/>
        <v/>
      </c>
      <c r="T45" s="91" t="str">
        <f t="shared" si="1"/>
        <v/>
      </c>
      <c r="U45" s="218" t="str">
        <f t="shared" si="2"/>
        <v/>
      </c>
      <c r="V45" s="230"/>
      <c r="W45" s="226"/>
      <c r="X45" s="236"/>
      <c r="Y45" s="194" t="str">
        <f t="shared" si="14"/>
        <v/>
      </c>
      <c r="Z45" s="170" t="str">
        <f t="shared" si="15"/>
        <v/>
      </c>
      <c r="AA45" s="188" t="str">
        <f t="shared" si="16"/>
        <v/>
      </c>
      <c r="AB45" s="230"/>
      <c r="AC45" s="226"/>
      <c r="AD45" s="231"/>
      <c r="AE45" s="194" t="str">
        <f t="shared" si="17"/>
        <v/>
      </c>
      <c r="AF45" s="170" t="str">
        <f t="shared" si="18"/>
        <v/>
      </c>
      <c r="AG45" s="188" t="str">
        <f t="shared" si="19"/>
        <v/>
      </c>
      <c r="AH45" s="105"/>
      <c r="AI45" s="106"/>
      <c r="AJ45" s="107"/>
      <c r="AK45" s="90" t="str">
        <f t="shared" si="3"/>
        <v/>
      </c>
      <c r="AL45" s="91" t="str">
        <f t="shared" si="4"/>
        <v/>
      </c>
      <c r="AM45" s="93" t="str">
        <f t="shared" si="5"/>
        <v/>
      </c>
      <c r="AN45" s="162"/>
      <c r="AO45" s="107"/>
      <c r="AP45" s="163"/>
      <c r="AQ45" s="157" t="str">
        <f t="shared" si="6"/>
        <v/>
      </c>
      <c r="AR45" s="91" t="str">
        <f t="shared" si="7"/>
        <v/>
      </c>
      <c r="AS45" s="93" t="str">
        <f t="shared" si="8"/>
        <v/>
      </c>
      <c r="AT45" s="90" t="str">
        <f t="shared" si="9"/>
        <v/>
      </c>
      <c r="AU45" s="92" t="str">
        <f t="shared" si="10"/>
        <v/>
      </c>
      <c r="AV45" s="94" t="str">
        <f t="shared" si="20"/>
        <v/>
      </c>
      <c r="AW45" s="95" t="str">
        <f>IF(C45="","",IFERROR(_xlfn.XLOOKUP(AV45,HELPER!$C$8:$C$48,HELPER!$D$8:$D$48,,1),""))</f>
        <v/>
      </c>
      <c r="AX45" s="96" t="str">
        <f>IF(C45="","",IFERROR(_xlfn.XLOOKUP(AW45,HELPER!$F$8:$F$48,HELPER!$G$8:$G$48,,1),""))</f>
        <v/>
      </c>
      <c r="AY45" s="168"/>
      <c r="AZ45" s="148"/>
    </row>
    <row r="46" spans="1:52" ht="15" customHeight="1" x14ac:dyDescent="0.25">
      <c r="A46" s="168"/>
      <c r="B46" s="108">
        <v>28</v>
      </c>
      <c r="C46" s="355" t="str">
        <f>IF('INPUT DATA'!K38="","",'INPUT DATA'!K38)</f>
        <v/>
      </c>
      <c r="D46" s="356"/>
      <c r="E46" s="356"/>
      <c r="F46" s="243"/>
      <c r="G46" s="244"/>
      <c r="H46" s="244"/>
      <c r="I46" s="244"/>
      <c r="J46" s="245"/>
      <c r="K46" s="194" t="str">
        <f t="shared" si="11"/>
        <v/>
      </c>
      <c r="L46" s="170" t="str">
        <f t="shared" si="12"/>
        <v/>
      </c>
      <c r="M46" s="188" t="str">
        <f t="shared" si="13"/>
        <v/>
      </c>
      <c r="N46" s="99"/>
      <c r="O46" s="106"/>
      <c r="P46" s="106"/>
      <c r="Q46" s="106"/>
      <c r="R46" s="107"/>
      <c r="S46" s="217" t="str">
        <f t="shared" si="0"/>
        <v/>
      </c>
      <c r="T46" s="91" t="str">
        <f t="shared" si="1"/>
        <v/>
      </c>
      <c r="U46" s="218" t="str">
        <f t="shared" si="2"/>
        <v/>
      </c>
      <c r="V46" s="230"/>
      <c r="W46" s="226"/>
      <c r="X46" s="236"/>
      <c r="Y46" s="194" t="str">
        <f t="shared" si="14"/>
        <v/>
      </c>
      <c r="Z46" s="170" t="str">
        <f t="shared" si="15"/>
        <v/>
      </c>
      <c r="AA46" s="188" t="str">
        <f t="shared" si="16"/>
        <v/>
      </c>
      <c r="AB46" s="230"/>
      <c r="AC46" s="226"/>
      <c r="AD46" s="231"/>
      <c r="AE46" s="194" t="str">
        <f t="shared" si="17"/>
        <v/>
      </c>
      <c r="AF46" s="170" t="str">
        <f t="shared" si="18"/>
        <v/>
      </c>
      <c r="AG46" s="188" t="str">
        <f t="shared" si="19"/>
        <v/>
      </c>
      <c r="AH46" s="105"/>
      <c r="AI46" s="106"/>
      <c r="AJ46" s="107"/>
      <c r="AK46" s="90" t="str">
        <f t="shared" si="3"/>
        <v/>
      </c>
      <c r="AL46" s="91" t="str">
        <f t="shared" si="4"/>
        <v/>
      </c>
      <c r="AM46" s="93" t="str">
        <f t="shared" si="5"/>
        <v/>
      </c>
      <c r="AN46" s="162"/>
      <c r="AO46" s="107"/>
      <c r="AP46" s="163"/>
      <c r="AQ46" s="157" t="str">
        <f t="shared" si="6"/>
        <v/>
      </c>
      <c r="AR46" s="91" t="str">
        <f t="shared" si="7"/>
        <v/>
      </c>
      <c r="AS46" s="93" t="str">
        <f t="shared" si="8"/>
        <v/>
      </c>
      <c r="AT46" s="90" t="str">
        <f t="shared" si="9"/>
        <v/>
      </c>
      <c r="AU46" s="92" t="str">
        <f t="shared" si="10"/>
        <v/>
      </c>
      <c r="AV46" s="94" t="str">
        <f t="shared" si="20"/>
        <v/>
      </c>
      <c r="AW46" s="95" t="str">
        <f>IF(C46="","",IFERROR(_xlfn.XLOOKUP(AV46,HELPER!$C$8:$C$48,HELPER!$D$8:$D$48,,1),""))</f>
        <v/>
      </c>
      <c r="AX46" s="96" t="str">
        <f>IF(C46="","",IFERROR(_xlfn.XLOOKUP(AW46,HELPER!$F$8:$F$48,HELPER!$G$8:$G$48,,1),""))</f>
        <v/>
      </c>
      <c r="AY46" s="168"/>
      <c r="AZ46" s="148"/>
    </row>
    <row r="47" spans="1:52" ht="15" customHeight="1" x14ac:dyDescent="0.25">
      <c r="A47" s="168"/>
      <c r="B47" s="108">
        <v>29</v>
      </c>
      <c r="C47" s="355" t="str">
        <f>IF('INPUT DATA'!K39="","",'INPUT DATA'!K39)</f>
        <v/>
      </c>
      <c r="D47" s="356"/>
      <c r="E47" s="356"/>
      <c r="F47" s="243"/>
      <c r="G47" s="244"/>
      <c r="H47" s="244"/>
      <c r="I47" s="244"/>
      <c r="J47" s="245"/>
      <c r="K47" s="194" t="str">
        <f t="shared" si="11"/>
        <v/>
      </c>
      <c r="L47" s="170" t="str">
        <f t="shared" si="12"/>
        <v/>
      </c>
      <c r="M47" s="188" t="str">
        <f t="shared" si="13"/>
        <v/>
      </c>
      <c r="N47" s="99"/>
      <c r="O47" s="106"/>
      <c r="P47" s="106"/>
      <c r="Q47" s="106"/>
      <c r="R47" s="107"/>
      <c r="S47" s="217" t="str">
        <f t="shared" si="0"/>
        <v/>
      </c>
      <c r="T47" s="91" t="str">
        <f t="shared" si="1"/>
        <v/>
      </c>
      <c r="U47" s="218" t="str">
        <f t="shared" si="2"/>
        <v/>
      </c>
      <c r="V47" s="230"/>
      <c r="W47" s="226"/>
      <c r="X47" s="236"/>
      <c r="Y47" s="194" t="str">
        <f t="shared" si="14"/>
        <v/>
      </c>
      <c r="Z47" s="170" t="str">
        <f t="shared" si="15"/>
        <v/>
      </c>
      <c r="AA47" s="188" t="str">
        <f t="shared" si="16"/>
        <v/>
      </c>
      <c r="AB47" s="230"/>
      <c r="AC47" s="226"/>
      <c r="AD47" s="231"/>
      <c r="AE47" s="194" t="str">
        <f t="shared" si="17"/>
        <v/>
      </c>
      <c r="AF47" s="170" t="str">
        <f t="shared" si="18"/>
        <v/>
      </c>
      <c r="AG47" s="188" t="str">
        <f t="shared" si="19"/>
        <v/>
      </c>
      <c r="AH47" s="105"/>
      <c r="AI47" s="106"/>
      <c r="AJ47" s="107"/>
      <c r="AK47" s="90" t="str">
        <f t="shared" si="3"/>
        <v/>
      </c>
      <c r="AL47" s="91" t="str">
        <f t="shared" si="4"/>
        <v/>
      </c>
      <c r="AM47" s="93" t="str">
        <f t="shared" si="5"/>
        <v/>
      </c>
      <c r="AN47" s="162"/>
      <c r="AO47" s="107"/>
      <c r="AP47" s="163"/>
      <c r="AQ47" s="157" t="str">
        <f t="shared" si="6"/>
        <v/>
      </c>
      <c r="AR47" s="91" t="str">
        <f t="shared" si="7"/>
        <v/>
      </c>
      <c r="AS47" s="93" t="str">
        <f t="shared" si="8"/>
        <v/>
      </c>
      <c r="AT47" s="90" t="str">
        <f t="shared" si="9"/>
        <v/>
      </c>
      <c r="AU47" s="92" t="str">
        <f t="shared" si="10"/>
        <v/>
      </c>
      <c r="AV47" s="94" t="str">
        <f t="shared" si="20"/>
        <v/>
      </c>
      <c r="AW47" s="95" t="str">
        <f>IF(C47="","",IFERROR(_xlfn.XLOOKUP(AV47,HELPER!$C$8:$C$48,HELPER!$D$8:$D$48,,1),""))</f>
        <v/>
      </c>
      <c r="AX47" s="96" t="str">
        <f>IF(C47="","",IFERROR(_xlfn.XLOOKUP(AW47,HELPER!$F$8:$F$48,HELPER!$G$8:$G$48,,1),""))</f>
        <v/>
      </c>
      <c r="AY47" s="168"/>
      <c r="AZ47" s="148"/>
    </row>
    <row r="48" spans="1:52" ht="15" customHeight="1" x14ac:dyDescent="0.25">
      <c r="A48" s="168"/>
      <c r="B48" s="108">
        <v>30</v>
      </c>
      <c r="C48" s="355" t="str">
        <f>IF('INPUT DATA'!K40="","",'INPUT DATA'!K40)</f>
        <v/>
      </c>
      <c r="D48" s="356"/>
      <c r="E48" s="356"/>
      <c r="F48" s="243"/>
      <c r="G48" s="244"/>
      <c r="H48" s="244"/>
      <c r="I48" s="244"/>
      <c r="J48" s="245"/>
      <c r="K48" s="194" t="str">
        <f t="shared" si="11"/>
        <v/>
      </c>
      <c r="L48" s="170" t="str">
        <f t="shared" si="12"/>
        <v/>
      </c>
      <c r="M48" s="188" t="str">
        <f t="shared" si="13"/>
        <v/>
      </c>
      <c r="N48" s="99"/>
      <c r="O48" s="106"/>
      <c r="P48" s="106"/>
      <c r="Q48" s="106"/>
      <c r="R48" s="107"/>
      <c r="S48" s="217" t="str">
        <f t="shared" si="0"/>
        <v/>
      </c>
      <c r="T48" s="91" t="str">
        <f t="shared" si="1"/>
        <v/>
      </c>
      <c r="U48" s="218" t="str">
        <f t="shared" si="2"/>
        <v/>
      </c>
      <c r="V48" s="230"/>
      <c r="W48" s="226"/>
      <c r="X48" s="236"/>
      <c r="Y48" s="194" t="str">
        <f t="shared" si="14"/>
        <v/>
      </c>
      <c r="Z48" s="170" t="str">
        <f t="shared" si="15"/>
        <v/>
      </c>
      <c r="AA48" s="188" t="str">
        <f t="shared" si="16"/>
        <v/>
      </c>
      <c r="AB48" s="230"/>
      <c r="AC48" s="226"/>
      <c r="AD48" s="231"/>
      <c r="AE48" s="194" t="str">
        <f t="shared" si="17"/>
        <v/>
      </c>
      <c r="AF48" s="170" t="str">
        <f t="shared" si="18"/>
        <v/>
      </c>
      <c r="AG48" s="188" t="str">
        <f t="shared" si="19"/>
        <v/>
      </c>
      <c r="AH48" s="105"/>
      <c r="AI48" s="106"/>
      <c r="AJ48" s="107"/>
      <c r="AK48" s="90" t="str">
        <f t="shared" si="3"/>
        <v/>
      </c>
      <c r="AL48" s="91" t="str">
        <f t="shared" si="4"/>
        <v/>
      </c>
      <c r="AM48" s="93" t="str">
        <f t="shared" si="5"/>
        <v/>
      </c>
      <c r="AN48" s="162"/>
      <c r="AO48" s="107"/>
      <c r="AP48" s="163"/>
      <c r="AQ48" s="157" t="str">
        <f t="shared" si="6"/>
        <v/>
      </c>
      <c r="AR48" s="91" t="str">
        <f t="shared" si="7"/>
        <v/>
      </c>
      <c r="AS48" s="93" t="str">
        <f t="shared" si="8"/>
        <v/>
      </c>
      <c r="AT48" s="90" t="str">
        <f t="shared" si="9"/>
        <v/>
      </c>
      <c r="AU48" s="92" t="str">
        <f t="shared" si="10"/>
        <v/>
      </c>
      <c r="AV48" s="94" t="str">
        <f t="shared" si="20"/>
        <v/>
      </c>
      <c r="AW48" s="95" t="str">
        <f>IF(C48="","",IFERROR(_xlfn.XLOOKUP(AV48,HELPER!$C$8:$C$48,HELPER!$D$8:$D$48,,1),""))</f>
        <v/>
      </c>
      <c r="AX48" s="96" t="str">
        <f>IF(C48="","",IFERROR(_xlfn.XLOOKUP(AW48,HELPER!$F$8:$F$48,HELPER!$G$8:$G$48,,1),""))</f>
        <v/>
      </c>
      <c r="AY48" s="168"/>
      <c r="AZ48" s="148"/>
    </row>
    <row r="49" spans="1:52" ht="15" customHeight="1" x14ac:dyDescent="0.25">
      <c r="A49" s="168"/>
      <c r="B49" s="108">
        <v>31</v>
      </c>
      <c r="C49" s="355" t="str">
        <f>IF('INPUT DATA'!K41="","",'INPUT DATA'!K41)</f>
        <v/>
      </c>
      <c r="D49" s="356"/>
      <c r="E49" s="356"/>
      <c r="F49" s="243"/>
      <c r="G49" s="244"/>
      <c r="H49" s="244"/>
      <c r="I49" s="244"/>
      <c r="J49" s="245"/>
      <c r="K49" s="194" t="str">
        <f t="shared" si="11"/>
        <v/>
      </c>
      <c r="L49" s="170" t="str">
        <f t="shared" si="12"/>
        <v/>
      </c>
      <c r="M49" s="188" t="str">
        <f t="shared" si="13"/>
        <v/>
      </c>
      <c r="N49" s="99"/>
      <c r="O49" s="106"/>
      <c r="P49" s="106"/>
      <c r="Q49" s="106"/>
      <c r="R49" s="107"/>
      <c r="S49" s="217" t="str">
        <f t="shared" si="0"/>
        <v/>
      </c>
      <c r="T49" s="91" t="str">
        <f t="shared" si="1"/>
        <v/>
      </c>
      <c r="U49" s="218" t="str">
        <f t="shared" si="2"/>
        <v/>
      </c>
      <c r="V49" s="230"/>
      <c r="W49" s="226"/>
      <c r="X49" s="236"/>
      <c r="Y49" s="194" t="str">
        <f t="shared" si="14"/>
        <v/>
      </c>
      <c r="Z49" s="170" t="str">
        <f t="shared" si="15"/>
        <v/>
      </c>
      <c r="AA49" s="188" t="str">
        <f t="shared" si="16"/>
        <v/>
      </c>
      <c r="AB49" s="230"/>
      <c r="AC49" s="226"/>
      <c r="AD49" s="231"/>
      <c r="AE49" s="194" t="str">
        <f t="shared" si="17"/>
        <v/>
      </c>
      <c r="AF49" s="170" t="str">
        <f t="shared" si="18"/>
        <v/>
      </c>
      <c r="AG49" s="188" t="str">
        <f t="shared" si="19"/>
        <v/>
      </c>
      <c r="AH49" s="105"/>
      <c r="AI49" s="106"/>
      <c r="AJ49" s="107"/>
      <c r="AK49" s="90" t="str">
        <f t="shared" si="3"/>
        <v/>
      </c>
      <c r="AL49" s="91" t="str">
        <f t="shared" si="4"/>
        <v/>
      </c>
      <c r="AM49" s="93" t="str">
        <f t="shared" si="5"/>
        <v/>
      </c>
      <c r="AN49" s="162"/>
      <c r="AO49" s="107"/>
      <c r="AP49" s="163"/>
      <c r="AQ49" s="157" t="str">
        <f t="shared" si="6"/>
        <v/>
      </c>
      <c r="AR49" s="91" t="str">
        <f t="shared" si="7"/>
        <v/>
      </c>
      <c r="AS49" s="93" t="str">
        <f t="shared" si="8"/>
        <v/>
      </c>
      <c r="AT49" s="90" t="str">
        <f t="shared" si="9"/>
        <v/>
      </c>
      <c r="AU49" s="92" t="str">
        <f t="shared" si="10"/>
        <v/>
      </c>
      <c r="AV49" s="94" t="str">
        <f t="shared" si="20"/>
        <v/>
      </c>
      <c r="AW49" s="95" t="str">
        <f>IF(C49="","",IFERROR(_xlfn.XLOOKUP(AV49,HELPER!$C$8:$C$48,HELPER!$D$8:$D$48,,1),""))</f>
        <v/>
      </c>
      <c r="AX49" s="96" t="str">
        <f>IF(C49="","",IFERROR(_xlfn.XLOOKUP(AW49,HELPER!$F$8:$F$48,HELPER!$G$8:$G$48,,1),""))</f>
        <v/>
      </c>
      <c r="AY49" s="168"/>
      <c r="AZ49" s="148"/>
    </row>
    <row r="50" spans="1:52" ht="15" customHeight="1" x14ac:dyDescent="0.25">
      <c r="A50" s="168"/>
      <c r="B50" s="108">
        <v>32</v>
      </c>
      <c r="C50" s="355" t="str">
        <f>IF('INPUT DATA'!K42="","",'INPUT DATA'!K42)</f>
        <v/>
      </c>
      <c r="D50" s="356"/>
      <c r="E50" s="356"/>
      <c r="F50" s="243"/>
      <c r="G50" s="244"/>
      <c r="H50" s="244"/>
      <c r="I50" s="244"/>
      <c r="J50" s="245"/>
      <c r="K50" s="194" t="str">
        <f t="shared" si="11"/>
        <v/>
      </c>
      <c r="L50" s="170" t="str">
        <f t="shared" si="12"/>
        <v/>
      </c>
      <c r="M50" s="188" t="str">
        <f t="shared" si="13"/>
        <v/>
      </c>
      <c r="N50" s="99"/>
      <c r="O50" s="106"/>
      <c r="P50" s="106"/>
      <c r="Q50" s="106"/>
      <c r="R50" s="107"/>
      <c r="S50" s="217" t="str">
        <f t="shared" si="0"/>
        <v/>
      </c>
      <c r="T50" s="91" t="str">
        <f t="shared" si="1"/>
        <v/>
      </c>
      <c r="U50" s="218" t="str">
        <f t="shared" si="2"/>
        <v/>
      </c>
      <c r="V50" s="230"/>
      <c r="W50" s="226"/>
      <c r="X50" s="236"/>
      <c r="Y50" s="194" t="str">
        <f t="shared" si="14"/>
        <v/>
      </c>
      <c r="Z50" s="170" t="str">
        <f t="shared" si="15"/>
        <v/>
      </c>
      <c r="AA50" s="188" t="str">
        <f t="shared" si="16"/>
        <v/>
      </c>
      <c r="AB50" s="230"/>
      <c r="AC50" s="226"/>
      <c r="AD50" s="231"/>
      <c r="AE50" s="194" t="str">
        <f t="shared" si="17"/>
        <v/>
      </c>
      <c r="AF50" s="170" t="str">
        <f t="shared" si="18"/>
        <v/>
      </c>
      <c r="AG50" s="188" t="str">
        <f t="shared" si="19"/>
        <v/>
      </c>
      <c r="AH50" s="105"/>
      <c r="AI50" s="106"/>
      <c r="AJ50" s="107"/>
      <c r="AK50" s="90" t="str">
        <f t="shared" si="3"/>
        <v/>
      </c>
      <c r="AL50" s="91" t="str">
        <f t="shared" si="4"/>
        <v/>
      </c>
      <c r="AM50" s="93" t="str">
        <f t="shared" si="5"/>
        <v/>
      </c>
      <c r="AN50" s="162"/>
      <c r="AO50" s="107"/>
      <c r="AP50" s="163"/>
      <c r="AQ50" s="157" t="str">
        <f t="shared" si="6"/>
        <v/>
      </c>
      <c r="AR50" s="91" t="str">
        <f t="shared" si="7"/>
        <v/>
      </c>
      <c r="AS50" s="93" t="str">
        <f t="shared" si="8"/>
        <v/>
      </c>
      <c r="AT50" s="90" t="str">
        <f t="shared" si="9"/>
        <v/>
      </c>
      <c r="AU50" s="92" t="str">
        <f t="shared" si="10"/>
        <v/>
      </c>
      <c r="AV50" s="94" t="str">
        <f t="shared" si="20"/>
        <v/>
      </c>
      <c r="AW50" s="95" t="str">
        <f>IF(C50="","",IFERROR(_xlfn.XLOOKUP(AV50,HELPER!$C$8:$C$48,HELPER!$D$8:$D$48,,1),""))</f>
        <v/>
      </c>
      <c r="AX50" s="96" t="str">
        <f>IF(C50="","",IFERROR(_xlfn.XLOOKUP(AW50,HELPER!$F$8:$F$48,HELPER!$G$8:$G$48,,1),""))</f>
        <v/>
      </c>
      <c r="AY50" s="168"/>
      <c r="AZ50" s="148"/>
    </row>
    <row r="51" spans="1:52" ht="15" customHeight="1" x14ac:dyDescent="0.25">
      <c r="A51" s="168"/>
      <c r="B51" s="108">
        <v>33</v>
      </c>
      <c r="C51" s="355" t="str">
        <f>IF('INPUT DATA'!K43="","",'INPUT DATA'!K43)</f>
        <v/>
      </c>
      <c r="D51" s="356"/>
      <c r="E51" s="356"/>
      <c r="F51" s="243"/>
      <c r="G51" s="244"/>
      <c r="H51" s="244"/>
      <c r="I51" s="244"/>
      <c r="J51" s="245"/>
      <c r="K51" s="194" t="str">
        <f t="shared" si="11"/>
        <v/>
      </c>
      <c r="L51" s="170" t="str">
        <f t="shared" si="12"/>
        <v/>
      </c>
      <c r="M51" s="188" t="str">
        <f t="shared" si="13"/>
        <v/>
      </c>
      <c r="N51" s="99"/>
      <c r="O51" s="106"/>
      <c r="P51" s="106"/>
      <c r="Q51" s="106"/>
      <c r="R51" s="107"/>
      <c r="S51" s="217" t="str">
        <f t="shared" si="0"/>
        <v/>
      </c>
      <c r="T51" s="91" t="str">
        <f t="shared" si="1"/>
        <v/>
      </c>
      <c r="U51" s="218" t="str">
        <f t="shared" si="2"/>
        <v/>
      </c>
      <c r="V51" s="230"/>
      <c r="W51" s="226"/>
      <c r="X51" s="236"/>
      <c r="Y51" s="194" t="str">
        <f t="shared" si="14"/>
        <v/>
      </c>
      <c r="Z51" s="170" t="str">
        <f t="shared" si="15"/>
        <v/>
      </c>
      <c r="AA51" s="188" t="str">
        <f t="shared" si="16"/>
        <v/>
      </c>
      <c r="AB51" s="230"/>
      <c r="AC51" s="226"/>
      <c r="AD51" s="231"/>
      <c r="AE51" s="194" t="str">
        <f t="shared" si="17"/>
        <v/>
      </c>
      <c r="AF51" s="170" t="str">
        <f t="shared" si="18"/>
        <v/>
      </c>
      <c r="AG51" s="188" t="str">
        <f t="shared" si="19"/>
        <v/>
      </c>
      <c r="AH51" s="105"/>
      <c r="AI51" s="106"/>
      <c r="AJ51" s="107"/>
      <c r="AK51" s="90" t="str">
        <f t="shared" si="3"/>
        <v/>
      </c>
      <c r="AL51" s="91" t="str">
        <f t="shared" si="4"/>
        <v/>
      </c>
      <c r="AM51" s="93" t="str">
        <f t="shared" si="5"/>
        <v/>
      </c>
      <c r="AN51" s="162"/>
      <c r="AO51" s="107"/>
      <c r="AP51" s="163"/>
      <c r="AQ51" s="157" t="str">
        <f t="shared" si="6"/>
        <v/>
      </c>
      <c r="AR51" s="91" t="str">
        <f t="shared" si="7"/>
        <v/>
      </c>
      <c r="AS51" s="93" t="str">
        <f t="shared" si="8"/>
        <v/>
      </c>
      <c r="AT51" s="90" t="str">
        <f t="shared" si="9"/>
        <v/>
      </c>
      <c r="AU51" s="92" t="str">
        <f t="shared" si="10"/>
        <v/>
      </c>
      <c r="AV51" s="94" t="str">
        <f t="shared" si="20"/>
        <v/>
      </c>
      <c r="AW51" s="95" t="str">
        <f>IF(C51="","",IFERROR(_xlfn.XLOOKUP(AV51,HELPER!$C$8:$C$48,HELPER!$D$8:$D$48,,1),""))</f>
        <v/>
      </c>
      <c r="AX51" s="96" t="str">
        <f>IF(C51="","",IFERROR(_xlfn.XLOOKUP(AW51,HELPER!$F$8:$F$48,HELPER!$G$8:$G$48,,1),""))</f>
        <v/>
      </c>
      <c r="AY51" s="168"/>
      <c r="AZ51" s="148"/>
    </row>
    <row r="52" spans="1:52" ht="15" customHeight="1" x14ac:dyDescent="0.25">
      <c r="A52" s="168"/>
      <c r="B52" s="108">
        <v>34</v>
      </c>
      <c r="C52" s="355" t="str">
        <f>IF('INPUT DATA'!K44="","",'INPUT DATA'!K44)</f>
        <v/>
      </c>
      <c r="D52" s="356"/>
      <c r="E52" s="356"/>
      <c r="F52" s="243"/>
      <c r="G52" s="244"/>
      <c r="H52" s="244"/>
      <c r="I52" s="244"/>
      <c r="J52" s="245"/>
      <c r="K52" s="194" t="str">
        <f t="shared" si="11"/>
        <v/>
      </c>
      <c r="L52" s="170" t="str">
        <f t="shared" si="12"/>
        <v/>
      </c>
      <c r="M52" s="188" t="str">
        <f t="shared" si="13"/>
        <v/>
      </c>
      <c r="N52" s="99"/>
      <c r="O52" s="106"/>
      <c r="P52" s="106"/>
      <c r="Q52" s="106"/>
      <c r="R52" s="107"/>
      <c r="S52" s="217" t="str">
        <f t="shared" si="0"/>
        <v/>
      </c>
      <c r="T52" s="91" t="str">
        <f t="shared" si="1"/>
        <v/>
      </c>
      <c r="U52" s="218" t="str">
        <f t="shared" si="2"/>
        <v/>
      </c>
      <c r="V52" s="230"/>
      <c r="W52" s="226"/>
      <c r="X52" s="236"/>
      <c r="Y52" s="194" t="str">
        <f t="shared" si="14"/>
        <v/>
      </c>
      <c r="Z52" s="170" t="str">
        <f t="shared" si="15"/>
        <v/>
      </c>
      <c r="AA52" s="188" t="str">
        <f t="shared" si="16"/>
        <v/>
      </c>
      <c r="AB52" s="230"/>
      <c r="AC52" s="226"/>
      <c r="AD52" s="231"/>
      <c r="AE52" s="194" t="str">
        <f t="shared" si="17"/>
        <v/>
      </c>
      <c r="AF52" s="170" t="str">
        <f t="shared" si="18"/>
        <v/>
      </c>
      <c r="AG52" s="188" t="str">
        <f t="shared" si="19"/>
        <v/>
      </c>
      <c r="AH52" s="105"/>
      <c r="AI52" s="106"/>
      <c r="AJ52" s="107"/>
      <c r="AK52" s="90" t="str">
        <f t="shared" si="3"/>
        <v/>
      </c>
      <c r="AL52" s="91" t="str">
        <f t="shared" si="4"/>
        <v/>
      </c>
      <c r="AM52" s="93" t="str">
        <f t="shared" si="5"/>
        <v/>
      </c>
      <c r="AN52" s="162"/>
      <c r="AO52" s="107"/>
      <c r="AP52" s="163"/>
      <c r="AQ52" s="157" t="str">
        <f t="shared" si="6"/>
        <v/>
      </c>
      <c r="AR52" s="91" t="str">
        <f t="shared" si="7"/>
        <v/>
      </c>
      <c r="AS52" s="93" t="str">
        <f t="shared" si="8"/>
        <v/>
      </c>
      <c r="AT52" s="90" t="str">
        <f t="shared" si="9"/>
        <v/>
      </c>
      <c r="AU52" s="92" t="str">
        <f t="shared" si="10"/>
        <v/>
      </c>
      <c r="AV52" s="94" t="str">
        <f t="shared" si="20"/>
        <v/>
      </c>
      <c r="AW52" s="95" t="str">
        <f>IF(C52="","",IFERROR(_xlfn.XLOOKUP(AV52,HELPER!$C$8:$C$48,HELPER!$D$8:$D$48,,1),""))</f>
        <v/>
      </c>
      <c r="AX52" s="96" t="str">
        <f>IF(C52="","",IFERROR(_xlfn.XLOOKUP(AW52,HELPER!$F$8:$F$48,HELPER!$G$8:$G$48,,1),""))</f>
        <v/>
      </c>
      <c r="AY52" s="168"/>
      <c r="AZ52" s="148"/>
    </row>
    <row r="53" spans="1:52" ht="15" customHeight="1" x14ac:dyDescent="0.25">
      <c r="A53" s="168"/>
      <c r="B53" s="108">
        <v>35</v>
      </c>
      <c r="C53" s="355" t="str">
        <f>IF('INPUT DATA'!K45="","",'INPUT DATA'!K45)</f>
        <v/>
      </c>
      <c r="D53" s="356"/>
      <c r="E53" s="356"/>
      <c r="F53" s="243"/>
      <c r="G53" s="244"/>
      <c r="H53" s="244"/>
      <c r="I53" s="244"/>
      <c r="J53" s="245"/>
      <c r="K53" s="194" t="str">
        <f t="shared" si="11"/>
        <v/>
      </c>
      <c r="L53" s="170" t="str">
        <f t="shared" si="12"/>
        <v/>
      </c>
      <c r="M53" s="188" t="str">
        <f t="shared" si="13"/>
        <v/>
      </c>
      <c r="N53" s="99"/>
      <c r="O53" s="106"/>
      <c r="P53" s="106"/>
      <c r="Q53" s="106"/>
      <c r="R53" s="107"/>
      <c r="S53" s="217" t="str">
        <f t="shared" si="0"/>
        <v/>
      </c>
      <c r="T53" s="91" t="str">
        <f t="shared" si="1"/>
        <v/>
      </c>
      <c r="U53" s="218" t="str">
        <f t="shared" si="2"/>
        <v/>
      </c>
      <c r="V53" s="230"/>
      <c r="W53" s="226"/>
      <c r="X53" s="236"/>
      <c r="Y53" s="194" t="str">
        <f t="shared" si="14"/>
        <v/>
      </c>
      <c r="Z53" s="170" t="str">
        <f t="shared" si="15"/>
        <v/>
      </c>
      <c r="AA53" s="188" t="str">
        <f t="shared" si="16"/>
        <v/>
      </c>
      <c r="AB53" s="230"/>
      <c r="AC53" s="226"/>
      <c r="AD53" s="231"/>
      <c r="AE53" s="194" t="str">
        <f t="shared" si="17"/>
        <v/>
      </c>
      <c r="AF53" s="170" t="str">
        <f t="shared" si="18"/>
        <v/>
      </c>
      <c r="AG53" s="188" t="str">
        <f t="shared" si="19"/>
        <v/>
      </c>
      <c r="AH53" s="105"/>
      <c r="AI53" s="106"/>
      <c r="AJ53" s="107"/>
      <c r="AK53" s="90" t="str">
        <f t="shared" si="3"/>
        <v/>
      </c>
      <c r="AL53" s="91" t="str">
        <f t="shared" si="4"/>
        <v/>
      </c>
      <c r="AM53" s="93" t="str">
        <f t="shared" si="5"/>
        <v/>
      </c>
      <c r="AN53" s="162"/>
      <c r="AO53" s="107"/>
      <c r="AP53" s="163"/>
      <c r="AQ53" s="157" t="str">
        <f t="shared" si="6"/>
        <v/>
      </c>
      <c r="AR53" s="91" t="str">
        <f t="shared" si="7"/>
        <v/>
      </c>
      <c r="AS53" s="93" t="str">
        <f t="shared" si="8"/>
        <v/>
      </c>
      <c r="AT53" s="90" t="str">
        <f t="shared" si="9"/>
        <v/>
      </c>
      <c r="AU53" s="92" t="str">
        <f t="shared" si="10"/>
        <v/>
      </c>
      <c r="AV53" s="94" t="str">
        <f t="shared" si="20"/>
        <v/>
      </c>
      <c r="AW53" s="95" t="str">
        <f>IF(C53="","",IFERROR(_xlfn.XLOOKUP(AV53,HELPER!$C$8:$C$48,HELPER!$D$8:$D$48,,1),""))</f>
        <v/>
      </c>
      <c r="AX53" s="96" t="str">
        <f>IF(C53="","",IFERROR(_xlfn.XLOOKUP(AW53,HELPER!$F$8:$F$48,HELPER!$G$8:$G$48,,1),""))</f>
        <v/>
      </c>
      <c r="AY53" s="168"/>
      <c r="AZ53" s="148"/>
    </row>
    <row r="54" spans="1:52" ht="15" customHeight="1" x14ac:dyDescent="0.25">
      <c r="A54" s="168"/>
      <c r="B54" s="108">
        <v>36</v>
      </c>
      <c r="C54" s="355" t="str">
        <f>IF('INPUT DATA'!K46="","",'INPUT DATA'!K46)</f>
        <v/>
      </c>
      <c r="D54" s="356"/>
      <c r="E54" s="356"/>
      <c r="F54" s="243"/>
      <c r="G54" s="244"/>
      <c r="H54" s="244"/>
      <c r="I54" s="244"/>
      <c r="J54" s="245"/>
      <c r="K54" s="194" t="str">
        <f t="shared" si="11"/>
        <v/>
      </c>
      <c r="L54" s="170" t="str">
        <f t="shared" si="12"/>
        <v/>
      </c>
      <c r="M54" s="188" t="str">
        <f t="shared" si="13"/>
        <v/>
      </c>
      <c r="N54" s="99"/>
      <c r="O54" s="106"/>
      <c r="P54" s="106"/>
      <c r="Q54" s="106"/>
      <c r="R54" s="107"/>
      <c r="S54" s="217" t="str">
        <f t="shared" si="0"/>
        <v/>
      </c>
      <c r="T54" s="91" t="str">
        <f t="shared" si="1"/>
        <v/>
      </c>
      <c r="U54" s="218" t="str">
        <f t="shared" si="2"/>
        <v/>
      </c>
      <c r="V54" s="230"/>
      <c r="W54" s="226"/>
      <c r="X54" s="236"/>
      <c r="Y54" s="194" t="str">
        <f t="shared" si="14"/>
        <v/>
      </c>
      <c r="Z54" s="170" t="str">
        <f t="shared" si="15"/>
        <v/>
      </c>
      <c r="AA54" s="188" t="str">
        <f t="shared" si="16"/>
        <v/>
      </c>
      <c r="AB54" s="230"/>
      <c r="AC54" s="226"/>
      <c r="AD54" s="231"/>
      <c r="AE54" s="194" t="str">
        <f t="shared" si="17"/>
        <v/>
      </c>
      <c r="AF54" s="170" t="str">
        <f t="shared" si="18"/>
        <v/>
      </c>
      <c r="AG54" s="188" t="str">
        <f t="shared" si="19"/>
        <v/>
      </c>
      <c r="AH54" s="105"/>
      <c r="AI54" s="106"/>
      <c r="AJ54" s="107"/>
      <c r="AK54" s="90" t="str">
        <f t="shared" si="3"/>
        <v/>
      </c>
      <c r="AL54" s="91" t="str">
        <f t="shared" si="4"/>
        <v/>
      </c>
      <c r="AM54" s="93" t="str">
        <f t="shared" si="5"/>
        <v/>
      </c>
      <c r="AN54" s="162"/>
      <c r="AO54" s="107"/>
      <c r="AP54" s="163"/>
      <c r="AQ54" s="157" t="str">
        <f t="shared" si="6"/>
        <v/>
      </c>
      <c r="AR54" s="91" t="str">
        <f t="shared" si="7"/>
        <v/>
      </c>
      <c r="AS54" s="93" t="str">
        <f t="shared" si="8"/>
        <v/>
      </c>
      <c r="AT54" s="90" t="str">
        <f t="shared" si="9"/>
        <v/>
      </c>
      <c r="AU54" s="92" t="str">
        <f t="shared" si="10"/>
        <v/>
      </c>
      <c r="AV54" s="94" t="str">
        <f t="shared" si="20"/>
        <v/>
      </c>
      <c r="AW54" s="95" t="str">
        <f>IF(C54="","",IFERROR(_xlfn.XLOOKUP(AV54,HELPER!$C$8:$C$48,HELPER!$D$8:$D$48,,1),""))</f>
        <v/>
      </c>
      <c r="AX54" s="96" t="str">
        <f>IF(C54="","",IFERROR(_xlfn.XLOOKUP(AW54,HELPER!$F$8:$F$48,HELPER!$G$8:$G$48,,1),""))</f>
        <v/>
      </c>
      <c r="AY54" s="168"/>
      <c r="AZ54" s="148"/>
    </row>
    <row r="55" spans="1:52" ht="15" customHeight="1" x14ac:dyDescent="0.25">
      <c r="A55" s="168"/>
      <c r="B55" s="108">
        <v>37</v>
      </c>
      <c r="C55" s="355" t="str">
        <f>IF('INPUT DATA'!K47="","",'INPUT DATA'!K47)</f>
        <v/>
      </c>
      <c r="D55" s="356"/>
      <c r="E55" s="356"/>
      <c r="F55" s="243"/>
      <c r="G55" s="244"/>
      <c r="H55" s="244"/>
      <c r="I55" s="244"/>
      <c r="J55" s="245"/>
      <c r="K55" s="194" t="str">
        <f t="shared" si="11"/>
        <v/>
      </c>
      <c r="L55" s="170" t="str">
        <f t="shared" si="12"/>
        <v/>
      </c>
      <c r="M55" s="188" t="str">
        <f t="shared" si="13"/>
        <v/>
      </c>
      <c r="N55" s="99"/>
      <c r="O55" s="106"/>
      <c r="P55" s="106"/>
      <c r="Q55" s="106"/>
      <c r="R55" s="107"/>
      <c r="S55" s="217" t="str">
        <f t="shared" si="0"/>
        <v/>
      </c>
      <c r="T55" s="91" t="str">
        <f t="shared" si="1"/>
        <v/>
      </c>
      <c r="U55" s="218" t="str">
        <f t="shared" si="2"/>
        <v/>
      </c>
      <c r="V55" s="230"/>
      <c r="W55" s="226"/>
      <c r="X55" s="236"/>
      <c r="Y55" s="194" t="str">
        <f t="shared" si="14"/>
        <v/>
      </c>
      <c r="Z55" s="170" t="str">
        <f t="shared" si="15"/>
        <v/>
      </c>
      <c r="AA55" s="188" t="str">
        <f t="shared" si="16"/>
        <v/>
      </c>
      <c r="AB55" s="230"/>
      <c r="AC55" s="226"/>
      <c r="AD55" s="231"/>
      <c r="AE55" s="194" t="str">
        <f t="shared" si="17"/>
        <v/>
      </c>
      <c r="AF55" s="170" t="str">
        <f t="shared" si="18"/>
        <v/>
      </c>
      <c r="AG55" s="188" t="str">
        <f t="shared" si="19"/>
        <v/>
      </c>
      <c r="AH55" s="105"/>
      <c r="AI55" s="106"/>
      <c r="AJ55" s="107"/>
      <c r="AK55" s="90" t="str">
        <f t="shared" si="3"/>
        <v/>
      </c>
      <c r="AL55" s="91" t="str">
        <f t="shared" si="4"/>
        <v/>
      </c>
      <c r="AM55" s="93" t="str">
        <f t="shared" si="5"/>
        <v/>
      </c>
      <c r="AN55" s="162"/>
      <c r="AO55" s="107"/>
      <c r="AP55" s="163"/>
      <c r="AQ55" s="157" t="str">
        <f t="shared" si="6"/>
        <v/>
      </c>
      <c r="AR55" s="91" t="str">
        <f t="shared" si="7"/>
        <v/>
      </c>
      <c r="AS55" s="93" t="str">
        <f t="shared" si="8"/>
        <v/>
      </c>
      <c r="AT55" s="90" t="str">
        <f t="shared" si="9"/>
        <v/>
      </c>
      <c r="AU55" s="92" t="str">
        <f t="shared" si="10"/>
        <v/>
      </c>
      <c r="AV55" s="94" t="str">
        <f t="shared" si="20"/>
        <v/>
      </c>
      <c r="AW55" s="95" t="str">
        <f>IF(C55="","",IFERROR(_xlfn.XLOOKUP(AV55,HELPER!$C$8:$C$48,HELPER!$D$8:$D$48,,1),""))</f>
        <v/>
      </c>
      <c r="AX55" s="96" t="str">
        <f>IF(C55="","",IFERROR(_xlfn.XLOOKUP(AW55,HELPER!$F$8:$F$48,HELPER!$G$8:$G$48,,1),""))</f>
        <v/>
      </c>
      <c r="AY55" s="168"/>
      <c r="AZ55" s="148"/>
    </row>
    <row r="56" spans="1:52" ht="15" customHeight="1" x14ac:dyDescent="0.25">
      <c r="A56" s="168"/>
      <c r="B56" s="108">
        <v>38</v>
      </c>
      <c r="C56" s="355" t="str">
        <f>IF('INPUT DATA'!K48="","",'INPUT DATA'!K48)</f>
        <v/>
      </c>
      <c r="D56" s="356"/>
      <c r="E56" s="356"/>
      <c r="F56" s="243"/>
      <c r="G56" s="244"/>
      <c r="H56" s="244"/>
      <c r="I56" s="244"/>
      <c r="J56" s="245"/>
      <c r="K56" s="194" t="str">
        <f t="shared" si="11"/>
        <v/>
      </c>
      <c r="L56" s="170" t="str">
        <f t="shared" si="12"/>
        <v/>
      </c>
      <c r="M56" s="188" t="str">
        <f t="shared" si="13"/>
        <v/>
      </c>
      <c r="N56" s="99"/>
      <c r="O56" s="106"/>
      <c r="P56" s="106"/>
      <c r="Q56" s="106"/>
      <c r="R56" s="107"/>
      <c r="S56" s="217" t="str">
        <f t="shared" si="0"/>
        <v/>
      </c>
      <c r="T56" s="91" t="str">
        <f t="shared" si="1"/>
        <v/>
      </c>
      <c r="U56" s="218" t="str">
        <f t="shared" si="2"/>
        <v/>
      </c>
      <c r="V56" s="230"/>
      <c r="W56" s="226"/>
      <c r="X56" s="236"/>
      <c r="Y56" s="194" t="str">
        <f t="shared" si="14"/>
        <v/>
      </c>
      <c r="Z56" s="170" t="str">
        <f t="shared" si="15"/>
        <v/>
      </c>
      <c r="AA56" s="188" t="str">
        <f t="shared" si="16"/>
        <v/>
      </c>
      <c r="AB56" s="230"/>
      <c r="AC56" s="226"/>
      <c r="AD56" s="231"/>
      <c r="AE56" s="194" t="str">
        <f t="shared" si="17"/>
        <v/>
      </c>
      <c r="AF56" s="170" t="str">
        <f t="shared" si="18"/>
        <v/>
      </c>
      <c r="AG56" s="188" t="str">
        <f t="shared" si="19"/>
        <v/>
      </c>
      <c r="AH56" s="105"/>
      <c r="AI56" s="106"/>
      <c r="AJ56" s="107"/>
      <c r="AK56" s="90" t="str">
        <f t="shared" si="3"/>
        <v/>
      </c>
      <c r="AL56" s="91" t="str">
        <f t="shared" si="4"/>
        <v/>
      </c>
      <c r="AM56" s="93" t="str">
        <f t="shared" si="5"/>
        <v/>
      </c>
      <c r="AN56" s="162"/>
      <c r="AO56" s="107"/>
      <c r="AP56" s="163"/>
      <c r="AQ56" s="157" t="str">
        <f t="shared" si="6"/>
        <v/>
      </c>
      <c r="AR56" s="91" t="str">
        <f t="shared" si="7"/>
        <v/>
      </c>
      <c r="AS56" s="93" t="str">
        <f t="shared" si="8"/>
        <v/>
      </c>
      <c r="AT56" s="90" t="str">
        <f t="shared" si="9"/>
        <v/>
      </c>
      <c r="AU56" s="92" t="str">
        <f t="shared" si="10"/>
        <v/>
      </c>
      <c r="AV56" s="94" t="str">
        <f t="shared" si="20"/>
        <v/>
      </c>
      <c r="AW56" s="95" t="str">
        <f>IF(C56="","",IFERROR(_xlfn.XLOOKUP(AV56,HELPER!$C$8:$C$48,HELPER!$D$8:$D$48,,1),""))</f>
        <v/>
      </c>
      <c r="AX56" s="96" t="str">
        <f>IF(C56="","",IFERROR(_xlfn.XLOOKUP(AW56,HELPER!$F$8:$F$48,HELPER!$G$8:$G$48,,1),""))</f>
        <v/>
      </c>
      <c r="AY56" s="168"/>
      <c r="AZ56" s="148"/>
    </row>
    <row r="57" spans="1:52" ht="15" customHeight="1" x14ac:dyDescent="0.25">
      <c r="A57" s="168"/>
      <c r="B57" s="108">
        <v>39</v>
      </c>
      <c r="C57" s="355" t="str">
        <f>IF('INPUT DATA'!K49="","",'INPUT DATA'!K49)</f>
        <v/>
      </c>
      <c r="D57" s="356"/>
      <c r="E57" s="356"/>
      <c r="F57" s="243"/>
      <c r="G57" s="244"/>
      <c r="H57" s="244"/>
      <c r="I57" s="244"/>
      <c r="J57" s="245"/>
      <c r="K57" s="194" t="str">
        <f t="shared" si="11"/>
        <v/>
      </c>
      <c r="L57" s="170" t="str">
        <f t="shared" si="12"/>
        <v/>
      </c>
      <c r="M57" s="188" t="str">
        <f t="shared" si="13"/>
        <v/>
      </c>
      <c r="N57" s="99"/>
      <c r="O57" s="106"/>
      <c r="P57" s="106"/>
      <c r="Q57" s="106"/>
      <c r="R57" s="107"/>
      <c r="S57" s="217" t="str">
        <f t="shared" si="0"/>
        <v/>
      </c>
      <c r="T57" s="91" t="str">
        <f t="shared" si="1"/>
        <v/>
      </c>
      <c r="U57" s="218" t="str">
        <f t="shared" si="2"/>
        <v/>
      </c>
      <c r="V57" s="230"/>
      <c r="W57" s="226"/>
      <c r="X57" s="236"/>
      <c r="Y57" s="194" t="str">
        <f t="shared" si="14"/>
        <v/>
      </c>
      <c r="Z57" s="170" t="str">
        <f t="shared" si="15"/>
        <v/>
      </c>
      <c r="AA57" s="188" t="str">
        <f t="shared" si="16"/>
        <v/>
      </c>
      <c r="AB57" s="230"/>
      <c r="AC57" s="226"/>
      <c r="AD57" s="231"/>
      <c r="AE57" s="194" t="str">
        <f t="shared" si="17"/>
        <v/>
      </c>
      <c r="AF57" s="170" t="str">
        <f t="shared" si="18"/>
        <v/>
      </c>
      <c r="AG57" s="188" t="str">
        <f t="shared" si="19"/>
        <v/>
      </c>
      <c r="AH57" s="105"/>
      <c r="AI57" s="106"/>
      <c r="AJ57" s="107"/>
      <c r="AK57" s="90" t="str">
        <f t="shared" si="3"/>
        <v/>
      </c>
      <c r="AL57" s="91" t="str">
        <f t="shared" si="4"/>
        <v/>
      </c>
      <c r="AM57" s="93" t="str">
        <f t="shared" si="5"/>
        <v/>
      </c>
      <c r="AN57" s="162"/>
      <c r="AO57" s="107"/>
      <c r="AP57" s="163"/>
      <c r="AQ57" s="157" t="str">
        <f t="shared" si="6"/>
        <v/>
      </c>
      <c r="AR57" s="91" t="str">
        <f t="shared" si="7"/>
        <v/>
      </c>
      <c r="AS57" s="93" t="str">
        <f t="shared" si="8"/>
        <v/>
      </c>
      <c r="AT57" s="90" t="str">
        <f t="shared" si="9"/>
        <v/>
      </c>
      <c r="AU57" s="92" t="str">
        <f t="shared" si="10"/>
        <v/>
      </c>
      <c r="AV57" s="94" t="str">
        <f t="shared" si="20"/>
        <v/>
      </c>
      <c r="AW57" s="95" t="str">
        <f>IF(C57="","",IFERROR(_xlfn.XLOOKUP(AV57,HELPER!$C$8:$C$48,HELPER!$D$8:$D$48,,1),""))</f>
        <v/>
      </c>
      <c r="AX57" s="96" t="str">
        <f>IF(C57="","",IFERROR(_xlfn.XLOOKUP(AW57,HELPER!$F$8:$F$48,HELPER!$G$8:$G$48,,1),""))</f>
        <v/>
      </c>
      <c r="AY57" s="168"/>
      <c r="AZ57" s="148"/>
    </row>
    <row r="58" spans="1:52" ht="15" customHeight="1" x14ac:dyDescent="0.25">
      <c r="A58" s="168"/>
      <c r="B58" s="108">
        <v>40</v>
      </c>
      <c r="C58" s="355" t="str">
        <f>IF('INPUT DATA'!K50="","",'INPUT DATA'!K50)</f>
        <v/>
      </c>
      <c r="D58" s="356"/>
      <c r="E58" s="356"/>
      <c r="F58" s="243"/>
      <c r="G58" s="244"/>
      <c r="H58" s="244"/>
      <c r="I58" s="244"/>
      <c r="J58" s="245"/>
      <c r="K58" s="194" t="str">
        <f t="shared" si="11"/>
        <v/>
      </c>
      <c r="L58" s="170" t="str">
        <f t="shared" si="12"/>
        <v/>
      </c>
      <c r="M58" s="188" t="str">
        <f t="shared" si="13"/>
        <v/>
      </c>
      <c r="N58" s="99"/>
      <c r="O58" s="106"/>
      <c r="P58" s="106"/>
      <c r="Q58" s="106"/>
      <c r="R58" s="107"/>
      <c r="S58" s="217" t="str">
        <f t="shared" si="0"/>
        <v/>
      </c>
      <c r="T58" s="91" t="str">
        <f t="shared" si="1"/>
        <v/>
      </c>
      <c r="U58" s="218" t="str">
        <f t="shared" si="2"/>
        <v/>
      </c>
      <c r="V58" s="230"/>
      <c r="W58" s="226"/>
      <c r="X58" s="236"/>
      <c r="Y58" s="194" t="str">
        <f t="shared" si="14"/>
        <v/>
      </c>
      <c r="Z58" s="170" t="str">
        <f t="shared" si="15"/>
        <v/>
      </c>
      <c r="AA58" s="188" t="str">
        <f t="shared" si="16"/>
        <v/>
      </c>
      <c r="AB58" s="230"/>
      <c r="AC58" s="226"/>
      <c r="AD58" s="231"/>
      <c r="AE58" s="194" t="str">
        <f t="shared" si="17"/>
        <v/>
      </c>
      <c r="AF58" s="170" t="str">
        <f t="shared" si="18"/>
        <v/>
      </c>
      <c r="AG58" s="188" t="str">
        <f t="shared" si="19"/>
        <v/>
      </c>
      <c r="AH58" s="105"/>
      <c r="AI58" s="106"/>
      <c r="AJ58" s="107"/>
      <c r="AK58" s="90" t="str">
        <f t="shared" si="3"/>
        <v/>
      </c>
      <c r="AL58" s="91" t="str">
        <f t="shared" si="4"/>
        <v/>
      </c>
      <c r="AM58" s="93" t="str">
        <f t="shared" si="5"/>
        <v/>
      </c>
      <c r="AN58" s="162"/>
      <c r="AO58" s="107"/>
      <c r="AP58" s="163"/>
      <c r="AQ58" s="157" t="str">
        <f t="shared" si="6"/>
        <v/>
      </c>
      <c r="AR58" s="91" t="str">
        <f t="shared" si="7"/>
        <v/>
      </c>
      <c r="AS58" s="93" t="str">
        <f t="shared" si="8"/>
        <v/>
      </c>
      <c r="AT58" s="90" t="str">
        <f t="shared" si="9"/>
        <v/>
      </c>
      <c r="AU58" s="92" t="str">
        <f t="shared" si="10"/>
        <v/>
      </c>
      <c r="AV58" s="94" t="str">
        <f t="shared" si="20"/>
        <v/>
      </c>
      <c r="AW58" s="95" t="str">
        <f>IF(C58="","",IFERROR(_xlfn.XLOOKUP(AV58,HELPER!$C$8:$C$48,HELPER!$D$8:$D$48,,1),""))</f>
        <v/>
      </c>
      <c r="AX58" s="96" t="str">
        <f>IF(C58="","",IFERROR(_xlfn.XLOOKUP(AW58,HELPER!$F$8:$F$48,HELPER!$G$8:$G$48,,1),""))</f>
        <v/>
      </c>
      <c r="AY58" s="168"/>
      <c r="AZ58" s="148"/>
    </row>
    <row r="59" spans="1:52" ht="15" customHeight="1" x14ac:dyDescent="0.25">
      <c r="A59" s="168"/>
      <c r="B59" s="108">
        <v>41</v>
      </c>
      <c r="C59" s="355" t="str">
        <f>IF('INPUT DATA'!K51="","",'INPUT DATA'!K51)</f>
        <v/>
      </c>
      <c r="D59" s="356"/>
      <c r="E59" s="356"/>
      <c r="F59" s="243"/>
      <c r="G59" s="244"/>
      <c r="H59" s="244"/>
      <c r="I59" s="244"/>
      <c r="J59" s="245"/>
      <c r="K59" s="194" t="str">
        <f t="shared" si="11"/>
        <v/>
      </c>
      <c r="L59" s="170" t="str">
        <f t="shared" si="12"/>
        <v/>
      </c>
      <c r="M59" s="188" t="str">
        <f t="shared" si="13"/>
        <v/>
      </c>
      <c r="N59" s="99"/>
      <c r="O59" s="106"/>
      <c r="P59" s="106"/>
      <c r="Q59" s="106"/>
      <c r="R59" s="107"/>
      <c r="S59" s="217" t="str">
        <f t="shared" si="0"/>
        <v/>
      </c>
      <c r="T59" s="91" t="str">
        <f t="shared" si="1"/>
        <v/>
      </c>
      <c r="U59" s="218" t="str">
        <f t="shared" si="2"/>
        <v/>
      </c>
      <c r="V59" s="230"/>
      <c r="W59" s="226"/>
      <c r="X59" s="236"/>
      <c r="Y59" s="194" t="str">
        <f t="shared" si="14"/>
        <v/>
      </c>
      <c r="Z59" s="170" t="str">
        <f t="shared" si="15"/>
        <v/>
      </c>
      <c r="AA59" s="188" t="str">
        <f t="shared" si="16"/>
        <v/>
      </c>
      <c r="AB59" s="230"/>
      <c r="AC59" s="226"/>
      <c r="AD59" s="231"/>
      <c r="AE59" s="194" t="str">
        <f t="shared" si="17"/>
        <v/>
      </c>
      <c r="AF59" s="170" t="str">
        <f t="shared" si="18"/>
        <v/>
      </c>
      <c r="AG59" s="188" t="str">
        <f t="shared" si="19"/>
        <v/>
      </c>
      <c r="AH59" s="105"/>
      <c r="AI59" s="106"/>
      <c r="AJ59" s="107"/>
      <c r="AK59" s="90" t="str">
        <f t="shared" si="3"/>
        <v/>
      </c>
      <c r="AL59" s="91" t="str">
        <f t="shared" si="4"/>
        <v/>
      </c>
      <c r="AM59" s="93" t="str">
        <f t="shared" si="5"/>
        <v/>
      </c>
      <c r="AN59" s="162"/>
      <c r="AO59" s="107"/>
      <c r="AP59" s="163"/>
      <c r="AQ59" s="157" t="str">
        <f t="shared" si="6"/>
        <v/>
      </c>
      <c r="AR59" s="91" t="str">
        <f t="shared" si="7"/>
        <v/>
      </c>
      <c r="AS59" s="93" t="str">
        <f t="shared" si="8"/>
        <v/>
      </c>
      <c r="AT59" s="90" t="str">
        <f t="shared" si="9"/>
        <v/>
      </c>
      <c r="AU59" s="92" t="str">
        <f t="shared" si="10"/>
        <v/>
      </c>
      <c r="AV59" s="94" t="str">
        <f t="shared" si="20"/>
        <v/>
      </c>
      <c r="AW59" s="95" t="str">
        <f>IF(C59="","",IFERROR(_xlfn.XLOOKUP(AV59,HELPER!$C$8:$C$48,HELPER!$D$8:$D$48,,1),""))</f>
        <v/>
      </c>
      <c r="AX59" s="96" t="str">
        <f>IF(C59="","",IFERROR(_xlfn.XLOOKUP(AW59,HELPER!$F$8:$F$48,HELPER!$G$8:$G$48,,1),""))</f>
        <v/>
      </c>
      <c r="AY59" s="168"/>
      <c r="AZ59" s="148"/>
    </row>
    <row r="60" spans="1:52" ht="15" customHeight="1" x14ac:dyDescent="0.25">
      <c r="A60" s="168"/>
      <c r="B60" s="108">
        <v>42</v>
      </c>
      <c r="C60" s="355" t="str">
        <f>IF('INPUT DATA'!K52="","",'INPUT DATA'!K52)</f>
        <v/>
      </c>
      <c r="D60" s="356"/>
      <c r="E60" s="356"/>
      <c r="F60" s="243"/>
      <c r="G60" s="244"/>
      <c r="H60" s="244"/>
      <c r="I60" s="244"/>
      <c r="J60" s="245"/>
      <c r="K60" s="194" t="str">
        <f t="shared" si="11"/>
        <v/>
      </c>
      <c r="L60" s="170" t="str">
        <f t="shared" si="12"/>
        <v/>
      </c>
      <c r="M60" s="188" t="str">
        <f t="shared" si="13"/>
        <v/>
      </c>
      <c r="N60" s="99"/>
      <c r="O60" s="106"/>
      <c r="P60" s="106"/>
      <c r="Q60" s="106"/>
      <c r="R60" s="107"/>
      <c r="S60" s="217" t="str">
        <f t="shared" si="0"/>
        <v/>
      </c>
      <c r="T60" s="91" t="str">
        <f t="shared" si="1"/>
        <v/>
      </c>
      <c r="U60" s="218" t="str">
        <f t="shared" si="2"/>
        <v/>
      </c>
      <c r="V60" s="230"/>
      <c r="W60" s="226"/>
      <c r="X60" s="236"/>
      <c r="Y60" s="194" t="str">
        <f t="shared" si="14"/>
        <v/>
      </c>
      <c r="Z60" s="170" t="str">
        <f t="shared" si="15"/>
        <v/>
      </c>
      <c r="AA60" s="188" t="str">
        <f t="shared" si="16"/>
        <v/>
      </c>
      <c r="AB60" s="230"/>
      <c r="AC60" s="226"/>
      <c r="AD60" s="231"/>
      <c r="AE60" s="194" t="str">
        <f t="shared" si="17"/>
        <v/>
      </c>
      <c r="AF60" s="170" t="str">
        <f t="shared" si="18"/>
        <v/>
      </c>
      <c r="AG60" s="188" t="str">
        <f t="shared" si="19"/>
        <v/>
      </c>
      <c r="AH60" s="105"/>
      <c r="AI60" s="106"/>
      <c r="AJ60" s="107"/>
      <c r="AK60" s="90" t="str">
        <f t="shared" si="3"/>
        <v/>
      </c>
      <c r="AL60" s="91" t="str">
        <f t="shared" si="4"/>
        <v/>
      </c>
      <c r="AM60" s="93" t="str">
        <f t="shared" si="5"/>
        <v/>
      </c>
      <c r="AN60" s="162"/>
      <c r="AO60" s="107"/>
      <c r="AP60" s="163"/>
      <c r="AQ60" s="157" t="str">
        <f t="shared" si="6"/>
        <v/>
      </c>
      <c r="AR60" s="91" t="str">
        <f t="shared" si="7"/>
        <v/>
      </c>
      <c r="AS60" s="93" t="str">
        <f t="shared" si="8"/>
        <v/>
      </c>
      <c r="AT60" s="90" t="str">
        <f t="shared" si="9"/>
        <v/>
      </c>
      <c r="AU60" s="92" t="str">
        <f t="shared" si="10"/>
        <v/>
      </c>
      <c r="AV60" s="94" t="str">
        <f t="shared" si="20"/>
        <v/>
      </c>
      <c r="AW60" s="95" t="str">
        <f>IF(C60="","",IFERROR(_xlfn.XLOOKUP(AV60,HELPER!$C$8:$C$48,HELPER!$D$8:$D$48,,1),""))</f>
        <v/>
      </c>
      <c r="AX60" s="96" t="str">
        <f>IF(C60="","",IFERROR(_xlfn.XLOOKUP(AW60,HELPER!$F$8:$F$48,HELPER!$G$8:$G$48,,1),""))</f>
        <v/>
      </c>
      <c r="AY60" s="168"/>
      <c r="AZ60" s="148"/>
    </row>
    <row r="61" spans="1:52" ht="15" customHeight="1" x14ac:dyDescent="0.25">
      <c r="A61" s="168"/>
      <c r="B61" s="108">
        <v>43</v>
      </c>
      <c r="C61" s="355" t="str">
        <f>IF('INPUT DATA'!K53="","",'INPUT DATA'!K53)</f>
        <v/>
      </c>
      <c r="D61" s="356"/>
      <c r="E61" s="356"/>
      <c r="F61" s="243"/>
      <c r="G61" s="244"/>
      <c r="H61" s="244"/>
      <c r="I61" s="244"/>
      <c r="J61" s="245"/>
      <c r="K61" s="194" t="str">
        <f t="shared" si="11"/>
        <v/>
      </c>
      <c r="L61" s="170" t="str">
        <f t="shared" si="12"/>
        <v/>
      </c>
      <c r="M61" s="188" t="str">
        <f t="shared" si="13"/>
        <v/>
      </c>
      <c r="N61" s="99"/>
      <c r="O61" s="106"/>
      <c r="P61" s="106"/>
      <c r="Q61" s="106"/>
      <c r="R61" s="107"/>
      <c r="S61" s="217" t="str">
        <f t="shared" si="0"/>
        <v/>
      </c>
      <c r="T61" s="91" t="str">
        <f t="shared" si="1"/>
        <v/>
      </c>
      <c r="U61" s="218" t="str">
        <f t="shared" si="2"/>
        <v/>
      </c>
      <c r="V61" s="230"/>
      <c r="W61" s="226"/>
      <c r="X61" s="236"/>
      <c r="Y61" s="194" t="str">
        <f t="shared" si="14"/>
        <v/>
      </c>
      <c r="Z61" s="170" t="str">
        <f t="shared" si="15"/>
        <v/>
      </c>
      <c r="AA61" s="188" t="str">
        <f t="shared" si="16"/>
        <v/>
      </c>
      <c r="AB61" s="230"/>
      <c r="AC61" s="226"/>
      <c r="AD61" s="231"/>
      <c r="AE61" s="194" t="str">
        <f t="shared" si="17"/>
        <v/>
      </c>
      <c r="AF61" s="170" t="str">
        <f t="shared" si="18"/>
        <v/>
      </c>
      <c r="AG61" s="188" t="str">
        <f t="shared" si="19"/>
        <v/>
      </c>
      <c r="AH61" s="105"/>
      <c r="AI61" s="106"/>
      <c r="AJ61" s="107"/>
      <c r="AK61" s="90" t="str">
        <f t="shared" si="3"/>
        <v/>
      </c>
      <c r="AL61" s="91" t="str">
        <f t="shared" si="4"/>
        <v/>
      </c>
      <c r="AM61" s="93" t="str">
        <f t="shared" si="5"/>
        <v/>
      </c>
      <c r="AN61" s="162"/>
      <c r="AO61" s="107"/>
      <c r="AP61" s="163"/>
      <c r="AQ61" s="157" t="str">
        <f t="shared" si="6"/>
        <v/>
      </c>
      <c r="AR61" s="91" t="str">
        <f t="shared" si="7"/>
        <v/>
      </c>
      <c r="AS61" s="93" t="str">
        <f t="shared" si="8"/>
        <v/>
      </c>
      <c r="AT61" s="90" t="str">
        <f t="shared" si="9"/>
        <v/>
      </c>
      <c r="AU61" s="92" t="str">
        <f t="shared" si="10"/>
        <v/>
      </c>
      <c r="AV61" s="94" t="str">
        <f t="shared" si="20"/>
        <v/>
      </c>
      <c r="AW61" s="95" t="str">
        <f>IF(C61="","",IFERROR(_xlfn.XLOOKUP(AV61,HELPER!$C$8:$C$48,HELPER!$D$8:$D$48,,1),""))</f>
        <v/>
      </c>
      <c r="AX61" s="96" t="str">
        <f>IF(C61="","",IFERROR(_xlfn.XLOOKUP(AW61,HELPER!$F$8:$F$48,HELPER!$G$8:$G$48,,1),""))</f>
        <v/>
      </c>
      <c r="AY61" s="168"/>
      <c r="AZ61" s="148"/>
    </row>
    <row r="62" spans="1:52" ht="15" customHeight="1" x14ac:dyDescent="0.25">
      <c r="A62" s="168"/>
      <c r="B62" s="108">
        <v>44</v>
      </c>
      <c r="C62" s="355" t="str">
        <f>IF('INPUT DATA'!K54="","",'INPUT DATA'!K54)</f>
        <v/>
      </c>
      <c r="D62" s="356"/>
      <c r="E62" s="356"/>
      <c r="F62" s="243"/>
      <c r="G62" s="244"/>
      <c r="H62" s="244"/>
      <c r="I62" s="244"/>
      <c r="J62" s="245"/>
      <c r="K62" s="194" t="str">
        <f t="shared" si="11"/>
        <v/>
      </c>
      <c r="L62" s="170" t="str">
        <f t="shared" si="12"/>
        <v/>
      </c>
      <c r="M62" s="188" t="str">
        <f t="shared" si="13"/>
        <v/>
      </c>
      <c r="N62" s="99"/>
      <c r="O62" s="106"/>
      <c r="P62" s="106"/>
      <c r="Q62" s="106"/>
      <c r="R62" s="107"/>
      <c r="S62" s="217" t="str">
        <f t="shared" si="0"/>
        <v/>
      </c>
      <c r="T62" s="91" t="str">
        <f t="shared" si="1"/>
        <v/>
      </c>
      <c r="U62" s="218" t="str">
        <f t="shared" si="2"/>
        <v/>
      </c>
      <c r="V62" s="230"/>
      <c r="W62" s="226"/>
      <c r="X62" s="236"/>
      <c r="Y62" s="194" t="str">
        <f t="shared" si="14"/>
        <v/>
      </c>
      <c r="Z62" s="170" t="str">
        <f t="shared" si="15"/>
        <v/>
      </c>
      <c r="AA62" s="188" t="str">
        <f t="shared" si="16"/>
        <v/>
      </c>
      <c r="AB62" s="230"/>
      <c r="AC62" s="226"/>
      <c r="AD62" s="231"/>
      <c r="AE62" s="194" t="str">
        <f t="shared" si="17"/>
        <v/>
      </c>
      <c r="AF62" s="170" t="str">
        <f t="shared" si="18"/>
        <v/>
      </c>
      <c r="AG62" s="188" t="str">
        <f t="shared" si="19"/>
        <v/>
      </c>
      <c r="AH62" s="105"/>
      <c r="AI62" s="106"/>
      <c r="AJ62" s="107"/>
      <c r="AK62" s="90" t="str">
        <f t="shared" si="3"/>
        <v/>
      </c>
      <c r="AL62" s="91" t="str">
        <f t="shared" si="4"/>
        <v/>
      </c>
      <c r="AM62" s="93" t="str">
        <f t="shared" si="5"/>
        <v/>
      </c>
      <c r="AN62" s="162"/>
      <c r="AO62" s="107"/>
      <c r="AP62" s="163"/>
      <c r="AQ62" s="157" t="str">
        <f t="shared" si="6"/>
        <v/>
      </c>
      <c r="AR62" s="91" t="str">
        <f t="shared" si="7"/>
        <v/>
      </c>
      <c r="AS62" s="93" t="str">
        <f t="shared" si="8"/>
        <v/>
      </c>
      <c r="AT62" s="90" t="str">
        <f t="shared" si="9"/>
        <v/>
      </c>
      <c r="AU62" s="92" t="str">
        <f t="shared" si="10"/>
        <v/>
      </c>
      <c r="AV62" s="94" t="str">
        <f t="shared" si="20"/>
        <v/>
      </c>
      <c r="AW62" s="95" t="str">
        <f>IF(C62="","",IFERROR(_xlfn.XLOOKUP(AV62,HELPER!$C$8:$C$48,HELPER!$D$8:$D$48,,1),""))</f>
        <v/>
      </c>
      <c r="AX62" s="96" t="str">
        <f>IF(C62="","",IFERROR(_xlfn.XLOOKUP(AW62,HELPER!$F$8:$F$48,HELPER!$G$8:$G$48,,1),""))</f>
        <v/>
      </c>
      <c r="AY62" s="168"/>
      <c r="AZ62" s="148"/>
    </row>
    <row r="63" spans="1:52" ht="15" customHeight="1" x14ac:dyDescent="0.25">
      <c r="A63" s="168"/>
      <c r="B63" s="108">
        <v>45</v>
      </c>
      <c r="C63" s="355" t="str">
        <f>IF('INPUT DATA'!K55="","",'INPUT DATA'!K55)</f>
        <v/>
      </c>
      <c r="D63" s="356"/>
      <c r="E63" s="356"/>
      <c r="F63" s="243"/>
      <c r="G63" s="244"/>
      <c r="H63" s="244"/>
      <c r="I63" s="244"/>
      <c r="J63" s="245"/>
      <c r="K63" s="194" t="str">
        <f t="shared" si="11"/>
        <v/>
      </c>
      <c r="L63" s="170" t="str">
        <f t="shared" si="12"/>
        <v/>
      </c>
      <c r="M63" s="188" t="str">
        <f t="shared" si="13"/>
        <v/>
      </c>
      <c r="N63" s="99"/>
      <c r="O63" s="106"/>
      <c r="P63" s="106"/>
      <c r="Q63" s="106"/>
      <c r="R63" s="107"/>
      <c r="S63" s="217" t="str">
        <f t="shared" si="0"/>
        <v/>
      </c>
      <c r="T63" s="91" t="str">
        <f t="shared" si="1"/>
        <v/>
      </c>
      <c r="U63" s="218" t="str">
        <f t="shared" si="2"/>
        <v/>
      </c>
      <c r="V63" s="230"/>
      <c r="W63" s="226"/>
      <c r="X63" s="236"/>
      <c r="Y63" s="194" t="str">
        <f t="shared" si="14"/>
        <v/>
      </c>
      <c r="Z63" s="170" t="str">
        <f t="shared" si="15"/>
        <v/>
      </c>
      <c r="AA63" s="188" t="str">
        <f t="shared" si="16"/>
        <v/>
      </c>
      <c r="AB63" s="230"/>
      <c r="AC63" s="226"/>
      <c r="AD63" s="231"/>
      <c r="AE63" s="194" t="str">
        <f t="shared" si="17"/>
        <v/>
      </c>
      <c r="AF63" s="170" t="str">
        <f t="shared" si="18"/>
        <v/>
      </c>
      <c r="AG63" s="188" t="str">
        <f t="shared" si="19"/>
        <v/>
      </c>
      <c r="AH63" s="105"/>
      <c r="AI63" s="106"/>
      <c r="AJ63" s="107"/>
      <c r="AK63" s="90" t="str">
        <f t="shared" si="3"/>
        <v/>
      </c>
      <c r="AL63" s="91" t="str">
        <f t="shared" si="4"/>
        <v/>
      </c>
      <c r="AM63" s="93" t="str">
        <f t="shared" si="5"/>
        <v/>
      </c>
      <c r="AN63" s="162"/>
      <c r="AO63" s="107"/>
      <c r="AP63" s="163"/>
      <c r="AQ63" s="157" t="str">
        <f t="shared" si="6"/>
        <v/>
      </c>
      <c r="AR63" s="91" t="str">
        <f t="shared" si="7"/>
        <v/>
      </c>
      <c r="AS63" s="93" t="str">
        <f t="shared" si="8"/>
        <v/>
      </c>
      <c r="AT63" s="90" t="str">
        <f t="shared" si="9"/>
        <v/>
      </c>
      <c r="AU63" s="92" t="str">
        <f t="shared" si="10"/>
        <v/>
      </c>
      <c r="AV63" s="94" t="str">
        <f t="shared" si="20"/>
        <v/>
      </c>
      <c r="AW63" s="95" t="str">
        <f>IF(C63="","",IFERROR(_xlfn.XLOOKUP(AV63,HELPER!$C$8:$C$48,HELPER!$D$8:$D$48,,1),""))</f>
        <v/>
      </c>
      <c r="AX63" s="96" t="str">
        <f>IF(C63="","",IFERROR(_xlfn.XLOOKUP(AW63,HELPER!$F$8:$F$48,HELPER!$G$8:$G$48,,1),""))</f>
        <v/>
      </c>
      <c r="AY63" s="168"/>
      <c r="AZ63" s="148"/>
    </row>
    <row r="64" spans="1:52" ht="15" customHeight="1" x14ac:dyDescent="0.25">
      <c r="A64" s="168"/>
      <c r="B64" s="108">
        <v>46</v>
      </c>
      <c r="C64" s="355" t="str">
        <f>IF('INPUT DATA'!K56="","",'INPUT DATA'!K56)</f>
        <v/>
      </c>
      <c r="D64" s="356"/>
      <c r="E64" s="356"/>
      <c r="F64" s="243"/>
      <c r="G64" s="244"/>
      <c r="H64" s="244"/>
      <c r="I64" s="244"/>
      <c r="J64" s="245"/>
      <c r="K64" s="194" t="str">
        <f t="shared" si="11"/>
        <v/>
      </c>
      <c r="L64" s="170" t="str">
        <f t="shared" si="12"/>
        <v/>
      </c>
      <c r="M64" s="188" t="str">
        <f t="shared" si="13"/>
        <v/>
      </c>
      <c r="N64" s="99"/>
      <c r="O64" s="106"/>
      <c r="P64" s="106"/>
      <c r="Q64" s="106"/>
      <c r="R64" s="107"/>
      <c r="S64" s="217" t="str">
        <f t="shared" si="0"/>
        <v/>
      </c>
      <c r="T64" s="91" t="str">
        <f t="shared" si="1"/>
        <v/>
      </c>
      <c r="U64" s="218" t="str">
        <f t="shared" si="2"/>
        <v/>
      </c>
      <c r="V64" s="230"/>
      <c r="W64" s="226"/>
      <c r="X64" s="236"/>
      <c r="Y64" s="194" t="str">
        <f t="shared" si="14"/>
        <v/>
      </c>
      <c r="Z64" s="170" t="str">
        <f t="shared" si="15"/>
        <v/>
      </c>
      <c r="AA64" s="188" t="str">
        <f t="shared" si="16"/>
        <v/>
      </c>
      <c r="AB64" s="230"/>
      <c r="AC64" s="226"/>
      <c r="AD64" s="231"/>
      <c r="AE64" s="194" t="str">
        <f t="shared" si="17"/>
        <v/>
      </c>
      <c r="AF64" s="170" t="str">
        <f t="shared" si="18"/>
        <v/>
      </c>
      <c r="AG64" s="188" t="str">
        <f t="shared" si="19"/>
        <v/>
      </c>
      <c r="AH64" s="105"/>
      <c r="AI64" s="106"/>
      <c r="AJ64" s="107"/>
      <c r="AK64" s="90" t="str">
        <f t="shared" si="3"/>
        <v/>
      </c>
      <c r="AL64" s="91" t="str">
        <f t="shared" si="4"/>
        <v/>
      </c>
      <c r="AM64" s="93" t="str">
        <f t="shared" si="5"/>
        <v/>
      </c>
      <c r="AN64" s="162"/>
      <c r="AO64" s="107"/>
      <c r="AP64" s="163"/>
      <c r="AQ64" s="157" t="str">
        <f t="shared" si="6"/>
        <v/>
      </c>
      <c r="AR64" s="91" t="str">
        <f t="shared" si="7"/>
        <v/>
      </c>
      <c r="AS64" s="93" t="str">
        <f t="shared" si="8"/>
        <v/>
      </c>
      <c r="AT64" s="90" t="str">
        <f t="shared" si="9"/>
        <v/>
      </c>
      <c r="AU64" s="92" t="str">
        <f t="shared" si="10"/>
        <v/>
      </c>
      <c r="AV64" s="94" t="str">
        <f t="shared" si="20"/>
        <v/>
      </c>
      <c r="AW64" s="95" t="str">
        <f>IF(C64="","",IFERROR(_xlfn.XLOOKUP(AV64,HELPER!$C$8:$C$48,HELPER!$D$8:$D$48,,1),""))</f>
        <v/>
      </c>
      <c r="AX64" s="96" t="str">
        <f>IF(C64="","",IFERROR(_xlfn.XLOOKUP(AW64,HELPER!$F$8:$F$48,HELPER!$G$8:$G$48,,1),""))</f>
        <v/>
      </c>
      <c r="AY64" s="168"/>
      <c r="AZ64" s="148"/>
    </row>
    <row r="65" spans="1:52" ht="15" customHeight="1" x14ac:dyDescent="0.25">
      <c r="A65" s="168"/>
      <c r="B65" s="108">
        <v>47</v>
      </c>
      <c r="C65" s="355" t="str">
        <f>IF('INPUT DATA'!K57="","",'INPUT DATA'!K57)</f>
        <v/>
      </c>
      <c r="D65" s="356"/>
      <c r="E65" s="356"/>
      <c r="F65" s="243"/>
      <c r="G65" s="244"/>
      <c r="H65" s="244"/>
      <c r="I65" s="244"/>
      <c r="J65" s="245"/>
      <c r="K65" s="194" t="str">
        <f t="shared" si="11"/>
        <v/>
      </c>
      <c r="L65" s="170" t="str">
        <f t="shared" si="12"/>
        <v/>
      </c>
      <c r="M65" s="188" t="str">
        <f t="shared" si="13"/>
        <v/>
      </c>
      <c r="N65" s="99"/>
      <c r="O65" s="106"/>
      <c r="P65" s="106"/>
      <c r="Q65" s="106"/>
      <c r="R65" s="107"/>
      <c r="S65" s="217" t="str">
        <f t="shared" si="0"/>
        <v/>
      </c>
      <c r="T65" s="91" t="str">
        <f t="shared" si="1"/>
        <v/>
      </c>
      <c r="U65" s="218" t="str">
        <f t="shared" si="2"/>
        <v/>
      </c>
      <c r="V65" s="230"/>
      <c r="W65" s="226"/>
      <c r="X65" s="236"/>
      <c r="Y65" s="194" t="str">
        <f t="shared" si="14"/>
        <v/>
      </c>
      <c r="Z65" s="170" t="str">
        <f t="shared" si="15"/>
        <v/>
      </c>
      <c r="AA65" s="188" t="str">
        <f t="shared" si="16"/>
        <v/>
      </c>
      <c r="AB65" s="230"/>
      <c r="AC65" s="226"/>
      <c r="AD65" s="231"/>
      <c r="AE65" s="194" t="str">
        <f t="shared" si="17"/>
        <v/>
      </c>
      <c r="AF65" s="170" t="str">
        <f t="shared" si="18"/>
        <v/>
      </c>
      <c r="AG65" s="188" t="str">
        <f t="shared" si="19"/>
        <v/>
      </c>
      <c r="AH65" s="105"/>
      <c r="AI65" s="106"/>
      <c r="AJ65" s="107"/>
      <c r="AK65" s="90" t="str">
        <f t="shared" si="3"/>
        <v/>
      </c>
      <c r="AL65" s="91" t="str">
        <f t="shared" si="4"/>
        <v/>
      </c>
      <c r="AM65" s="93" t="str">
        <f t="shared" si="5"/>
        <v/>
      </c>
      <c r="AN65" s="162"/>
      <c r="AO65" s="107"/>
      <c r="AP65" s="163"/>
      <c r="AQ65" s="157" t="str">
        <f t="shared" si="6"/>
        <v/>
      </c>
      <c r="AR65" s="91" t="str">
        <f t="shared" si="7"/>
        <v/>
      </c>
      <c r="AS65" s="93" t="str">
        <f t="shared" si="8"/>
        <v/>
      </c>
      <c r="AT65" s="90" t="str">
        <f t="shared" si="9"/>
        <v/>
      </c>
      <c r="AU65" s="92" t="str">
        <f t="shared" si="10"/>
        <v/>
      </c>
      <c r="AV65" s="94" t="str">
        <f t="shared" si="20"/>
        <v/>
      </c>
      <c r="AW65" s="95" t="str">
        <f>IF(C65="","",IFERROR(_xlfn.XLOOKUP(AV65,HELPER!$C$8:$C$48,HELPER!$D$8:$D$48,,1),""))</f>
        <v/>
      </c>
      <c r="AX65" s="96" t="str">
        <f>IF(C65="","",IFERROR(_xlfn.XLOOKUP(AW65,HELPER!$F$8:$F$48,HELPER!$G$8:$G$48,,1),""))</f>
        <v/>
      </c>
      <c r="AY65" s="168"/>
      <c r="AZ65" s="148"/>
    </row>
    <row r="66" spans="1:52" ht="15" customHeight="1" x14ac:dyDescent="0.25">
      <c r="A66" s="168"/>
      <c r="B66" s="108">
        <v>48</v>
      </c>
      <c r="C66" s="355" t="str">
        <f>IF('INPUT DATA'!K58="","",'INPUT DATA'!K58)</f>
        <v/>
      </c>
      <c r="D66" s="356"/>
      <c r="E66" s="356"/>
      <c r="F66" s="243"/>
      <c r="G66" s="244"/>
      <c r="H66" s="244"/>
      <c r="I66" s="244"/>
      <c r="J66" s="245"/>
      <c r="K66" s="194" t="str">
        <f t="shared" si="11"/>
        <v/>
      </c>
      <c r="L66" s="170" t="str">
        <f t="shared" si="12"/>
        <v/>
      </c>
      <c r="M66" s="188" t="str">
        <f t="shared" si="13"/>
        <v/>
      </c>
      <c r="N66" s="99"/>
      <c r="O66" s="106"/>
      <c r="P66" s="106"/>
      <c r="Q66" s="106"/>
      <c r="R66" s="107"/>
      <c r="S66" s="217" t="str">
        <f t="shared" si="0"/>
        <v/>
      </c>
      <c r="T66" s="91" t="str">
        <f t="shared" si="1"/>
        <v/>
      </c>
      <c r="U66" s="218" t="str">
        <f t="shared" si="2"/>
        <v/>
      </c>
      <c r="V66" s="230"/>
      <c r="W66" s="226"/>
      <c r="X66" s="236"/>
      <c r="Y66" s="194" t="str">
        <f t="shared" si="14"/>
        <v/>
      </c>
      <c r="Z66" s="170" t="str">
        <f t="shared" si="15"/>
        <v/>
      </c>
      <c r="AA66" s="188" t="str">
        <f t="shared" si="16"/>
        <v/>
      </c>
      <c r="AB66" s="230"/>
      <c r="AC66" s="226"/>
      <c r="AD66" s="231"/>
      <c r="AE66" s="194" t="str">
        <f t="shared" si="17"/>
        <v/>
      </c>
      <c r="AF66" s="170" t="str">
        <f t="shared" si="18"/>
        <v/>
      </c>
      <c r="AG66" s="188" t="str">
        <f t="shared" si="19"/>
        <v/>
      </c>
      <c r="AH66" s="105"/>
      <c r="AI66" s="106"/>
      <c r="AJ66" s="107"/>
      <c r="AK66" s="90" t="str">
        <f t="shared" si="3"/>
        <v/>
      </c>
      <c r="AL66" s="91" t="str">
        <f t="shared" si="4"/>
        <v/>
      </c>
      <c r="AM66" s="93" t="str">
        <f t="shared" si="5"/>
        <v/>
      </c>
      <c r="AN66" s="162"/>
      <c r="AO66" s="107"/>
      <c r="AP66" s="163"/>
      <c r="AQ66" s="157" t="str">
        <f t="shared" si="6"/>
        <v/>
      </c>
      <c r="AR66" s="91" t="str">
        <f t="shared" si="7"/>
        <v/>
      </c>
      <c r="AS66" s="93" t="str">
        <f t="shared" si="8"/>
        <v/>
      </c>
      <c r="AT66" s="90" t="str">
        <f t="shared" si="9"/>
        <v/>
      </c>
      <c r="AU66" s="92" t="str">
        <f t="shared" si="10"/>
        <v/>
      </c>
      <c r="AV66" s="94" t="str">
        <f t="shared" si="20"/>
        <v/>
      </c>
      <c r="AW66" s="95" t="str">
        <f>IF(C66="","",IFERROR(_xlfn.XLOOKUP(AV66,HELPER!$C$8:$C$48,HELPER!$D$8:$D$48,,1),""))</f>
        <v/>
      </c>
      <c r="AX66" s="96" t="str">
        <f>IF(C66="","",IFERROR(_xlfn.XLOOKUP(AW66,HELPER!$F$8:$F$48,HELPER!$G$8:$G$48,,1),""))</f>
        <v/>
      </c>
      <c r="AY66" s="168"/>
      <c r="AZ66" s="148"/>
    </row>
    <row r="67" spans="1:52" ht="15" customHeight="1" x14ac:dyDescent="0.25">
      <c r="A67" s="168"/>
      <c r="B67" s="108">
        <v>49</v>
      </c>
      <c r="C67" s="355" t="str">
        <f>IF('INPUT DATA'!K59="","",'INPUT DATA'!K59)</f>
        <v/>
      </c>
      <c r="D67" s="356"/>
      <c r="E67" s="356"/>
      <c r="F67" s="243"/>
      <c r="G67" s="244"/>
      <c r="H67" s="244"/>
      <c r="I67" s="244"/>
      <c r="J67" s="245"/>
      <c r="K67" s="194" t="str">
        <f t="shared" si="11"/>
        <v/>
      </c>
      <c r="L67" s="170" t="str">
        <f t="shared" si="12"/>
        <v/>
      </c>
      <c r="M67" s="188" t="str">
        <f t="shared" si="13"/>
        <v/>
      </c>
      <c r="N67" s="99"/>
      <c r="O67" s="106"/>
      <c r="P67" s="106"/>
      <c r="Q67" s="106"/>
      <c r="R67" s="107"/>
      <c r="S67" s="217" t="str">
        <f t="shared" si="0"/>
        <v/>
      </c>
      <c r="T67" s="91" t="str">
        <f t="shared" si="1"/>
        <v/>
      </c>
      <c r="U67" s="218" t="str">
        <f t="shared" si="2"/>
        <v/>
      </c>
      <c r="V67" s="230"/>
      <c r="W67" s="226"/>
      <c r="X67" s="236"/>
      <c r="Y67" s="194" t="str">
        <f t="shared" si="14"/>
        <v/>
      </c>
      <c r="Z67" s="170" t="str">
        <f t="shared" si="15"/>
        <v/>
      </c>
      <c r="AA67" s="188" t="str">
        <f t="shared" si="16"/>
        <v/>
      </c>
      <c r="AB67" s="230"/>
      <c r="AC67" s="226"/>
      <c r="AD67" s="231"/>
      <c r="AE67" s="194" t="str">
        <f t="shared" si="17"/>
        <v/>
      </c>
      <c r="AF67" s="170" t="str">
        <f t="shared" si="18"/>
        <v/>
      </c>
      <c r="AG67" s="188" t="str">
        <f t="shared" si="19"/>
        <v/>
      </c>
      <c r="AH67" s="105"/>
      <c r="AI67" s="106"/>
      <c r="AJ67" s="107"/>
      <c r="AK67" s="90" t="str">
        <f t="shared" si="3"/>
        <v/>
      </c>
      <c r="AL67" s="91" t="str">
        <f t="shared" si="4"/>
        <v/>
      </c>
      <c r="AM67" s="93" t="str">
        <f t="shared" si="5"/>
        <v/>
      </c>
      <c r="AN67" s="162"/>
      <c r="AO67" s="107"/>
      <c r="AP67" s="163"/>
      <c r="AQ67" s="157" t="str">
        <f t="shared" si="6"/>
        <v/>
      </c>
      <c r="AR67" s="91" t="str">
        <f t="shared" si="7"/>
        <v/>
      </c>
      <c r="AS67" s="93" t="str">
        <f t="shared" si="8"/>
        <v/>
      </c>
      <c r="AT67" s="90" t="str">
        <f t="shared" si="9"/>
        <v/>
      </c>
      <c r="AU67" s="92" t="str">
        <f t="shared" si="10"/>
        <v/>
      </c>
      <c r="AV67" s="94" t="str">
        <f t="shared" si="20"/>
        <v/>
      </c>
      <c r="AW67" s="95" t="str">
        <f>IF(C67="","",IFERROR(_xlfn.XLOOKUP(AV67,HELPER!$C$8:$C$48,HELPER!$D$8:$D$48,,1),""))</f>
        <v/>
      </c>
      <c r="AX67" s="96" t="str">
        <f>IF(C67="","",IFERROR(_xlfn.XLOOKUP(AW67,HELPER!$F$8:$F$48,HELPER!$G$8:$G$48,,1),""))</f>
        <v/>
      </c>
      <c r="AY67" s="168"/>
      <c r="AZ67" s="148"/>
    </row>
    <row r="68" spans="1:52" ht="15" customHeight="1" thickBot="1" x14ac:dyDescent="0.3">
      <c r="A68" s="168"/>
      <c r="B68" s="108">
        <v>50</v>
      </c>
      <c r="C68" s="355" t="str">
        <f>IF('INPUT DATA'!K60="","",'INPUT DATA'!K60)</f>
        <v/>
      </c>
      <c r="D68" s="356"/>
      <c r="E68" s="356"/>
      <c r="F68" s="246"/>
      <c r="G68" s="247"/>
      <c r="H68" s="247"/>
      <c r="I68" s="247"/>
      <c r="J68" s="248"/>
      <c r="K68" s="195" t="str">
        <f t="shared" si="11"/>
        <v/>
      </c>
      <c r="L68" s="189" t="str">
        <f t="shared" si="12"/>
        <v/>
      </c>
      <c r="M68" s="190" t="str">
        <f t="shared" si="13"/>
        <v/>
      </c>
      <c r="N68" s="99"/>
      <c r="O68" s="106"/>
      <c r="P68" s="106"/>
      <c r="Q68" s="106"/>
      <c r="R68" s="107"/>
      <c r="S68" s="219" t="str">
        <f t="shared" si="0"/>
        <v/>
      </c>
      <c r="T68" s="220" t="str">
        <f t="shared" si="1"/>
        <v/>
      </c>
      <c r="U68" s="221" t="str">
        <f t="shared" si="2"/>
        <v/>
      </c>
      <c r="V68" s="232"/>
      <c r="W68" s="233"/>
      <c r="X68" s="237"/>
      <c r="Y68" s="195" t="str">
        <f t="shared" si="14"/>
        <v/>
      </c>
      <c r="Z68" s="189" t="str">
        <f t="shared" si="15"/>
        <v/>
      </c>
      <c r="AA68" s="190" t="str">
        <f t="shared" si="16"/>
        <v/>
      </c>
      <c r="AB68" s="232"/>
      <c r="AC68" s="233"/>
      <c r="AD68" s="234"/>
      <c r="AE68" s="195" t="str">
        <f t="shared" si="17"/>
        <v/>
      </c>
      <c r="AF68" s="189" t="str">
        <f t="shared" si="18"/>
        <v/>
      </c>
      <c r="AG68" s="190" t="str">
        <f t="shared" si="19"/>
        <v/>
      </c>
      <c r="AH68" s="105"/>
      <c r="AI68" s="106"/>
      <c r="AJ68" s="107"/>
      <c r="AK68" s="90" t="str">
        <f t="shared" si="3"/>
        <v/>
      </c>
      <c r="AL68" s="91" t="str">
        <f t="shared" si="4"/>
        <v/>
      </c>
      <c r="AM68" s="93" t="str">
        <f t="shared" si="5"/>
        <v/>
      </c>
      <c r="AN68" s="164"/>
      <c r="AO68" s="165"/>
      <c r="AP68" s="166"/>
      <c r="AQ68" s="157" t="str">
        <f t="shared" si="6"/>
        <v/>
      </c>
      <c r="AR68" s="91" t="str">
        <f t="shared" si="7"/>
        <v/>
      </c>
      <c r="AS68" s="93" t="str">
        <f t="shared" si="8"/>
        <v/>
      </c>
      <c r="AT68" s="90" t="str">
        <f t="shared" si="9"/>
        <v/>
      </c>
      <c r="AU68" s="92" t="str">
        <f t="shared" si="10"/>
        <v/>
      </c>
      <c r="AV68" s="94" t="str">
        <f t="shared" si="20"/>
        <v/>
      </c>
      <c r="AW68" s="95" t="str">
        <f>IF(C68="","",IFERROR(_xlfn.XLOOKUP(AV68,HELPER!$C$8:$C$48,HELPER!$D$8:$D$48,,1),""))</f>
        <v/>
      </c>
      <c r="AX68" s="96" t="str">
        <f>IF(C68="","",IFERROR(_xlfn.XLOOKUP(AW68,HELPER!$F$8:$F$48,HELPER!$G$8:$G$48,,1),""))</f>
        <v/>
      </c>
      <c r="AY68" s="168"/>
      <c r="AZ68" s="148"/>
    </row>
    <row r="69" spans="1:52" ht="14.4" thickBot="1" x14ac:dyDescent="0.3">
      <c r="A69" s="168"/>
      <c r="B69" s="357" t="s">
        <v>9</v>
      </c>
      <c r="C69" s="358"/>
      <c r="D69" s="358"/>
      <c r="E69" s="358"/>
      <c r="F69" s="359"/>
      <c r="G69" s="359"/>
      <c r="H69" s="359"/>
      <c r="I69" s="359"/>
      <c r="J69" s="359"/>
      <c r="K69" s="359"/>
      <c r="L69" s="359"/>
      <c r="M69" s="359"/>
      <c r="N69" s="358"/>
      <c r="O69" s="358"/>
      <c r="P69" s="358"/>
      <c r="Q69" s="358"/>
      <c r="R69" s="358"/>
      <c r="S69" s="359"/>
      <c r="T69" s="359"/>
      <c r="U69" s="359"/>
      <c r="V69" s="359"/>
      <c r="W69" s="359"/>
      <c r="X69" s="359"/>
      <c r="Y69" s="359"/>
      <c r="Z69" s="359"/>
      <c r="AA69" s="359"/>
      <c r="AB69" s="359"/>
      <c r="AC69" s="359"/>
      <c r="AD69" s="359"/>
      <c r="AE69" s="359"/>
      <c r="AF69" s="359"/>
      <c r="AG69" s="359"/>
      <c r="AH69" s="358"/>
      <c r="AI69" s="358"/>
      <c r="AJ69" s="358"/>
      <c r="AK69" s="358"/>
      <c r="AL69" s="358"/>
      <c r="AM69" s="358"/>
      <c r="AN69" s="359"/>
      <c r="AO69" s="359"/>
      <c r="AP69" s="359"/>
      <c r="AQ69" s="358"/>
      <c r="AR69" s="358"/>
      <c r="AS69" s="358"/>
      <c r="AT69" s="358"/>
      <c r="AU69" s="358"/>
      <c r="AV69" s="360"/>
      <c r="AW69" s="358"/>
      <c r="AX69" s="361"/>
      <c r="AY69" s="168"/>
      <c r="AZ69" s="148"/>
    </row>
    <row r="70" spans="1:52" ht="15" customHeight="1" x14ac:dyDescent="0.25">
      <c r="A70" s="168"/>
      <c r="B70" s="109">
        <v>1</v>
      </c>
      <c r="C70" s="353" t="str">
        <f>IF('INPUT DATA'!N11="","",'INPUT DATA'!N11)</f>
        <v/>
      </c>
      <c r="D70" s="354"/>
      <c r="E70" s="354"/>
      <c r="F70" s="197"/>
      <c r="G70" s="198"/>
      <c r="H70" s="198"/>
      <c r="I70" s="198"/>
      <c r="J70" s="199"/>
      <c r="K70" s="196" t="str">
        <f t="shared" si="11"/>
        <v/>
      </c>
      <c r="L70" s="186" t="str">
        <f t="shared" si="12"/>
        <v/>
      </c>
      <c r="M70" s="187" t="str">
        <f t="shared" si="13"/>
        <v/>
      </c>
      <c r="N70" s="99"/>
      <c r="O70" s="100"/>
      <c r="P70" s="101"/>
      <c r="Q70" s="101"/>
      <c r="R70" s="102"/>
      <c r="S70" s="214" t="str">
        <f t="shared" ref="S70:S119" si="21">IF(COUNT($N70:$R70)=0,"",SUM($N70:$R70))</f>
        <v/>
      </c>
      <c r="T70" s="215" t="str">
        <f t="shared" ref="T70:T119" si="22">IF(ISERROR(IF($S70="","",ROUND(($S70/$S$16)*$T$16,2))),"",IF($S70="","",ROUND(($S70/$S$16)*$T$16,2)))</f>
        <v/>
      </c>
      <c r="U70" s="216" t="str">
        <f t="shared" ref="U70:U119" si="23">IF($T70="","",ROUND($T70*$U$16,2))</f>
        <v/>
      </c>
      <c r="V70" s="227"/>
      <c r="W70" s="228"/>
      <c r="X70" s="229"/>
      <c r="Y70" s="196" t="str">
        <f t="shared" si="14"/>
        <v/>
      </c>
      <c r="Z70" s="186" t="str">
        <f t="shared" si="15"/>
        <v/>
      </c>
      <c r="AA70" s="187" t="str">
        <f t="shared" si="16"/>
        <v/>
      </c>
      <c r="AB70" s="227"/>
      <c r="AC70" s="228"/>
      <c r="AD70" s="229"/>
      <c r="AE70" s="196" t="str">
        <f t="shared" si="17"/>
        <v/>
      </c>
      <c r="AF70" s="186" t="str">
        <f t="shared" si="18"/>
        <v/>
      </c>
      <c r="AG70" s="187" t="str">
        <f t="shared" si="19"/>
        <v/>
      </c>
      <c r="AH70" s="103"/>
      <c r="AI70" s="101"/>
      <c r="AJ70" s="102"/>
      <c r="AK70" s="87" t="str">
        <f t="shared" ref="AK70:AK119" si="24">IF(COUNT($AH70:$AJ70)=0,"",SUM($AH70:$AJ70))</f>
        <v/>
      </c>
      <c r="AL70" s="88" t="str">
        <f t="shared" ref="AL70:AL119" si="25">IF(ISERROR(IF($AK70="","",ROUND(($AK70/$AK$16)*$AL$16,2))),"",IF($AK70="","",ROUND(($AK70/$AK$16)*$AL$16,2)))</f>
        <v/>
      </c>
      <c r="AM70" s="158" t="str">
        <f t="shared" ref="AM70:AM119" si="26">IF($AL70="","",ROUND($AL70*$AM$16,2))</f>
        <v/>
      </c>
      <c r="AN70" s="159"/>
      <c r="AO70" s="160"/>
      <c r="AP70" s="161"/>
      <c r="AQ70" s="157" t="str">
        <f t="shared" ref="AQ70:AQ119" si="27">IFERROR(IF(AN70="","",ROUND(AN70/$AN$16*$AQ$16,2)),"")</f>
        <v/>
      </c>
      <c r="AR70" s="91" t="str">
        <f t="shared" ref="AR70:AR119" si="28">IFERROR(IF(AO70="","",ROUND(AO70/$AO$16*$AR$16,2)),"")</f>
        <v/>
      </c>
      <c r="AS70" s="93" t="str">
        <f t="shared" ref="AS70:AS119" si="29">IFERROR(IF(AP70="","",ROUND(AP70/$AP$16*$AS$16,2)),"")</f>
        <v/>
      </c>
      <c r="AT70" s="87" t="str">
        <f t="shared" ref="AT70:AT119" si="30">IF(COUNT($AQ70:$AS70)=0,"",SUM($AQ70:$AS70))</f>
        <v/>
      </c>
      <c r="AU70" s="158" t="str">
        <f t="shared" ref="AU70:AU119" si="31">IFERROR(IF(AT70="","",ROUND(AT70*$AU$16,2)),"")</f>
        <v/>
      </c>
      <c r="AV70" s="240" t="str">
        <f t="shared" si="20"/>
        <v/>
      </c>
      <c r="AW70" s="238" t="str">
        <f>IF(C70="","",IFERROR(_xlfn.XLOOKUP(AV70,HELPER!$C$8:$C$48,HELPER!$D$8:$D$48,,1),""))</f>
        <v/>
      </c>
      <c r="AX70" s="97" t="str">
        <f>IF(C70="","",IFERROR(_xlfn.XLOOKUP(AW70,HELPER!$F$8:$F$48,HELPER!$G$8:$G$48,,1),""))</f>
        <v/>
      </c>
      <c r="AY70" s="168"/>
      <c r="AZ70" s="148"/>
    </row>
    <row r="71" spans="1:52" ht="15" customHeight="1" x14ac:dyDescent="0.25">
      <c r="A71" s="168"/>
      <c r="B71" s="110">
        <v>2</v>
      </c>
      <c r="C71" s="346" t="str">
        <f>IF('INPUT DATA'!N12="","",'INPUT DATA'!N12)</f>
        <v/>
      </c>
      <c r="D71" s="347"/>
      <c r="E71" s="347"/>
      <c r="F71" s="200"/>
      <c r="G71" s="201"/>
      <c r="H71" s="201"/>
      <c r="I71" s="201"/>
      <c r="J71" s="202"/>
      <c r="K71" s="194" t="str">
        <f t="shared" si="11"/>
        <v/>
      </c>
      <c r="L71" s="170" t="str">
        <f t="shared" si="12"/>
        <v/>
      </c>
      <c r="M71" s="188" t="str">
        <f t="shared" si="13"/>
        <v/>
      </c>
      <c r="N71" s="105"/>
      <c r="O71" s="106"/>
      <c r="P71" s="106"/>
      <c r="Q71" s="106"/>
      <c r="R71" s="107"/>
      <c r="S71" s="217" t="str">
        <f t="shared" si="21"/>
        <v/>
      </c>
      <c r="T71" s="91" t="str">
        <f t="shared" si="22"/>
        <v/>
      </c>
      <c r="U71" s="218" t="str">
        <f t="shared" si="23"/>
        <v/>
      </c>
      <c r="V71" s="230"/>
      <c r="W71" s="226"/>
      <c r="X71" s="231"/>
      <c r="Y71" s="194" t="str">
        <f t="shared" si="14"/>
        <v/>
      </c>
      <c r="Z71" s="170" t="str">
        <f t="shared" si="15"/>
        <v/>
      </c>
      <c r="AA71" s="188" t="str">
        <f t="shared" si="16"/>
        <v/>
      </c>
      <c r="AB71" s="230"/>
      <c r="AC71" s="226"/>
      <c r="AD71" s="231"/>
      <c r="AE71" s="194" t="str">
        <f t="shared" si="17"/>
        <v/>
      </c>
      <c r="AF71" s="170" t="str">
        <f t="shared" si="18"/>
        <v/>
      </c>
      <c r="AG71" s="188" t="str">
        <f t="shared" si="19"/>
        <v/>
      </c>
      <c r="AH71" s="105"/>
      <c r="AI71" s="106"/>
      <c r="AJ71" s="107"/>
      <c r="AK71" s="90" t="str">
        <f t="shared" si="24"/>
        <v/>
      </c>
      <c r="AL71" s="91" t="str">
        <f t="shared" si="25"/>
        <v/>
      </c>
      <c r="AM71" s="93" t="str">
        <f t="shared" si="26"/>
        <v/>
      </c>
      <c r="AN71" s="162"/>
      <c r="AO71" s="107"/>
      <c r="AP71" s="163"/>
      <c r="AQ71" s="157" t="str">
        <f t="shared" si="27"/>
        <v/>
      </c>
      <c r="AR71" s="91" t="str">
        <f t="shared" si="28"/>
        <v/>
      </c>
      <c r="AS71" s="93" t="str">
        <f t="shared" si="29"/>
        <v/>
      </c>
      <c r="AT71" s="90" t="str">
        <f t="shared" si="30"/>
        <v/>
      </c>
      <c r="AU71" s="93" t="str">
        <f t="shared" si="31"/>
        <v/>
      </c>
      <c r="AV71" s="241" t="str">
        <f t="shared" si="20"/>
        <v/>
      </c>
      <c r="AW71" s="238" t="str">
        <f>IF(C71="","",IFERROR(_xlfn.XLOOKUP(AV71,HELPER!$C$8:$C$48,HELPER!$D$8:$D$48,,1),""))</f>
        <v/>
      </c>
      <c r="AX71" s="96" t="str">
        <f>IF(C71="","",IFERROR(_xlfn.XLOOKUP(AW71,HELPER!$F$8:$F$48,HELPER!$G$8:$G$48,,1),""))</f>
        <v/>
      </c>
      <c r="AY71" s="168"/>
      <c r="AZ71" s="148"/>
    </row>
    <row r="72" spans="1:52" ht="15" customHeight="1" x14ac:dyDescent="0.25">
      <c r="A72" s="168"/>
      <c r="B72" s="110">
        <v>3</v>
      </c>
      <c r="C72" s="346" t="str">
        <f>IF('INPUT DATA'!N13="","",'INPUT DATA'!N13)</f>
        <v/>
      </c>
      <c r="D72" s="347"/>
      <c r="E72" s="347"/>
      <c r="F72" s="200"/>
      <c r="G72" s="201"/>
      <c r="H72" s="201"/>
      <c r="I72" s="201"/>
      <c r="J72" s="202"/>
      <c r="K72" s="194" t="str">
        <f t="shared" si="11"/>
        <v/>
      </c>
      <c r="L72" s="170" t="str">
        <f t="shared" si="12"/>
        <v/>
      </c>
      <c r="M72" s="188" t="str">
        <f t="shared" si="13"/>
        <v/>
      </c>
      <c r="N72" s="105"/>
      <c r="O72" s="106"/>
      <c r="P72" s="106"/>
      <c r="Q72" s="106"/>
      <c r="R72" s="107"/>
      <c r="S72" s="217" t="str">
        <f t="shared" si="21"/>
        <v/>
      </c>
      <c r="T72" s="91" t="str">
        <f t="shared" si="22"/>
        <v/>
      </c>
      <c r="U72" s="218" t="str">
        <f t="shared" si="23"/>
        <v/>
      </c>
      <c r="V72" s="230"/>
      <c r="W72" s="226"/>
      <c r="X72" s="231"/>
      <c r="Y72" s="194" t="str">
        <f t="shared" si="14"/>
        <v/>
      </c>
      <c r="Z72" s="170" t="str">
        <f t="shared" si="15"/>
        <v/>
      </c>
      <c r="AA72" s="188" t="str">
        <f t="shared" si="16"/>
        <v/>
      </c>
      <c r="AB72" s="230"/>
      <c r="AC72" s="226"/>
      <c r="AD72" s="231"/>
      <c r="AE72" s="194" t="str">
        <f t="shared" si="17"/>
        <v/>
      </c>
      <c r="AF72" s="170" t="str">
        <f t="shared" si="18"/>
        <v/>
      </c>
      <c r="AG72" s="188" t="str">
        <f t="shared" si="19"/>
        <v/>
      </c>
      <c r="AH72" s="105"/>
      <c r="AI72" s="106"/>
      <c r="AJ72" s="107"/>
      <c r="AK72" s="90" t="str">
        <f t="shared" si="24"/>
        <v/>
      </c>
      <c r="AL72" s="91" t="str">
        <f t="shared" si="25"/>
        <v/>
      </c>
      <c r="AM72" s="93" t="str">
        <f t="shared" si="26"/>
        <v/>
      </c>
      <c r="AN72" s="162"/>
      <c r="AO72" s="107"/>
      <c r="AP72" s="163"/>
      <c r="AQ72" s="157" t="str">
        <f t="shared" si="27"/>
        <v/>
      </c>
      <c r="AR72" s="91" t="str">
        <f t="shared" si="28"/>
        <v/>
      </c>
      <c r="AS72" s="93" t="str">
        <f t="shared" si="29"/>
        <v/>
      </c>
      <c r="AT72" s="90" t="str">
        <f t="shared" si="30"/>
        <v/>
      </c>
      <c r="AU72" s="93" t="str">
        <f t="shared" si="31"/>
        <v/>
      </c>
      <c r="AV72" s="241" t="str">
        <f t="shared" si="20"/>
        <v/>
      </c>
      <c r="AW72" s="238" t="str">
        <f>IF(C72="","",IFERROR(_xlfn.XLOOKUP(AV72,HELPER!$C$8:$C$48,HELPER!$D$8:$D$48,,1),""))</f>
        <v/>
      </c>
      <c r="AX72" s="96" t="str">
        <f>IF(C72="","",IFERROR(_xlfn.XLOOKUP(AW72,HELPER!$F$8:$F$48,HELPER!$G$8:$G$48,,1),""))</f>
        <v/>
      </c>
      <c r="AY72" s="168"/>
      <c r="AZ72" s="148"/>
    </row>
    <row r="73" spans="1:52" ht="15" customHeight="1" x14ac:dyDescent="0.25">
      <c r="A73" s="168"/>
      <c r="B73" s="110">
        <v>4</v>
      </c>
      <c r="C73" s="346" t="str">
        <f>IF('INPUT DATA'!N14="","",'INPUT DATA'!N14)</f>
        <v/>
      </c>
      <c r="D73" s="347"/>
      <c r="E73" s="347"/>
      <c r="F73" s="200"/>
      <c r="G73" s="201"/>
      <c r="H73" s="201"/>
      <c r="I73" s="201"/>
      <c r="J73" s="202"/>
      <c r="K73" s="194" t="str">
        <f t="shared" si="11"/>
        <v/>
      </c>
      <c r="L73" s="170" t="str">
        <f t="shared" si="12"/>
        <v/>
      </c>
      <c r="M73" s="188" t="str">
        <f t="shared" si="13"/>
        <v/>
      </c>
      <c r="N73" s="105"/>
      <c r="O73" s="106"/>
      <c r="P73" s="106"/>
      <c r="Q73" s="106"/>
      <c r="R73" s="107"/>
      <c r="S73" s="217" t="str">
        <f t="shared" si="21"/>
        <v/>
      </c>
      <c r="T73" s="91" t="str">
        <f t="shared" si="22"/>
        <v/>
      </c>
      <c r="U73" s="218" t="str">
        <f t="shared" si="23"/>
        <v/>
      </c>
      <c r="V73" s="230"/>
      <c r="W73" s="226"/>
      <c r="X73" s="231"/>
      <c r="Y73" s="194" t="str">
        <f t="shared" si="14"/>
        <v/>
      </c>
      <c r="Z73" s="170" t="str">
        <f t="shared" si="15"/>
        <v/>
      </c>
      <c r="AA73" s="188" t="str">
        <f t="shared" si="16"/>
        <v/>
      </c>
      <c r="AB73" s="230"/>
      <c r="AC73" s="226"/>
      <c r="AD73" s="231"/>
      <c r="AE73" s="194" t="str">
        <f t="shared" si="17"/>
        <v/>
      </c>
      <c r="AF73" s="170" t="str">
        <f t="shared" si="18"/>
        <v/>
      </c>
      <c r="AG73" s="188" t="str">
        <f t="shared" si="19"/>
        <v/>
      </c>
      <c r="AH73" s="105"/>
      <c r="AI73" s="106"/>
      <c r="AJ73" s="107"/>
      <c r="AK73" s="90" t="str">
        <f t="shared" si="24"/>
        <v/>
      </c>
      <c r="AL73" s="91" t="str">
        <f t="shared" si="25"/>
        <v/>
      </c>
      <c r="AM73" s="93" t="str">
        <f t="shared" si="26"/>
        <v/>
      </c>
      <c r="AN73" s="162"/>
      <c r="AO73" s="107"/>
      <c r="AP73" s="163"/>
      <c r="AQ73" s="157" t="str">
        <f t="shared" si="27"/>
        <v/>
      </c>
      <c r="AR73" s="91" t="str">
        <f t="shared" si="28"/>
        <v/>
      </c>
      <c r="AS73" s="93" t="str">
        <f t="shared" si="29"/>
        <v/>
      </c>
      <c r="AT73" s="90" t="str">
        <f t="shared" si="30"/>
        <v/>
      </c>
      <c r="AU73" s="93" t="str">
        <f t="shared" si="31"/>
        <v/>
      </c>
      <c r="AV73" s="241" t="str">
        <f t="shared" si="20"/>
        <v/>
      </c>
      <c r="AW73" s="238" t="str">
        <f>IF(C73="","",IFERROR(_xlfn.XLOOKUP(AV73,HELPER!$C$8:$C$48,HELPER!$D$8:$D$48,,1),""))</f>
        <v/>
      </c>
      <c r="AX73" s="96" t="str">
        <f>IF(C73="","",IFERROR(_xlfn.XLOOKUP(AW73,HELPER!$F$8:$F$48,HELPER!$G$8:$G$48,,1),""))</f>
        <v/>
      </c>
      <c r="AY73" s="168"/>
      <c r="AZ73" s="148"/>
    </row>
    <row r="74" spans="1:52" ht="15" customHeight="1" x14ac:dyDescent="0.25">
      <c r="A74" s="168"/>
      <c r="B74" s="110">
        <v>5</v>
      </c>
      <c r="C74" s="346" t="str">
        <f>IF('INPUT DATA'!N15="","",'INPUT DATA'!N15)</f>
        <v/>
      </c>
      <c r="D74" s="347"/>
      <c r="E74" s="347"/>
      <c r="F74" s="200"/>
      <c r="G74" s="201"/>
      <c r="H74" s="201"/>
      <c r="I74" s="201"/>
      <c r="J74" s="202"/>
      <c r="K74" s="194" t="str">
        <f t="shared" si="11"/>
        <v/>
      </c>
      <c r="L74" s="170" t="str">
        <f t="shared" si="12"/>
        <v/>
      </c>
      <c r="M74" s="188" t="str">
        <f t="shared" si="13"/>
        <v/>
      </c>
      <c r="N74" s="105"/>
      <c r="O74" s="106"/>
      <c r="P74" s="106"/>
      <c r="Q74" s="106"/>
      <c r="R74" s="107"/>
      <c r="S74" s="217" t="str">
        <f t="shared" si="21"/>
        <v/>
      </c>
      <c r="T74" s="91" t="str">
        <f t="shared" si="22"/>
        <v/>
      </c>
      <c r="U74" s="218" t="str">
        <f t="shared" si="23"/>
        <v/>
      </c>
      <c r="V74" s="230"/>
      <c r="W74" s="226"/>
      <c r="X74" s="231"/>
      <c r="Y74" s="194" t="str">
        <f t="shared" si="14"/>
        <v/>
      </c>
      <c r="Z74" s="170" t="str">
        <f t="shared" si="15"/>
        <v/>
      </c>
      <c r="AA74" s="188" t="str">
        <f t="shared" si="16"/>
        <v/>
      </c>
      <c r="AB74" s="230"/>
      <c r="AC74" s="226"/>
      <c r="AD74" s="231"/>
      <c r="AE74" s="194" t="str">
        <f t="shared" si="17"/>
        <v/>
      </c>
      <c r="AF74" s="170" t="str">
        <f t="shared" si="18"/>
        <v/>
      </c>
      <c r="AG74" s="188" t="str">
        <f t="shared" si="19"/>
        <v/>
      </c>
      <c r="AH74" s="105"/>
      <c r="AI74" s="106"/>
      <c r="AJ74" s="107"/>
      <c r="AK74" s="90" t="str">
        <f t="shared" si="24"/>
        <v/>
      </c>
      <c r="AL74" s="91" t="str">
        <f t="shared" si="25"/>
        <v/>
      </c>
      <c r="AM74" s="93" t="str">
        <f t="shared" si="26"/>
        <v/>
      </c>
      <c r="AN74" s="162"/>
      <c r="AO74" s="107"/>
      <c r="AP74" s="163"/>
      <c r="AQ74" s="157" t="str">
        <f t="shared" si="27"/>
        <v/>
      </c>
      <c r="AR74" s="91" t="str">
        <f t="shared" si="28"/>
        <v/>
      </c>
      <c r="AS74" s="93" t="str">
        <f t="shared" si="29"/>
        <v/>
      </c>
      <c r="AT74" s="90" t="str">
        <f t="shared" si="30"/>
        <v/>
      </c>
      <c r="AU74" s="93" t="str">
        <f t="shared" si="31"/>
        <v/>
      </c>
      <c r="AV74" s="241" t="str">
        <f t="shared" si="20"/>
        <v/>
      </c>
      <c r="AW74" s="238" t="str">
        <f>IF(C74="","",IFERROR(_xlfn.XLOOKUP(AV74,HELPER!$C$8:$C$48,HELPER!$D$8:$D$48,,1),""))</f>
        <v/>
      </c>
      <c r="AX74" s="113" t="str">
        <f>IF(C74="","",IFERROR(_xlfn.XLOOKUP(AW74,HELPER!$F$8:$F$48,HELPER!$G$8:$G$48,,1),""))</f>
        <v/>
      </c>
      <c r="AY74" s="168"/>
      <c r="AZ74" s="148"/>
    </row>
    <row r="75" spans="1:52" ht="15" customHeight="1" x14ac:dyDescent="0.25">
      <c r="A75" s="168"/>
      <c r="B75" s="110">
        <v>6</v>
      </c>
      <c r="C75" s="346" t="str">
        <f>IF('INPUT DATA'!N16="","",'INPUT DATA'!N16)</f>
        <v/>
      </c>
      <c r="D75" s="347"/>
      <c r="E75" s="347"/>
      <c r="F75" s="200"/>
      <c r="G75" s="201"/>
      <c r="H75" s="201"/>
      <c r="I75" s="201"/>
      <c r="J75" s="202"/>
      <c r="K75" s="194" t="str">
        <f t="shared" si="11"/>
        <v/>
      </c>
      <c r="L75" s="170" t="str">
        <f t="shared" si="12"/>
        <v/>
      </c>
      <c r="M75" s="188" t="str">
        <f t="shared" si="13"/>
        <v/>
      </c>
      <c r="N75" s="105"/>
      <c r="O75" s="106"/>
      <c r="P75" s="106"/>
      <c r="Q75" s="106"/>
      <c r="R75" s="107"/>
      <c r="S75" s="217" t="str">
        <f t="shared" si="21"/>
        <v/>
      </c>
      <c r="T75" s="91" t="str">
        <f t="shared" si="22"/>
        <v/>
      </c>
      <c r="U75" s="218" t="str">
        <f t="shared" si="23"/>
        <v/>
      </c>
      <c r="V75" s="230"/>
      <c r="W75" s="226"/>
      <c r="X75" s="231"/>
      <c r="Y75" s="194" t="str">
        <f t="shared" si="14"/>
        <v/>
      </c>
      <c r="Z75" s="170" t="str">
        <f t="shared" si="15"/>
        <v/>
      </c>
      <c r="AA75" s="188" t="str">
        <f t="shared" si="16"/>
        <v/>
      </c>
      <c r="AB75" s="230"/>
      <c r="AC75" s="226"/>
      <c r="AD75" s="231"/>
      <c r="AE75" s="194" t="str">
        <f t="shared" si="17"/>
        <v/>
      </c>
      <c r="AF75" s="170" t="str">
        <f t="shared" si="18"/>
        <v/>
      </c>
      <c r="AG75" s="188" t="str">
        <f t="shared" si="19"/>
        <v/>
      </c>
      <c r="AH75" s="105"/>
      <c r="AI75" s="106"/>
      <c r="AJ75" s="107"/>
      <c r="AK75" s="90" t="str">
        <f t="shared" si="24"/>
        <v/>
      </c>
      <c r="AL75" s="91" t="str">
        <f t="shared" si="25"/>
        <v/>
      </c>
      <c r="AM75" s="93" t="str">
        <f t="shared" si="26"/>
        <v/>
      </c>
      <c r="AN75" s="162"/>
      <c r="AO75" s="107"/>
      <c r="AP75" s="163"/>
      <c r="AQ75" s="157" t="str">
        <f t="shared" si="27"/>
        <v/>
      </c>
      <c r="AR75" s="91" t="str">
        <f t="shared" si="28"/>
        <v/>
      </c>
      <c r="AS75" s="93" t="str">
        <f t="shared" si="29"/>
        <v/>
      </c>
      <c r="AT75" s="90" t="str">
        <f t="shared" si="30"/>
        <v/>
      </c>
      <c r="AU75" s="93" t="str">
        <f t="shared" si="31"/>
        <v/>
      </c>
      <c r="AV75" s="241" t="str">
        <f t="shared" si="20"/>
        <v/>
      </c>
      <c r="AW75" s="238" t="str">
        <f>IF(C75="","",IFERROR(_xlfn.XLOOKUP(AV75,HELPER!$C$8:$C$48,HELPER!$D$8:$D$48,,1),""))</f>
        <v/>
      </c>
      <c r="AX75" s="113" t="str">
        <f>IF(C75="","",IFERROR(_xlfn.XLOOKUP(AW75,HELPER!$F$8:$F$48,HELPER!$G$8:$G$48,,1),""))</f>
        <v/>
      </c>
      <c r="AY75" s="168"/>
      <c r="AZ75" s="148"/>
    </row>
    <row r="76" spans="1:52" ht="15" customHeight="1" x14ac:dyDescent="0.25">
      <c r="A76" s="168"/>
      <c r="B76" s="110">
        <v>7</v>
      </c>
      <c r="C76" s="346" t="str">
        <f>IF('INPUT DATA'!N17="","",'INPUT DATA'!N17)</f>
        <v/>
      </c>
      <c r="D76" s="347"/>
      <c r="E76" s="347"/>
      <c r="F76" s="200"/>
      <c r="G76" s="201"/>
      <c r="H76" s="201"/>
      <c r="I76" s="201"/>
      <c r="J76" s="202"/>
      <c r="K76" s="194" t="str">
        <f t="shared" si="11"/>
        <v/>
      </c>
      <c r="L76" s="170" t="str">
        <f t="shared" si="12"/>
        <v/>
      </c>
      <c r="M76" s="188" t="str">
        <f t="shared" si="13"/>
        <v/>
      </c>
      <c r="N76" s="105"/>
      <c r="O76" s="106"/>
      <c r="P76" s="106"/>
      <c r="Q76" s="106"/>
      <c r="R76" s="107"/>
      <c r="S76" s="217" t="str">
        <f t="shared" si="21"/>
        <v/>
      </c>
      <c r="T76" s="91" t="str">
        <f t="shared" si="22"/>
        <v/>
      </c>
      <c r="U76" s="218" t="str">
        <f t="shared" si="23"/>
        <v/>
      </c>
      <c r="V76" s="230"/>
      <c r="W76" s="226"/>
      <c r="X76" s="231"/>
      <c r="Y76" s="194" t="str">
        <f t="shared" si="14"/>
        <v/>
      </c>
      <c r="Z76" s="170" t="str">
        <f t="shared" si="15"/>
        <v/>
      </c>
      <c r="AA76" s="188" t="str">
        <f t="shared" si="16"/>
        <v/>
      </c>
      <c r="AB76" s="230"/>
      <c r="AC76" s="226"/>
      <c r="AD76" s="231"/>
      <c r="AE76" s="194" t="str">
        <f t="shared" si="17"/>
        <v/>
      </c>
      <c r="AF76" s="170" t="str">
        <f t="shared" si="18"/>
        <v/>
      </c>
      <c r="AG76" s="188" t="str">
        <f t="shared" si="19"/>
        <v/>
      </c>
      <c r="AH76" s="105"/>
      <c r="AI76" s="106"/>
      <c r="AJ76" s="107"/>
      <c r="AK76" s="90" t="str">
        <f t="shared" si="24"/>
        <v/>
      </c>
      <c r="AL76" s="91" t="str">
        <f t="shared" si="25"/>
        <v/>
      </c>
      <c r="AM76" s="93" t="str">
        <f t="shared" si="26"/>
        <v/>
      </c>
      <c r="AN76" s="162"/>
      <c r="AO76" s="107"/>
      <c r="AP76" s="163"/>
      <c r="AQ76" s="157" t="str">
        <f t="shared" si="27"/>
        <v/>
      </c>
      <c r="AR76" s="91" t="str">
        <f t="shared" si="28"/>
        <v/>
      </c>
      <c r="AS76" s="93" t="str">
        <f t="shared" si="29"/>
        <v/>
      </c>
      <c r="AT76" s="90" t="str">
        <f t="shared" si="30"/>
        <v/>
      </c>
      <c r="AU76" s="93" t="str">
        <f t="shared" si="31"/>
        <v/>
      </c>
      <c r="AV76" s="241" t="str">
        <f t="shared" si="20"/>
        <v/>
      </c>
      <c r="AW76" s="238" t="str">
        <f>IF(C76="","",IFERROR(_xlfn.XLOOKUP(AV76,HELPER!$C$8:$C$48,HELPER!$D$8:$D$48,,1),""))</f>
        <v/>
      </c>
      <c r="AX76" s="113" t="str">
        <f>IF(C76="","",IFERROR(_xlfn.XLOOKUP(AW76,HELPER!$F$8:$F$48,HELPER!$G$8:$G$48,,1),""))</f>
        <v/>
      </c>
      <c r="AY76" s="168"/>
      <c r="AZ76" s="148"/>
    </row>
    <row r="77" spans="1:52" ht="15" customHeight="1" x14ac:dyDescent="0.25">
      <c r="A77" s="168"/>
      <c r="B77" s="110">
        <v>8</v>
      </c>
      <c r="C77" s="346" t="str">
        <f>IF('INPUT DATA'!N18="","",'INPUT DATA'!N18)</f>
        <v/>
      </c>
      <c r="D77" s="347"/>
      <c r="E77" s="347"/>
      <c r="F77" s="200"/>
      <c r="G77" s="201"/>
      <c r="H77" s="201"/>
      <c r="I77" s="201"/>
      <c r="J77" s="202"/>
      <c r="K77" s="194" t="str">
        <f t="shared" si="11"/>
        <v/>
      </c>
      <c r="L77" s="170" t="str">
        <f t="shared" si="12"/>
        <v/>
      </c>
      <c r="M77" s="188" t="str">
        <f t="shared" si="13"/>
        <v/>
      </c>
      <c r="N77" s="105"/>
      <c r="O77" s="106"/>
      <c r="P77" s="106"/>
      <c r="Q77" s="106"/>
      <c r="R77" s="107"/>
      <c r="S77" s="217" t="str">
        <f t="shared" si="21"/>
        <v/>
      </c>
      <c r="T77" s="91" t="str">
        <f t="shared" si="22"/>
        <v/>
      </c>
      <c r="U77" s="218" t="str">
        <f t="shared" si="23"/>
        <v/>
      </c>
      <c r="V77" s="230"/>
      <c r="W77" s="226"/>
      <c r="X77" s="231"/>
      <c r="Y77" s="194" t="str">
        <f t="shared" si="14"/>
        <v/>
      </c>
      <c r="Z77" s="170" t="str">
        <f t="shared" si="15"/>
        <v/>
      </c>
      <c r="AA77" s="188" t="str">
        <f t="shared" si="16"/>
        <v/>
      </c>
      <c r="AB77" s="230"/>
      <c r="AC77" s="226"/>
      <c r="AD77" s="231"/>
      <c r="AE77" s="194" t="str">
        <f t="shared" si="17"/>
        <v/>
      </c>
      <c r="AF77" s="170" t="str">
        <f t="shared" si="18"/>
        <v/>
      </c>
      <c r="AG77" s="188" t="str">
        <f t="shared" si="19"/>
        <v/>
      </c>
      <c r="AH77" s="105"/>
      <c r="AI77" s="106"/>
      <c r="AJ77" s="107"/>
      <c r="AK77" s="90" t="str">
        <f t="shared" si="24"/>
        <v/>
      </c>
      <c r="AL77" s="91" t="str">
        <f t="shared" si="25"/>
        <v/>
      </c>
      <c r="AM77" s="93" t="str">
        <f t="shared" si="26"/>
        <v/>
      </c>
      <c r="AN77" s="162"/>
      <c r="AO77" s="107"/>
      <c r="AP77" s="163"/>
      <c r="AQ77" s="157" t="str">
        <f t="shared" si="27"/>
        <v/>
      </c>
      <c r="AR77" s="91" t="str">
        <f t="shared" si="28"/>
        <v/>
      </c>
      <c r="AS77" s="93" t="str">
        <f t="shared" si="29"/>
        <v/>
      </c>
      <c r="AT77" s="90" t="str">
        <f t="shared" si="30"/>
        <v/>
      </c>
      <c r="AU77" s="93" t="str">
        <f t="shared" si="31"/>
        <v/>
      </c>
      <c r="AV77" s="241" t="str">
        <f t="shared" si="20"/>
        <v/>
      </c>
      <c r="AW77" s="238" t="str">
        <f>IF(C77="","",IFERROR(_xlfn.XLOOKUP(AV77,HELPER!$C$8:$C$48,HELPER!$D$8:$D$48,,1),""))</f>
        <v/>
      </c>
      <c r="AX77" s="113" t="str">
        <f>IF(C77="","",IFERROR(_xlfn.XLOOKUP(AW77,HELPER!$F$8:$F$48,HELPER!$G$8:$G$48,,1),""))</f>
        <v/>
      </c>
      <c r="AY77" s="168"/>
      <c r="AZ77" s="148"/>
    </row>
    <row r="78" spans="1:52" ht="15" customHeight="1" x14ac:dyDescent="0.25">
      <c r="A78" s="168"/>
      <c r="B78" s="110">
        <v>9</v>
      </c>
      <c r="C78" s="346" t="str">
        <f>IF('INPUT DATA'!N19="","",'INPUT DATA'!N19)</f>
        <v/>
      </c>
      <c r="D78" s="347"/>
      <c r="E78" s="347"/>
      <c r="F78" s="200"/>
      <c r="G78" s="201"/>
      <c r="H78" s="201"/>
      <c r="I78" s="201"/>
      <c r="J78" s="202"/>
      <c r="K78" s="194" t="str">
        <f t="shared" si="11"/>
        <v/>
      </c>
      <c r="L78" s="170" t="str">
        <f t="shared" si="12"/>
        <v/>
      </c>
      <c r="M78" s="188" t="str">
        <f t="shared" si="13"/>
        <v/>
      </c>
      <c r="N78" s="105"/>
      <c r="O78" s="106"/>
      <c r="P78" s="106"/>
      <c r="Q78" s="106"/>
      <c r="R78" s="107"/>
      <c r="S78" s="217" t="str">
        <f t="shared" si="21"/>
        <v/>
      </c>
      <c r="T78" s="91" t="str">
        <f t="shared" si="22"/>
        <v/>
      </c>
      <c r="U78" s="218" t="str">
        <f t="shared" si="23"/>
        <v/>
      </c>
      <c r="V78" s="230"/>
      <c r="W78" s="226"/>
      <c r="X78" s="231"/>
      <c r="Y78" s="194" t="str">
        <f t="shared" si="14"/>
        <v/>
      </c>
      <c r="Z78" s="170" t="str">
        <f t="shared" si="15"/>
        <v/>
      </c>
      <c r="AA78" s="188" t="str">
        <f t="shared" si="16"/>
        <v/>
      </c>
      <c r="AB78" s="230"/>
      <c r="AC78" s="226"/>
      <c r="AD78" s="231"/>
      <c r="AE78" s="194" t="str">
        <f t="shared" si="17"/>
        <v/>
      </c>
      <c r="AF78" s="170" t="str">
        <f t="shared" si="18"/>
        <v/>
      </c>
      <c r="AG78" s="188" t="str">
        <f t="shared" si="19"/>
        <v/>
      </c>
      <c r="AH78" s="105"/>
      <c r="AI78" s="106"/>
      <c r="AJ78" s="107"/>
      <c r="AK78" s="90" t="str">
        <f t="shared" si="24"/>
        <v/>
      </c>
      <c r="AL78" s="91" t="str">
        <f t="shared" si="25"/>
        <v/>
      </c>
      <c r="AM78" s="93" t="str">
        <f t="shared" si="26"/>
        <v/>
      </c>
      <c r="AN78" s="162"/>
      <c r="AO78" s="107"/>
      <c r="AP78" s="163"/>
      <c r="AQ78" s="157" t="str">
        <f t="shared" si="27"/>
        <v/>
      </c>
      <c r="AR78" s="91" t="str">
        <f t="shared" si="28"/>
        <v/>
      </c>
      <c r="AS78" s="93" t="str">
        <f t="shared" si="29"/>
        <v/>
      </c>
      <c r="AT78" s="90" t="str">
        <f t="shared" si="30"/>
        <v/>
      </c>
      <c r="AU78" s="93" t="str">
        <f t="shared" si="31"/>
        <v/>
      </c>
      <c r="AV78" s="241" t="str">
        <f t="shared" si="20"/>
        <v/>
      </c>
      <c r="AW78" s="238" t="str">
        <f>IF(C78="","",IFERROR(_xlfn.XLOOKUP(AV78,HELPER!$C$8:$C$48,HELPER!$D$8:$D$48,,1),""))</f>
        <v/>
      </c>
      <c r="AX78" s="113" t="str">
        <f>IF(C78="","",IFERROR(_xlfn.XLOOKUP(AW78,HELPER!$F$8:$F$48,HELPER!$G$8:$G$48,,1),""))</f>
        <v/>
      </c>
      <c r="AY78" s="168"/>
      <c r="AZ78" s="148"/>
    </row>
    <row r="79" spans="1:52" ht="15" customHeight="1" x14ac:dyDescent="0.25">
      <c r="A79" s="168"/>
      <c r="B79" s="110">
        <v>10</v>
      </c>
      <c r="C79" s="346" t="str">
        <f>IF('INPUT DATA'!N20="","",'INPUT DATA'!N20)</f>
        <v/>
      </c>
      <c r="D79" s="347"/>
      <c r="E79" s="347"/>
      <c r="F79" s="200"/>
      <c r="G79" s="201"/>
      <c r="H79" s="201"/>
      <c r="I79" s="201"/>
      <c r="J79" s="202"/>
      <c r="K79" s="194" t="str">
        <f t="shared" si="11"/>
        <v/>
      </c>
      <c r="L79" s="170" t="str">
        <f t="shared" si="12"/>
        <v/>
      </c>
      <c r="M79" s="188" t="str">
        <f t="shared" si="13"/>
        <v/>
      </c>
      <c r="N79" s="105"/>
      <c r="O79" s="106"/>
      <c r="P79" s="106"/>
      <c r="Q79" s="106"/>
      <c r="R79" s="107"/>
      <c r="S79" s="217" t="str">
        <f t="shared" si="21"/>
        <v/>
      </c>
      <c r="T79" s="91" t="str">
        <f t="shared" si="22"/>
        <v/>
      </c>
      <c r="U79" s="218" t="str">
        <f t="shared" si="23"/>
        <v/>
      </c>
      <c r="V79" s="230"/>
      <c r="W79" s="226"/>
      <c r="X79" s="231"/>
      <c r="Y79" s="194" t="str">
        <f t="shared" si="14"/>
        <v/>
      </c>
      <c r="Z79" s="170" t="str">
        <f t="shared" si="15"/>
        <v/>
      </c>
      <c r="AA79" s="188" t="str">
        <f t="shared" si="16"/>
        <v/>
      </c>
      <c r="AB79" s="230"/>
      <c r="AC79" s="226"/>
      <c r="AD79" s="231"/>
      <c r="AE79" s="194" t="str">
        <f t="shared" si="17"/>
        <v/>
      </c>
      <c r="AF79" s="170" t="str">
        <f t="shared" si="18"/>
        <v/>
      </c>
      <c r="AG79" s="188" t="str">
        <f t="shared" si="19"/>
        <v/>
      </c>
      <c r="AH79" s="105"/>
      <c r="AI79" s="106"/>
      <c r="AJ79" s="107"/>
      <c r="AK79" s="90" t="str">
        <f t="shared" si="24"/>
        <v/>
      </c>
      <c r="AL79" s="91" t="str">
        <f t="shared" si="25"/>
        <v/>
      </c>
      <c r="AM79" s="93" t="str">
        <f t="shared" si="26"/>
        <v/>
      </c>
      <c r="AN79" s="162"/>
      <c r="AO79" s="107"/>
      <c r="AP79" s="163"/>
      <c r="AQ79" s="157" t="str">
        <f t="shared" si="27"/>
        <v/>
      </c>
      <c r="AR79" s="91" t="str">
        <f t="shared" si="28"/>
        <v/>
      </c>
      <c r="AS79" s="93" t="str">
        <f t="shared" si="29"/>
        <v/>
      </c>
      <c r="AT79" s="90" t="str">
        <f t="shared" si="30"/>
        <v/>
      </c>
      <c r="AU79" s="93" t="str">
        <f t="shared" si="31"/>
        <v/>
      </c>
      <c r="AV79" s="241" t="str">
        <f t="shared" si="20"/>
        <v/>
      </c>
      <c r="AW79" s="238" t="str">
        <f>IF(C79="","",IFERROR(_xlfn.XLOOKUP(AV79,HELPER!$C$8:$C$48,HELPER!$D$8:$D$48,,1),""))</f>
        <v/>
      </c>
      <c r="AX79" s="113" t="str">
        <f>IF(C79="","",IFERROR(_xlfn.XLOOKUP(AW79,HELPER!$F$8:$F$48,HELPER!$G$8:$G$48,,1),""))</f>
        <v/>
      </c>
      <c r="AY79" s="168"/>
      <c r="AZ79" s="148"/>
    </row>
    <row r="80" spans="1:52" ht="15" customHeight="1" x14ac:dyDescent="0.25">
      <c r="A80" s="168"/>
      <c r="B80" s="110">
        <v>11</v>
      </c>
      <c r="C80" s="346" t="str">
        <f>IF('INPUT DATA'!N21="","",'INPUT DATA'!N21)</f>
        <v/>
      </c>
      <c r="D80" s="347"/>
      <c r="E80" s="347"/>
      <c r="F80" s="200"/>
      <c r="G80" s="201"/>
      <c r="H80" s="201"/>
      <c r="I80" s="201"/>
      <c r="J80" s="202"/>
      <c r="K80" s="194" t="str">
        <f t="shared" si="11"/>
        <v/>
      </c>
      <c r="L80" s="170" t="str">
        <f t="shared" si="12"/>
        <v/>
      </c>
      <c r="M80" s="188" t="str">
        <f t="shared" si="13"/>
        <v/>
      </c>
      <c r="N80" s="105"/>
      <c r="O80" s="106"/>
      <c r="P80" s="106"/>
      <c r="Q80" s="106"/>
      <c r="R80" s="107"/>
      <c r="S80" s="217" t="str">
        <f t="shared" si="21"/>
        <v/>
      </c>
      <c r="T80" s="91" t="str">
        <f t="shared" si="22"/>
        <v/>
      </c>
      <c r="U80" s="218" t="str">
        <f t="shared" si="23"/>
        <v/>
      </c>
      <c r="V80" s="230"/>
      <c r="W80" s="226"/>
      <c r="X80" s="231"/>
      <c r="Y80" s="194" t="str">
        <f t="shared" si="14"/>
        <v/>
      </c>
      <c r="Z80" s="170" t="str">
        <f t="shared" si="15"/>
        <v/>
      </c>
      <c r="AA80" s="188" t="str">
        <f t="shared" si="16"/>
        <v/>
      </c>
      <c r="AB80" s="230"/>
      <c r="AC80" s="226"/>
      <c r="AD80" s="231"/>
      <c r="AE80" s="194" t="str">
        <f t="shared" si="17"/>
        <v/>
      </c>
      <c r="AF80" s="170" t="str">
        <f t="shared" si="18"/>
        <v/>
      </c>
      <c r="AG80" s="188" t="str">
        <f t="shared" si="19"/>
        <v/>
      </c>
      <c r="AH80" s="105"/>
      <c r="AI80" s="106"/>
      <c r="AJ80" s="107"/>
      <c r="AK80" s="90" t="str">
        <f t="shared" si="24"/>
        <v/>
      </c>
      <c r="AL80" s="91" t="str">
        <f t="shared" si="25"/>
        <v/>
      </c>
      <c r="AM80" s="93" t="str">
        <f t="shared" si="26"/>
        <v/>
      </c>
      <c r="AN80" s="162"/>
      <c r="AO80" s="107"/>
      <c r="AP80" s="163"/>
      <c r="AQ80" s="157" t="str">
        <f t="shared" si="27"/>
        <v/>
      </c>
      <c r="AR80" s="91" t="str">
        <f t="shared" si="28"/>
        <v/>
      </c>
      <c r="AS80" s="93" t="str">
        <f t="shared" si="29"/>
        <v/>
      </c>
      <c r="AT80" s="90" t="str">
        <f t="shared" si="30"/>
        <v/>
      </c>
      <c r="AU80" s="93" t="str">
        <f t="shared" si="31"/>
        <v/>
      </c>
      <c r="AV80" s="241" t="str">
        <f t="shared" si="20"/>
        <v/>
      </c>
      <c r="AW80" s="238" t="str">
        <f>IF(C80="","",IFERROR(_xlfn.XLOOKUP(AV80,HELPER!$C$8:$C$48,HELPER!$D$8:$D$48,,1),""))</f>
        <v/>
      </c>
      <c r="AX80" s="113" t="str">
        <f>IF(C80="","",IFERROR(_xlfn.XLOOKUP(AW80,HELPER!$F$8:$F$48,HELPER!$G$8:$G$48,,1),""))</f>
        <v/>
      </c>
      <c r="AY80" s="168"/>
      <c r="AZ80" s="148"/>
    </row>
    <row r="81" spans="1:52" ht="15" customHeight="1" x14ac:dyDescent="0.25">
      <c r="A81" s="168"/>
      <c r="B81" s="110">
        <v>12</v>
      </c>
      <c r="C81" s="346" t="str">
        <f>IF('INPUT DATA'!N22="","",'INPUT DATA'!N22)</f>
        <v/>
      </c>
      <c r="D81" s="347"/>
      <c r="E81" s="347"/>
      <c r="F81" s="200"/>
      <c r="G81" s="201"/>
      <c r="H81" s="201"/>
      <c r="I81" s="201"/>
      <c r="J81" s="202"/>
      <c r="K81" s="194" t="str">
        <f t="shared" si="11"/>
        <v/>
      </c>
      <c r="L81" s="170" t="str">
        <f t="shared" si="12"/>
        <v/>
      </c>
      <c r="M81" s="188" t="str">
        <f t="shared" si="13"/>
        <v/>
      </c>
      <c r="N81" s="105"/>
      <c r="O81" s="106"/>
      <c r="P81" s="106"/>
      <c r="Q81" s="106"/>
      <c r="R81" s="107"/>
      <c r="S81" s="217" t="str">
        <f t="shared" si="21"/>
        <v/>
      </c>
      <c r="T81" s="91" t="str">
        <f t="shared" si="22"/>
        <v/>
      </c>
      <c r="U81" s="218" t="str">
        <f t="shared" si="23"/>
        <v/>
      </c>
      <c r="V81" s="230"/>
      <c r="W81" s="226"/>
      <c r="X81" s="231"/>
      <c r="Y81" s="194" t="str">
        <f t="shared" si="14"/>
        <v/>
      </c>
      <c r="Z81" s="170" t="str">
        <f t="shared" si="15"/>
        <v/>
      </c>
      <c r="AA81" s="188" t="str">
        <f t="shared" si="16"/>
        <v/>
      </c>
      <c r="AB81" s="230"/>
      <c r="AC81" s="226"/>
      <c r="AD81" s="231"/>
      <c r="AE81" s="194" t="str">
        <f t="shared" si="17"/>
        <v/>
      </c>
      <c r="AF81" s="170" t="str">
        <f t="shared" si="18"/>
        <v/>
      </c>
      <c r="AG81" s="188" t="str">
        <f t="shared" si="19"/>
        <v/>
      </c>
      <c r="AH81" s="105"/>
      <c r="AI81" s="106"/>
      <c r="AJ81" s="107"/>
      <c r="AK81" s="90" t="str">
        <f t="shared" si="24"/>
        <v/>
      </c>
      <c r="AL81" s="91" t="str">
        <f t="shared" si="25"/>
        <v/>
      </c>
      <c r="AM81" s="93" t="str">
        <f t="shared" si="26"/>
        <v/>
      </c>
      <c r="AN81" s="162"/>
      <c r="AO81" s="107"/>
      <c r="AP81" s="163"/>
      <c r="AQ81" s="157" t="str">
        <f t="shared" si="27"/>
        <v/>
      </c>
      <c r="AR81" s="91" t="str">
        <f t="shared" si="28"/>
        <v/>
      </c>
      <c r="AS81" s="93" t="str">
        <f t="shared" si="29"/>
        <v/>
      </c>
      <c r="AT81" s="90" t="str">
        <f t="shared" si="30"/>
        <v/>
      </c>
      <c r="AU81" s="93" t="str">
        <f t="shared" si="31"/>
        <v/>
      </c>
      <c r="AV81" s="241" t="str">
        <f t="shared" si="20"/>
        <v/>
      </c>
      <c r="AW81" s="238" t="str">
        <f>IF(C81="","",IFERROR(_xlfn.XLOOKUP(AV81,HELPER!$C$8:$C$48,HELPER!$D$8:$D$48,,1),""))</f>
        <v/>
      </c>
      <c r="AX81" s="113" t="str">
        <f>IF(C81="","",IFERROR(_xlfn.XLOOKUP(AW81,HELPER!$F$8:$F$48,HELPER!$G$8:$G$48,,1),""))</f>
        <v/>
      </c>
      <c r="AY81" s="168"/>
      <c r="AZ81" s="148"/>
    </row>
    <row r="82" spans="1:52" ht="15" customHeight="1" x14ac:dyDescent="0.25">
      <c r="A82" s="168"/>
      <c r="B82" s="110">
        <v>13</v>
      </c>
      <c r="C82" s="346" t="str">
        <f>IF('INPUT DATA'!N23="","",'INPUT DATA'!N23)</f>
        <v/>
      </c>
      <c r="D82" s="347"/>
      <c r="E82" s="347"/>
      <c r="F82" s="200"/>
      <c r="G82" s="201"/>
      <c r="H82" s="201"/>
      <c r="I82" s="201"/>
      <c r="J82" s="202"/>
      <c r="K82" s="194" t="str">
        <f t="shared" si="11"/>
        <v/>
      </c>
      <c r="L82" s="170" t="str">
        <f t="shared" si="12"/>
        <v/>
      </c>
      <c r="M82" s="188" t="str">
        <f t="shared" si="13"/>
        <v/>
      </c>
      <c r="N82" s="105"/>
      <c r="O82" s="106"/>
      <c r="P82" s="106"/>
      <c r="Q82" s="106"/>
      <c r="R82" s="107"/>
      <c r="S82" s="217" t="str">
        <f t="shared" si="21"/>
        <v/>
      </c>
      <c r="T82" s="91" t="str">
        <f t="shared" si="22"/>
        <v/>
      </c>
      <c r="U82" s="218" t="str">
        <f t="shared" si="23"/>
        <v/>
      </c>
      <c r="V82" s="230"/>
      <c r="W82" s="226"/>
      <c r="X82" s="231"/>
      <c r="Y82" s="194" t="str">
        <f t="shared" si="14"/>
        <v/>
      </c>
      <c r="Z82" s="170" t="str">
        <f t="shared" si="15"/>
        <v/>
      </c>
      <c r="AA82" s="188" t="str">
        <f t="shared" si="16"/>
        <v/>
      </c>
      <c r="AB82" s="230"/>
      <c r="AC82" s="226"/>
      <c r="AD82" s="231"/>
      <c r="AE82" s="194" t="str">
        <f t="shared" si="17"/>
        <v/>
      </c>
      <c r="AF82" s="170" t="str">
        <f t="shared" si="18"/>
        <v/>
      </c>
      <c r="AG82" s="188" t="str">
        <f t="shared" si="19"/>
        <v/>
      </c>
      <c r="AH82" s="105"/>
      <c r="AI82" s="106"/>
      <c r="AJ82" s="107"/>
      <c r="AK82" s="90" t="str">
        <f t="shared" si="24"/>
        <v/>
      </c>
      <c r="AL82" s="91" t="str">
        <f t="shared" si="25"/>
        <v/>
      </c>
      <c r="AM82" s="93" t="str">
        <f t="shared" si="26"/>
        <v/>
      </c>
      <c r="AN82" s="162"/>
      <c r="AO82" s="107"/>
      <c r="AP82" s="163"/>
      <c r="AQ82" s="157" t="str">
        <f t="shared" si="27"/>
        <v/>
      </c>
      <c r="AR82" s="91" t="str">
        <f t="shared" si="28"/>
        <v/>
      </c>
      <c r="AS82" s="93" t="str">
        <f t="shared" si="29"/>
        <v/>
      </c>
      <c r="AT82" s="90" t="str">
        <f t="shared" si="30"/>
        <v/>
      </c>
      <c r="AU82" s="93" t="str">
        <f t="shared" si="31"/>
        <v/>
      </c>
      <c r="AV82" s="241" t="str">
        <f t="shared" si="20"/>
        <v/>
      </c>
      <c r="AW82" s="238" t="str">
        <f>IF(C82="","",IFERROR(_xlfn.XLOOKUP(AV82,HELPER!$C$8:$C$48,HELPER!$D$8:$D$48,,1),""))</f>
        <v/>
      </c>
      <c r="AX82" s="113" t="str">
        <f>IF(C82="","",IFERROR(_xlfn.XLOOKUP(AW82,HELPER!$F$8:$F$48,HELPER!$G$8:$G$48,,1),""))</f>
        <v/>
      </c>
      <c r="AY82" s="168"/>
      <c r="AZ82" s="148"/>
    </row>
    <row r="83" spans="1:52" ht="15" customHeight="1" x14ac:dyDescent="0.25">
      <c r="A83" s="168"/>
      <c r="B83" s="110">
        <v>14</v>
      </c>
      <c r="C83" s="346" t="str">
        <f>IF('INPUT DATA'!N24="","",'INPUT DATA'!N24)</f>
        <v/>
      </c>
      <c r="D83" s="347"/>
      <c r="E83" s="347"/>
      <c r="F83" s="200"/>
      <c r="G83" s="201"/>
      <c r="H83" s="201"/>
      <c r="I83" s="201"/>
      <c r="J83" s="202"/>
      <c r="K83" s="194" t="str">
        <f t="shared" si="11"/>
        <v/>
      </c>
      <c r="L83" s="170" t="str">
        <f t="shared" si="12"/>
        <v/>
      </c>
      <c r="M83" s="188" t="str">
        <f t="shared" si="13"/>
        <v/>
      </c>
      <c r="N83" s="105"/>
      <c r="O83" s="106"/>
      <c r="P83" s="106"/>
      <c r="Q83" s="106"/>
      <c r="R83" s="107"/>
      <c r="S83" s="217" t="str">
        <f t="shared" si="21"/>
        <v/>
      </c>
      <c r="T83" s="91" t="str">
        <f t="shared" si="22"/>
        <v/>
      </c>
      <c r="U83" s="218" t="str">
        <f t="shared" si="23"/>
        <v/>
      </c>
      <c r="V83" s="230"/>
      <c r="W83" s="226"/>
      <c r="X83" s="231"/>
      <c r="Y83" s="194" t="str">
        <f t="shared" si="14"/>
        <v/>
      </c>
      <c r="Z83" s="170" t="str">
        <f t="shared" si="15"/>
        <v/>
      </c>
      <c r="AA83" s="188" t="str">
        <f t="shared" si="16"/>
        <v/>
      </c>
      <c r="AB83" s="230"/>
      <c r="AC83" s="226"/>
      <c r="AD83" s="231"/>
      <c r="AE83" s="194" t="str">
        <f t="shared" si="17"/>
        <v/>
      </c>
      <c r="AF83" s="170" t="str">
        <f t="shared" si="18"/>
        <v/>
      </c>
      <c r="AG83" s="188" t="str">
        <f t="shared" si="19"/>
        <v/>
      </c>
      <c r="AH83" s="105"/>
      <c r="AI83" s="106"/>
      <c r="AJ83" s="107"/>
      <c r="AK83" s="90" t="str">
        <f t="shared" si="24"/>
        <v/>
      </c>
      <c r="AL83" s="91" t="str">
        <f t="shared" si="25"/>
        <v/>
      </c>
      <c r="AM83" s="93" t="str">
        <f t="shared" si="26"/>
        <v/>
      </c>
      <c r="AN83" s="162"/>
      <c r="AO83" s="107"/>
      <c r="AP83" s="163"/>
      <c r="AQ83" s="157" t="str">
        <f t="shared" si="27"/>
        <v/>
      </c>
      <c r="AR83" s="91" t="str">
        <f t="shared" si="28"/>
        <v/>
      </c>
      <c r="AS83" s="93" t="str">
        <f t="shared" si="29"/>
        <v/>
      </c>
      <c r="AT83" s="90" t="str">
        <f t="shared" si="30"/>
        <v/>
      </c>
      <c r="AU83" s="93" t="str">
        <f t="shared" si="31"/>
        <v/>
      </c>
      <c r="AV83" s="241" t="str">
        <f t="shared" si="20"/>
        <v/>
      </c>
      <c r="AW83" s="238" t="str">
        <f>IF(C83="","",IFERROR(_xlfn.XLOOKUP(AV83,HELPER!$C$8:$C$48,HELPER!$D$8:$D$48,,1),""))</f>
        <v/>
      </c>
      <c r="AX83" s="113" t="str">
        <f>IF(C83="","",IFERROR(_xlfn.XLOOKUP(AW83,HELPER!$F$8:$F$48,HELPER!$G$8:$G$48,,1),""))</f>
        <v/>
      </c>
      <c r="AY83" s="168"/>
      <c r="AZ83" s="148"/>
    </row>
    <row r="84" spans="1:52" ht="15" customHeight="1" x14ac:dyDescent="0.25">
      <c r="A84" s="168"/>
      <c r="B84" s="110">
        <v>15</v>
      </c>
      <c r="C84" s="346" t="str">
        <f>IF('INPUT DATA'!N25="","",'INPUT DATA'!N25)</f>
        <v/>
      </c>
      <c r="D84" s="347"/>
      <c r="E84" s="347"/>
      <c r="F84" s="200"/>
      <c r="G84" s="201"/>
      <c r="H84" s="201"/>
      <c r="I84" s="201"/>
      <c r="J84" s="202"/>
      <c r="K84" s="194" t="str">
        <f t="shared" ref="K84:K119" si="32">IF(COUNT($F84:$J84)=0,"",SUM($F84:$J84))</f>
        <v/>
      </c>
      <c r="L84" s="170" t="str">
        <f t="shared" ref="L84:L119" si="33">IF(ISERROR(IF($K84="","",ROUND(($K84/$K$16)*$L$16,2))),"",IF($K84="","",ROUND(($K84/$K$16)*$L$16,2)))</f>
        <v/>
      </c>
      <c r="M84" s="188" t="str">
        <f t="shared" ref="M84:M119" si="34">IF($L84="","",ROUND($L84*$M$16,2))</f>
        <v/>
      </c>
      <c r="N84" s="105"/>
      <c r="O84" s="106"/>
      <c r="P84" s="106"/>
      <c r="Q84" s="106"/>
      <c r="R84" s="107"/>
      <c r="S84" s="217" t="str">
        <f t="shared" si="21"/>
        <v/>
      </c>
      <c r="T84" s="91" t="str">
        <f t="shared" si="22"/>
        <v/>
      </c>
      <c r="U84" s="218" t="str">
        <f t="shared" si="23"/>
        <v/>
      </c>
      <c r="V84" s="230"/>
      <c r="W84" s="226"/>
      <c r="X84" s="231"/>
      <c r="Y84" s="194" t="str">
        <f t="shared" ref="Y84:Y119" si="35">IF(COUNT($V84:$X84)=0,"",SUM($V84:$X84))</f>
        <v/>
      </c>
      <c r="Z84" s="170" t="str">
        <f t="shared" ref="Z84:Z119" si="36">IF(ISERROR(IF($Y84="","",ROUND(($Y84/$Y$16)*$Z$16,2))),"",IF($Y84="","",ROUND(($Y84/$Y$16)*$Z$16,2)))</f>
        <v/>
      </c>
      <c r="AA84" s="188" t="str">
        <f t="shared" ref="AA84:AA119" si="37">IF($Z84="","",ROUND($Z84*$AA$16,2))</f>
        <v/>
      </c>
      <c r="AB84" s="230"/>
      <c r="AC84" s="226"/>
      <c r="AD84" s="231"/>
      <c r="AE84" s="194" t="str">
        <f t="shared" ref="AE84:AE119" si="38">IF(COUNT($AB84:$AD84)=0,"",SUM($AB84:$AD84))</f>
        <v/>
      </c>
      <c r="AF84" s="170" t="str">
        <f t="shared" ref="AF84:AF119" si="39">IF(ISERROR(IF($AE84="","",ROUND(($AE84/$AE$16)*$AF$16,2))),"",IF($AE84="","",ROUND(($AE84/$AE$16)*$AF$16,2)))</f>
        <v/>
      </c>
      <c r="AG84" s="188" t="str">
        <f t="shared" ref="AG84:AG119" si="40">IF($AF84="","",ROUND($AF84*$AG$16,2))</f>
        <v/>
      </c>
      <c r="AH84" s="105"/>
      <c r="AI84" s="106"/>
      <c r="AJ84" s="107"/>
      <c r="AK84" s="90" t="str">
        <f t="shared" si="24"/>
        <v/>
      </c>
      <c r="AL84" s="91" t="str">
        <f t="shared" si="25"/>
        <v/>
      </c>
      <c r="AM84" s="93" t="str">
        <f t="shared" si="26"/>
        <v/>
      </c>
      <c r="AN84" s="162"/>
      <c r="AO84" s="107"/>
      <c r="AP84" s="163"/>
      <c r="AQ84" s="157" t="str">
        <f t="shared" si="27"/>
        <v/>
      </c>
      <c r="AR84" s="91" t="str">
        <f t="shared" si="28"/>
        <v/>
      </c>
      <c r="AS84" s="93" t="str">
        <f t="shared" si="29"/>
        <v/>
      </c>
      <c r="AT84" s="90" t="str">
        <f t="shared" si="30"/>
        <v/>
      </c>
      <c r="AU84" s="93" t="str">
        <f t="shared" si="31"/>
        <v/>
      </c>
      <c r="AV84" s="241" t="str">
        <f t="shared" ref="AV84:AV119" si="41">IF(C84="","",IFERROR(ROUND(M84+U84+AA84+AG84+AM84+AU84,2),""))</f>
        <v/>
      </c>
      <c r="AW84" s="238" t="str">
        <f>IF(C84="","",IFERROR(_xlfn.XLOOKUP(AV84,HELPER!$C$8:$C$48,HELPER!$D$8:$D$48,,1),""))</f>
        <v/>
      </c>
      <c r="AX84" s="113" t="str">
        <f>IF(C84="","",IFERROR(_xlfn.XLOOKUP(AW84,HELPER!$F$8:$F$48,HELPER!$G$8:$G$48,,1),""))</f>
        <v/>
      </c>
      <c r="AY84" s="168"/>
      <c r="AZ84" s="148"/>
    </row>
    <row r="85" spans="1:52" ht="15" customHeight="1" x14ac:dyDescent="0.25">
      <c r="A85" s="168"/>
      <c r="B85" s="110">
        <v>16</v>
      </c>
      <c r="C85" s="346" t="str">
        <f>IF('INPUT DATA'!N26="","",'INPUT DATA'!N26)</f>
        <v/>
      </c>
      <c r="D85" s="347"/>
      <c r="E85" s="347"/>
      <c r="F85" s="200"/>
      <c r="G85" s="201"/>
      <c r="H85" s="201"/>
      <c r="I85" s="201"/>
      <c r="J85" s="202"/>
      <c r="K85" s="194" t="str">
        <f t="shared" si="32"/>
        <v/>
      </c>
      <c r="L85" s="170" t="str">
        <f t="shared" si="33"/>
        <v/>
      </c>
      <c r="M85" s="188" t="str">
        <f t="shared" si="34"/>
        <v/>
      </c>
      <c r="N85" s="105"/>
      <c r="O85" s="106"/>
      <c r="P85" s="106"/>
      <c r="Q85" s="106"/>
      <c r="R85" s="107"/>
      <c r="S85" s="217" t="str">
        <f t="shared" si="21"/>
        <v/>
      </c>
      <c r="T85" s="91" t="str">
        <f t="shared" si="22"/>
        <v/>
      </c>
      <c r="U85" s="218" t="str">
        <f t="shared" si="23"/>
        <v/>
      </c>
      <c r="V85" s="230"/>
      <c r="W85" s="226"/>
      <c r="X85" s="231"/>
      <c r="Y85" s="194" t="str">
        <f t="shared" si="35"/>
        <v/>
      </c>
      <c r="Z85" s="170" t="str">
        <f t="shared" si="36"/>
        <v/>
      </c>
      <c r="AA85" s="188" t="str">
        <f t="shared" si="37"/>
        <v/>
      </c>
      <c r="AB85" s="230"/>
      <c r="AC85" s="226"/>
      <c r="AD85" s="231"/>
      <c r="AE85" s="194" t="str">
        <f t="shared" si="38"/>
        <v/>
      </c>
      <c r="AF85" s="170" t="str">
        <f t="shared" si="39"/>
        <v/>
      </c>
      <c r="AG85" s="188" t="str">
        <f t="shared" si="40"/>
        <v/>
      </c>
      <c r="AH85" s="105"/>
      <c r="AI85" s="106"/>
      <c r="AJ85" s="107"/>
      <c r="AK85" s="90" t="str">
        <f t="shared" si="24"/>
        <v/>
      </c>
      <c r="AL85" s="91" t="str">
        <f t="shared" si="25"/>
        <v/>
      </c>
      <c r="AM85" s="93" t="str">
        <f t="shared" si="26"/>
        <v/>
      </c>
      <c r="AN85" s="162"/>
      <c r="AO85" s="107"/>
      <c r="AP85" s="163"/>
      <c r="AQ85" s="157" t="str">
        <f t="shared" si="27"/>
        <v/>
      </c>
      <c r="AR85" s="91" t="str">
        <f t="shared" si="28"/>
        <v/>
      </c>
      <c r="AS85" s="93" t="str">
        <f t="shared" si="29"/>
        <v/>
      </c>
      <c r="AT85" s="90" t="str">
        <f t="shared" si="30"/>
        <v/>
      </c>
      <c r="AU85" s="93" t="str">
        <f t="shared" si="31"/>
        <v/>
      </c>
      <c r="AV85" s="241" t="str">
        <f t="shared" si="41"/>
        <v/>
      </c>
      <c r="AW85" s="238" t="str">
        <f>IF(C85="","",IFERROR(_xlfn.XLOOKUP(AV85,HELPER!$C$8:$C$48,HELPER!$D$8:$D$48,,1),""))</f>
        <v/>
      </c>
      <c r="AX85" s="113" t="str">
        <f>IF(C85="","",IFERROR(_xlfn.XLOOKUP(AW85,HELPER!$F$8:$F$48,HELPER!$G$8:$G$48,,1),""))</f>
        <v/>
      </c>
      <c r="AY85" s="168"/>
      <c r="AZ85" s="148"/>
    </row>
    <row r="86" spans="1:52" ht="15" customHeight="1" x14ac:dyDescent="0.25">
      <c r="A86" s="168"/>
      <c r="B86" s="110">
        <v>17</v>
      </c>
      <c r="C86" s="346" t="str">
        <f>IF('INPUT DATA'!N27="","",'INPUT DATA'!N27)</f>
        <v/>
      </c>
      <c r="D86" s="347"/>
      <c r="E86" s="347"/>
      <c r="F86" s="200"/>
      <c r="G86" s="201"/>
      <c r="H86" s="201"/>
      <c r="I86" s="201"/>
      <c r="J86" s="202"/>
      <c r="K86" s="194" t="str">
        <f t="shared" si="32"/>
        <v/>
      </c>
      <c r="L86" s="170" t="str">
        <f t="shared" si="33"/>
        <v/>
      </c>
      <c r="M86" s="188" t="str">
        <f t="shared" si="34"/>
        <v/>
      </c>
      <c r="N86" s="105"/>
      <c r="O86" s="106"/>
      <c r="P86" s="106"/>
      <c r="Q86" s="106"/>
      <c r="R86" s="107"/>
      <c r="S86" s="217" t="str">
        <f t="shared" si="21"/>
        <v/>
      </c>
      <c r="T86" s="91" t="str">
        <f t="shared" si="22"/>
        <v/>
      </c>
      <c r="U86" s="218" t="str">
        <f t="shared" si="23"/>
        <v/>
      </c>
      <c r="V86" s="230"/>
      <c r="W86" s="226"/>
      <c r="X86" s="231"/>
      <c r="Y86" s="194" t="str">
        <f t="shared" si="35"/>
        <v/>
      </c>
      <c r="Z86" s="170" t="str">
        <f t="shared" si="36"/>
        <v/>
      </c>
      <c r="AA86" s="188" t="str">
        <f t="shared" si="37"/>
        <v/>
      </c>
      <c r="AB86" s="230"/>
      <c r="AC86" s="226"/>
      <c r="AD86" s="231"/>
      <c r="AE86" s="194" t="str">
        <f t="shared" si="38"/>
        <v/>
      </c>
      <c r="AF86" s="170" t="str">
        <f t="shared" si="39"/>
        <v/>
      </c>
      <c r="AG86" s="188" t="str">
        <f t="shared" si="40"/>
        <v/>
      </c>
      <c r="AH86" s="105"/>
      <c r="AI86" s="106"/>
      <c r="AJ86" s="107"/>
      <c r="AK86" s="90" t="str">
        <f t="shared" si="24"/>
        <v/>
      </c>
      <c r="AL86" s="91" t="str">
        <f t="shared" si="25"/>
        <v/>
      </c>
      <c r="AM86" s="93" t="str">
        <f t="shared" si="26"/>
        <v/>
      </c>
      <c r="AN86" s="162"/>
      <c r="AO86" s="107"/>
      <c r="AP86" s="163"/>
      <c r="AQ86" s="157" t="str">
        <f t="shared" si="27"/>
        <v/>
      </c>
      <c r="AR86" s="91" t="str">
        <f t="shared" si="28"/>
        <v/>
      </c>
      <c r="AS86" s="93" t="str">
        <f t="shared" si="29"/>
        <v/>
      </c>
      <c r="AT86" s="90" t="str">
        <f t="shared" si="30"/>
        <v/>
      </c>
      <c r="AU86" s="93" t="str">
        <f t="shared" si="31"/>
        <v/>
      </c>
      <c r="AV86" s="241" t="str">
        <f t="shared" si="41"/>
        <v/>
      </c>
      <c r="AW86" s="238" t="str">
        <f>IF(C86="","",IFERROR(_xlfn.XLOOKUP(AV86,HELPER!$C$8:$C$48,HELPER!$D$8:$D$48,,1),""))</f>
        <v/>
      </c>
      <c r="AX86" s="113" t="str">
        <f>IF(C86="","",IFERROR(_xlfn.XLOOKUP(AW86,HELPER!$F$8:$F$48,HELPER!$G$8:$G$48,,1),""))</f>
        <v/>
      </c>
      <c r="AY86" s="168"/>
      <c r="AZ86" s="148"/>
    </row>
    <row r="87" spans="1:52" ht="15" customHeight="1" x14ac:dyDescent="0.25">
      <c r="A87" s="168"/>
      <c r="B87" s="110">
        <v>18</v>
      </c>
      <c r="C87" s="346" t="str">
        <f>IF('INPUT DATA'!N28="","",'INPUT DATA'!N28)</f>
        <v/>
      </c>
      <c r="D87" s="347"/>
      <c r="E87" s="347"/>
      <c r="F87" s="200"/>
      <c r="G87" s="201"/>
      <c r="H87" s="201"/>
      <c r="I87" s="201"/>
      <c r="J87" s="202"/>
      <c r="K87" s="194" t="str">
        <f t="shared" si="32"/>
        <v/>
      </c>
      <c r="L87" s="170" t="str">
        <f t="shared" si="33"/>
        <v/>
      </c>
      <c r="M87" s="188" t="str">
        <f t="shared" si="34"/>
        <v/>
      </c>
      <c r="N87" s="105"/>
      <c r="O87" s="106"/>
      <c r="P87" s="106"/>
      <c r="Q87" s="106"/>
      <c r="R87" s="107"/>
      <c r="S87" s="217" t="str">
        <f t="shared" si="21"/>
        <v/>
      </c>
      <c r="T87" s="91" t="str">
        <f t="shared" si="22"/>
        <v/>
      </c>
      <c r="U87" s="218" t="str">
        <f t="shared" si="23"/>
        <v/>
      </c>
      <c r="V87" s="230"/>
      <c r="W87" s="226"/>
      <c r="X87" s="231"/>
      <c r="Y87" s="194" t="str">
        <f t="shared" si="35"/>
        <v/>
      </c>
      <c r="Z87" s="170" t="str">
        <f t="shared" si="36"/>
        <v/>
      </c>
      <c r="AA87" s="188" t="str">
        <f t="shared" si="37"/>
        <v/>
      </c>
      <c r="AB87" s="230"/>
      <c r="AC87" s="226"/>
      <c r="AD87" s="231"/>
      <c r="AE87" s="194" t="str">
        <f t="shared" si="38"/>
        <v/>
      </c>
      <c r="AF87" s="170" t="str">
        <f t="shared" si="39"/>
        <v/>
      </c>
      <c r="AG87" s="188" t="str">
        <f t="shared" si="40"/>
        <v/>
      </c>
      <c r="AH87" s="105"/>
      <c r="AI87" s="106"/>
      <c r="AJ87" s="107"/>
      <c r="AK87" s="90" t="str">
        <f t="shared" si="24"/>
        <v/>
      </c>
      <c r="AL87" s="91" t="str">
        <f t="shared" si="25"/>
        <v/>
      </c>
      <c r="AM87" s="93" t="str">
        <f t="shared" si="26"/>
        <v/>
      </c>
      <c r="AN87" s="162"/>
      <c r="AO87" s="107"/>
      <c r="AP87" s="163"/>
      <c r="AQ87" s="157" t="str">
        <f t="shared" si="27"/>
        <v/>
      </c>
      <c r="AR87" s="91" t="str">
        <f t="shared" si="28"/>
        <v/>
      </c>
      <c r="AS87" s="93" t="str">
        <f t="shared" si="29"/>
        <v/>
      </c>
      <c r="AT87" s="90" t="str">
        <f t="shared" si="30"/>
        <v/>
      </c>
      <c r="AU87" s="93" t="str">
        <f t="shared" si="31"/>
        <v/>
      </c>
      <c r="AV87" s="241" t="str">
        <f t="shared" si="41"/>
        <v/>
      </c>
      <c r="AW87" s="238" t="str">
        <f>IF(C87="","",IFERROR(_xlfn.XLOOKUP(AV87,HELPER!$C$8:$C$48,HELPER!$D$8:$D$48,,1),""))</f>
        <v/>
      </c>
      <c r="AX87" s="113" t="str">
        <f>IF(C87="","",IFERROR(_xlfn.XLOOKUP(AW87,HELPER!$F$8:$F$48,HELPER!$G$8:$G$48,,1),""))</f>
        <v/>
      </c>
      <c r="AY87" s="168"/>
      <c r="AZ87" s="148"/>
    </row>
    <row r="88" spans="1:52" ht="15" customHeight="1" x14ac:dyDescent="0.25">
      <c r="A88" s="168"/>
      <c r="B88" s="110">
        <v>19</v>
      </c>
      <c r="C88" s="346" t="str">
        <f>IF('INPUT DATA'!N29="","",'INPUT DATA'!N29)</f>
        <v/>
      </c>
      <c r="D88" s="347"/>
      <c r="E88" s="347"/>
      <c r="F88" s="200"/>
      <c r="G88" s="201"/>
      <c r="H88" s="201"/>
      <c r="I88" s="201"/>
      <c r="J88" s="202"/>
      <c r="K88" s="194" t="str">
        <f t="shared" si="32"/>
        <v/>
      </c>
      <c r="L88" s="170" t="str">
        <f t="shared" si="33"/>
        <v/>
      </c>
      <c r="M88" s="188" t="str">
        <f t="shared" si="34"/>
        <v/>
      </c>
      <c r="N88" s="105"/>
      <c r="O88" s="106"/>
      <c r="P88" s="106"/>
      <c r="Q88" s="106"/>
      <c r="R88" s="107"/>
      <c r="S88" s="217" t="str">
        <f t="shared" si="21"/>
        <v/>
      </c>
      <c r="T88" s="91" t="str">
        <f t="shared" si="22"/>
        <v/>
      </c>
      <c r="U88" s="218" t="str">
        <f t="shared" si="23"/>
        <v/>
      </c>
      <c r="V88" s="230"/>
      <c r="W88" s="226"/>
      <c r="X88" s="231"/>
      <c r="Y88" s="194" t="str">
        <f t="shared" si="35"/>
        <v/>
      </c>
      <c r="Z88" s="170" t="str">
        <f t="shared" si="36"/>
        <v/>
      </c>
      <c r="AA88" s="188" t="str">
        <f t="shared" si="37"/>
        <v/>
      </c>
      <c r="AB88" s="230"/>
      <c r="AC88" s="226"/>
      <c r="AD88" s="231"/>
      <c r="AE88" s="194" t="str">
        <f t="shared" si="38"/>
        <v/>
      </c>
      <c r="AF88" s="170" t="str">
        <f t="shared" si="39"/>
        <v/>
      </c>
      <c r="AG88" s="188" t="str">
        <f t="shared" si="40"/>
        <v/>
      </c>
      <c r="AH88" s="105"/>
      <c r="AI88" s="106"/>
      <c r="AJ88" s="107"/>
      <c r="AK88" s="90" t="str">
        <f t="shared" si="24"/>
        <v/>
      </c>
      <c r="AL88" s="91" t="str">
        <f t="shared" si="25"/>
        <v/>
      </c>
      <c r="AM88" s="93" t="str">
        <f t="shared" si="26"/>
        <v/>
      </c>
      <c r="AN88" s="162"/>
      <c r="AO88" s="107"/>
      <c r="AP88" s="163"/>
      <c r="AQ88" s="157" t="str">
        <f t="shared" si="27"/>
        <v/>
      </c>
      <c r="AR88" s="91" t="str">
        <f t="shared" si="28"/>
        <v/>
      </c>
      <c r="AS88" s="93" t="str">
        <f t="shared" si="29"/>
        <v/>
      </c>
      <c r="AT88" s="90" t="str">
        <f t="shared" si="30"/>
        <v/>
      </c>
      <c r="AU88" s="93" t="str">
        <f t="shared" si="31"/>
        <v/>
      </c>
      <c r="AV88" s="241" t="str">
        <f t="shared" si="41"/>
        <v/>
      </c>
      <c r="AW88" s="238" t="str">
        <f>IF(C88="","",IFERROR(_xlfn.XLOOKUP(AV88,HELPER!$C$8:$C$48,HELPER!$D$8:$D$48,,1),""))</f>
        <v/>
      </c>
      <c r="AX88" s="113" t="str">
        <f>IF(C88="","",IFERROR(_xlfn.XLOOKUP(AW88,HELPER!$F$8:$F$48,HELPER!$G$8:$G$48,,1),""))</f>
        <v/>
      </c>
      <c r="AY88" s="168"/>
      <c r="AZ88" s="148"/>
    </row>
    <row r="89" spans="1:52" ht="15" customHeight="1" x14ac:dyDescent="0.25">
      <c r="A89" s="168"/>
      <c r="B89" s="111">
        <v>20</v>
      </c>
      <c r="C89" s="346" t="str">
        <f>IF('INPUT DATA'!N30="","",'INPUT DATA'!N30)</f>
        <v/>
      </c>
      <c r="D89" s="347"/>
      <c r="E89" s="347"/>
      <c r="F89" s="200"/>
      <c r="G89" s="201"/>
      <c r="H89" s="201"/>
      <c r="I89" s="201"/>
      <c r="J89" s="202"/>
      <c r="K89" s="194" t="str">
        <f t="shared" si="32"/>
        <v/>
      </c>
      <c r="L89" s="170" t="str">
        <f t="shared" si="33"/>
        <v/>
      </c>
      <c r="M89" s="188" t="str">
        <f t="shared" si="34"/>
        <v/>
      </c>
      <c r="N89" s="105"/>
      <c r="O89" s="106"/>
      <c r="P89" s="106"/>
      <c r="Q89" s="106"/>
      <c r="R89" s="107"/>
      <c r="S89" s="217" t="str">
        <f t="shared" si="21"/>
        <v/>
      </c>
      <c r="T89" s="91" t="str">
        <f t="shared" si="22"/>
        <v/>
      </c>
      <c r="U89" s="218" t="str">
        <f t="shared" si="23"/>
        <v/>
      </c>
      <c r="V89" s="230"/>
      <c r="W89" s="226"/>
      <c r="X89" s="231"/>
      <c r="Y89" s="194" t="str">
        <f t="shared" si="35"/>
        <v/>
      </c>
      <c r="Z89" s="170" t="str">
        <f t="shared" si="36"/>
        <v/>
      </c>
      <c r="AA89" s="188" t="str">
        <f t="shared" si="37"/>
        <v/>
      </c>
      <c r="AB89" s="230"/>
      <c r="AC89" s="226"/>
      <c r="AD89" s="231"/>
      <c r="AE89" s="194" t="str">
        <f t="shared" si="38"/>
        <v/>
      </c>
      <c r="AF89" s="170" t="str">
        <f t="shared" si="39"/>
        <v/>
      </c>
      <c r="AG89" s="188" t="str">
        <f t="shared" si="40"/>
        <v/>
      </c>
      <c r="AH89" s="105"/>
      <c r="AI89" s="106"/>
      <c r="AJ89" s="107"/>
      <c r="AK89" s="90" t="str">
        <f t="shared" si="24"/>
        <v/>
      </c>
      <c r="AL89" s="91" t="str">
        <f t="shared" si="25"/>
        <v/>
      </c>
      <c r="AM89" s="93" t="str">
        <f t="shared" si="26"/>
        <v/>
      </c>
      <c r="AN89" s="162"/>
      <c r="AO89" s="107"/>
      <c r="AP89" s="163"/>
      <c r="AQ89" s="157" t="str">
        <f t="shared" si="27"/>
        <v/>
      </c>
      <c r="AR89" s="91" t="str">
        <f t="shared" si="28"/>
        <v/>
      </c>
      <c r="AS89" s="93" t="str">
        <f t="shared" si="29"/>
        <v/>
      </c>
      <c r="AT89" s="90" t="str">
        <f t="shared" si="30"/>
        <v/>
      </c>
      <c r="AU89" s="93" t="str">
        <f t="shared" si="31"/>
        <v/>
      </c>
      <c r="AV89" s="241" t="str">
        <f t="shared" si="41"/>
        <v/>
      </c>
      <c r="AW89" s="238" t="str">
        <f>IF(C89="","",IFERROR(_xlfn.XLOOKUP(AV89,HELPER!$C$8:$C$48,HELPER!$D$8:$D$48,,1),""))</f>
        <v/>
      </c>
      <c r="AX89" s="113" t="str">
        <f>IF(C89="","",IFERROR(_xlfn.XLOOKUP(AW89,HELPER!$F$8:$F$48,HELPER!$G$8:$G$48,,1),""))</f>
        <v/>
      </c>
      <c r="AY89" s="168"/>
      <c r="AZ89" s="148"/>
    </row>
    <row r="90" spans="1:52" ht="15" customHeight="1" x14ac:dyDescent="0.25">
      <c r="A90" s="168"/>
      <c r="B90" s="111">
        <v>21</v>
      </c>
      <c r="C90" s="346" t="str">
        <f>IF('INPUT DATA'!N31="","",'INPUT DATA'!N31)</f>
        <v/>
      </c>
      <c r="D90" s="347"/>
      <c r="E90" s="347"/>
      <c r="F90" s="200"/>
      <c r="G90" s="201"/>
      <c r="H90" s="201"/>
      <c r="I90" s="201"/>
      <c r="J90" s="202"/>
      <c r="K90" s="194" t="str">
        <f t="shared" si="32"/>
        <v/>
      </c>
      <c r="L90" s="170" t="str">
        <f t="shared" si="33"/>
        <v/>
      </c>
      <c r="M90" s="188" t="str">
        <f t="shared" si="34"/>
        <v/>
      </c>
      <c r="N90" s="105"/>
      <c r="O90" s="106"/>
      <c r="P90" s="106"/>
      <c r="Q90" s="106"/>
      <c r="R90" s="107"/>
      <c r="S90" s="217" t="str">
        <f t="shared" si="21"/>
        <v/>
      </c>
      <c r="T90" s="91" t="str">
        <f t="shared" si="22"/>
        <v/>
      </c>
      <c r="U90" s="218" t="str">
        <f t="shared" si="23"/>
        <v/>
      </c>
      <c r="V90" s="230"/>
      <c r="W90" s="226"/>
      <c r="X90" s="231"/>
      <c r="Y90" s="194" t="str">
        <f t="shared" si="35"/>
        <v/>
      </c>
      <c r="Z90" s="170" t="str">
        <f t="shared" si="36"/>
        <v/>
      </c>
      <c r="AA90" s="188" t="str">
        <f t="shared" si="37"/>
        <v/>
      </c>
      <c r="AB90" s="230"/>
      <c r="AC90" s="226"/>
      <c r="AD90" s="231"/>
      <c r="AE90" s="194" t="str">
        <f t="shared" si="38"/>
        <v/>
      </c>
      <c r="AF90" s="170" t="str">
        <f t="shared" si="39"/>
        <v/>
      </c>
      <c r="AG90" s="188" t="str">
        <f t="shared" si="40"/>
        <v/>
      </c>
      <c r="AH90" s="105"/>
      <c r="AI90" s="106"/>
      <c r="AJ90" s="107"/>
      <c r="AK90" s="90" t="str">
        <f t="shared" si="24"/>
        <v/>
      </c>
      <c r="AL90" s="91" t="str">
        <f t="shared" si="25"/>
        <v/>
      </c>
      <c r="AM90" s="93" t="str">
        <f t="shared" si="26"/>
        <v/>
      </c>
      <c r="AN90" s="162"/>
      <c r="AO90" s="107"/>
      <c r="AP90" s="163"/>
      <c r="AQ90" s="157" t="str">
        <f t="shared" si="27"/>
        <v/>
      </c>
      <c r="AR90" s="91" t="str">
        <f t="shared" si="28"/>
        <v/>
      </c>
      <c r="AS90" s="93" t="str">
        <f t="shared" si="29"/>
        <v/>
      </c>
      <c r="AT90" s="90" t="str">
        <f t="shared" si="30"/>
        <v/>
      </c>
      <c r="AU90" s="93" t="str">
        <f t="shared" si="31"/>
        <v/>
      </c>
      <c r="AV90" s="241" t="str">
        <f t="shared" si="41"/>
        <v/>
      </c>
      <c r="AW90" s="238" t="str">
        <f>IF(C90="","",IFERROR(_xlfn.XLOOKUP(AV90,HELPER!$C$8:$C$48,HELPER!$D$8:$D$48,,1),""))</f>
        <v/>
      </c>
      <c r="AX90" s="113" t="str">
        <f>IF(C90="","",IFERROR(_xlfn.XLOOKUP(AW90,HELPER!$F$8:$F$48,HELPER!$G$8:$G$48,,1),""))</f>
        <v/>
      </c>
      <c r="AY90" s="168"/>
      <c r="AZ90" s="148"/>
    </row>
    <row r="91" spans="1:52" ht="15" customHeight="1" x14ac:dyDescent="0.25">
      <c r="A91" s="168"/>
      <c r="B91" s="111">
        <v>22</v>
      </c>
      <c r="C91" s="346" t="str">
        <f>IF('INPUT DATA'!N32="","",'INPUT DATA'!N32)</f>
        <v/>
      </c>
      <c r="D91" s="347"/>
      <c r="E91" s="347"/>
      <c r="F91" s="200"/>
      <c r="G91" s="201"/>
      <c r="H91" s="201"/>
      <c r="I91" s="201"/>
      <c r="J91" s="202"/>
      <c r="K91" s="194" t="str">
        <f t="shared" si="32"/>
        <v/>
      </c>
      <c r="L91" s="170" t="str">
        <f t="shared" si="33"/>
        <v/>
      </c>
      <c r="M91" s="188" t="str">
        <f t="shared" si="34"/>
        <v/>
      </c>
      <c r="N91" s="105"/>
      <c r="O91" s="106"/>
      <c r="P91" s="106"/>
      <c r="Q91" s="106"/>
      <c r="R91" s="107"/>
      <c r="S91" s="217" t="str">
        <f t="shared" si="21"/>
        <v/>
      </c>
      <c r="T91" s="91" t="str">
        <f t="shared" si="22"/>
        <v/>
      </c>
      <c r="U91" s="218" t="str">
        <f t="shared" si="23"/>
        <v/>
      </c>
      <c r="V91" s="230"/>
      <c r="W91" s="226"/>
      <c r="X91" s="231"/>
      <c r="Y91" s="194" t="str">
        <f t="shared" si="35"/>
        <v/>
      </c>
      <c r="Z91" s="170" t="str">
        <f t="shared" si="36"/>
        <v/>
      </c>
      <c r="AA91" s="188" t="str">
        <f t="shared" si="37"/>
        <v/>
      </c>
      <c r="AB91" s="230"/>
      <c r="AC91" s="226"/>
      <c r="AD91" s="231"/>
      <c r="AE91" s="194" t="str">
        <f t="shared" si="38"/>
        <v/>
      </c>
      <c r="AF91" s="170" t="str">
        <f t="shared" si="39"/>
        <v/>
      </c>
      <c r="AG91" s="188" t="str">
        <f t="shared" si="40"/>
        <v/>
      </c>
      <c r="AH91" s="105"/>
      <c r="AI91" s="106"/>
      <c r="AJ91" s="107"/>
      <c r="AK91" s="90" t="str">
        <f t="shared" si="24"/>
        <v/>
      </c>
      <c r="AL91" s="91" t="str">
        <f t="shared" si="25"/>
        <v/>
      </c>
      <c r="AM91" s="93" t="str">
        <f t="shared" si="26"/>
        <v/>
      </c>
      <c r="AN91" s="162"/>
      <c r="AO91" s="107"/>
      <c r="AP91" s="163"/>
      <c r="AQ91" s="157" t="str">
        <f t="shared" si="27"/>
        <v/>
      </c>
      <c r="AR91" s="91" t="str">
        <f t="shared" si="28"/>
        <v/>
      </c>
      <c r="AS91" s="93" t="str">
        <f t="shared" si="29"/>
        <v/>
      </c>
      <c r="AT91" s="90" t="str">
        <f t="shared" si="30"/>
        <v/>
      </c>
      <c r="AU91" s="93" t="str">
        <f t="shared" si="31"/>
        <v/>
      </c>
      <c r="AV91" s="241" t="str">
        <f t="shared" si="41"/>
        <v/>
      </c>
      <c r="AW91" s="238" t="str">
        <f>IF(C91="","",IFERROR(_xlfn.XLOOKUP(AV91,HELPER!$C$8:$C$48,HELPER!$D$8:$D$48,,1),""))</f>
        <v/>
      </c>
      <c r="AX91" s="113" t="str">
        <f>IF(C91="","",IFERROR(_xlfn.XLOOKUP(AW91,HELPER!$F$8:$F$48,HELPER!$G$8:$G$48,,1),""))</f>
        <v/>
      </c>
      <c r="AY91" s="168"/>
      <c r="AZ91" s="148"/>
    </row>
    <row r="92" spans="1:52" ht="15" customHeight="1" x14ac:dyDescent="0.25">
      <c r="A92" s="168"/>
      <c r="B92" s="111">
        <v>23</v>
      </c>
      <c r="C92" s="346" t="str">
        <f>IF('INPUT DATA'!N33="","",'INPUT DATA'!N33)</f>
        <v/>
      </c>
      <c r="D92" s="347"/>
      <c r="E92" s="347"/>
      <c r="F92" s="200"/>
      <c r="G92" s="201"/>
      <c r="H92" s="201"/>
      <c r="I92" s="201"/>
      <c r="J92" s="202"/>
      <c r="K92" s="194" t="str">
        <f t="shared" si="32"/>
        <v/>
      </c>
      <c r="L92" s="170" t="str">
        <f t="shared" si="33"/>
        <v/>
      </c>
      <c r="M92" s="188" t="str">
        <f t="shared" si="34"/>
        <v/>
      </c>
      <c r="N92" s="105"/>
      <c r="O92" s="106"/>
      <c r="P92" s="106"/>
      <c r="Q92" s="106"/>
      <c r="R92" s="107"/>
      <c r="S92" s="217" t="str">
        <f t="shared" si="21"/>
        <v/>
      </c>
      <c r="T92" s="91" t="str">
        <f t="shared" si="22"/>
        <v/>
      </c>
      <c r="U92" s="218" t="str">
        <f t="shared" si="23"/>
        <v/>
      </c>
      <c r="V92" s="230"/>
      <c r="W92" s="226"/>
      <c r="X92" s="231"/>
      <c r="Y92" s="194" t="str">
        <f t="shared" si="35"/>
        <v/>
      </c>
      <c r="Z92" s="170" t="str">
        <f t="shared" si="36"/>
        <v/>
      </c>
      <c r="AA92" s="188" t="str">
        <f t="shared" si="37"/>
        <v/>
      </c>
      <c r="AB92" s="230"/>
      <c r="AC92" s="226"/>
      <c r="AD92" s="231"/>
      <c r="AE92" s="194" t="str">
        <f t="shared" si="38"/>
        <v/>
      </c>
      <c r="AF92" s="170" t="str">
        <f t="shared" si="39"/>
        <v/>
      </c>
      <c r="AG92" s="188" t="str">
        <f t="shared" si="40"/>
        <v/>
      </c>
      <c r="AH92" s="105"/>
      <c r="AI92" s="106"/>
      <c r="AJ92" s="107"/>
      <c r="AK92" s="90" t="str">
        <f t="shared" si="24"/>
        <v/>
      </c>
      <c r="AL92" s="91" t="str">
        <f t="shared" si="25"/>
        <v/>
      </c>
      <c r="AM92" s="93" t="str">
        <f t="shared" si="26"/>
        <v/>
      </c>
      <c r="AN92" s="162"/>
      <c r="AO92" s="107"/>
      <c r="AP92" s="163"/>
      <c r="AQ92" s="157" t="str">
        <f t="shared" si="27"/>
        <v/>
      </c>
      <c r="AR92" s="91" t="str">
        <f t="shared" si="28"/>
        <v/>
      </c>
      <c r="AS92" s="93" t="str">
        <f t="shared" si="29"/>
        <v/>
      </c>
      <c r="AT92" s="90" t="str">
        <f t="shared" si="30"/>
        <v/>
      </c>
      <c r="AU92" s="93" t="str">
        <f t="shared" si="31"/>
        <v/>
      </c>
      <c r="AV92" s="241" t="str">
        <f t="shared" si="41"/>
        <v/>
      </c>
      <c r="AW92" s="238" t="str">
        <f>IF(C92="","",IFERROR(_xlfn.XLOOKUP(AV92,HELPER!$C$8:$C$48,HELPER!$D$8:$D$48,,1),""))</f>
        <v/>
      </c>
      <c r="AX92" s="113" t="str">
        <f>IF(C92="","",IFERROR(_xlfn.XLOOKUP(AW92,HELPER!$F$8:$F$48,HELPER!$G$8:$G$48,,1),""))</f>
        <v/>
      </c>
      <c r="AY92" s="168"/>
      <c r="AZ92" s="148"/>
    </row>
    <row r="93" spans="1:52" ht="15" customHeight="1" x14ac:dyDescent="0.25">
      <c r="A93" s="168"/>
      <c r="B93" s="111">
        <v>24</v>
      </c>
      <c r="C93" s="346" t="str">
        <f>IF('INPUT DATA'!N34="","",'INPUT DATA'!N34)</f>
        <v/>
      </c>
      <c r="D93" s="347"/>
      <c r="E93" s="347"/>
      <c r="F93" s="200"/>
      <c r="G93" s="201"/>
      <c r="H93" s="201"/>
      <c r="I93" s="201"/>
      <c r="J93" s="202"/>
      <c r="K93" s="194" t="str">
        <f t="shared" si="32"/>
        <v/>
      </c>
      <c r="L93" s="170" t="str">
        <f t="shared" si="33"/>
        <v/>
      </c>
      <c r="M93" s="188" t="str">
        <f t="shared" si="34"/>
        <v/>
      </c>
      <c r="N93" s="105"/>
      <c r="O93" s="106"/>
      <c r="P93" s="106"/>
      <c r="Q93" s="106"/>
      <c r="R93" s="107"/>
      <c r="S93" s="217" t="str">
        <f t="shared" si="21"/>
        <v/>
      </c>
      <c r="T93" s="91" t="str">
        <f t="shared" si="22"/>
        <v/>
      </c>
      <c r="U93" s="218" t="str">
        <f t="shared" si="23"/>
        <v/>
      </c>
      <c r="V93" s="230"/>
      <c r="W93" s="226"/>
      <c r="X93" s="231"/>
      <c r="Y93" s="194" t="str">
        <f t="shared" si="35"/>
        <v/>
      </c>
      <c r="Z93" s="170" t="str">
        <f t="shared" si="36"/>
        <v/>
      </c>
      <c r="AA93" s="188" t="str">
        <f t="shared" si="37"/>
        <v/>
      </c>
      <c r="AB93" s="230"/>
      <c r="AC93" s="226"/>
      <c r="AD93" s="231"/>
      <c r="AE93" s="194" t="str">
        <f t="shared" si="38"/>
        <v/>
      </c>
      <c r="AF93" s="170" t="str">
        <f t="shared" si="39"/>
        <v/>
      </c>
      <c r="AG93" s="188" t="str">
        <f t="shared" si="40"/>
        <v/>
      </c>
      <c r="AH93" s="105"/>
      <c r="AI93" s="106"/>
      <c r="AJ93" s="107"/>
      <c r="AK93" s="90" t="str">
        <f t="shared" si="24"/>
        <v/>
      </c>
      <c r="AL93" s="91" t="str">
        <f t="shared" si="25"/>
        <v/>
      </c>
      <c r="AM93" s="93" t="str">
        <f t="shared" si="26"/>
        <v/>
      </c>
      <c r="AN93" s="162"/>
      <c r="AO93" s="107"/>
      <c r="AP93" s="163"/>
      <c r="AQ93" s="157" t="str">
        <f t="shared" si="27"/>
        <v/>
      </c>
      <c r="AR93" s="91" t="str">
        <f t="shared" si="28"/>
        <v/>
      </c>
      <c r="AS93" s="93" t="str">
        <f t="shared" si="29"/>
        <v/>
      </c>
      <c r="AT93" s="90" t="str">
        <f t="shared" si="30"/>
        <v/>
      </c>
      <c r="AU93" s="93" t="str">
        <f t="shared" si="31"/>
        <v/>
      </c>
      <c r="AV93" s="241" t="str">
        <f t="shared" si="41"/>
        <v/>
      </c>
      <c r="AW93" s="238" t="str">
        <f>IF(C93="","",IFERROR(_xlfn.XLOOKUP(AV93,HELPER!$C$8:$C$48,HELPER!$D$8:$D$48,,1),""))</f>
        <v/>
      </c>
      <c r="AX93" s="113" t="str">
        <f>IF(C93="","",IFERROR(_xlfn.XLOOKUP(AW93,HELPER!$F$8:$F$48,HELPER!$G$8:$G$48,,1),""))</f>
        <v/>
      </c>
      <c r="AY93" s="168"/>
      <c r="AZ93" s="148"/>
    </row>
    <row r="94" spans="1:52" ht="15" customHeight="1" x14ac:dyDescent="0.25">
      <c r="A94" s="168"/>
      <c r="B94" s="111">
        <v>25</v>
      </c>
      <c r="C94" s="346" t="str">
        <f>IF('INPUT DATA'!N35="","",'INPUT DATA'!N35)</f>
        <v/>
      </c>
      <c r="D94" s="347"/>
      <c r="E94" s="347"/>
      <c r="F94" s="200"/>
      <c r="G94" s="201"/>
      <c r="H94" s="201"/>
      <c r="I94" s="201"/>
      <c r="J94" s="202"/>
      <c r="K94" s="194" t="str">
        <f t="shared" si="32"/>
        <v/>
      </c>
      <c r="L94" s="170" t="str">
        <f t="shared" si="33"/>
        <v/>
      </c>
      <c r="M94" s="188" t="str">
        <f t="shared" si="34"/>
        <v/>
      </c>
      <c r="N94" s="105"/>
      <c r="O94" s="106"/>
      <c r="P94" s="106"/>
      <c r="Q94" s="106"/>
      <c r="R94" s="107"/>
      <c r="S94" s="217" t="str">
        <f t="shared" si="21"/>
        <v/>
      </c>
      <c r="T94" s="91" t="str">
        <f t="shared" si="22"/>
        <v/>
      </c>
      <c r="U94" s="218" t="str">
        <f t="shared" si="23"/>
        <v/>
      </c>
      <c r="V94" s="230"/>
      <c r="W94" s="226"/>
      <c r="X94" s="231"/>
      <c r="Y94" s="194" t="str">
        <f t="shared" si="35"/>
        <v/>
      </c>
      <c r="Z94" s="170" t="str">
        <f t="shared" si="36"/>
        <v/>
      </c>
      <c r="AA94" s="188" t="str">
        <f t="shared" si="37"/>
        <v/>
      </c>
      <c r="AB94" s="230"/>
      <c r="AC94" s="226"/>
      <c r="AD94" s="231"/>
      <c r="AE94" s="194" t="str">
        <f t="shared" si="38"/>
        <v/>
      </c>
      <c r="AF94" s="170" t="str">
        <f t="shared" si="39"/>
        <v/>
      </c>
      <c r="AG94" s="188" t="str">
        <f t="shared" si="40"/>
        <v/>
      </c>
      <c r="AH94" s="105"/>
      <c r="AI94" s="106"/>
      <c r="AJ94" s="107"/>
      <c r="AK94" s="90" t="str">
        <f t="shared" si="24"/>
        <v/>
      </c>
      <c r="AL94" s="91" t="str">
        <f t="shared" si="25"/>
        <v/>
      </c>
      <c r="AM94" s="93" t="str">
        <f t="shared" si="26"/>
        <v/>
      </c>
      <c r="AN94" s="162"/>
      <c r="AO94" s="107"/>
      <c r="AP94" s="163"/>
      <c r="AQ94" s="157" t="str">
        <f t="shared" si="27"/>
        <v/>
      </c>
      <c r="AR94" s="91" t="str">
        <f t="shared" si="28"/>
        <v/>
      </c>
      <c r="AS94" s="93" t="str">
        <f t="shared" si="29"/>
        <v/>
      </c>
      <c r="AT94" s="90" t="str">
        <f t="shared" si="30"/>
        <v/>
      </c>
      <c r="AU94" s="93" t="str">
        <f t="shared" si="31"/>
        <v/>
      </c>
      <c r="AV94" s="241" t="str">
        <f t="shared" si="41"/>
        <v/>
      </c>
      <c r="AW94" s="238" t="str">
        <f>IF(C94="","",IFERROR(_xlfn.XLOOKUP(AV94,HELPER!$C$8:$C$48,HELPER!$D$8:$D$48,,1),""))</f>
        <v/>
      </c>
      <c r="AX94" s="113" t="str">
        <f>IF(C94="","",IFERROR(_xlfn.XLOOKUP(AW94,HELPER!$F$8:$F$48,HELPER!$G$8:$G$48,,1),""))</f>
        <v/>
      </c>
      <c r="AY94" s="168"/>
      <c r="AZ94" s="148"/>
    </row>
    <row r="95" spans="1:52" ht="15" customHeight="1" x14ac:dyDescent="0.25">
      <c r="A95" s="168"/>
      <c r="B95" s="111">
        <v>26</v>
      </c>
      <c r="C95" s="346" t="str">
        <f>IF('INPUT DATA'!N36="","",'INPUT DATA'!N36)</f>
        <v/>
      </c>
      <c r="D95" s="347"/>
      <c r="E95" s="347"/>
      <c r="F95" s="200"/>
      <c r="G95" s="201"/>
      <c r="H95" s="201"/>
      <c r="I95" s="201"/>
      <c r="J95" s="202"/>
      <c r="K95" s="194" t="str">
        <f t="shared" si="32"/>
        <v/>
      </c>
      <c r="L95" s="170" t="str">
        <f t="shared" si="33"/>
        <v/>
      </c>
      <c r="M95" s="188" t="str">
        <f t="shared" si="34"/>
        <v/>
      </c>
      <c r="N95" s="105"/>
      <c r="O95" s="106"/>
      <c r="P95" s="106"/>
      <c r="Q95" s="106"/>
      <c r="R95" s="107"/>
      <c r="S95" s="217" t="str">
        <f t="shared" si="21"/>
        <v/>
      </c>
      <c r="T95" s="91" t="str">
        <f t="shared" si="22"/>
        <v/>
      </c>
      <c r="U95" s="218" t="str">
        <f t="shared" si="23"/>
        <v/>
      </c>
      <c r="V95" s="230"/>
      <c r="W95" s="226"/>
      <c r="X95" s="231"/>
      <c r="Y95" s="194" t="str">
        <f t="shared" si="35"/>
        <v/>
      </c>
      <c r="Z95" s="170" t="str">
        <f t="shared" si="36"/>
        <v/>
      </c>
      <c r="AA95" s="188" t="str">
        <f t="shared" si="37"/>
        <v/>
      </c>
      <c r="AB95" s="230"/>
      <c r="AC95" s="226"/>
      <c r="AD95" s="231"/>
      <c r="AE95" s="194" t="str">
        <f t="shared" si="38"/>
        <v/>
      </c>
      <c r="AF95" s="170" t="str">
        <f t="shared" si="39"/>
        <v/>
      </c>
      <c r="AG95" s="188" t="str">
        <f t="shared" si="40"/>
        <v/>
      </c>
      <c r="AH95" s="105"/>
      <c r="AI95" s="106"/>
      <c r="AJ95" s="107"/>
      <c r="AK95" s="90" t="str">
        <f t="shared" si="24"/>
        <v/>
      </c>
      <c r="AL95" s="91" t="str">
        <f t="shared" si="25"/>
        <v/>
      </c>
      <c r="AM95" s="93" t="str">
        <f t="shared" si="26"/>
        <v/>
      </c>
      <c r="AN95" s="162"/>
      <c r="AO95" s="107"/>
      <c r="AP95" s="163"/>
      <c r="AQ95" s="157" t="str">
        <f t="shared" si="27"/>
        <v/>
      </c>
      <c r="AR95" s="91" t="str">
        <f t="shared" si="28"/>
        <v/>
      </c>
      <c r="AS95" s="93" t="str">
        <f t="shared" si="29"/>
        <v/>
      </c>
      <c r="AT95" s="90" t="str">
        <f t="shared" si="30"/>
        <v/>
      </c>
      <c r="AU95" s="93" t="str">
        <f t="shared" si="31"/>
        <v/>
      </c>
      <c r="AV95" s="241" t="str">
        <f t="shared" si="41"/>
        <v/>
      </c>
      <c r="AW95" s="238" t="str">
        <f>IF(C95="","",IFERROR(_xlfn.XLOOKUP(AV95,HELPER!$C$8:$C$48,HELPER!$D$8:$D$48,,1),""))</f>
        <v/>
      </c>
      <c r="AX95" s="113" t="str">
        <f>IF(C95="","",IFERROR(_xlfn.XLOOKUP(AW95,HELPER!$F$8:$F$48,HELPER!$G$8:$G$48,,1),""))</f>
        <v/>
      </c>
      <c r="AY95" s="168"/>
      <c r="AZ95" s="148"/>
    </row>
    <row r="96" spans="1:52" ht="15" customHeight="1" x14ac:dyDescent="0.25">
      <c r="A96" s="168"/>
      <c r="B96" s="111">
        <v>27</v>
      </c>
      <c r="C96" s="346" t="str">
        <f>IF('INPUT DATA'!N37="","",'INPUT DATA'!N37)</f>
        <v/>
      </c>
      <c r="D96" s="347"/>
      <c r="E96" s="347"/>
      <c r="F96" s="200"/>
      <c r="G96" s="201"/>
      <c r="H96" s="201"/>
      <c r="I96" s="201"/>
      <c r="J96" s="202"/>
      <c r="K96" s="194" t="str">
        <f t="shared" si="32"/>
        <v/>
      </c>
      <c r="L96" s="170" t="str">
        <f t="shared" si="33"/>
        <v/>
      </c>
      <c r="M96" s="188" t="str">
        <f t="shared" si="34"/>
        <v/>
      </c>
      <c r="N96" s="105"/>
      <c r="O96" s="106"/>
      <c r="P96" s="106"/>
      <c r="Q96" s="106"/>
      <c r="R96" s="107"/>
      <c r="S96" s="217" t="str">
        <f t="shared" si="21"/>
        <v/>
      </c>
      <c r="T96" s="91" t="str">
        <f t="shared" si="22"/>
        <v/>
      </c>
      <c r="U96" s="218" t="str">
        <f t="shared" si="23"/>
        <v/>
      </c>
      <c r="V96" s="230"/>
      <c r="W96" s="226"/>
      <c r="X96" s="231"/>
      <c r="Y96" s="194" t="str">
        <f t="shared" si="35"/>
        <v/>
      </c>
      <c r="Z96" s="170" t="str">
        <f t="shared" si="36"/>
        <v/>
      </c>
      <c r="AA96" s="188" t="str">
        <f t="shared" si="37"/>
        <v/>
      </c>
      <c r="AB96" s="230"/>
      <c r="AC96" s="226"/>
      <c r="AD96" s="231"/>
      <c r="AE96" s="194" t="str">
        <f t="shared" si="38"/>
        <v/>
      </c>
      <c r="AF96" s="170" t="str">
        <f t="shared" si="39"/>
        <v/>
      </c>
      <c r="AG96" s="188" t="str">
        <f t="shared" si="40"/>
        <v/>
      </c>
      <c r="AH96" s="105"/>
      <c r="AI96" s="106"/>
      <c r="AJ96" s="107"/>
      <c r="AK96" s="90" t="str">
        <f t="shared" si="24"/>
        <v/>
      </c>
      <c r="AL96" s="91" t="str">
        <f t="shared" si="25"/>
        <v/>
      </c>
      <c r="AM96" s="93" t="str">
        <f t="shared" si="26"/>
        <v/>
      </c>
      <c r="AN96" s="162"/>
      <c r="AO96" s="107"/>
      <c r="AP96" s="163"/>
      <c r="AQ96" s="157" t="str">
        <f t="shared" si="27"/>
        <v/>
      </c>
      <c r="AR96" s="91" t="str">
        <f t="shared" si="28"/>
        <v/>
      </c>
      <c r="AS96" s="93" t="str">
        <f t="shared" si="29"/>
        <v/>
      </c>
      <c r="AT96" s="90" t="str">
        <f t="shared" si="30"/>
        <v/>
      </c>
      <c r="AU96" s="93" t="str">
        <f t="shared" si="31"/>
        <v/>
      </c>
      <c r="AV96" s="241" t="str">
        <f t="shared" si="41"/>
        <v/>
      </c>
      <c r="AW96" s="238" t="str">
        <f>IF(C96="","",IFERROR(_xlfn.XLOOKUP(AV96,HELPER!$C$8:$C$48,HELPER!$D$8:$D$48,,1),""))</f>
        <v/>
      </c>
      <c r="AX96" s="113" t="str">
        <f>IF(C96="","",IFERROR(_xlfn.XLOOKUP(AW96,HELPER!$F$8:$F$48,HELPER!$G$8:$G$48,,1),""))</f>
        <v/>
      </c>
      <c r="AY96" s="168"/>
      <c r="AZ96" s="148"/>
    </row>
    <row r="97" spans="1:52" ht="15" customHeight="1" x14ac:dyDescent="0.25">
      <c r="A97" s="168"/>
      <c r="B97" s="111">
        <v>28</v>
      </c>
      <c r="C97" s="346" t="str">
        <f>IF('INPUT DATA'!N38="","",'INPUT DATA'!N38)</f>
        <v/>
      </c>
      <c r="D97" s="347"/>
      <c r="E97" s="347"/>
      <c r="F97" s="200"/>
      <c r="G97" s="201"/>
      <c r="H97" s="201"/>
      <c r="I97" s="201"/>
      <c r="J97" s="202"/>
      <c r="K97" s="194" t="str">
        <f t="shared" si="32"/>
        <v/>
      </c>
      <c r="L97" s="170" t="str">
        <f t="shared" si="33"/>
        <v/>
      </c>
      <c r="M97" s="188" t="str">
        <f t="shared" si="34"/>
        <v/>
      </c>
      <c r="N97" s="105"/>
      <c r="O97" s="106"/>
      <c r="P97" s="106"/>
      <c r="Q97" s="106"/>
      <c r="R97" s="107"/>
      <c r="S97" s="217" t="str">
        <f t="shared" si="21"/>
        <v/>
      </c>
      <c r="T97" s="91" t="str">
        <f t="shared" si="22"/>
        <v/>
      </c>
      <c r="U97" s="218" t="str">
        <f t="shared" si="23"/>
        <v/>
      </c>
      <c r="V97" s="230"/>
      <c r="W97" s="226"/>
      <c r="X97" s="231"/>
      <c r="Y97" s="194" t="str">
        <f t="shared" si="35"/>
        <v/>
      </c>
      <c r="Z97" s="170" t="str">
        <f t="shared" si="36"/>
        <v/>
      </c>
      <c r="AA97" s="188" t="str">
        <f t="shared" si="37"/>
        <v/>
      </c>
      <c r="AB97" s="230"/>
      <c r="AC97" s="226"/>
      <c r="AD97" s="231"/>
      <c r="AE97" s="194" t="str">
        <f t="shared" si="38"/>
        <v/>
      </c>
      <c r="AF97" s="170" t="str">
        <f t="shared" si="39"/>
        <v/>
      </c>
      <c r="AG97" s="188" t="str">
        <f t="shared" si="40"/>
        <v/>
      </c>
      <c r="AH97" s="105"/>
      <c r="AI97" s="106"/>
      <c r="AJ97" s="107"/>
      <c r="AK97" s="90" t="str">
        <f t="shared" si="24"/>
        <v/>
      </c>
      <c r="AL97" s="91" t="str">
        <f t="shared" si="25"/>
        <v/>
      </c>
      <c r="AM97" s="93" t="str">
        <f t="shared" si="26"/>
        <v/>
      </c>
      <c r="AN97" s="162"/>
      <c r="AO97" s="107"/>
      <c r="AP97" s="163"/>
      <c r="AQ97" s="157" t="str">
        <f t="shared" si="27"/>
        <v/>
      </c>
      <c r="AR97" s="91" t="str">
        <f t="shared" si="28"/>
        <v/>
      </c>
      <c r="AS97" s="93" t="str">
        <f t="shared" si="29"/>
        <v/>
      </c>
      <c r="AT97" s="90" t="str">
        <f t="shared" si="30"/>
        <v/>
      </c>
      <c r="AU97" s="93" t="str">
        <f t="shared" si="31"/>
        <v/>
      </c>
      <c r="AV97" s="241" t="str">
        <f t="shared" si="41"/>
        <v/>
      </c>
      <c r="AW97" s="238" t="str">
        <f>IF(C97="","",IFERROR(_xlfn.XLOOKUP(AV97,HELPER!$C$8:$C$48,HELPER!$D$8:$D$48,,1),""))</f>
        <v/>
      </c>
      <c r="AX97" s="113" t="str">
        <f>IF(C97="","",IFERROR(_xlfn.XLOOKUP(AW97,HELPER!$F$8:$F$48,HELPER!$G$8:$G$48,,1),""))</f>
        <v/>
      </c>
      <c r="AY97" s="168"/>
      <c r="AZ97" s="148"/>
    </row>
    <row r="98" spans="1:52" ht="15" customHeight="1" x14ac:dyDescent="0.25">
      <c r="A98" s="168"/>
      <c r="B98" s="111">
        <v>29</v>
      </c>
      <c r="C98" s="346" t="str">
        <f>IF('INPUT DATA'!N39="","",'INPUT DATA'!N39)</f>
        <v/>
      </c>
      <c r="D98" s="347"/>
      <c r="E98" s="347"/>
      <c r="F98" s="200"/>
      <c r="G98" s="201"/>
      <c r="H98" s="201"/>
      <c r="I98" s="201"/>
      <c r="J98" s="202"/>
      <c r="K98" s="194" t="str">
        <f t="shared" si="32"/>
        <v/>
      </c>
      <c r="L98" s="170" t="str">
        <f t="shared" si="33"/>
        <v/>
      </c>
      <c r="M98" s="188" t="str">
        <f t="shared" si="34"/>
        <v/>
      </c>
      <c r="N98" s="105"/>
      <c r="O98" s="106"/>
      <c r="P98" s="106"/>
      <c r="Q98" s="106"/>
      <c r="R98" s="107"/>
      <c r="S98" s="217" t="str">
        <f t="shared" si="21"/>
        <v/>
      </c>
      <c r="T98" s="91" t="str">
        <f t="shared" si="22"/>
        <v/>
      </c>
      <c r="U98" s="218" t="str">
        <f t="shared" si="23"/>
        <v/>
      </c>
      <c r="V98" s="230"/>
      <c r="W98" s="226"/>
      <c r="X98" s="231"/>
      <c r="Y98" s="194" t="str">
        <f t="shared" si="35"/>
        <v/>
      </c>
      <c r="Z98" s="170" t="str">
        <f t="shared" si="36"/>
        <v/>
      </c>
      <c r="AA98" s="188" t="str">
        <f t="shared" si="37"/>
        <v/>
      </c>
      <c r="AB98" s="230"/>
      <c r="AC98" s="226"/>
      <c r="AD98" s="231"/>
      <c r="AE98" s="194" t="str">
        <f t="shared" si="38"/>
        <v/>
      </c>
      <c r="AF98" s="170" t="str">
        <f t="shared" si="39"/>
        <v/>
      </c>
      <c r="AG98" s="188" t="str">
        <f t="shared" si="40"/>
        <v/>
      </c>
      <c r="AH98" s="105"/>
      <c r="AI98" s="106"/>
      <c r="AJ98" s="107"/>
      <c r="AK98" s="90" t="str">
        <f t="shared" si="24"/>
        <v/>
      </c>
      <c r="AL98" s="91" t="str">
        <f t="shared" si="25"/>
        <v/>
      </c>
      <c r="AM98" s="93" t="str">
        <f t="shared" si="26"/>
        <v/>
      </c>
      <c r="AN98" s="162"/>
      <c r="AO98" s="107"/>
      <c r="AP98" s="163"/>
      <c r="AQ98" s="157" t="str">
        <f t="shared" si="27"/>
        <v/>
      </c>
      <c r="AR98" s="91" t="str">
        <f t="shared" si="28"/>
        <v/>
      </c>
      <c r="AS98" s="93" t="str">
        <f t="shared" si="29"/>
        <v/>
      </c>
      <c r="AT98" s="90" t="str">
        <f t="shared" si="30"/>
        <v/>
      </c>
      <c r="AU98" s="93" t="str">
        <f t="shared" si="31"/>
        <v/>
      </c>
      <c r="AV98" s="241" t="str">
        <f t="shared" si="41"/>
        <v/>
      </c>
      <c r="AW98" s="238" t="str">
        <f>IF(C98="","",IFERROR(_xlfn.XLOOKUP(AV98,HELPER!$C$8:$C$48,HELPER!$D$8:$D$48,,1),""))</f>
        <v/>
      </c>
      <c r="AX98" s="113" t="str">
        <f>IF(C98="","",IFERROR(_xlfn.XLOOKUP(AW98,HELPER!$F$8:$F$48,HELPER!$G$8:$G$48,,1),""))</f>
        <v/>
      </c>
      <c r="AY98" s="168"/>
      <c r="AZ98" s="148"/>
    </row>
    <row r="99" spans="1:52" ht="15" customHeight="1" x14ac:dyDescent="0.25">
      <c r="A99" s="168"/>
      <c r="B99" s="111">
        <v>30</v>
      </c>
      <c r="C99" s="346" t="str">
        <f>IF('INPUT DATA'!N40="","",'INPUT DATA'!N40)</f>
        <v/>
      </c>
      <c r="D99" s="347"/>
      <c r="E99" s="347"/>
      <c r="F99" s="200"/>
      <c r="G99" s="201"/>
      <c r="H99" s="201"/>
      <c r="I99" s="201"/>
      <c r="J99" s="202"/>
      <c r="K99" s="194" t="str">
        <f t="shared" si="32"/>
        <v/>
      </c>
      <c r="L99" s="170" t="str">
        <f t="shared" si="33"/>
        <v/>
      </c>
      <c r="M99" s="188" t="str">
        <f t="shared" si="34"/>
        <v/>
      </c>
      <c r="N99" s="105"/>
      <c r="O99" s="106"/>
      <c r="P99" s="106"/>
      <c r="Q99" s="106"/>
      <c r="R99" s="107"/>
      <c r="S99" s="217" t="str">
        <f t="shared" si="21"/>
        <v/>
      </c>
      <c r="T99" s="91" t="str">
        <f t="shared" si="22"/>
        <v/>
      </c>
      <c r="U99" s="218" t="str">
        <f t="shared" si="23"/>
        <v/>
      </c>
      <c r="V99" s="230"/>
      <c r="W99" s="226"/>
      <c r="X99" s="231"/>
      <c r="Y99" s="194" t="str">
        <f t="shared" si="35"/>
        <v/>
      </c>
      <c r="Z99" s="170" t="str">
        <f t="shared" si="36"/>
        <v/>
      </c>
      <c r="AA99" s="188" t="str">
        <f t="shared" si="37"/>
        <v/>
      </c>
      <c r="AB99" s="230"/>
      <c r="AC99" s="226"/>
      <c r="AD99" s="231"/>
      <c r="AE99" s="194" t="str">
        <f t="shared" si="38"/>
        <v/>
      </c>
      <c r="AF99" s="170" t="str">
        <f t="shared" si="39"/>
        <v/>
      </c>
      <c r="AG99" s="188" t="str">
        <f t="shared" si="40"/>
        <v/>
      </c>
      <c r="AH99" s="105"/>
      <c r="AI99" s="106"/>
      <c r="AJ99" s="107"/>
      <c r="AK99" s="90" t="str">
        <f t="shared" si="24"/>
        <v/>
      </c>
      <c r="AL99" s="91" t="str">
        <f t="shared" si="25"/>
        <v/>
      </c>
      <c r="AM99" s="93" t="str">
        <f t="shared" si="26"/>
        <v/>
      </c>
      <c r="AN99" s="162"/>
      <c r="AO99" s="107"/>
      <c r="AP99" s="163"/>
      <c r="AQ99" s="157" t="str">
        <f t="shared" si="27"/>
        <v/>
      </c>
      <c r="AR99" s="91" t="str">
        <f t="shared" si="28"/>
        <v/>
      </c>
      <c r="AS99" s="93" t="str">
        <f t="shared" si="29"/>
        <v/>
      </c>
      <c r="AT99" s="90" t="str">
        <f t="shared" si="30"/>
        <v/>
      </c>
      <c r="AU99" s="93" t="str">
        <f t="shared" si="31"/>
        <v/>
      </c>
      <c r="AV99" s="241" t="str">
        <f t="shared" si="41"/>
        <v/>
      </c>
      <c r="AW99" s="238" t="str">
        <f>IF(C99="","",IFERROR(_xlfn.XLOOKUP(AV99,HELPER!$C$8:$C$48,HELPER!$D$8:$D$48,,1),""))</f>
        <v/>
      </c>
      <c r="AX99" s="113" t="str">
        <f>IF(C99="","",IFERROR(_xlfn.XLOOKUP(AW99,HELPER!$F$8:$F$48,HELPER!$G$8:$G$48,,1),""))</f>
        <v/>
      </c>
      <c r="AY99" s="168"/>
      <c r="AZ99" s="148"/>
    </row>
    <row r="100" spans="1:52" ht="15" customHeight="1" x14ac:dyDescent="0.25">
      <c r="A100" s="168"/>
      <c r="B100" s="111">
        <v>31</v>
      </c>
      <c r="C100" s="346" t="str">
        <f>IF('INPUT DATA'!N41="","",'INPUT DATA'!N41)</f>
        <v/>
      </c>
      <c r="D100" s="347"/>
      <c r="E100" s="347"/>
      <c r="F100" s="200"/>
      <c r="G100" s="201"/>
      <c r="H100" s="201"/>
      <c r="I100" s="201"/>
      <c r="J100" s="202"/>
      <c r="K100" s="194" t="str">
        <f t="shared" si="32"/>
        <v/>
      </c>
      <c r="L100" s="170" t="str">
        <f t="shared" si="33"/>
        <v/>
      </c>
      <c r="M100" s="188" t="str">
        <f t="shared" si="34"/>
        <v/>
      </c>
      <c r="N100" s="105"/>
      <c r="O100" s="106"/>
      <c r="P100" s="106"/>
      <c r="Q100" s="106"/>
      <c r="R100" s="107"/>
      <c r="S100" s="217" t="str">
        <f t="shared" si="21"/>
        <v/>
      </c>
      <c r="T100" s="91" t="str">
        <f t="shared" si="22"/>
        <v/>
      </c>
      <c r="U100" s="218" t="str">
        <f t="shared" si="23"/>
        <v/>
      </c>
      <c r="V100" s="230"/>
      <c r="W100" s="226"/>
      <c r="X100" s="231"/>
      <c r="Y100" s="194" t="str">
        <f t="shared" si="35"/>
        <v/>
      </c>
      <c r="Z100" s="170" t="str">
        <f t="shared" si="36"/>
        <v/>
      </c>
      <c r="AA100" s="188" t="str">
        <f t="shared" si="37"/>
        <v/>
      </c>
      <c r="AB100" s="230"/>
      <c r="AC100" s="226"/>
      <c r="AD100" s="231"/>
      <c r="AE100" s="194" t="str">
        <f t="shared" si="38"/>
        <v/>
      </c>
      <c r="AF100" s="170" t="str">
        <f t="shared" si="39"/>
        <v/>
      </c>
      <c r="AG100" s="188" t="str">
        <f t="shared" si="40"/>
        <v/>
      </c>
      <c r="AH100" s="105"/>
      <c r="AI100" s="106"/>
      <c r="AJ100" s="107"/>
      <c r="AK100" s="90" t="str">
        <f t="shared" si="24"/>
        <v/>
      </c>
      <c r="AL100" s="91" t="str">
        <f t="shared" si="25"/>
        <v/>
      </c>
      <c r="AM100" s="93" t="str">
        <f t="shared" si="26"/>
        <v/>
      </c>
      <c r="AN100" s="162"/>
      <c r="AO100" s="107"/>
      <c r="AP100" s="163"/>
      <c r="AQ100" s="157" t="str">
        <f t="shared" si="27"/>
        <v/>
      </c>
      <c r="AR100" s="91" t="str">
        <f t="shared" si="28"/>
        <v/>
      </c>
      <c r="AS100" s="93" t="str">
        <f t="shared" si="29"/>
        <v/>
      </c>
      <c r="AT100" s="90" t="str">
        <f t="shared" si="30"/>
        <v/>
      </c>
      <c r="AU100" s="93" t="str">
        <f t="shared" si="31"/>
        <v/>
      </c>
      <c r="AV100" s="241" t="str">
        <f t="shared" si="41"/>
        <v/>
      </c>
      <c r="AW100" s="238" t="str">
        <f>IF(C100="","",IFERROR(_xlfn.XLOOKUP(AV100,HELPER!$C$8:$C$48,HELPER!$D$8:$D$48,,1),""))</f>
        <v/>
      </c>
      <c r="AX100" s="113" t="str">
        <f>IF(C100="","",IFERROR(_xlfn.XLOOKUP(AW100,HELPER!$F$8:$F$48,HELPER!$G$8:$G$48,,1),""))</f>
        <v/>
      </c>
      <c r="AY100" s="168"/>
      <c r="AZ100" s="148"/>
    </row>
    <row r="101" spans="1:52" ht="15" customHeight="1" x14ac:dyDescent="0.25">
      <c r="A101" s="168"/>
      <c r="B101" s="111">
        <v>32</v>
      </c>
      <c r="C101" s="346" t="str">
        <f>IF('INPUT DATA'!N42="","",'INPUT DATA'!N42)</f>
        <v/>
      </c>
      <c r="D101" s="347"/>
      <c r="E101" s="347"/>
      <c r="F101" s="200"/>
      <c r="G101" s="201"/>
      <c r="H101" s="201"/>
      <c r="I101" s="201"/>
      <c r="J101" s="202"/>
      <c r="K101" s="194" t="str">
        <f t="shared" si="32"/>
        <v/>
      </c>
      <c r="L101" s="170" t="str">
        <f t="shared" si="33"/>
        <v/>
      </c>
      <c r="M101" s="188" t="str">
        <f t="shared" si="34"/>
        <v/>
      </c>
      <c r="N101" s="105"/>
      <c r="O101" s="106"/>
      <c r="P101" s="106"/>
      <c r="Q101" s="106"/>
      <c r="R101" s="107"/>
      <c r="S101" s="217" t="str">
        <f t="shared" si="21"/>
        <v/>
      </c>
      <c r="T101" s="91" t="str">
        <f t="shared" si="22"/>
        <v/>
      </c>
      <c r="U101" s="218" t="str">
        <f t="shared" si="23"/>
        <v/>
      </c>
      <c r="V101" s="230"/>
      <c r="W101" s="226"/>
      <c r="X101" s="231"/>
      <c r="Y101" s="194" t="str">
        <f t="shared" si="35"/>
        <v/>
      </c>
      <c r="Z101" s="170" t="str">
        <f t="shared" si="36"/>
        <v/>
      </c>
      <c r="AA101" s="188" t="str">
        <f t="shared" si="37"/>
        <v/>
      </c>
      <c r="AB101" s="230"/>
      <c r="AC101" s="226"/>
      <c r="AD101" s="231"/>
      <c r="AE101" s="194" t="str">
        <f t="shared" si="38"/>
        <v/>
      </c>
      <c r="AF101" s="170" t="str">
        <f t="shared" si="39"/>
        <v/>
      </c>
      <c r="AG101" s="188" t="str">
        <f t="shared" si="40"/>
        <v/>
      </c>
      <c r="AH101" s="105"/>
      <c r="AI101" s="106"/>
      <c r="AJ101" s="107"/>
      <c r="AK101" s="90" t="str">
        <f t="shared" si="24"/>
        <v/>
      </c>
      <c r="AL101" s="91" t="str">
        <f t="shared" si="25"/>
        <v/>
      </c>
      <c r="AM101" s="93" t="str">
        <f t="shared" si="26"/>
        <v/>
      </c>
      <c r="AN101" s="162"/>
      <c r="AO101" s="107"/>
      <c r="AP101" s="163"/>
      <c r="AQ101" s="157" t="str">
        <f t="shared" si="27"/>
        <v/>
      </c>
      <c r="AR101" s="91" t="str">
        <f t="shared" si="28"/>
        <v/>
      </c>
      <c r="AS101" s="93" t="str">
        <f t="shared" si="29"/>
        <v/>
      </c>
      <c r="AT101" s="90" t="str">
        <f t="shared" si="30"/>
        <v/>
      </c>
      <c r="AU101" s="93" t="str">
        <f t="shared" si="31"/>
        <v/>
      </c>
      <c r="AV101" s="241" t="str">
        <f t="shared" si="41"/>
        <v/>
      </c>
      <c r="AW101" s="238" t="str">
        <f>IF(C101="","",IFERROR(_xlfn.XLOOKUP(AV101,HELPER!$C$8:$C$48,HELPER!$D$8:$D$48,,1),""))</f>
        <v/>
      </c>
      <c r="AX101" s="113" t="str">
        <f>IF(C101="","",IFERROR(_xlfn.XLOOKUP(AW101,HELPER!$F$8:$F$48,HELPER!$G$8:$G$48,,1),""))</f>
        <v/>
      </c>
      <c r="AY101" s="168"/>
      <c r="AZ101" s="148"/>
    </row>
    <row r="102" spans="1:52" ht="15" customHeight="1" x14ac:dyDescent="0.25">
      <c r="A102" s="168"/>
      <c r="B102" s="111">
        <v>33</v>
      </c>
      <c r="C102" s="346" t="str">
        <f>IF('INPUT DATA'!N43="","",'INPUT DATA'!N43)</f>
        <v/>
      </c>
      <c r="D102" s="347"/>
      <c r="E102" s="347"/>
      <c r="F102" s="200"/>
      <c r="G102" s="201"/>
      <c r="H102" s="201"/>
      <c r="I102" s="201"/>
      <c r="J102" s="202"/>
      <c r="K102" s="194" t="str">
        <f t="shared" si="32"/>
        <v/>
      </c>
      <c r="L102" s="170" t="str">
        <f t="shared" si="33"/>
        <v/>
      </c>
      <c r="M102" s="188" t="str">
        <f t="shared" si="34"/>
        <v/>
      </c>
      <c r="N102" s="105"/>
      <c r="O102" s="106"/>
      <c r="P102" s="106"/>
      <c r="Q102" s="106"/>
      <c r="R102" s="107"/>
      <c r="S102" s="217" t="str">
        <f t="shared" si="21"/>
        <v/>
      </c>
      <c r="T102" s="91" t="str">
        <f t="shared" si="22"/>
        <v/>
      </c>
      <c r="U102" s="218" t="str">
        <f t="shared" si="23"/>
        <v/>
      </c>
      <c r="V102" s="230"/>
      <c r="W102" s="226"/>
      <c r="X102" s="231"/>
      <c r="Y102" s="194" t="str">
        <f t="shared" si="35"/>
        <v/>
      </c>
      <c r="Z102" s="170" t="str">
        <f t="shared" si="36"/>
        <v/>
      </c>
      <c r="AA102" s="188" t="str">
        <f t="shared" si="37"/>
        <v/>
      </c>
      <c r="AB102" s="230"/>
      <c r="AC102" s="226"/>
      <c r="AD102" s="231"/>
      <c r="AE102" s="194" t="str">
        <f t="shared" si="38"/>
        <v/>
      </c>
      <c r="AF102" s="170" t="str">
        <f t="shared" si="39"/>
        <v/>
      </c>
      <c r="AG102" s="188" t="str">
        <f t="shared" si="40"/>
        <v/>
      </c>
      <c r="AH102" s="105"/>
      <c r="AI102" s="106"/>
      <c r="AJ102" s="107"/>
      <c r="AK102" s="90" t="str">
        <f t="shared" si="24"/>
        <v/>
      </c>
      <c r="AL102" s="91" t="str">
        <f t="shared" si="25"/>
        <v/>
      </c>
      <c r="AM102" s="93" t="str">
        <f t="shared" si="26"/>
        <v/>
      </c>
      <c r="AN102" s="162"/>
      <c r="AO102" s="107"/>
      <c r="AP102" s="163"/>
      <c r="AQ102" s="157" t="str">
        <f t="shared" si="27"/>
        <v/>
      </c>
      <c r="AR102" s="91" t="str">
        <f t="shared" si="28"/>
        <v/>
      </c>
      <c r="AS102" s="93" t="str">
        <f t="shared" si="29"/>
        <v/>
      </c>
      <c r="AT102" s="90" t="str">
        <f t="shared" si="30"/>
        <v/>
      </c>
      <c r="AU102" s="93" t="str">
        <f t="shared" si="31"/>
        <v/>
      </c>
      <c r="AV102" s="241" t="str">
        <f t="shared" si="41"/>
        <v/>
      </c>
      <c r="AW102" s="238" t="str">
        <f>IF(C102="","",IFERROR(_xlfn.XLOOKUP(AV102,HELPER!$C$8:$C$48,HELPER!$D$8:$D$48,,1),""))</f>
        <v/>
      </c>
      <c r="AX102" s="113" t="str">
        <f>IF(C102="","",IFERROR(_xlfn.XLOOKUP(AW102,HELPER!$F$8:$F$48,HELPER!$G$8:$G$48,,1),""))</f>
        <v/>
      </c>
      <c r="AY102" s="168"/>
      <c r="AZ102" s="148"/>
    </row>
    <row r="103" spans="1:52" ht="15" customHeight="1" x14ac:dyDescent="0.25">
      <c r="A103" s="168"/>
      <c r="B103" s="111">
        <v>34</v>
      </c>
      <c r="C103" s="346" t="str">
        <f>IF('INPUT DATA'!N44="","",'INPUT DATA'!N44)</f>
        <v/>
      </c>
      <c r="D103" s="347"/>
      <c r="E103" s="347"/>
      <c r="F103" s="200"/>
      <c r="G103" s="201"/>
      <c r="H103" s="201"/>
      <c r="I103" s="201"/>
      <c r="J103" s="202"/>
      <c r="K103" s="194" t="str">
        <f t="shared" si="32"/>
        <v/>
      </c>
      <c r="L103" s="170" t="str">
        <f t="shared" si="33"/>
        <v/>
      </c>
      <c r="M103" s="188" t="str">
        <f t="shared" si="34"/>
        <v/>
      </c>
      <c r="N103" s="105"/>
      <c r="O103" s="106"/>
      <c r="P103" s="106"/>
      <c r="Q103" s="106"/>
      <c r="R103" s="107"/>
      <c r="S103" s="217" t="str">
        <f t="shared" si="21"/>
        <v/>
      </c>
      <c r="T103" s="91" t="str">
        <f t="shared" si="22"/>
        <v/>
      </c>
      <c r="U103" s="218" t="str">
        <f t="shared" si="23"/>
        <v/>
      </c>
      <c r="V103" s="230"/>
      <c r="W103" s="226"/>
      <c r="X103" s="231"/>
      <c r="Y103" s="194" t="str">
        <f t="shared" si="35"/>
        <v/>
      </c>
      <c r="Z103" s="170" t="str">
        <f t="shared" si="36"/>
        <v/>
      </c>
      <c r="AA103" s="188" t="str">
        <f t="shared" si="37"/>
        <v/>
      </c>
      <c r="AB103" s="230"/>
      <c r="AC103" s="226"/>
      <c r="AD103" s="231"/>
      <c r="AE103" s="194" t="str">
        <f t="shared" si="38"/>
        <v/>
      </c>
      <c r="AF103" s="170" t="str">
        <f t="shared" si="39"/>
        <v/>
      </c>
      <c r="AG103" s="188" t="str">
        <f t="shared" si="40"/>
        <v/>
      </c>
      <c r="AH103" s="105"/>
      <c r="AI103" s="106"/>
      <c r="AJ103" s="107"/>
      <c r="AK103" s="90" t="str">
        <f t="shared" si="24"/>
        <v/>
      </c>
      <c r="AL103" s="91" t="str">
        <f t="shared" si="25"/>
        <v/>
      </c>
      <c r="AM103" s="93" t="str">
        <f t="shared" si="26"/>
        <v/>
      </c>
      <c r="AN103" s="162"/>
      <c r="AO103" s="107"/>
      <c r="AP103" s="163"/>
      <c r="AQ103" s="157" t="str">
        <f t="shared" si="27"/>
        <v/>
      </c>
      <c r="AR103" s="91" t="str">
        <f t="shared" si="28"/>
        <v/>
      </c>
      <c r="AS103" s="93" t="str">
        <f t="shared" si="29"/>
        <v/>
      </c>
      <c r="AT103" s="90" t="str">
        <f t="shared" si="30"/>
        <v/>
      </c>
      <c r="AU103" s="93" t="str">
        <f t="shared" si="31"/>
        <v/>
      </c>
      <c r="AV103" s="241" t="str">
        <f t="shared" si="41"/>
        <v/>
      </c>
      <c r="AW103" s="238" t="str">
        <f>IF(C103="","",IFERROR(_xlfn.XLOOKUP(AV103,HELPER!$C$8:$C$48,HELPER!$D$8:$D$48,,1),""))</f>
        <v/>
      </c>
      <c r="AX103" s="113" t="str">
        <f>IF(C103="","",IFERROR(_xlfn.XLOOKUP(AW103,HELPER!$F$8:$F$48,HELPER!$G$8:$G$48,,1),""))</f>
        <v/>
      </c>
      <c r="AY103" s="168"/>
      <c r="AZ103" s="148"/>
    </row>
    <row r="104" spans="1:52" ht="15" customHeight="1" x14ac:dyDescent="0.25">
      <c r="A104" s="168"/>
      <c r="B104" s="111">
        <v>35</v>
      </c>
      <c r="C104" s="346" t="str">
        <f>IF('INPUT DATA'!N45="","",'INPUT DATA'!N45)</f>
        <v/>
      </c>
      <c r="D104" s="347"/>
      <c r="E104" s="347"/>
      <c r="F104" s="200"/>
      <c r="G104" s="201"/>
      <c r="H104" s="201"/>
      <c r="I104" s="201"/>
      <c r="J104" s="202"/>
      <c r="K104" s="194" t="str">
        <f t="shared" si="32"/>
        <v/>
      </c>
      <c r="L104" s="170" t="str">
        <f t="shared" si="33"/>
        <v/>
      </c>
      <c r="M104" s="188" t="str">
        <f t="shared" si="34"/>
        <v/>
      </c>
      <c r="N104" s="105"/>
      <c r="O104" s="106"/>
      <c r="P104" s="106"/>
      <c r="Q104" s="106"/>
      <c r="R104" s="107"/>
      <c r="S104" s="217" t="str">
        <f t="shared" si="21"/>
        <v/>
      </c>
      <c r="T104" s="91" t="str">
        <f t="shared" si="22"/>
        <v/>
      </c>
      <c r="U104" s="218" t="str">
        <f t="shared" si="23"/>
        <v/>
      </c>
      <c r="V104" s="230"/>
      <c r="W104" s="226"/>
      <c r="X104" s="231"/>
      <c r="Y104" s="194" t="str">
        <f t="shared" si="35"/>
        <v/>
      </c>
      <c r="Z104" s="170" t="str">
        <f t="shared" si="36"/>
        <v/>
      </c>
      <c r="AA104" s="188" t="str">
        <f t="shared" si="37"/>
        <v/>
      </c>
      <c r="AB104" s="230"/>
      <c r="AC104" s="226"/>
      <c r="AD104" s="231"/>
      <c r="AE104" s="194" t="str">
        <f t="shared" si="38"/>
        <v/>
      </c>
      <c r="AF104" s="170" t="str">
        <f t="shared" si="39"/>
        <v/>
      </c>
      <c r="AG104" s="188" t="str">
        <f t="shared" si="40"/>
        <v/>
      </c>
      <c r="AH104" s="105"/>
      <c r="AI104" s="106"/>
      <c r="AJ104" s="107"/>
      <c r="AK104" s="90" t="str">
        <f t="shared" si="24"/>
        <v/>
      </c>
      <c r="AL104" s="91" t="str">
        <f t="shared" si="25"/>
        <v/>
      </c>
      <c r="AM104" s="93" t="str">
        <f t="shared" si="26"/>
        <v/>
      </c>
      <c r="AN104" s="162"/>
      <c r="AO104" s="107"/>
      <c r="AP104" s="163"/>
      <c r="AQ104" s="157" t="str">
        <f t="shared" si="27"/>
        <v/>
      </c>
      <c r="AR104" s="91" t="str">
        <f t="shared" si="28"/>
        <v/>
      </c>
      <c r="AS104" s="93" t="str">
        <f t="shared" si="29"/>
        <v/>
      </c>
      <c r="AT104" s="90" t="str">
        <f t="shared" si="30"/>
        <v/>
      </c>
      <c r="AU104" s="93" t="str">
        <f t="shared" si="31"/>
        <v/>
      </c>
      <c r="AV104" s="241" t="str">
        <f t="shared" si="41"/>
        <v/>
      </c>
      <c r="AW104" s="238" t="str">
        <f>IF(C104="","",IFERROR(_xlfn.XLOOKUP(AV104,HELPER!$C$8:$C$48,HELPER!$D$8:$D$48,,1),""))</f>
        <v/>
      </c>
      <c r="AX104" s="113" t="str">
        <f>IF(C104="","",IFERROR(_xlfn.XLOOKUP(AW104,HELPER!$F$8:$F$48,HELPER!$G$8:$G$48,,1),""))</f>
        <v/>
      </c>
      <c r="AY104" s="168"/>
      <c r="AZ104" s="148"/>
    </row>
    <row r="105" spans="1:52" ht="15" customHeight="1" x14ac:dyDescent="0.25">
      <c r="A105" s="168"/>
      <c r="B105" s="111">
        <v>36</v>
      </c>
      <c r="C105" s="346" t="str">
        <f>IF('INPUT DATA'!N46="","",'INPUT DATA'!N46)</f>
        <v/>
      </c>
      <c r="D105" s="347"/>
      <c r="E105" s="347"/>
      <c r="F105" s="200"/>
      <c r="G105" s="201"/>
      <c r="H105" s="201"/>
      <c r="I105" s="201"/>
      <c r="J105" s="202"/>
      <c r="K105" s="194" t="str">
        <f t="shared" si="32"/>
        <v/>
      </c>
      <c r="L105" s="170" t="str">
        <f t="shared" si="33"/>
        <v/>
      </c>
      <c r="M105" s="188" t="str">
        <f t="shared" si="34"/>
        <v/>
      </c>
      <c r="N105" s="105"/>
      <c r="O105" s="106"/>
      <c r="P105" s="106"/>
      <c r="Q105" s="106"/>
      <c r="R105" s="107"/>
      <c r="S105" s="217" t="str">
        <f t="shared" si="21"/>
        <v/>
      </c>
      <c r="T105" s="91" t="str">
        <f t="shared" si="22"/>
        <v/>
      </c>
      <c r="U105" s="218" t="str">
        <f t="shared" si="23"/>
        <v/>
      </c>
      <c r="V105" s="230"/>
      <c r="W105" s="226"/>
      <c r="X105" s="231"/>
      <c r="Y105" s="194" t="str">
        <f t="shared" si="35"/>
        <v/>
      </c>
      <c r="Z105" s="170" t="str">
        <f t="shared" si="36"/>
        <v/>
      </c>
      <c r="AA105" s="188" t="str">
        <f t="shared" si="37"/>
        <v/>
      </c>
      <c r="AB105" s="230"/>
      <c r="AC105" s="226"/>
      <c r="AD105" s="231"/>
      <c r="AE105" s="194" t="str">
        <f t="shared" si="38"/>
        <v/>
      </c>
      <c r="AF105" s="170" t="str">
        <f t="shared" si="39"/>
        <v/>
      </c>
      <c r="AG105" s="188" t="str">
        <f t="shared" si="40"/>
        <v/>
      </c>
      <c r="AH105" s="105"/>
      <c r="AI105" s="106"/>
      <c r="AJ105" s="107"/>
      <c r="AK105" s="90" t="str">
        <f t="shared" si="24"/>
        <v/>
      </c>
      <c r="AL105" s="91" t="str">
        <f t="shared" si="25"/>
        <v/>
      </c>
      <c r="AM105" s="93" t="str">
        <f t="shared" si="26"/>
        <v/>
      </c>
      <c r="AN105" s="162"/>
      <c r="AO105" s="107"/>
      <c r="AP105" s="163"/>
      <c r="AQ105" s="157" t="str">
        <f t="shared" si="27"/>
        <v/>
      </c>
      <c r="AR105" s="91" t="str">
        <f t="shared" si="28"/>
        <v/>
      </c>
      <c r="AS105" s="93" t="str">
        <f t="shared" si="29"/>
        <v/>
      </c>
      <c r="AT105" s="90" t="str">
        <f t="shared" si="30"/>
        <v/>
      </c>
      <c r="AU105" s="93" t="str">
        <f t="shared" si="31"/>
        <v/>
      </c>
      <c r="AV105" s="241" t="str">
        <f t="shared" si="41"/>
        <v/>
      </c>
      <c r="AW105" s="238" t="str">
        <f>IF(C105="","",IFERROR(_xlfn.XLOOKUP(AV105,HELPER!$C$8:$C$48,HELPER!$D$8:$D$48,,1),""))</f>
        <v/>
      </c>
      <c r="AX105" s="113" t="str">
        <f>IF(C105="","",IFERROR(_xlfn.XLOOKUP(AW105,HELPER!$F$8:$F$48,HELPER!$G$8:$G$48,,1),""))</f>
        <v/>
      </c>
      <c r="AY105" s="168"/>
      <c r="AZ105" s="148"/>
    </row>
    <row r="106" spans="1:52" ht="15" customHeight="1" x14ac:dyDescent="0.25">
      <c r="A106" s="168"/>
      <c r="B106" s="111">
        <v>37</v>
      </c>
      <c r="C106" s="346" t="str">
        <f>IF('INPUT DATA'!N47="","",'INPUT DATA'!N47)</f>
        <v/>
      </c>
      <c r="D106" s="347"/>
      <c r="E106" s="347"/>
      <c r="F106" s="200"/>
      <c r="G106" s="201"/>
      <c r="H106" s="201"/>
      <c r="I106" s="201"/>
      <c r="J106" s="202"/>
      <c r="K106" s="194" t="str">
        <f t="shared" si="32"/>
        <v/>
      </c>
      <c r="L106" s="170" t="str">
        <f t="shared" si="33"/>
        <v/>
      </c>
      <c r="M106" s="188" t="str">
        <f t="shared" si="34"/>
        <v/>
      </c>
      <c r="N106" s="105"/>
      <c r="O106" s="106"/>
      <c r="P106" s="106"/>
      <c r="Q106" s="106"/>
      <c r="R106" s="107"/>
      <c r="S106" s="217" t="str">
        <f t="shared" si="21"/>
        <v/>
      </c>
      <c r="T106" s="91" t="str">
        <f t="shared" si="22"/>
        <v/>
      </c>
      <c r="U106" s="218" t="str">
        <f t="shared" si="23"/>
        <v/>
      </c>
      <c r="V106" s="230"/>
      <c r="W106" s="226"/>
      <c r="X106" s="231"/>
      <c r="Y106" s="194" t="str">
        <f t="shared" si="35"/>
        <v/>
      </c>
      <c r="Z106" s="170" t="str">
        <f t="shared" si="36"/>
        <v/>
      </c>
      <c r="AA106" s="188" t="str">
        <f t="shared" si="37"/>
        <v/>
      </c>
      <c r="AB106" s="230"/>
      <c r="AC106" s="226"/>
      <c r="AD106" s="231"/>
      <c r="AE106" s="194" t="str">
        <f t="shared" si="38"/>
        <v/>
      </c>
      <c r="AF106" s="170" t="str">
        <f t="shared" si="39"/>
        <v/>
      </c>
      <c r="AG106" s="188" t="str">
        <f t="shared" si="40"/>
        <v/>
      </c>
      <c r="AH106" s="105"/>
      <c r="AI106" s="106"/>
      <c r="AJ106" s="107"/>
      <c r="AK106" s="90" t="str">
        <f t="shared" si="24"/>
        <v/>
      </c>
      <c r="AL106" s="91" t="str">
        <f t="shared" si="25"/>
        <v/>
      </c>
      <c r="AM106" s="93" t="str">
        <f t="shared" si="26"/>
        <v/>
      </c>
      <c r="AN106" s="162"/>
      <c r="AO106" s="107"/>
      <c r="AP106" s="163"/>
      <c r="AQ106" s="157" t="str">
        <f t="shared" si="27"/>
        <v/>
      </c>
      <c r="AR106" s="91" t="str">
        <f t="shared" si="28"/>
        <v/>
      </c>
      <c r="AS106" s="93" t="str">
        <f t="shared" si="29"/>
        <v/>
      </c>
      <c r="AT106" s="90" t="str">
        <f t="shared" si="30"/>
        <v/>
      </c>
      <c r="AU106" s="93" t="str">
        <f t="shared" si="31"/>
        <v/>
      </c>
      <c r="AV106" s="241" t="str">
        <f t="shared" si="41"/>
        <v/>
      </c>
      <c r="AW106" s="238" t="str">
        <f>IF(C106="","",IFERROR(_xlfn.XLOOKUP(AV106,HELPER!$C$8:$C$48,HELPER!$D$8:$D$48,,1),""))</f>
        <v/>
      </c>
      <c r="AX106" s="113" t="str">
        <f>IF(C106="","",IFERROR(_xlfn.XLOOKUP(AW106,HELPER!$F$8:$F$48,HELPER!$G$8:$G$48,,1),""))</f>
        <v/>
      </c>
      <c r="AY106" s="168"/>
      <c r="AZ106" s="148"/>
    </row>
    <row r="107" spans="1:52" ht="15" customHeight="1" x14ac:dyDescent="0.25">
      <c r="A107" s="168"/>
      <c r="B107" s="111">
        <v>38</v>
      </c>
      <c r="C107" s="346" t="str">
        <f>IF('INPUT DATA'!N48="","",'INPUT DATA'!N48)</f>
        <v/>
      </c>
      <c r="D107" s="347"/>
      <c r="E107" s="347"/>
      <c r="F107" s="200"/>
      <c r="G107" s="201"/>
      <c r="H107" s="201"/>
      <c r="I107" s="201"/>
      <c r="J107" s="202"/>
      <c r="K107" s="194" t="str">
        <f t="shared" si="32"/>
        <v/>
      </c>
      <c r="L107" s="170" t="str">
        <f t="shared" si="33"/>
        <v/>
      </c>
      <c r="M107" s="188" t="str">
        <f t="shared" si="34"/>
        <v/>
      </c>
      <c r="N107" s="105"/>
      <c r="O107" s="106"/>
      <c r="P107" s="106"/>
      <c r="Q107" s="106"/>
      <c r="R107" s="107"/>
      <c r="S107" s="217" t="str">
        <f t="shared" si="21"/>
        <v/>
      </c>
      <c r="T107" s="91" t="str">
        <f t="shared" si="22"/>
        <v/>
      </c>
      <c r="U107" s="218" t="str">
        <f t="shared" si="23"/>
        <v/>
      </c>
      <c r="V107" s="230"/>
      <c r="W107" s="226"/>
      <c r="X107" s="231"/>
      <c r="Y107" s="194" t="str">
        <f t="shared" si="35"/>
        <v/>
      </c>
      <c r="Z107" s="170" t="str">
        <f t="shared" si="36"/>
        <v/>
      </c>
      <c r="AA107" s="188" t="str">
        <f t="shared" si="37"/>
        <v/>
      </c>
      <c r="AB107" s="230"/>
      <c r="AC107" s="226"/>
      <c r="AD107" s="231"/>
      <c r="AE107" s="194" t="str">
        <f t="shared" si="38"/>
        <v/>
      </c>
      <c r="AF107" s="170" t="str">
        <f t="shared" si="39"/>
        <v/>
      </c>
      <c r="AG107" s="188" t="str">
        <f t="shared" si="40"/>
        <v/>
      </c>
      <c r="AH107" s="105"/>
      <c r="AI107" s="106"/>
      <c r="AJ107" s="107"/>
      <c r="AK107" s="90" t="str">
        <f t="shared" si="24"/>
        <v/>
      </c>
      <c r="AL107" s="91" t="str">
        <f t="shared" si="25"/>
        <v/>
      </c>
      <c r="AM107" s="93" t="str">
        <f t="shared" si="26"/>
        <v/>
      </c>
      <c r="AN107" s="162"/>
      <c r="AO107" s="107"/>
      <c r="AP107" s="163"/>
      <c r="AQ107" s="157" t="str">
        <f t="shared" si="27"/>
        <v/>
      </c>
      <c r="AR107" s="91" t="str">
        <f t="shared" si="28"/>
        <v/>
      </c>
      <c r="AS107" s="93" t="str">
        <f t="shared" si="29"/>
        <v/>
      </c>
      <c r="AT107" s="90" t="str">
        <f t="shared" si="30"/>
        <v/>
      </c>
      <c r="AU107" s="93" t="str">
        <f t="shared" si="31"/>
        <v/>
      </c>
      <c r="AV107" s="241" t="str">
        <f t="shared" si="41"/>
        <v/>
      </c>
      <c r="AW107" s="238" t="str">
        <f>IF(C107="","",IFERROR(_xlfn.XLOOKUP(AV107,HELPER!$C$8:$C$48,HELPER!$D$8:$D$48,,1),""))</f>
        <v/>
      </c>
      <c r="AX107" s="113" t="str">
        <f>IF(C107="","",IFERROR(_xlfn.XLOOKUP(AW107,HELPER!$F$8:$F$48,HELPER!$G$8:$G$48,,1),""))</f>
        <v/>
      </c>
      <c r="AY107" s="168"/>
      <c r="AZ107" s="148"/>
    </row>
    <row r="108" spans="1:52" ht="15" customHeight="1" x14ac:dyDescent="0.25">
      <c r="A108" s="168"/>
      <c r="B108" s="111">
        <v>39</v>
      </c>
      <c r="C108" s="346" t="str">
        <f>IF('INPUT DATA'!N49="","",'INPUT DATA'!N49)</f>
        <v/>
      </c>
      <c r="D108" s="347"/>
      <c r="E108" s="347"/>
      <c r="F108" s="200"/>
      <c r="G108" s="201"/>
      <c r="H108" s="201"/>
      <c r="I108" s="201"/>
      <c r="J108" s="202"/>
      <c r="K108" s="194" t="str">
        <f t="shared" si="32"/>
        <v/>
      </c>
      <c r="L108" s="170" t="str">
        <f t="shared" si="33"/>
        <v/>
      </c>
      <c r="M108" s="188" t="str">
        <f t="shared" si="34"/>
        <v/>
      </c>
      <c r="N108" s="105"/>
      <c r="O108" s="106"/>
      <c r="P108" s="106"/>
      <c r="Q108" s="106"/>
      <c r="R108" s="107"/>
      <c r="S108" s="217" t="str">
        <f t="shared" si="21"/>
        <v/>
      </c>
      <c r="T108" s="91" t="str">
        <f t="shared" si="22"/>
        <v/>
      </c>
      <c r="U108" s="218" t="str">
        <f t="shared" si="23"/>
        <v/>
      </c>
      <c r="V108" s="230"/>
      <c r="W108" s="226"/>
      <c r="X108" s="231"/>
      <c r="Y108" s="194" t="str">
        <f t="shared" si="35"/>
        <v/>
      </c>
      <c r="Z108" s="170" t="str">
        <f t="shared" si="36"/>
        <v/>
      </c>
      <c r="AA108" s="188" t="str">
        <f t="shared" si="37"/>
        <v/>
      </c>
      <c r="AB108" s="230"/>
      <c r="AC108" s="226"/>
      <c r="AD108" s="231"/>
      <c r="AE108" s="194" t="str">
        <f t="shared" si="38"/>
        <v/>
      </c>
      <c r="AF108" s="170" t="str">
        <f t="shared" si="39"/>
        <v/>
      </c>
      <c r="AG108" s="188" t="str">
        <f t="shared" si="40"/>
        <v/>
      </c>
      <c r="AH108" s="105"/>
      <c r="AI108" s="106"/>
      <c r="AJ108" s="107"/>
      <c r="AK108" s="90" t="str">
        <f t="shared" si="24"/>
        <v/>
      </c>
      <c r="AL108" s="91" t="str">
        <f t="shared" si="25"/>
        <v/>
      </c>
      <c r="AM108" s="93" t="str">
        <f t="shared" si="26"/>
        <v/>
      </c>
      <c r="AN108" s="162"/>
      <c r="AO108" s="107"/>
      <c r="AP108" s="163"/>
      <c r="AQ108" s="157" t="str">
        <f t="shared" si="27"/>
        <v/>
      </c>
      <c r="AR108" s="91" t="str">
        <f t="shared" si="28"/>
        <v/>
      </c>
      <c r="AS108" s="93" t="str">
        <f t="shared" si="29"/>
        <v/>
      </c>
      <c r="AT108" s="90" t="str">
        <f t="shared" si="30"/>
        <v/>
      </c>
      <c r="AU108" s="93" t="str">
        <f t="shared" si="31"/>
        <v/>
      </c>
      <c r="AV108" s="241" t="str">
        <f t="shared" si="41"/>
        <v/>
      </c>
      <c r="AW108" s="238" t="str">
        <f>IF(C108="","",IFERROR(_xlfn.XLOOKUP(AV108,HELPER!$C$8:$C$48,HELPER!$D$8:$D$48,,1),""))</f>
        <v/>
      </c>
      <c r="AX108" s="113" t="str">
        <f>IF(C108="","",IFERROR(_xlfn.XLOOKUP(AW108,HELPER!$F$8:$F$48,HELPER!$G$8:$G$48,,1),""))</f>
        <v/>
      </c>
      <c r="AY108" s="168"/>
      <c r="AZ108" s="148"/>
    </row>
    <row r="109" spans="1:52" ht="15" customHeight="1" x14ac:dyDescent="0.25">
      <c r="A109" s="168"/>
      <c r="B109" s="111">
        <v>40</v>
      </c>
      <c r="C109" s="346" t="str">
        <f>IF('INPUT DATA'!N50="","",'INPUT DATA'!N50)</f>
        <v/>
      </c>
      <c r="D109" s="347"/>
      <c r="E109" s="347"/>
      <c r="F109" s="200"/>
      <c r="G109" s="201"/>
      <c r="H109" s="201"/>
      <c r="I109" s="201"/>
      <c r="J109" s="202"/>
      <c r="K109" s="194" t="str">
        <f t="shared" si="32"/>
        <v/>
      </c>
      <c r="L109" s="170" t="str">
        <f t="shared" si="33"/>
        <v/>
      </c>
      <c r="M109" s="188" t="str">
        <f t="shared" si="34"/>
        <v/>
      </c>
      <c r="N109" s="105"/>
      <c r="O109" s="106"/>
      <c r="P109" s="106"/>
      <c r="Q109" s="106"/>
      <c r="R109" s="107"/>
      <c r="S109" s="217" t="str">
        <f t="shared" si="21"/>
        <v/>
      </c>
      <c r="T109" s="91" t="str">
        <f t="shared" si="22"/>
        <v/>
      </c>
      <c r="U109" s="218" t="str">
        <f t="shared" si="23"/>
        <v/>
      </c>
      <c r="V109" s="230"/>
      <c r="W109" s="226"/>
      <c r="X109" s="231"/>
      <c r="Y109" s="194" t="str">
        <f t="shared" si="35"/>
        <v/>
      </c>
      <c r="Z109" s="170" t="str">
        <f t="shared" si="36"/>
        <v/>
      </c>
      <c r="AA109" s="188" t="str">
        <f t="shared" si="37"/>
        <v/>
      </c>
      <c r="AB109" s="230"/>
      <c r="AC109" s="226"/>
      <c r="AD109" s="231"/>
      <c r="AE109" s="194" t="str">
        <f t="shared" si="38"/>
        <v/>
      </c>
      <c r="AF109" s="170" t="str">
        <f t="shared" si="39"/>
        <v/>
      </c>
      <c r="AG109" s="188" t="str">
        <f t="shared" si="40"/>
        <v/>
      </c>
      <c r="AH109" s="105"/>
      <c r="AI109" s="106"/>
      <c r="AJ109" s="107"/>
      <c r="AK109" s="90" t="str">
        <f t="shared" si="24"/>
        <v/>
      </c>
      <c r="AL109" s="91" t="str">
        <f t="shared" si="25"/>
        <v/>
      </c>
      <c r="AM109" s="93" t="str">
        <f t="shared" si="26"/>
        <v/>
      </c>
      <c r="AN109" s="162"/>
      <c r="AO109" s="107"/>
      <c r="AP109" s="163"/>
      <c r="AQ109" s="157" t="str">
        <f t="shared" si="27"/>
        <v/>
      </c>
      <c r="AR109" s="91" t="str">
        <f t="shared" si="28"/>
        <v/>
      </c>
      <c r="AS109" s="93" t="str">
        <f t="shared" si="29"/>
        <v/>
      </c>
      <c r="AT109" s="90" t="str">
        <f t="shared" si="30"/>
        <v/>
      </c>
      <c r="AU109" s="93" t="str">
        <f t="shared" si="31"/>
        <v/>
      </c>
      <c r="AV109" s="241" t="str">
        <f t="shared" si="41"/>
        <v/>
      </c>
      <c r="AW109" s="238" t="str">
        <f>IF(C109="","",IFERROR(_xlfn.XLOOKUP(AV109,HELPER!$C$8:$C$48,HELPER!$D$8:$D$48,,1),""))</f>
        <v/>
      </c>
      <c r="AX109" s="113" t="str">
        <f>IF(C109="","",IFERROR(_xlfn.XLOOKUP(AW109,HELPER!$F$8:$F$48,HELPER!$G$8:$G$48,,1),""))</f>
        <v/>
      </c>
      <c r="AY109" s="168"/>
      <c r="AZ109" s="148"/>
    </row>
    <row r="110" spans="1:52" ht="15" customHeight="1" x14ac:dyDescent="0.25">
      <c r="A110" s="168"/>
      <c r="B110" s="111">
        <v>41</v>
      </c>
      <c r="C110" s="346" t="str">
        <f>IF('INPUT DATA'!N51="","",'INPUT DATA'!N51)</f>
        <v/>
      </c>
      <c r="D110" s="347"/>
      <c r="E110" s="347"/>
      <c r="F110" s="200"/>
      <c r="G110" s="201"/>
      <c r="H110" s="201"/>
      <c r="I110" s="201"/>
      <c r="J110" s="202"/>
      <c r="K110" s="194" t="str">
        <f t="shared" si="32"/>
        <v/>
      </c>
      <c r="L110" s="170" t="str">
        <f t="shared" si="33"/>
        <v/>
      </c>
      <c r="M110" s="188" t="str">
        <f t="shared" si="34"/>
        <v/>
      </c>
      <c r="N110" s="105"/>
      <c r="O110" s="106"/>
      <c r="P110" s="106"/>
      <c r="Q110" s="106"/>
      <c r="R110" s="107"/>
      <c r="S110" s="217" t="str">
        <f t="shared" si="21"/>
        <v/>
      </c>
      <c r="T110" s="91" t="str">
        <f t="shared" si="22"/>
        <v/>
      </c>
      <c r="U110" s="218" t="str">
        <f t="shared" si="23"/>
        <v/>
      </c>
      <c r="V110" s="230"/>
      <c r="W110" s="226"/>
      <c r="X110" s="231"/>
      <c r="Y110" s="194" t="str">
        <f t="shared" si="35"/>
        <v/>
      </c>
      <c r="Z110" s="170" t="str">
        <f t="shared" si="36"/>
        <v/>
      </c>
      <c r="AA110" s="188" t="str">
        <f t="shared" si="37"/>
        <v/>
      </c>
      <c r="AB110" s="230"/>
      <c r="AC110" s="226"/>
      <c r="AD110" s="231"/>
      <c r="AE110" s="194" t="str">
        <f t="shared" si="38"/>
        <v/>
      </c>
      <c r="AF110" s="170" t="str">
        <f t="shared" si="39"/>
        <v/>
      </c>
      <c r="AG110" s="188" t="str">
        <f t="shared" si="40"/>
        <v/>
      </c>
      <c r="AH110" s="105"/>
      <c r="AI110" s="106"/>
      <c r="AJ110" s="107"/>
      <c r="AK110" s="90" t="str">
        <f t="shared" si="24"/>
        <v/>
      </c>
      <c r="AL110" s="91" t="str">
        <f t="shared" si="25"/>
        <v/>
      </c>
      <c r="AM110" s="93" t="str">
        <f t="shared" si="26"/>
        <v/>
      </c>
      <c r="AN110" s="162"/>
      <c r="AO110" s="107"/>
      <c r="AP110" s="163"/>
      <c r="AQ110" s="157" t="str">
        <f t="shared" si="27"/>
        <v/>
      </c>
      <c r="AR110" s="91" t="str">
        <f t="shared" si="28"/>
        <v/>
      </c>
      <c r="AS110" s="93" t="str">
        <f t="shared" si="29"/>
        <v/>
      </c>
      <c r="AT110" s="90" t="str">
        <f t="shared" si="30"/>
        <v/>
      </c>
      <c r="AU110" s="93" t="str">
        <f t="shared" si="31"/>
        <v/>
      </c>
      <c r="AV110" s="241" t="str">
        <f t="shared" si="41"/>
        <v/>
      </c>
      <c r="AW110" s="238" t="str">
        <f>IF(C110="","",IFERROR(_xlfn.XLOOKUP(AV110,HELPER!$C$8:$C$48,HELPER!$D$8:$D$48,,1),""))</f>
        <v/>
      </c>
      <c r="AX110" s="113" t="str">
        <f>IF(C110="","",IFERROR(_xlfn.XLOOKUP(AW110,HELPER!$F$8:$F$48,HELPER!$G$8:$G$48,,1),""))</f>
        <v/>
      </c>
      <c r="AY110" s="168"/>
      <c r="AZ110" s="148"/>
    </row>
    <row r="111" spans="1:52" ht="15" customHeight="1" x14ac:dyDescent="0.25">
      <c r="A111" s="168"/>
      <c r="B111" s="111">
        <v>42</v>
      </c>
      <c r="C111" s="346" t="str">
        <f>IF('INPUT DATA'!N52="","",'INPUT DATA'!N52)</f>
        <v/>
      </c>
      <c r="D111" s="347"/>
      <c r="E111" s="347"/>
      <c r="F111" s="200"/>
      <c r="G111" s="201"/>
      <c r="H111" s="201"/>
      <c r="I111" s="201"/>
      <c r="J111" s="202"/>
      <c r="K111" s="194" t="str">
        <f t="shared" si="32"/>
        <v/>
      </c>
      <c r="L111" s="170" t="str">
        <f t="shared" si="33"/>
        <v/>
      </c>
      <c r="M111" s="188" t="str">
        <f t="shared" si="34"/>
        <v/>
      </c>
      <c r="N111" s="105"/>
      <c r="O111" s="106"/>
      <c r="P111" s="106"/>
      <c r="Q111" s="106"/>
      <c r="R111" s="107"/>
      <c r="S111" s="217" t="str">
        <f t="shared" si="21"/>
        <v/>
      </c>
      <c r="T111" s="91" t="str">
        <f t="shared" si="22"/>
        <v/>
      </c>
      <c r="U111" s="218" t="str">
        <f t="shared" si="23"/>
        <v/>
      </c>
      <c r="V111" s="230"/>
      <c r="W111" s="226"/>
      <c r="X111" s="231"/>
      <c r="Y111" s="194" t="str">
        <f t="shared" si="35"/>
        <v/>
      </c>
      <c r="Z111" s="170" t="str">
        <f t="shared" si="36"/>
        <v/>
      </c>
      <c r="AA111" s="188" t="str">
        <f t="shared" si="37"/>
        <v/>
      </c>
      <c r="AB111" s="230"/>
      <c r="AC111" s="226"/>
      <c r="AD111" s="231"/>
      <c r="AE111" s="194" t="str">
        <f t="shared" si="38"/>
        <v/>
      </c>
      <c r="AF111" s="170" t="str">
        <f t="shared" si="39"/>
        <v/>
      </c>
      <c r="AG111" s="188" t="str">
        <f t="shared" si="40"/>
        <v/>
      </c>
      <c r="AH111" s="105"/>
      <c r="AI111" s="106"/>
      <c r="AJ111" s="107"/>
      <c r="AK111" s="90" t="str">
        <f t="shared" si="24"/>
        <v/>
      </c>
      <c r="AL111" s="91" t="str">
        <f t="shared" si="25"/>
        <v/>
      </c>
      <c r="AM111" s="93" t="str">
        <f t="shared" si="26"/>
        <v/>
      </c>
      <c r="AN111" s="162"/>
      <c r="AO111" s="107"/>
      <c r="AP111" s="163"/>
      <c r="AQ111" s="157" t="str">
        <f t="shared" si="27"/>
        <v/>
      </c>
      <c r="AR111" s="91" t="str">
        <f t="shared" si="28"/>
        <v/>
      </c>
      <c r="AS111" s="93" t="str">
        <f t="shared" si="29"/>
        <v/>
      </c>
      <c r="AT111" s="90" t="str">
        <f t="shared" si="30"/>
        <v/>
      </c>
      <c r="AU111" s="93" t="str">
        <f t="shared" si="31"/>
        <v/>
      </c>
      <c r="AV111" s="241" t="str">
        <f t="shared" si="41"/>
        <v/>
      </c>
      <c r="AW111" s="238" t="str">
        <f>IF(C111="","",IFERROR(_xlfn.XLOOKUP(AV111,HELPER!$C$8:$C$48,HELPER!$D$8:$D$48,,1),""))</f>
        <v/>
      </c>
      <c r="AX111" s="113" t="str">
        <f>IF(C111="","",IFERROR(_xlfn.XLOOKUP(AW111,HELPER!$F$8:$F$48,HELPER!$G$8:$G$48,,1),""))</f>
        <v/>
      </c>
      <c r="AY111" s="168"/>
      <c r="AZ111" s="148"/>
    </row>
    <row r="112" spans="1:52" ht="15" customHeight="1" x14ac:dyDescent="0.25">
      <c r="A112" s="168"/>
      <c r="B112" s="111">
        <v>43</v>
      </c>
      <c r="C112" s="346" t="str">
        <f>IF('INPUT DATA'!N53="","",'INPUT DATA'!N53)</f>
        <v/>
      </c>
      <c r="D112" s="347"/>
      <c r="E112" s="347"/>
      <c r="F112" s="200"/>
      <c r="G112" s="201"/>
      <c r="H112" s="201"/>
      <c r="I112" s="201"/>
      <c r="J112" s="202"/>
      <c r="K112" s="194" t="str">
        <f t="shared" si="32"/>
        <v/>
      </c>
      <c r="L112" s="170" t="str">
        <f t="shared" si="33"/>
        <v/>
      </c>
      <c r="M112" s="188" t="str">
        <f t="shared" si="34"/>
        <v/>
      </c>
      <c r="N112" s="105"/>
      <c r="O112" s="106"/>
      <c r="P112" s="106"/>
      <c r="Q112" s="106"/>
      <c r="R112" s="107"/>
      <c r="S112" s="217" t="str">
        <f t="shared" si="21"/>
        <v/>
      </c>
      <c r="T112" s="91" t="str">
        <f t="shared" si="22"/>
        <v/>
      </c>
      <c r="U112" s="218" t="str">
        <f t="shared" si="23"/>
        <v/>
      </c>
      <c r="V112" s="230"/>
      <c r="W112" s="226"/>
      <c r="X112" s="231"/>
      <c r="Y112" s="194" t="str">
        <f t="shared" si="35"/>
        <v/>
      </c>
      <c r="Z112" s="170" t="str">
        <f t="shared" si="36"/>
        <v/>
      </c>
      <c r="AA112" s="188" t="str">
        <f t="shared" si="37"/>
        <v/>
      </c>
      <c r="AB112" s="230"/>
      <c r="AC112" s="226"/>
      <c r="AD112" s="231"/>
      <c r="AE112" s="194" t="str">
        <f t="shared" si="38"/>
        <v/>
      </c>
      <c r="AF112" s="170" t="str">
        <f t="shared" si="39"/>
        <v/>
      </c>
      <c r="AG112" s="188" t="str">
        <f t="shared" si="40"/>
        <v/>
      </c>
      <c r="AH112" s="105"/>
      <c r="AI112" s="106"/>
      <c r="AJ112" s="107"/>
      <c r="AK112" s="90" t="str">
        <f t="shared" si="24"/>
        <v/>
      </c>
      <c r="AL112" s="91" t="str">
        <f t="shared" si="25"/>
        <v/>
      </c>
      <c r="AM112" s="93" t="str">
        <f t="shared" si="26"/>
        <v/>
      </c>
      <c r="AN112" s="162"/>
      <c r="AO112" s="107"/>
      <c r="AP112" s="163"/>
      <c r="AQ112" s="157" t="str">
        <f t="shared" si="27"/>
        <v/>
      </c>
      <c r="AR112" s="91" t="str">
        <f t="shared" si="28"/>
        <v/>
      </c>
      <c r="AS112" s="93" t="str">
        <f t="shared" si="29"/>
        <v/>
      </c>
      <c r="AT112" s="90" t="str">
        <f t="shared" si="30"/>
        <v/>
      </c>
      <c r="AU112" s="93" t="str">
        <f t="shared" si="31"/>
        <v/>
      </c>
      <c r="AV112" s="241" t="str">
        <f t="shared" si="41"/>
        <v/>
      </c>
      <c r="AW112" s="238" t="str">
        <f>IF(C112="","",IFERROR(_xlfn.XLOOKUP(AV112,HELPER!$C$8:$C$48,HELPER!$D$8:$D$48,,1),""))</f>
        <v/>
      </c>
      <c r="AX112" s="113" t="str">
        <f>IF(C112="","",IFERROR(_xlfn.XLOOKUP(AW112,HELPER!$F$8:$F$48,HELPER!$G$8:$G$48,,1),""))</f>
        <v/>
      </c>
      <c r="AY112" s="168"/>
      <c r="AZ112" s="148"/>
    </row>
    <row r="113" spans="1:52" ht="15" customHeight="1" x14ac:dyDescent="0.25">
      <c r="A113" s="168"/>
      <c r="B113" s="111">
        <v>44</v>
      </c>
      <c r="C113" s="346" t="str">
        <f>IF('INPUT DATA'!N54="","",'INPUT DATA'!N54)</f>
        <v/>
      </c>
      <c r="D113" s="347"/>
      <c r="E113" s="347"/>
      <c r="F113" s="200"/>
      <c r="G113" s="201"/>
      <c r="H113" s="201"/>
      <c r="I113" s="201"/>
      <c r="J113" s="202"/>
      <c r="K113" s="194" t="str">
        <f t="shared" si="32"/>
        <v/>
      </c>
      <c r="L113" s="170" t="str">
        <f t="shared" si="33"/>
        <v/>
      </c>
      <c r="M113" s="188" t="str">
        <f t="shared" si="34"/>
        <v/>
      </c>
      <c r="N113" s="105"/>
      <c r="O113" s="106"/>
      <c r="P113" s="106"/>
      <c r="Q113" s="106"/>
      <c r="R113" s="107"/>
      <c r="S113" s="217" t="str">
        <f t="shared" si="21"/>
        <v/>
      </c>
      <c r="T113" s="91" t="str">
        <f t="shared" si="22"/>
        <v/>
      </c>
      <c r="U113" s="218" t="str">
        <f t="shared" si="23"/>
        <v/>
      </c>
      <c r="V113" s="230"/>
      <c r="W113" s="226"/>
      <c r="X113" s="231"/>
      <c r="Y113" s="194" t="str">
        <f t="shared" si="35"/>
        <v/>
      </c>
      <c r="Z113" s="170" t="str">
        <f t="shared" si="36"/>
        <v/>
      </c>
      <c r="AA113" s="188" t="str">
        <f t="shared" si="37"/>
        <v/>
      </c>
      <c r="AB113" s="230"/>
      <c r="AC113" s="226"/>
      <c r="AD113" s="231"/>
      <c r="AE113" s="194" t="str">
        <f t="shared" si="38"/>
        <v/>
      </c>
      <c r="AF113" s="170" t="str">
        <f t="shared" si="39"/>
        <v/>
      </c>
      <c r="AG113" s="188" t="str">
        <f t="shared" si="40"/>
        <v/>
      </c>
      <c r="AH113" s="105"/>
      <c r="AI113" s="106"/>
      <c r="AJ113" s="107"/>
      <c r="AK113" s="90" t="str">
        <f t="shared" si="24"/>
        <v/>
      </c>
      <c r="AL113" s="91" t="str">
        <f t="shared" si="25"/>
        <v/>
      </c>
      <c r="AM113" s="93" t="str">
        <f t="shared" si="26"/>
        <v/>
      </c>
      <c r="AN113" s="162"/>
      <c r="AO113" s="107"/>
      <c r="AP113" s="163"/>
      <c r="AQ113" s="157" t="str">
        <f t="shared" si="27"/>
        <v/>
      </c>
      <c r="AR113" s="91" t="str">
        <f t="shared" si="28"/>
        <v/>
      </c>
      <c r="AS113" s="93" t="str">
        <f t="shared" si="29"/>
        <v/>
      </c>
      <c r="AT113" s="90" t="str">
        <f t="shared" si="30"/>
        <v/>
      </c>
      <c r="AU113" s="93" t="str">
        <f t="shared" si="31"/>
        <v/>
      </c>
      <c r="AV113" s="241" t="str">
        <f t="shared" si="41"/>
        <v/>
      </c>
      <c r="AW113" s="238" t="str">
        <f>IF(C113="","",IFERROR(_xlfn.XLOOKUP(AV113,HELPER!$C$8:$C$48,HELPER!$D$8:$D$48,,1),""))</f>
        <v/>
      </c>
      <c r="AX113" s="113" t="str">
        <f>IF(C113="","",IFERROR(_xlfn.XLOOKUP(AW113,HELPER!$F$8:$F$48,HELPER!$G$8:$G$48,,1),""))</f>
        <v/>
      </c>
      <c r="AY113" s="168"/>
      <c r="AZ113" s="148"/>
    </row>
    <row r="114" spans="1:52" ht="15" customHeight="1" x14ac:dyDescent="0.25">
      <c r="A114" s="168"/>
      <c r="B114" s="111">
        <v>45</v>
      </c>
      <c r="C114" s="346" t="str">
        <f>IF('INPUT DATA'!N55="","",'INPUT DATA'!N55)</f>
        <v/>
      </c>
      <c r="D114" s="347"/>
      <c r="E114" s="347"/>
      <c r="F114" s="200"/>
      <c r="G114" s="201"/>
      <c r="H114" s="201"/>
      <c r="I114" s="201"/>
      <c r="J114" s="202"/>
      <c r="K114" s="194" t="str">
        <f t="shared" si="32"/>
        <v/>
      </c>
      <c r="L114" s="170" t="str">
        <f t="shared" si="33"/>
        <v/>
      </c>
      <c r="M114" s="188" t="str">
        <f t="shared" si="34"/>
        <v/>
      </c>
      <c r="N114" s="105"/>
      <c r="O114" s="106"/>
      <c r="P114" s="106"/>
      <c r="Q114" s="106"/>
      <c r="R114" s="107"/>
      <c r="S114" s="217" t="str">
        <f t="shared" si="21"/>
        <v/>
      </c>
      <c r="T114" s="91" t="str">
        <f t="shared" si="22"/>
        <v/>
      </c>
      <c r="U114" s="218" t="str">
        <f t="shared" si="23"/>
        <v/>
      </c>
      <c r="V114" s="230"/>
      <c r="W114" s="226"/>
      <c r="X114" s="231"/>
      <c r="Y114" s="194" t="str">
        <f t="shared" si="35"/>
        <v/>
      </c>
      <c r="Z114" s="170" t="str">
        <f t="shared" si="36"/>
        <v/>
      </c>
      <c r="AA114" s="188" t="str">
        <f t="shared" si="37"/>
        <v/>
      </c>
      <c r="AB114" s="230"/>
      <c r="AC114" s="226"/>
      <c r="AD114" s="231"/>
      <c r="AE114" s="194" t="str">
        <f t="shared" si="38"/>
        <v/>
      </c>
      <c r="AF114" s="170" t="str">
        <f t="shared" si="39"/>
        <v/>
      </c>
      <c r="AG114" s="188" t="str">
        <f t="shared" si="40"/>
        <v/>
      </c>
      <c r="AH114" s="105"/>
      <c r="AI114" s="106"/>
      <c r="AJ114" s="107"/>
      <c r="AK114" s="90" t="str">
        <f t="shared" si="24"/>
        <v/>
      </c>
      <c r="AL114" s="91" t="str">
        <f t="shared" si="25"/>
        <v/>
      </c>
      <c r="AM114" s="93" t="str">
        <f t="shared" si="26"/>
        <v/>
      </c>
      <c r="AN114" s="162"/>
      <c r="AO114" s="107"/>
      <c r="AP114" s="163"/>
      <c r="AQ114" s="157" t="str">
        <f t="shared" si="27"/>
        <v/>
      </c>
      <c r="AR114" s="91" t="str">
        <f t="shared" si="28"/>
        <v/>
      </c>
      <c r="AS114" s="93" t="str">
        <f t="shared" si="29"/>
        <v/>
      </c>
      <c r="AT114" s="90" t="str">
        <f t="shared" si="30"/>
        <v/>
      </c>
      <c r="AU114" s="93" t="str">
        <f t="shared" si="31"/>
        <v/>
      </c>
      <c r="AV114" s="241" t="str">
        <f t="shared" si="41"/>
        <v/>
      </c>
      <c r="AW114" s="238" t="str">
        <f>IF(C114="","",IFERROR(_xlfn.XLOOKUP(AV114,HELPER!$C$8:$C$48,HELPER!$D$8:$D$48,,1),""))</f>
        <v/>
      </c>
      <c r="AX114" s="113" t="str">
        <f>IF(C114="","",IFERROR(_xlfn.XLOOKUP(AW114,HELPER!$F$8:$F$48,HELPER!$G$8:$G$48,,1),""))</f>
        <v/>
      </c>
      <c r="AY114" s="168"/>
      <c r="AZ114" s="148"/>
    </row>
    <row r="115" spans="1:52" ht="15" customHeight="1" x14ac:dyDescent="0.25">
      <c r="A115" s="168"/>
      <c r="B115" s="111">
        <v>46</v>
      </c>
      <c r="C115" s="346" t="str">
        <f>IF('INPUT DATA'!N56="","",'INPUT DATA'!N56)</f>
        <v/>
      </c>
      <c r="D115" s="347"/>
      <c r="E115" s="347"/>
      <c r="F115" s="200"/>
      <c r="G115" s="201"/>
      <c r="H115" s="201"/>
      <c r="I115" s="201"/>
      <c r="J115" s="202"/>
      <c r="K115" s="194" t="str">
        <f t="shared" si="32"/>
        <v/>
      </c>
      <c r="L115" s="170" t="str">
        <f t="shared" si="33"/>
        <v/>
      </c>
      <c r="M115" s="188" t="str">
        <f t="shared" si="34"/>
        <v/>
      </c>
      <c r="N115" s="105"/>
      <c r="O115" s="106"/>
      <c r="P115" s="106"/>
      <c r="Q115" s="106"/>
      <c r="R115" s="107"/>
      <c r="S115" s="217" t="str">
        <f t="shared" si="21"/>
        <v/>
      </c>
      <c r="T115" s="91" t="str">
        <f t="shared" si="22"/>
        <v/>
      </c>
      <c r="U115" s="218" t="str">
        <f t="shared" si="23"/>
        <v/>
      </c>
      <c r="V115" s="230"/>
      <c r="W115" s="226"/>
      <c r="X115" s="231"/>
      <c r="Y115" s="194" t="str">
        <f t="shared" si="35"/>
        <v/>
      </c>
      <c r="Z115" s="170" t="str">
        <f t="shared" si="36"/>
        <v/>
      </c>
      <c r="AA115" s="188" t="str">
        <f t="shared" si="37"/>
        <v/>
      </c>
      <c r="AB115" s="230"/>
      <c r="AC115" s="226"/>
      <c r="AD115" s="231"/>
      <c r="AE115" s="194" t="str">
        <f t="shared" si="38"/>
        <v/>
      </c>
      <c r="AF115" s="170" t="str">
        <f t="shared" si="39"/>
        <v/>
      </c>
      <c r="AG115" s="188" t="str">
        <f t="shared" si="40"/>
        <v/>
      </c>
      <c r="AH115" s="105"/>
      <c r="AI115" s="106"/>
      <c r="AJ115" s="107"/>
      <c r="AK115" s="90" t="str">
        <f t="shared" si="24"/>
        <v/>
      </c>
      <c r="AL115" s="91" t="str">
        <f t="shared" si="25"/>
        <v/>
      </c>
      <c r="AM115" s="93" t="str">
        <f t="shared" si="26"/>
        <v/>
      </c>
      <c r="AN115" s="162"/>
      <c r="AO115" s="107"/>
      <c r="AP115" s="163"/>
      <c r="AQ115" s="157" t="str">
        <f t="shared" si="27"/>
        <v/>
      </c>
      <c r="AR115" s="91" t="str">
        <f t="shared" si="28"/>
        <v/>
      </c>
      <c r="AS115" s="93" t="str">
        <f t="shared" si="29"/>
        <v/>
      </c>
      <c r="AT115" s="90" t="str">
        <f t="shared" si="30"/>
        <v/>
      </c>
      <c r="AU115" s="93" t="str">
        <f t="shared" si="31"/>
        <v/>
      </c>
      <c r="AV115" s="241" t="str">
        <f t="shared" si="41"/>
        <v/>
      </c>
      <c r="AW115" s="238" t="str">
        <f>IF(C115="","",IFERROR(_xlfn.XLOOKUP(AV115,HELPER!$C$8:$C$48,HELPER!$D$8:$D$48,,1),""))</f>
        <v/>
      </c>
      <c r="AX115" s="113" t="str">
        <f>IF(C115="","",IFERROR(_xlfn.XLOOKUP(AW115,HELPER!$F$8:$F$48,HELPER!$G$8:$G$48,,1),""))</f>
        <v/>
      </c>
      <c r="AY115" s="168"/>
      <c r="AZ115" s="148"/>
    </row>
    <row r="116" spans="1:52" ht="15" customHeight="1" x14ac:dyDescent="0.25">
      <c r="A116" s="168"/>
      <c r="B116" s="111">
        <v>47</v>
      </c>
      <c r="C116" s="346" t="str">
        <f>IF('INPUT DATA'!N57="","",'INPUT DATA'!N57)</f>
        <v/>
      </c>
      <c r="D116" s="347"/>
      <c r="E116" s="347"/>
      <c r="F116" s="200"/>
      <c r="G116" s="201"/>
      <c r="H116" s="201"/>
      <c r="I116" s="201"/>
      <c r="J116" s="202"/>
      <c r="K116" s="194" t="str">
        <f t="shared" si="32"/>
        <v/>
      </c>
      <c r="L116" s="170" t="str">
        <f t="shared" si="33"/>
        <v/>
      </c>
      <c r="M116" s="188" t="str">
        <f t="shared" si="34"/>
        <v/>
      </c>
      <c r="N116" s="105"/>
      <c r="O116" s="106"/>
      <c r="P116" s="106"/>
      <c r="Q116" s="106"/>
      <c r="R116" s="107"/>
      <c r="S116" s="217" t="str">
        <f t="shared" si="21"/>
        <v/>
      </c>
      <c r="T116" s="91" t="str">
        <f t="shared" si="22"/>
        <v/>
      </c>
      <c r="U116" s="218" t="str">
        <f t="shared" si="23"/>
        <v/>
      </c>
      <c r="V116" s="230"/>
      <c r="W116" s="226"/>
      <c r="X116" s="231"/>
      <c r="Y116" s="194" t="str">
        <f t="shared" si="35"/>
        <v/>
      </c>
      <c r="Z116" s="170" t="str">
        <f t="shared" si="36"/>
        <v/>
      </c>
      <c r="AA116" s="188" t="str">
        <f t="shared" si="37"/>
        <v/>
      </c>
      <c r="AB116" s="230"/>
      <c r="AC116" s="226"/>
      <c r="AD116" s="231"/>
      <c r="AE116" s="194" t="str">
        <f t="shared" si="38"/>
        <v/>
      </c>
      <c r="AF116" s="170" t="str">
        <f t="shared" si="39"/>
        <v/>
      </c>
      <c r="AG116" s="188" t="str">
        <f t="shared" si="40"/>
        <v/>
      </c>
      <c r="AH116" s="105"/>
      <c r="AI116" s="106"/>
      <c r="AJ116" s="107"/>
      <c r="AK116" s="90" t="str">
        <f t="shared" si="24"/>
        <v/>
      </c>
      <c r="AL116" s="91" t="str">
        <f t="shared" si="25"/>
        <v/>
      </c>
      <c r="AM116" s="93" t="str">
        <f t="shared" si="26"/>
        <v/>
      </c>
      <c r="AN116" s="162"/>
      <c r="AO116" s="107"/>
      <c r="AP116" s="163"/>
      <c r="AQ116" s="157" t="str">
        <f t="shared" si="27"/>
        <v/>
      </c>
      <c r="AR116" s="91" t="str">
        <f t="shared" si="28"/>
        <v/>
      </c>
      <c r="AS116" s="93" t="str">
        <f t="shared" si="29"/>
        <v/>
      </c>
      <c r="AT116" s="90" t="str">
        <f t="shared" si="30"/>
        <v/>
      </c>
      <c r="AU116" s="93" t="str">
        <f t="shared" si="31"/>
        <v/>
      </c>
      <c r="AV116" s="241" t="str">
        <f t="shared" si="41"/>
        <v/>
      </c>
      <c r="AW116" s="238" t="str">
        <f>IF(C116="","",IFERROR(_xlfn.XLOOKUP(AV116,HELPER!$C$8:$C$48,HELPER!$D$8:$D$48,,1),""))</f>
        <v/>
      </c>
      <c r="AX116" s="113" t="str">
        <f>IF(C116="","",IFERROR(_xlfn.XLOOKUP(AW116,HELPER!$F$8:$F$48,HELPER!$G$8:$G$48,,1),""))</f>
        <v/>
      </c>
      <c r="AY116" s="168"/>
      <c r="AZ116" s="148"/>
    </row>
    <row r="117" spans="1:52" ht="15" customHeight="1" x14ac:dyDescent="0.25">
      <c r="A117" s="168"/>
      <c r="B117" s="111">
        <v>48</v>
      </c>
      <c r="C117" s="346" t="str">
        <f>IF('INPUT DATA'!N58="","",'INPUT DATA'!N58)</f>
        <v/>
      </c>
      <c r="D117" s="347"/>
      <c r="E117" s="347"/>
      <c r="F117" s="200"/>
      <c r="G117" s="201"/>
      <c r="H117" s="201"/>
      <c r="I117" s="201"/>
      <c r="J117" s="202"/>
      <c r="K117" s="194" t="str">
        <f t="shared" si="32"/>
        <v/>
      </c>
      <c r="L117" s="170" t="str">
        <f t="shared" si="33"/>
        <v/>
      </c>
      <c r="M117" s="188" t="str">
        <f t="shared" si="34"/>
        <v/>
      </c>
      <c r="N117" s="105"/>
      <c r="O117" s="106"/>
      <c r="P117" s="106"/>
      <c r="Q117" s="106"/>
      <c r="R117" s="107"/>
      <c r="S117" s="217" t="str">
        <f t="shared" si="21"/>
        <v/>
      </c>
      <c r="T117" s="91" t="str">
        <f t="shared" si="22"/>
        <v/>
      </c>
      <c r="U117" s="218" t="str">
        <f t="shared" si="23"/>
        <v/>
      </c>
      <c r="V117" s="230"/>
      <c r="W117" s="226"/>
      <c r="X117" s="231"/>
      <c r="Y117" s="194" t="str">
        <f t="shared" si="35"/>
        <v/>
      </c>
      <c r="Z117" s="170" t="str">
        <f t="shared" si="36"/>
        <v/>
      </c>
      <c r="AA117" s="188" t="str">
        <f t="shared" si="37"/>
        <v/>
      </c>
      <c r="AB117" s="230"/>
      <c r="AC117" s="226"/>
      <c r="AD117" s="231"/>
      <c r="AE117" s="194" t="str">
        <f t="shared" si="38"/>
        <v/>
      </c>
      <c r="AF117" s="170" t="str">
        <f t="shared" si="39"/>
        <v/>
      </c>
      <c r="AG117" s="188" t="str">
        <f t="shared" si="40"/>
        <v/>
      </c>
      <c r="AH117" s="105"/>
      <c r="AI117" s="106"/>
      <c r="AJ117" s="107"/>
      <c r="AK117" s="90" t="str">
        <f t="shared" si="24"/>
        <v/>
      </c>
      <c r="AL117" s="91" t="str">
        <f t="shared" si="25"/>
        <v/>
      </c>
      <c r="AM117" s="93" t="str">
        <f t="shared" si="26"/>
        <v/>
      </c>
      <c r="AN117" s="162"/>
      <c r="AO117" s="107"/>
      <c r="AP117" s="163"/>
      <c r="AQ117" s="157" t="str">
        <f t="shared" si="27"/>
        <v/>
      </c>
      <c r="AR117" s="91" t="str">
        <f t="shared" si="28"/>
        <v/>
      </c>
      <c r="AS117" s="93" t="str">
        <f t="shared" si="29"/>
        <v/>
      </c>
      <c r="AT117" s="90" t="str">
        <f t="shared" si="30"/>
        <v/>
      </c>
      <c r="AU117" s="93" t="str">
        <f t="shared" si="31"/>
        <v/>
      </c>
      <c r="AV117" s="241" t="str">
        <f t="shared" si="41"/>
        <v/>
      </c>
      <c r="AW117" s="238" t="str">
        <f>IF(C117="","",IFERROR(_xlfn.XLOOKUP(AV117,HELPER!$C$8:$C$48,HELPER!$D$8:$D$48,,1),""))</f>
        <v/>
      </c>
      <c r="AX117" s="113" t="str">
        <f>IF(C117="","",IFERROR(_xlfn.XLOOKUP(AW117,HELPER!$F$8:$F$48,HELPER!$G$8:$G$48,,1),""))</f>
        <v/>
      </c>
      <c r="AY117" s="168"/>
      <c r="AZ117" s="148"/>
    </row>
    <row r="118" spans="1:52" ht="15" customHeight="1" x14ac:dyDescent="0.25">
      <c r="A118" s="168"/>
      <c r="B118" s="111">
        <v>49</v>
      </c>
      <c r="C118" s="346" t="str">
        <f>IF('INPUT DATA'!N59="","",'INPUT DATA'!N59)</f>
        <v/>
      </c>
      <c r="D118" s="347"/>
      <c r="E118" s="347"/>
      <c r="F118" s="200"/>
      <c r="G118" s="201"/>
      <c r="H118" s="201"/>
      <c r="I118" s="201"/>
      <c r="J118" s="202"/>
      <c r="K118" s="194" t="str">
        <f t="shared" si="32"/>
        <v/>
      </c>
      <c r="L118" s="170" t="str">
        <f t="shared" si="33"/>
        <v/>
      </c>
      <c r="M118" s="188" t="str">
        <f t="shared" si="34"/>
        <v/>
      </c>
      <c r="N118" s="105"/>
      <c r="O118" s="106"/>
      <c r="P118" s="106"/>
      <c r="Q118" s="106"/>
      <c r="R118" s="107"/>
      <c r="S118" s="217" t="str">
        <f t="shared" si="21"/>
        <v/>
      </c>
      <c r="T118" s="91" t="str">
        <f t="shared" si="22"/>
        <v/>
      </c>
      <c r="U118" s="218" t="str">
        <f t="shared" si="23"/>
        <v/>
      </c>
      <c r="V118" s="230"/>
      <c r="W118" s="226"/>
      <c r="X118" s="231"/>
      <c r="Y118" s="194" t="str">
        <f t="shared" si="35"/>
        <v/>
      </c>
      <c r="Z118" s="170" t="str">
        <f t="shared" si="36"/>
        <v/>
      </c>
      <c r="AA118" s="188" t="str">
        <f t="shared" si="37"/>
        <v/>
      </c>
      <c r="AB118" s="230"/>
      <c r="AC118" s="226"/>
      <c r="AD118" s="231"/>
      <c r="AE118" s="194" t="str">
        <f t="shared" si="38"/>
        <v/>
      </c>
      <c r="AF118" s="170" t="str">
        <f t="shared" si="39"/>
        <v/>
      </c>
      <c r="AG118" s="188" t="str">
        <f t="shared" si="40"/>
        <v/>
      </c>
      <c r="AH118" s="105"/>
      <c r="AI118" s="106"/>
      <c r="AJ118" s="107"/>
      <c r="AK118" s="90" t="str">
        <f t="shared" si="24"/>
        <v/>
      </c>
      <c r="AL118" s="91" t="str">
        <f t="shared" si="25"/>
        <v/>
      </c>
      <c r="AM118" s="93" t="str">
        <f t="shared" si="26"/>
        <v/>
      </c>
      <c r="AN118" s="162"/>
      <c r="AO118" s="107"/>
      <c r="AP118" s="163"/>
      <c r="AQ118" s="157" t="str">
        <f t="shared" si="27"/>
        <v/>
      </c>
      <c r="AR118" s="91" t="str">
        <f t="shared" si="28"/>
        <v/>
      </c>
      <c r="AS118" s="93" t="str">
        <f t="shared" si="29"/>
        <v/>
      </c>
      <c r="AT118" s="90" t="str">
        <f t="shared" si="30"/>
        <v/>
      </c>
      <c r="AU118" s="93" t="str">
        <f t="shared" si="31"/>
        <v/>
      </c>
      <c r="AV118" s="241" t="str">
        <f t="shared" si="41"/>
        <v/>
      </c>
      <c r="AW118" s="238" t="str">
        <f>IF(C118="","",IFERROR(_xlfn.XLOOKUP(AV118,HELPER!$C$8:$C$48,HELPER!$D$8:$D$48,,1),""))</f>
        <v/>
      </c>
      <c r="AX118" s="113" t="str">
        <f>IF(C118="","",IFERROR(_xlfn.XLOOKUP(AW118,HELPER!$F$8:$F$48,HELPER!$G$8:$G$48,,1),""))</f>
        <v/>
      </c>
      <c r="AY118" s="168"/>
      <c r="AZ118" s="148"/>
    </row>
    <row r="119" spans="1:52" ht="15" customHeight="1" thickBot="1" x14ac:dyDescent="0.3">
      <c r="A119" s="168"/>
      <c r="B119" s="112">
        <v>50</v>
      </c>
      <c r="C119" s="362" t="str">
        <f>IF('INPUT DATA'!N60="","",'INPUT DATA'!N60)</f>
        <v/>
      </c>
      <c r="D119" s="363"/>
      <c r="E119" s="363"/>
      <c r="F119" s="203"/>
      <c r="G119" s="204"/>
      <c r="H119" s="204"/>
      <c r="I119" s="204"/>
      <c r="J119" s="205"/>
      <c r="K119" s="195" t="str">
        <f t="shared" si="32"/>
        <v/>
      </c>
      <c r="L119" s="189" t="str">
        <f t="shared" si="33"/>
        <v/>
      </c>
      <c r="M119" s="190" t="str">
        <f t="shared" si="34"/>
        <v/>
      </c>
      <c r="N119" s="114"/>
      <c r="O119" s="115"/>
      <c r="P119" s="115"/>
      <c r="Q119" s="115"/>
      <c r="R119" s="116"/>
      <c r="S119" s="219" t="str">
        <f t="shared" si="21"/>
        <v/>
      </c>
      <c r="T119" s="220" t="str">
        <f t="shared" si="22"/>
        <v/>
      </c>
      <c r="U119" s="221" t="str">
        <f t="shared" si="23"/>
        <v/>
      </c>
      <c r="V119" s="232"/>
      <c r="W119" s="233"/>
      <c r="X119" s="234"/>
      <c r="Y119" s="195" t="str">
        <f t="shared" si="35"/>
        <v/>
      </c>
      <c r="Z119" s="189" t="str">
        <f t="shared" si="36"/>
        <v/>
      </c>
      <c r="AA119" s="190" t="str">
        <f t="shared" si="37"/>
        <v/>
      </c>
      <c r="AB119" s="232"/>
      <c r="AC119" s="233"/>
      <c r="AD119" s="234"/>
      <c r="AE119" s="195" t="str">
        <f t="shared" si="38"/>
        <v/>
      </c>
      <c r="AF119" s="189" t="str">
        <f t="shared" si="39"/>
        <v/>
      </c>
      <c r="AG119" s="190" t="str">
        <f t="shared" si="40"/>
        <v/>
      </c>
      <c r="AH119" s="114"/>
      <c r="AI119" s="115"/>
      <c r="AJ119" s="116"/>
      <c r="AK119" s="117" t="str">
        <f t="shared" si="24"/>
        <v/>
      </c>
      <c r="AL119" s="118" t="str">
        <f t="shared" si="25"/>
        <v/>
      </c>
      <c r="AM119" s="119" t="str">
        <f t="shared" si="26"/>
        <v/>
      </c>
      <c r="AN119" s="164"/>
      <c r="AO119" s="165"/>
      <c r="AP119" s="166"/>
      <c r="AQ119" s="167" t="str">
        <f t="shared" si="27"/>
        <v/>
      </c>
      <c r="AR119" s="118" t="str">
        <f t="shared" si="28"/>
        <v/>
      </c>
      <c r="AS119" s="119" t="str">
        <f t="shared" si="29"/>
        <v/>
      </c>
      <c r="AT119" s="117" t="str">
        <f t="shared" si="30"/>
        <v/>
      </c>
      <c r="AU119" s="119" t="str">
        <f t="shared" si="31"/>
        <v/>
      </c>
      <c r="AV119" s="242" t="str">
        <f t="shared" si="41"/>
        <v/>
      </c>
      <c r="AW119" s="239" t="str">
        <f>IF(C119="","",IFERROR(_xlfn.XLOOKUP(AV119,HELPER!$C$8:$C$48,HELPER!$D$8:$D$48,,1),""))</f>
        <v/>
      </c>
      <c r="AX119" s="120" t="str">
        <f>IF(C119="","",IFERROR(_xlfn.XLOOKUP(AW119,HELPER!$F$8:$F$48,HELPER!$G$8:$G$48,,1),""))</f>
        <v/>
      </c>
      <c r="AY119" s="168"/>
      <c r="AZ119" s="148"/>
    </row>
    <row r="120" spans="1:52" ht="13.2" x14ac:dyDescent="0.25">
      <c r="A120" s="168"/>
      <c r="B120" s="168"/>
      <c r="C120" s="364"/>
      <c r="D120" s="365"/>
      <c r="E120" s="365"/>
      <c r="N120" s="168"/>
      <c r="O120" s="168"/>
      <c r="P120" s="168"/>
      <c r="Q120" s="168"/>
      <c r="R120" s="168"/>
      <c r="S120" s="168"/>
      <c r="T120" s="168"/>
      <c r="U120" s="168"/>
      <c r="V120" s="168"/>
      <c r="W120" s="168"/>
      <c r="X120" s="168"/>
      <c r="Y120" s="168"/>
      <c r="Z120" s="168"/>
      <c r="AA120" s="168"/>
      <c r="AB120" s="168"/>
      <c r="AC120" s="168"/>
      <c r="AD120" s="168"/>
      <c r="AE120" s="168"/>
      <c r="AF120" s="168"/>
      <c r="AG120" s="168"/>
      <c r="AH120" s="168"/>
      <c r="AI120" s="168"/>
      <c r="AJ120" s="168"/>
      <c r="AK120" s="168"/>
      <c r="AL120" s="168"/>
      <c r="AM120" s="168"/>
      <c r="AN120" s="168"/>
      <c r="AO120" s="168"/>
      <c r="AP120" s="168"/>
      <c r="AQ120" s="168"/>
      <c r="AR120" s="168"/>
      <c r="AS120" s="168"/>
      <c r="AT120" s="168"/>
      <c r="AU120" s="168"/>
      <c r="AV120" s="168"/>
      <c r="AW120" s="168"/>
      <c r="AX120" s="168"/>
      <c r="AY120" s="168"/>
      <c r="AZ120" s="148"/>
    </row>
    <row r="121" spans="1:52" ht="13.2" x14ac:dyDescent="0.25">
      <c r="A121" s="168"/>
      <c r="B121" s="168"/>
      <c r="C121" s="364"/>
      <c r="D121" s="365"/>
      <c r="E121" s="365"/>
      <c r="N121" s="168"/>
      <c r="O121" s="168"/>
      <c r="P121" s="168"/>
      <c r="Q121" s="168"/>
      <c r="R121" s="168"/>
      <c r="S121" s="168"/>
      <c r="T121" s="168"/>
      <c r="U121" s="168"/>
      <c r="V121" s="168"/>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c r="AU121" s="168"/>
      <c r="AV121" s="168"/>
      <c r="AW121" s="168"/>
      <c r="AX121" s="168"/>
      <c r="AY121" s="168"/>
      <c r="AZ121" s="148"/>
    </row>
  </sheetData>
  <sheetProtection formatCells="0" formatColumns="0" formatRows="0"/>
  <mergeCells count="133">
    <mergeCell ref="B2:AX3"/>
    <mergeCell ref="F5:T5"/>
    <mergeCell ref="Z5:AJ5"/>
    <mergeCell ref="AQ5:AS5"/>
    <mergeCell ref="F7:AJ7"/>
    <mergeCell ref="AQ7:AS7"/>
    <mergeCell ref="B9:AX9"/>
    <mergeCell ref="B10:E15"/>
    <mergeCell ref="F10:I10"/>
    <mergeCell ref="J10:U10"/>
    <mergeCell ref="V10:Z11"/>
    <mergeCell ref="AA10:AM11"/>
    <mergeCell ref="AN10:AQ11"/>
    <mergeCell ref="AR10:AX11"/>
    <mergeCell ref="F11:I11"/>
    <mergeCell ref="J11:U11"/>
    <mergeCell ref="F12:U13"/>
    <mergeCell ref="V12:AM13"/>
    <mergeCell ref="AN12:AU14"/>
    <mergeCell ref="AV12:AV16"/>
    <mergeCell ref="AW12:AW16"/>
    <mergeCell ref="AX12:AX16"/>
    <mergeCell ref="F14:M14"/>
    <mergeCell ref="N14:U14"/>
    <mergeCell ref="V14:AA14"/>
    <mergeCell ref="AB14:AG14"/>
    <mergeCell ref="C21:E21"/>
    <mergeCell ref="C22:E22"/>
    <mergeCell ref="C23:E23"/>
    <mergeCell ref="C24:E24"/>
    <mergeCell ref="C25:E25"/>
    <mergeCell ref="C26:E26"/>
    <mergeCell ref="AH14:AM14"/>
    <mergeCell ref="B16:E16"/>
    <mergeCell ref="B17:AX17"/>
    <mergeCell ref="B18:AX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B69:AX69"/>
    <mergeCell ref="C70:E70"/>
    <mergeCell ref="C71:E71"/>
    <mergeCell ref="C72:E72"/>
    <mergeCell ref="C73:E73"/>
    <mergeCell ref="C74:E74"/>
    <mergeCell ref="C63:E63"/>
    <mergeCell ref="C64:E64"/>
    <mergeCell ref="C65:E65"/>
    <mergeCell ref="C66:E66"/>
    <mergeCell ref="C67:E67"/>
    <mergeCell ref="C68:E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21:E121"/>
    <mergeCell ref="C111:E111"/>
    <mergeCell ref="C112:E112"/>
    <mergeCell ref="C113:E113"/>
    <mergeCell ref="C114:E114"/>
    <mergeCell ref="C115:E115"/>
    <mergeCell ref="C116:E116"/>
  </mergeCells>
  <dataValidations count="68">
    <dataValidation allowBlank="1" showInputMessage="1" showErrorMessage="1" prompt="Do not type name of learners here. Go to INPUT DATA sheet." sqref="C19:E68 C70:E119" xr:uid="{DEDB8E08-E431-4F39-BDF2-41D7E22D6390}"/>
    <dataValidation allowBlank="1" showInputMessage="1" showErrorMessage="1" prompt="Written/Oral Works' Highest Possible Score." sqref="S16 K16" xr:uid="{330D1FCF-7493-420D-8824-4A3A733930C9}"/>
    <dataValidation allowBlank="1" showInputMessage="1" showErrorMessage="1" prompt="Products/Performance Tasks' Highest Possible Score." sqref="AK16 AE16 Y16" xr:uid="{84EFE782-0E41-47DA-A072-89781CDB452A}"/>
    <dataValidation allowBlank="1" showInputMessage="1" showErrorMessage="1" prompt="Written/Oral Works' Percentage Score." sqref="T16 L16" xr:uid="{D49B9533-223D-4F5A-9065-EA176C76E334}"/>
    <dataValidation allowBlank="1" showInputMessage="1" showErrorMessage="1" prompt="Written/Oral Works' Weighted Score." sqref="M16 U16" xr:uid="{3651E3FF-A6C8-4365-B2BC-1152E3F98D00}"/>
    <dataValidation allowBlank="1" showInputMessage="1" showErrorMessage="1" prompt="Products/Performance Tasks' Percentage Score." sqref="AL16 AF16 Z16" xr:uid="{8A43BCFC-F74C-4A3E-AD76-119B01D3E532}"/>
    <dataValidation allowBlank="1" showInputMessage="1" showErrorMessage="1" prompt="Products/Performance Tasks' Weighted Score." sqref="AM16 AG16 AA16" xr:uid="{AD45D1AF-E2C1-4B66-8223-F724F5102BDD}"/>
    <dataValidation allowBlank="1" showInputMessage="1" showErrorMessage="1" prompt="Weighted Score for Summative Test 1" sqref="AQ70:AQ119 AQ16 AQ19:AQ68" xr:uid="{E34B50D6-860F-454D-840F-A921E8038B38}"/>
    <dataValidation allowBlank="1" showInputMessage="1" showErrorMessage="1" prompt="Weighted Score for Summative Test 2" sqref="AR70:AR119 AR19:AR68 AR16" xr:uid="{5A710974-DAC3-4E7D-8C52-7C0DEF0C1894}"/>
    <dataValidation allowBlank="1" showInputMessage="1" showErrorMessage="1" prompt="Weighted Score for Term Exam" sqref="AS70:AS119 AS19:AS68 AS16" xr:uid="{EADC54E7-18D5-4A55-8D03-D1F64E352553}"/>
    <dataValidation allowBlank="1" showInputMessage="1" showErrorMessage="1" prompt="Examinations' Percetage Score" sqref="AT16 AT19:AT68 AT70:AT119" xr:uid="{7A6FD2D3-E9BA-4DD9-896E-BCF0EBB26B26}"/>
    <dataValidation allowBlank="1" showInputMessage="1" showErrorMessage="1" prompt="Examinations' Weighted Score" sqref="AU16 AU19:AU68 AU70:AU119" xr:uid="{9E231F03-9475-4D56-90DE-D3A9921C98A8}"/>
    <dataValidation allowBlank="1" showInputMessage="1" showErrorMessage="1" prompt="INITIAL GRADE" sqref="AV19:AV68 AV70:AV119" xr:uid="{6300309F-8A23-467B-93E1-519DE6156C4B}"/>
    <dataValidation allowBlank="1" showInputMessage="1" showErrorMessage="1" prompt="Transmuted Term Grade" sqref="AW19:AW68 AW70:AW119" xr:uid="{EBA9C69A-8F5F-4D1A-B4E2-2A5FF0D19E50}"/>
    <dataValidation type="whole" allowBlank="1" showInputMessage="1" showErrorMessage="1" prompt="Enter Highest Possible Score." sqref="AN16:AP16 AH16:AJ16 N16:R16 F16:J16 V16:X16 AB16:AD16" xr:uid="{215AC3B6-6033-4822-917B-3B5CCF5D87E6}">
      <formula1>0</formula1>
      <formula2>1000</formula2>
    </dataValidation>
    <dataValidation type="custom" allowBlank="1" showInputMessage="1" showErrorMessage="1" errorTitle="Invalid Input" error="The score cannot be greater than the Highest Possible Score." prompt="Encode learners' raw score." sqref="AH70:AH119 AH19:AH68" xr:uid="{1EAC5281-AF20-4C75-98CB-A6D97F667BA3}">
      <formula1>AH19&lt;=$AH$16</formula1>
    </dataValidation>
    <dataValidation type="custom" allowBlank="1" showInputMessage="1" showErrorMessage="1" errorTitle="Invalid Input" error="The score cannot be greater that the Highest Possible Score." prompt="Encode Learners' Raw Score." sqref="N70:N119" xr:uid="{9A6B7102-F56B-48EE-B3B0-8F6FD50E420D}">
      <formula1>N70&lt;=$N$16</formula1>
    </dataValidation>
    <dataValidation type="custom" allowBlank="1" showInputMessage="1" showErrorMessage="1" errorTitle="Invalid Input" error="The scoure cannot be greater than the Highest Possible Score." prompt="Encode Learners' Raw Score." sqref="O19:O68" xr:uid="{A4321EA3-CA4C-4941-8DDB-A5CFC9C3B14A}">
      <formula1>O19&lt;=$O$16</formula1>
    </dataValidation>
    <dataValidation type="custom" allowBlank="1" showInputMessage="1" showErrorMessage="1" errorTitle="Invalid Input" error="The score cannot be greater than the Highest Possible Score." prompt="Encode Learners' Raw Score." sqref="O70:O119" xr:uid="{3EBC61EE-AEB7-400C-AB77-6F6DB8F9FDE7}">
      <formula1>O70&lt;=$O$16</formula1>
    </dataValidation>
    <dataValidation type="custom" allowBlank="1" showInputMessage="1" showErrorMessage="1" errorTitle="Invalid Input" error="The score cannot be greater than the Highest Possible Score." prompt="Encode Learners' Raw Score." sqref="P70:P119" xr:uid="{ACCB21EB-B67C-4BBF-B911-92A5E392369D}">
      <formula1>P61&lt;=$P$16</formula1>
    </dataValidation>
    <dataValidation type="custom" allowBlank="1" showInputMessage="1" showErrorMessage="1" errorTitle="Invalid Input" error="The score cannot be greater than the Highest Possible Score." prompt="Encode Learners' Raw Score." sqref="Q70:Q119 Q19:Q68" xr:uid="{871700A9-5975-4AAC-AF0C-4B133423F388}">
      <formula1>Q19&lt;=$Q$16</formula1>
    </dataValidation>
    <dataValidation type="custom" allowBlank="1" showInputMessage="1" showErrorMessage="1" errorTitle="Invalid Input" error="The score cannot be greater than the Highest Possible Score." prompt="Encode Learners' Raw Score." sqref="R70:R119 R19:R68" xr:uid="{DBF68E3B-5C27-4A31-AD6E-043FD2082014}">
      <formula1>R19&lt;=$R$16</formula1>
    </dataValidation>
    <dataValidation type="custom" allowBlank="1" showInputMessage="1" showErrorMessage="1" errorTitle="Invalid Input" error="The score cannot be greater than the Highest Possible Score." prompt="Encode learners' raw score." sqref="AI70:AI119 AI19:AI68" xr:uid="{A92C2105-4D7D-4DB9-82B0-2E46EF2BC7F2}">
      <formula1>AI19&lt;=$AI$16</formula1>
    </dataValidation>
    <dataValidation type="custom" allowBlank="1" showInputMessage="1" showErrorMessage="1" errorTitle="Invalid Input" error="The score cannot be greater than the Highest Possible Score." prompt="Encode learners' raw score." sqref="AJ70:AJ119 AJ19:AJ68" xr:uid="{E9E1F521-D538-41AE-B671-40AEF09AE0BC}">
      <formula1>AJ19&lt;=$AJ$16</formula1>
    </dataValidation>
    <dataValidation type="custom" allowBlank="1" showInputMessage="1" showErrorMessage="1" errorTitle="Invalid Input" error="The score cannot be greater than the Highest Possible Score." prompt="Encode learners' raw scores." sqref="AN19:AN68" xr:uid="{2CF56D86-4F14-47CD-ABD2-78E539567550}">
      <formula1>AN19&lt;=$AN$16</formula1>
    </dataValidation>
    <dataValidation type="custom" allowBlank="1" showInputMessage="1" showErrorMessage="1" errorTitle="Invalid Input" error="The score cannot be greater than the Highest Possible Score." prompt="Encode learners' raw scores." sqref="AO19:AO68" xr:uid="{4390E38E-2215-4F03-AC16-04063F2722D6}">
      <formula1>AO19&lt;=$AO$16</formula1>
    </dataValidation>
    <dataValidation type="custom" allowBlank="1" showInputMessage="1" showErrorMessage="1" errorTitle="Invalid Input" error="The score cannot be greater than the Highest Possible Score." sqref="AN70:AN119" xr:uid="{A0DA24D9-999C-499A-B9F4-E709863A5610}">
      <formula1>AN70&lt;=$AN$16</formula1>
    </dataValidation>
    <dataValidation type="custom" allowBlank="1" showInputMessage="1" showErrorMessage="1" errorTitle="Invalid Input" error="The score cannot be greater than the Highest Possible Score." sqref="AO70:AO119" xr:uid="{68938E92-C8BE-4D6E-83B7-60084754D898}">
      <formula1>AO70&lt;=$AO$16</formula1>
    </dataValidation>
    <dataValidation type="custom" allowBlank="1" showInputMessage="1" showErrorMessage="1" errorTitle="Invalid Input" error="The score cannot be greater than the Highest Possible Score." prompt="Encode learners' raw scores." sqref="AP19:AP68" xr:uid="{83A69562-9D17-47FC-9BFA-0FB91C63A300}">
      <formula1>AP19&lt;=$AP$16</formula1>
    </dataValidation>
    <dataValidation type="custom" allowBlank="1" showInputMessage="1" showErrorMessage="1" errorTitle="Invalid Input" error="The score cannot be greater than the Highest Possible Score." sqref="AP70:AP119" xr:uid="{D6E12E11-BBEE-48FB-8DD7-0CB9F5F5C78F}">
      <formula1>AP21&lt;=$AP$16</formula1>
    </dataValidation>
    <dataValidation type="custom" allowBlank="1" showInputMessage="1" showErrorMessage="1" errorTitle="Invalid Input" error="The score cannot be greater than the Highest Possible Score." prompt="Encode Learners' Raw Score." sqref="F19:F68" xr:uid="{CEDF6DAF-129F-487A-9F71-B476AFB64669}">
      <formula1>F19&lt;=$F$16</formula1>
    </dataValidation>
    <dataValidation type="custom" allowBlank="1" showInputMessage="1" showErrorMessage="1" errorTitle="Invalid Input" error="The score cannot be greater than the Highest Possible Score." prompt="Encode Learners' Raw Score." sqref="G19:G68" xr:uid="{D1CD1CDA-4A72-408C-B50B-C02721EA826A}">
      <formula1>G19&lt;=$G$16</formula1>
    </dataValidation>
    <dataValidation type="custom" allowBlank="1" showInputMessage="1" showErrorMessage="1" errorTitle="Invalid Input" error="The score cannot be greater than the Highest Possible Score." prompt="Encode Learners' Raw Score." sqref="H19:H68" xr:uid="{445D765E-CA59-4B51-9C28-66D62FADD175}">
      <formula1>H19&lt;=$H$16</formula1>
    </dataValidation>
    <dataValidation type="custom" allowBlank="1" showInputMessage="1" showErrorMessage="1" errorTitle="Invalid Input" error="The score cannot be greater that the Highest Possible Score." prompt="Encode Learners' Raw Score." sqref="G70:G119" xr:uid="{C91D190C-B83E-44CA-9930-255FC6764A6A}">
      <formula1>G70&lt;=$G$16</formula1>
    </dataValidation>
    <dataValidation type="custom" allowBlank="1" showInputMessage="1" showErrorMessage="1" errorTitle="Invalid Input" error="The score cannot be greater that the Highest Possible Score." prompt="Encode Learners' Raw Score." sqref="H70:H119" xr:uid="{EF3ADFC6-51CC-4AFD-B92E-38CF65A6E2B5}">
      <formula1>H70&lt;=$H$16</formula1>
    </dataValidation>
    <dataValidation type="custom" allowBlank="1" showInputMessage="1" showErrorMessage="1" errorTitle="Invalid Input" error="The score cannot be greater that the Highest Possible Score." prompt="Encode Learners' Raw Score." sqref="I70:I119" xr:uid="{402C9251-368D-42B8-9959-EF077240B760}">
      <formula1>I70&lt;=$I$16</formula1>
    </dataValidation>
    <dataValidation type="custom" allowBlank="1" showInputMessage="1" showErrorMessage="1" errorTitle="Invalid Input" error="The score cannot be greater that the Highest Possible Score." prompt="Encode Learners' Raw Score." sqref="J70:J119" xr:uid="{F9CFA7F6-F724-457F-8638-8960888A3966}">
      <formula1>J70&lt;=$J$16</formula1>
    </dataValidation>
    <dataValidation type="custom" allowBlank="1" showInputMessage="1" showErrorMessage="1" errorTitle="Invalid Input" error="The score cannot be greater that the Highest Possible Score." prompt="Encode Learners' Raw Score." sqref="F70:F119" xr:uid="{01A55F76-C385-4123-8DF0-E6D480C84DA1}">
      <formula1>F70&lt;=$F$16</formula1>
    </dataValidation>
    <dataValidation type="custom" allowBlank="1" showInputMessage="1" showErrorMessage="1" errorTitle="Invalid Input" error="The score cannot be greater than the Highest Possible Score." prompt="Encode Learners' Raw Score." sqref="I19:I68" xr:uid="{677121E5-7BAF-4418-B898-D596631EF850}">
      <formula1>I19&lt;=$I$16</formula1>
    </dataValidation>
    <dataValidation allowBlank="1" showInputMessage="1" showErrorMessage="1" prompt="Written/Oral Works' Total Score (Affective Domain) " sqref="S19:S68 S70:S119" xr:uid="{C81D1D30-9CA4-441A-8D72-7EA492D37130}"/>
    <dataValidation type="custom" allowBlank="1" showInputMessage="1" showErrorMessage="1" errorTitle="Invalid Input" error="The score cannot be greater than the Highest Possible Score." prompt="Encode Learners' Raw Score." sqref="N19:N68" xr:uid="{2EADF6CD-F431-4197-8250-F351508BF9FB}">
      <formula1>N19&lt;=$N$16</formula1>
    </dataValidation>
    <dataValidation type="custom" allowBlank="1" showInputMessage="1" showErrorMessage="1" errorTitle="Invalid Input" error="The score cannot be greater than the Highest Possible Score" prompt="Encode Learners' Raw Score." sqref="P19:P68" xr:uid="{A9C69129-9834-445B-931A-94BB9BF572CB}">
      <formula1>P19&lt;=$P$16</formula1>
    </dataValidation>
    <dataValidation type="custom" allowBlank="1" showInputMessage="1" showErrorMessage="1" errorTitle="Invalit Input" error="The score cannot be greater than the Highest Possible Score." prompt="Encode Learners' Raw Score." sqref="J19:J68" xr:uid="{F21BD6B3-1ED6-450A-81E5-B9F1CEB340B6}">
      <formula1>J19&lt;=$J$16</formula1>
    </dataValidation>
    <dataValidation type="custom" allowBlank="1" showInputMessage="1" showErrorMessage="1" errorTitle="Invalid Input" error="The score cannot be greater than the Highest Possible Score." prompt="Encode Learners' Raw Score." sqref="V19:V68 V70:V119" xr:uid="{97CF1D56-571F-47B5-8895-D5347E501987}">
      <formula1>V19&lt;=$V$16</formula1>
    </dataValidation>
    <dataValidation allowBlank="1" showInputMessage="1" showErrorMessage="1" prompt="Products/Performance Tasks' Total Score (Cognitive Domain)" sqref="Y19:Y68 Y70:Y119" xr:uid="{CCDCA3E7-D9BB-4DE4-A6B2-D2839369298D}"/>
    <dataValidation allowBlank="1" showInputMessage="1" showErrorMessage="1" prompt="Products/Performance Tasks' Percentage Score (Cognitive Domain)" sqref="Z19:Z68 Z70:Z119" xr:uid="{9D5D6323-AA48-4136-82F1-DC8916676B0D}"/>
    <dataValidation allowBlank="1" showInputMessage="1" showErrorMessage="1" prompt="Products/Performance Tasks' Weighted Score (Cognitive Domain)" sqref="AA19:AA68 AA70:AA119" xr:uid="{AEA767D9-FBD8-470C-97AF-7410765A724C}"/>
    <dataValidation type="custom" allowBlank="1" showInputMessage="1" showErrorMessage="1" errorTitle="Invalid Input" error="The score cannot be greater than the Highest Possible Score." prompt="Encode Learners' Raw Score." sqref="W70:W119" xr:uid="{EBDA2BDB-D131-471A-88A8-422EDD9EE2E1}">
      <formula1>W21&lt;=$W$16</formula1>
    </dataValidation>
    <dataValidation type="custom" allowBlank="1" showInputMessage="1" showErrorMessage="1" errorTitle="Invalid Input" error="The score cannot be greater than the Highest Possible Score." prompt="Encode learners' raw score." sqref="X70:X119" xr:uid="{EEBC9E7C-3058-4BE1-B09B-1909CD7EA3DD}">
      <formula1>X70&lt;=$X$16</formula1>
    </dataValidation>
    <dataValidation allowBlank="1" showInputMessage="1" showErrorMessage="1" prompt="Written/Oral Works' Total Score (Cognitive Domain)" sqref="K19:K68 K70:K119" xr:uid="{C6960210-C5B4-43D3-B732-0A5F0093C2EC}"/>
    <dataValidation allowBlank="1" showInputMessage="1" showErrorMessage="1" prompt="Written/Oral Works' Percentage Score (Cognitive Domain)." sqref="L19:L68" xr:uid="{FCC89B74-0B9B-4C57-87D6-57BE92FD22BA}"/>
    <dataValidation allowBlank="1" showInputMessage="1" showErrorMessage="1" prompt="Written/Oral Works' Weighted Score (Cognitive Domain)" sqref="M19:M68 M70:M119" xr:uid="{9992A9D2-6977-43A6-B820-A23083DC8B73}"/>
    <dataValidation allowBlank="1" showInputMessage="1" showErrorMessage="1" prompt="Written/Oral Works' Percentage Score (Cognitive Domain)" sqref="L70:L119" xr:uid="{503594DA-8E7C-4898-B08B-E4564BFD70CA}"/>
    <dataValidation allowBlank="1" showInputMessage="1" showErrorMessage="1" prompt="Written/Oral Works' Percentage Score (Affective Domain)" sqref="T70:T119 T19:T68" xr:uid="{5098FCEA-AA6D-40C5-B4C8-EB95EDA2C3A1}"/>
    <dataValidation allowBlank="1" showInputMessage="1" showErrorMessage="1" prompt="Written/Oral Works' Weighted Score (Affective Domain)" sqref="U70:U119" xr:uid="{F00B6E57-7160-4662-AE4A-F47794E14545}"/>
    <dataValidation allowBlank="1" showInputMessage="1" showErrorMessage="1" prompt="Written/Oral Works' Weighted Score (Affective Domain) " sqref="U19:U68" xr:uid="{A4C1B488-8AA6-49FD-8F8C-C1256CA6E200}"/>
    <dataValidation type="custom" allowBlank="1" showInputMessage="1" showErrorMessage="1" errorTitle="Invalid Input" error="The score cannot be greater than the Highest Possible Score." prompt="Encode learners' raw score." sqref="W19:W68" xr:uid="{D2D722FC-00AD-4350-A186-67DD8EFE3821}">
      <formula1>W19&lt;=$W$16</formula1>
    </dataValidation>
    <dataValidation type="custom" allowBlank="1" showInputMessage="1" showErrorMessage="1" errorTitle="Invalid Input" error="The score cannot be greater than the Highest Possible Score." prompt="Encode learners' raw score." sqref="X19:X68" xr:uid="{7393094F-BF62-44D6-9479-67173616750C}">
      <formula1>X1048546&lt;=$X$16</formula1>
    </dataValidation>
    <dataValidation type="custom" allowBlank="1" showInputMessage="1" showErrorMessage="1" errorTitle="Invalid Input" error="The score cannot be greater than the Highest Possible Score." prompt="Encode learners' raw score." sqref="AB70:AB119 AB19:AB68" xr:uid="{1F806E48-B1EB-4778-B12D-4567DB562825}">
      <formula1>AB19&lt;=$AB$16</formula1>
    </dataValidation>
    <dataValidation type="custom" allowBlank="1" showInputMessage="1" showErrorMessage="1" errorTitle="Invalid Input" error="The score cannot be greater than the Highest Possible Score." prompt="Encode learners' raw score." sqref="AC70:AC119 AC19:AC68" xr:uid="{CA4E73F3-729F-4D56-B04E-4F8C6F4DE9CB}">
      <formula1>AC19&lt;=$AC$16</formula1>
    </dataValidation>
    <dataValidation type="custom" allowBlank="1" showInputMessage="1" showErrorMessage="1" errorTitle="Invalid Input" error="The score cannot be greater than the Highest Possible Score." prompt="Encode learners' raw score." sqref="AD70:AD119" xr:uid="{FCC8BB73-23C1-483A-883C-6CC092F4928D}">
      <formula1>AD21&lt;=$AD$16</formula1>
    </dataValidation>
    <dataValidation type="custom" allowBlank="1" showInputMessage="1" showErrorMessage="1" errorTitle="Invalid Input" error="The score cannot be greater than the Highest Possible Score." prompt="Encode learner's raw score." sqref="AD19:AD68" xr:uid="{A7E01E6F-95D5-4614-AFF7-5B8B00DF3393}">
      <formula1>AD1048546&lt;=$AD$16</formula1>
    </dataValidation>
    <dataValidation allowBlank="1" showInputMessage="1" showErrorMessage="1" prompt="Products/Performance Tasks' Highest Possible Score (Affective Domain)" sqref="AE70:AE119 AE19:AE68" xr:uid="{E3964518-2190-4E72-9873-44C7B80E9E2E}"/>
    <dataValidation allowBlank="1" showInputMessage="1" showErrorMessage="1" prompt="Products/Performance Tasks' Percentage Score (Affective Domain)" sqref="AF70:AF119 AF19:AF68" xr:uid="{6448B2A0-A5D1-47D1-BD6B-09CF01AB16F2}"/>
    <dataValidation allowBlank="1" showInputMessage="1" showErrorMessage="1" prompt="Products/Performance Tasks' Weighted Score (Affective Domain)" sqref="AG70:AG119 AG19:AG68" xr:uid="{6EC1BDE6-495E-4F2F-9B4E-ACBC6282B117}"/>
    <dataValidation allowBlank="1" showInputMessage="1" showErrorMessage="1" prompt="Products/Performance Tasks' Highest Possible Score (Behavioral Domain)" sqref="AK19:AK68 AK70:AK119" xr:uid="{A4395CF2-528F-4BF5-95AC-DF3D33AFF0D2}"/>
    <dataValidation allowBlank="1" showInputMessage="1" showErrorMessage="1" prompt="Products/Performance Tasks' Percentage Score (Behavioral Domain)" sqref="AL19:AL68 AL70:AL119" xr:uid="{382ECB2C-96D7-4B2E-8722-CBDC3235AB54}"/>
    <dataValidation allowBlank="1" showInputMessage="1" showErrorMessage="1" prompt="Products/Performance Tasks' Weighted Score (Behavioral Domain)" sqref="AM19:AM68 AM70:AM119" xr:uid="{F95346F0-8ADF-4C03-A48B-E348A19B2C14}"/>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R117"/>
  <sheetViews>
    <sheetView showGridLines="0" workbookViewId="0">
      <pane ySplit="12" topLeftCell="A13" activePane="bottomLeft" state="frozen"/>
      <selection pane="bottomLeft" activeCell="H63" sqref="H63"/>
    </sheetView>
  </sheetViews>
  <sheetFormatPr defaultColWidth="12.6640625" defaultRowHeight="15.75" customHeight="1" x14ac:dyDescent="0.25"/>
  <cols>
    <col min="1" max="2" width="3.88671875" customWidth="1"/>
    <col min="6" max="8" width="15.109375" customWidth="1"/>
    <col min="9" max="9" width="17.88671875" customWidth="1"/>
    <col min="10" max="10" width="21.44140625" customWidth="1"/>
    <col min="11" max="11" width="17.21875" customWidth="1"/>
    <col min="12" max="12" width="3.88671875" customWidth="1"/>
    <col min="14" max="14" width="16.21875" customWidth="1"/>
  </cols>
  <sheetData>
    <row r="1" spans="1:18" ht="15.75" customHeight="1" x14ac:dyDescent="0.5">
      <c r="A1" s="59"/>
      <c r="L1" s="18"/>
      <c r="M1" s="18"/>
    </row>
    <row r="2" spans="1:18" ht="15.75" customHeight="1" x14ac:dyDescent="0.25">
      <c r="B2" s="403" t="s">
        <v>31</v>
      </c>
      <c r="C2" s="404"/>
      <c r="D2" s="404"/>
      <c r="E2" s="404"/>
      <c r="F2" s="404"/>
      <c r="G2" s="404"/>
      <c r="H2" s="404"/>
      <c r="I2" s="404"/>
      <c r="J2" s="404"/>
      <c r="K2" s="404"/>
      <c r="L2" s="18"/>
      <c r="M2" s="18"/>
    </row>
    <row r="3" spans="1:18" ht="15.75" customHeight="1" x14ac:dyDescent="0.25">
      <c r="B3" s="404"/>
      <c r="C3" s="404"/>
      <c r="D3" s="404"/>
      <c r="E3" s="404"/>
      <c r="F3" s="404"/>
      <c r="G3" s="404"/>
      <c r="H3" s="404"/>
      <c r="I3" s="404"/>
      <c r="J3" s="404"/>
      <c r="K3" s="404"/>
      <c r="L3" s="18"/>
      <c r="M3" s="18"/>
    </row>
    <row r="4" spans="1:18" ht="15.75" customHeight="1" x14ac:dyDescent="0.25">
      <c r="L4" s="3"/>
      <c r="M4" s="3"/>
    </row>
    <row r="5" spans="1:18" ht="15.75" customHeight="1" x14ac:dyDescent="0.25">
      <c r="A5" s="1"/>
      <c r="B5" s="1"/>
      <c r="C5" s="156" t="s">
        <v>1</v>
      </c>
      <c r="D5" s="412">
        <f>'INPUT DATA'!E10</f>
        <v>0</v>
      </c>
      <c r="E5" s="426"/>
      <c r="F5" s="156" t="s">
        <v>3</v>
      </c>
      <c r="G5" s="412">
        <f>'INPUT DATA'!E11</f>
        <v>0</v>
      </c>
      <c r="H5" s="426"/>
      <c r="I5" s="156" t="s">
        <v>4</v>
      </c>
      <c r="J5" s="412">
        <f>'INPUT DATA'!E13</f>
        <v>0</v>
      </c>
      <c r="K5" s="426"/>
      <c r="L5" s="3"/>
      <c r="M5" s="3"/>
    </row>
    <row r="6" spans="1:18" ht="15.75" customHeight="1" x14ac:dyDescent="0.25">
      <c r="A6" s="1"/>
      <c r="B6" s="1"/>
      <c r="C6" s="156" t="s">
        <v>6</v>
      </c>
      <c r="D6" s="412">
        <f>'INPUT DATA'!E14</f>
        <v>0</v>
      </c>
      <c r="E6" s="409"/>
      <c r="F6" s="409"/>
      <c r="G6" s="409"/>
      <c r="H6" s="413"/>
      <c r="I6" s="156" t="s">
        <v>7</v>
      </c>
      <c r="J6" s="412">
        <f>'INPUT DATA'!E15</f>
        <v>0</v>
      </c>
      <c r="K6" s="426"/>
      <c r="L6" s="3"/>
      <c r="M6" s="3"/>
    </row>
    <row r="7" spans="1:18" ht="15.75" customHeight="1" x14ac:dyDescent="0.3">
      <c r="A7" s="18"/>
      <c r="B7" s="18"/>
      <c r="C7" s="5"/>
      <c r="D7" s="62"/>
      <c r="E7" s="63"/>
      <c r="F7" s="63"/>
      <c r="G7" s="63"/>
      <c r="H7" s="63"/>
      <c r="I7" s="5"/>
      <c r="J7" s="64"/>
      <c r="K7" s="63"/>
      <c r="L7" s="3"/>
      <c r="M7" s="3"/>
    </row>
    <row r="8" spans="1:18" ht="13.8" thickBot="1" x14ac:dyDescent="0.3">
      <c r="A8" s="1"/>
      <c r="B8" s="405"/>
      <c r="C8" s="405"/>
      <c r="D8" s="405"/>
      <c r="E8" s="405"/>
      <c r="F8" s="405"/>
      <c r="G8" s="405"/>
      <c r="H8" s="405"/>
      <c r="I8" s="405"/>
      <c r="J8" s="405"/>
      <c r="K8" s="405"/>
      <c r="L8" s="1"/>
      <c r="M8" s="1"/>
    </row>
    <row r="9" spans="1:18" ht="15.75" customHeight="1" thickBot="1" x14ac:dyDescent="0.3">
      <c r="A9" s="3"/>
      <c r="B9" s="406" t="s">
        <v>11</v>
      </c>
      <c r="C9" s="407"/>
      <c r="D9" s="425">
        <f>'INPUT DATA'!E25</f>
        <v>0</v>
      </c>
      <c r="E9" s="409"/>
      <c r="F9" s="409"/>
      <c r="G9" s="413"/>
      <c r="H9" s="130" t="s">
        <v>13</v>
      </c>
      <c r="I9" s="425">
        <f>'INPUT DATA'!E24</f>
        <v>0</v>
      </c>
      <c r="J9" s="409"/>
      <c r="K9" s="413"/>
      <c r="L9" s="3"/>
      <c r="M9" s="3"/>
    </row>
    <row r="10" spans="1:18" ht="15.75" customHeight="1" thickBot="1" x14ac:dyDescent="0.3">
      <c r="A10" s="3"/>
      <c r="B10" s="406" t="s">
        <v>14</v>
      </c>
      <c r="C10" s="407"/>
      <c r="D10" s="408">
        <f>'INPUT DATA'!E26</f>
        <v>0</v>
      </c>
      <c r="E10" s="409"/>
      <c r="F10" s="410"/>
      <c r="G10" s="411"/>
      <c r="H10" s="260" t="s">
        <v>12</v>
      </c>
      <c r="I10" s="412">
        <f>'INPUT DATA'!E23</f>
        <v>0</v>
      </c>
      <c r="J10" s="409"/>
      <c r="K10" s="413"/>
      <c r="L10" s="3"/>
      <c r="M10" s="3"/>
    </row>
    <row r="11" spans="1:18" ht="14.4" thickBot="1" x14ac:dyDescent="0.3">
      <c r="A11" s="1"/>
      <c r="B11" s="421" t="s">
        <v>2</v>
      </c>
      <c r="C11" s="385"/>
      <c r="D11" s="385"/>
      <c r="E11" s="385"/>
      <c r="F11" s="414" t="s">
        <v>32</v>
      </c>
      <c r="G11" s="415"/>
      <c r="H11" s="416"/>
      <c r="I11" s="417" t="s">
        <v>33</v>
      </c>
      <c r="J11" s="419" t="s">
        <v>34</v>
      </c>
      <c r="K11" s="419" t="s">
        <v>35</v>
      </c>
      <c r="L11" s="1"/>
      <c r="M11" s="3"/>
      <c r="N11" s="131"/>
      <c r="O11" s="131"/>
      <c r="P11" s="131"/>
      <c r="Q11" s="131"/>
      <c r="R11" s="131"/>
    </row>
    <row r="12" spans="1:18" ht="14.4" thickBot="1" x14ac:dyDescent="0.3">
      <c r="A12" s="1"/>
      <c r="B12" s="422"/>
      <c r="C12" s="423"/>
      <c r="D12" s="423"/>
      <c r="E12" s="383"/>
      <c r="F12" s="261" t="s">
        <v>36</v>
      </c>
      <c r="G12" s="261" t="s">
        <v>37</v>
      </c>
      <c r="H12" s="261" t="s">
        <v>38</v>
      </c>
      <c r="I12" s="418"/>
      <c r="J12" s="420"/>
      <c r="K12" s="420"/>
      <c r="L12" s="1"/>
      <c r="M12" s="3"/>
      <c r="N12" s="131"/>
      <c r="O12" s="131"/>
      <c r="P12" s="131"/>
      <c r="Q12" s="131"/>
      <c r="R12" s="131"/>
    </row>
    <row r="13" spans="1:18" ht="14.4" thickBot="1" x14ac:dyDescent="0.3">
      <c r="A13" s="3"/>
      <c r="B13" s="427" t="s">
        <v>8</v>
      </c>
      <c r="C13" s="428"/>
      <c r="D13" s="428"/>
      <c r="E13" s="428"/>
      <c r="F13" s="429"/>
      <c r="G13" s="429"/>
      <c r="H13" s="429"/>
      <c r="I13" s="430"/>
      <c r="J13" s="428"/>
      <c r="K13" s="431"/>
      <c r="L13" s="3"/>
      <c r="M13" s="3"/>
      <c r="N13" s="424"/>
      <c r="O13" s="424"/>
      <c r="P13" s="424"/>
      <c r="Q13" s="424"/>
      <c r="R13" s="131"/>
    </row>
    <row r="14" spans="1:18" ht="15" customHeight="1" x14ac:dyDescent="0.25">
      <c r="A14" s="3"/>
      <c r="B14" s="138">
        <v>1</v>
      </c>
      <c r="C14" s="396" t="str">
        <f>IF('INPUT DATA'!K11="","",'INPUT DATA'!K11)</f>
        <v/>
      </c>
      <c r="D14" s="397"/>
      <c r="E14" s="397"/>
      <c r="F14" s="270" t="str">
        <f>IF(TRIM(C14)="","",IFERROR(_xlfn.XLOOKUP(TRIM(C14),'TERM 1'!$C$19:$C$119,'TERM 1'!$AW$19:$AW$119),""))</f>
        <v/>
      </c>
      <c r="G14" s="270" t="str">
        <f>IF(TRIM(C14)="","",IFERROR(_xlfn.XLOOKUP(TRIM(C14),'TERM 2'!$C$19:$C$119,'TERM 2'!$AW$19:$AW$119),""))</f>
        <v/>
      </c>
      <c r="H14" s="264" t="str">
        <f>IF(TRIM(C14)="","",IFERROR(_xlfn.XLOOKUP(TRIM(C14),'TERM 3'!$C$19:$C$119,'TERM 3'!$AW$19:$AW$119),""))</f>
        <v/>
      </c>
      <c r="I14" s="267" t="str">
        <f>IF(C14="","",IF(COUNT($F14:$H14)=0,"",SUM($F14:$H14)/3))</f>
        <v/>
      </c>
      <c r="J14" s="262" t="str">
        <f>IF(C14="","",IFERROR(_xlfn.XLOOKUP(I14,HELPER!$F$8:$F$48,HELPER!$G$8:$G$48,,1),""))</f>
        <v/>
      </c>
      <c r="K14" s="139"/>
      <c r="L14" s="3"/>
      <c r="M14" s="3"/>
      <c r="N14" s="132"/>
      <c r="O14" s="133"/>
      <c r="P14" s="133"/>
      <c r="Q14" s="133"/>
      <c r="R14" s="131"/>
    </row>
    <row r="15" spans="1:18" ht="15" customHeight="1" x14ac:dyDescent="0.25">
      <c r="A15" s="3"/>
      <c r="B15" s="104">
        <v>2</v>
      </c>
      <c r="C15" s="396" t="str">
        <f>IF('INPUT DATA'!K12="","",'INPUT DATA'!K12)</f>
        <v/>
      </c>
      <c r="D15" s="397"/>
      <c r="E15" s="397"/>
      <c r="F15" s="271" t="str">
        <f>IF(TRIM(C15)="","",IFERROR(_xlfn.XLOOKUP(TRIM(C15),'TERM 1'!$C$19:$C$119,'TERM 1'!$AW$19:$AW$119),""))</f>
        <v/>
      </c>
      <c r="G15" s="271" t="str">
        <f>IF(TRIM(C15)="","",IFERROR(_xlfn.XLOOKUP(TRIM(C15),'TERM 2'!$C$19:$C$119,'TERM 2'!$AW$19:$AW$119),""))</f>
        <v/>
      </c>
      <c r="H15" s="265" t="str">
        <f>IF(TRIM(C15)="","",IFERROR(_xlfn.XLOOKUP(TRIM(C15),'TERM 3'!$C$19:$C$119,'TERM 3'!$AW$19:$AW$119),""))</f>
        <v/>
      </c>
      <c r="I15" s="268" t="str">
        <f>IF(C15="","",IF(COUNT($F15:$H15)=0,"",SUM($F15:$H15)/3))</f>
        <v/>
      </c>
      <c r="J15" s="262" t="str">
        <f>IF(C15="","",IFERROR(_xlfn.XLOOKUP(I15,HELPER!$F$8:$F$48,HELPER!$G$8:$G$48,,1),""))</f>
        <v/>
      </c>
      <c r="K15" s="140"/>
      <c r="L15" s="3"/>
      <c r="M15" s="3"/>
      <c r="N15" s="134"/>
      <c r="O15" s="131"/>
      <c r="P15" s="131"/>
      <c r="Q15" s="131"/>
      <c r="R15" s="131"/>
    </row>
    <row r="16" spans="1:18" ht="15" customHeight="1" x14ac:dyDescent="0.25">
      <c r="A16" s="3"/>
      <c r="B16" s="104">
        <v>3</v>
      </c>
      <c r="C16" s="396" t="str">
        <f>IF('INPUT DATA'!K13="","",'INPUT DATA'!K13)</f>
        <v/>
      </c>
      <c r="D16" s="397"/>
      <c r="E16" s="397"/>
      <c r="F16" s="271" t="str">
        <f>IF(TRIM(C16)="","",IFERROR(_xlfn.XLOOKUP(TRIM(C16),'TERM 1'!$C$19:$C$119,'TERM 1'!$AW$19:$AW$119),""))</f>
        <v/>
      </c>
      <c r="G16" s="271" t="str">
        <f>IF(TRIM(C16)="","",IFERROR(_xlfn.XLOOKUP(TRIM(C16),'TERM 2'!$C$19:$C$119,'TERM 2'!$AW$19:$AW$119),""))</f>
        <v/>
      </c>
      <c r="H16" s="265" t="str">
        <f>IF(TRIM(C16)="","",IFERROR(_xlfn.XLOOKUP(TRIM(C16),'TERM 3'!$C$19:$C$119,'TERM 3'!$AW$19:$AW$119),""))</f>
        <v/>
      </c>
      <c r="I16" s="268" t="str">
        <f t="shared" ref="I16:I63" si="0">IF(C16="","",IF(COUNT($F16:$H16)=0,"",SUM($F16:$H16)/3))</f>
        <v/>
      </c>
      <c r="J16" s="262" t="str">
        <f>IF(C16="","",IFERROR(_xlfn.XLOOKUP(I16,HELPER!$F$8:$F$48,HELPER!$G$8:$G$48,,1),""))</f>
        <v/>
      </c>
      <c r="K16" s="140"/>
      <c r="L16" s="3"/>
      <c r="M16" s="3"/>
      <c r="N16" s="134"/>
      <c r="O16" s="131"/>
      <c r="P16" s="131"/>
      <c r="Q16" s="131"/>
      <c r="R16" s="131"/>
    </row>
    <row r="17" spans="1:18" ht="15" customHeight="1" x14ac:dyDescent="0.25">
      <c r="A17" s="3"/>
      <c r="B17" s="104">
        <v>4</v>
      </c>
      <c r="C17" s="396" t="str">
        <f>IF('INPUT DATA'!K14="","",'INPUT DATA'!K14)</f>
        <v/>
      </c>
      <c r="D17" s="397"/>
      <c r="E17" s="397"/>
      <c r="F17" s="271" t="str">
        <f>IF(TRIM(C17)="","",IFERROR(_xlfn.XLOOKUP(TRIM(C17),'TERM 1'!$C$19:$C$119,'TERM 1'!$AW$19:$AW$119),""))</f>
        <v/>
      </c>
      <c r="G17" s="271" t="str">
        <f>IF(TRIM(C17)="","",IFERROR(_xlfn.XLOOKUP(TRIM(C17),'TERM 2'!$C$19:$C$119,'TERM 2'!$AW$19:$AW$119),""))</f>
        <v/>
      </c>
      <c r="H17" s="265" t="str">
        <f>IF(TRIM(C17)="","",IFERROR(_xlfn.XLOOKUP(TRIM(C17),'TERM 3'!$C$19:$C$119,'TERM 3'!$AW$19:$AW$119),""))</f>
        <v/>
      </c>
      <c r="I17" s="268" t="str">
        <f t="shared" si="0"/>
        <v/>
      </c>
      <c r="J17" s="262" t="str">
        <f>IF(C17="","",IFERROR(_xlfn.XLOOKUP(I17,HELPER!$F$8:$F$48,HELPER!$G$8:$G$48,,1),""))</f>
        <v/>
      </c>
      <c r="K17" s="140"/>
      <c r="L17" s="3"/>
      <c r="M17" s="3"/>
      <c r="N17" s="134"/>
      <c r="O17" s="131"/>
      <c r="P17" s="131"/>
      <c r="Q17" s="131"/>
      <c r="R17" s="131"/>
    </row>
    <row r="18" spans="1:18" ht="15" customHeight="1" x14ac:dyDescent="0.25">
      <c r="A18" s="3"/>
      <c r="B18" s="104">
        <v>5</v>
      </c>
      <c r="C18" s="396" t="str">
        <f>IF('INPUT DATA'!K15="","",'INPUT DATA'!K15)</f>
        <v/>
      </c>
      <c r="D18" s="397"/>
      <c r="E18" s="397"/>
      <c r="F18" s="271" t="str">
        <f>IF(TRIM(C18)="","",IFERROR(_xlfn.XLOOKUP(TRIM(C18),'TERM 1'!$C$19:$C$119,'TERM 1'!$AW$19:$AW$119),""))</f>
        <v/>
      </c>
      <c r="G18" s="271" t="str">
        <f>IF(TRIM(C18)="","",IFERROR(_xlfn.XLOOKUP(TRIM(C18),'TERM 2'!$C$19:$C$119,'TERM 2'!$AW$19:$AW$119),""))</f>
        <v/>
      </c>
      <c r="H18" s="265" t="str">
        <f>IF(TRIM(C18)="","",IFERROR(_xlfn.XLOOKUP(TRIM(C18),'TERM 3'!$C$19:$C$119,'TERM 3'!$AW$19:$AW$119),""))</f>
        <v/>
      </c>
      <c r="I18" s="268" t="str">
        <f t="shared" si="0"/>
        <v/>
      </c>
      <c r="J18" s="262" t="str">
        <f>IF(C18="","",IFERROR(_xlfn.XLOOKUP(I18,HELPER!$F$8:$F$48,HELPER!$G$8:$G$48,,1),""))</f>
        <v/>
      </c>
      <c r="K18" s="140"/>
      <c r="L18" s="3"/>
      <c r="M18" s="3"/>
      <c r="N18" s="134"/>
      <c r="O18" s="131"/>
      <c r="P18" s="131"/>
      <c r="Q18" s="131"/>
      <c r="R18" s="131"/>
    </row>
    <row r="19" spans="1:18" ht="15" customHeight="1" x14ac:dyDescent="0.25">
      <c r="A19" s="3"/>
      <c r="B19" s="104">
        <v>6</v>
      </c>
      <c r="C19" s="396" t="str">
        <f>IF('INPUT DATA'!K16="","",'INPUT DATA'!K16)</f>
        <v/>
      </c>
      <c r="D19" s="397"/>
      <c r="E19" s="397"/>
      <c r="F19" s="271" t="str">
        <f>IF(TRIM(C19)="","",IFERROR(_xlfn.XLOOKUP(TRIM(C19),'TERM 1'!$C$19:$C$119,'TERM 1'!$AW$19:$AW$119),""))</f>
        <v/>
      </c>
      <c r="G19" s="271" t="str">
        <f>IF(TRIM(C19)="","",IFERROR(_xlfn.XLOOKUP(TRIM(C19),'TERM 2'!$C$19:$C$119,'TERM 2'!$AW$19:$AW$119),""))</f>
        <v/>
      </c>
      <c r="H19" s="265" t="str">
        <f>IF(TRIM(C19)="","",IFERROR(_xlfn.XLOOKUP(TRIM(C19),'TERM 3'!$C$19:$C$119,'TERM 3'!$AW$19:$AW$119),""))</f>
        <v/>
      </c>
      <c r="I19" s="268" t="str">
        <f t="shared" si="0"/>
        <v/>
      </c>
      <c r="J19" s="262" t="str">
        <f>IF(C19="","",IFERROR(_xlfn.XLOOKUP(I19,HELPER!$F$8:$F$48,HELPER!$G$8:$G$48,,1),""))</f>
        <v/>
      </c>
      <c r="K19" s="140"/>
      <c r="L19" s="3"/>
      <c r="M19" s="3"/>
      <c r="N19" s="134"/>
      <c r="O19" s="131"/>
      <c r="P19" s="131"/>
      <c r="Q19" s="131"/>
      <c r="R19" s="131"/>
    </row>
    <row r="20" spans="1:18" ht="15" customHeight="1" x14ac:dyDescent="0.25">
      <c r="A20" s="3"/>
      <c r="B20" s="104">
        <v>7</v>
      </c>
      <c r="C20" s="396" t="str">
        <f>IF('INPUT DATA'!K17="","",'INPUT DATA'!K17)</f>
        <v/>
      </c>
      <c r="D20" s="397"/>
      <c r="E20" s="397"/>
      <c r="F20" s="271" t="str">
        <f>IF(TRIM(C20)="","",IFERROR(_xlfn.XLOOKUP(TRIM(C20),'TERM 1'!$C$19:$C$119,'TERM 1'!$AW$19:$AW$119),""))</f>
        <v/>
      </c>
      <c r="G20" s="271" t="str">
        <f>IF(TRIM(C20)="","",IFERROR(_xlfn.XLOOKUP(TRIM(C20),'TERM 2'!$C$19:$C$119,'TERM 2'!$AW$19:$AW$119),""))</f>
        <v/>
      </c>
      <c r="H20" s="265" t="str">
        <f>IF(TRIM(C20)="","",IFERROR(_xlfn.XLOOKUP(TRIM(C20),'TERM 3'!$C$19:$C$119,'TERM 3'!$AW$19:$AW$119),""))</f>
        <v/>
      </c>
      <c r="I20" s="268" t="str">
        <f t="shared" si="0"/>
        <v/>
      </c>
      <c r="J20" s="262" t="str">
        <f>IF(C20="","",IFERROR(_xlfn.XLOOKUP(I20,HELPER!$F$8:$F$48,HELPER!$G$8:$G$48,,1),""))</f>
        <v/>
      </c>
      <c r="K20" s="140"/>
      <c r="L20" s="3"/>
      <c r="M20" s="3"/>
      <c r="N20" s="131"/>
      <c r="O20" s="131"/>
      <c r="P20" s="131"/>
      <c r="Q20" s="131"/>
      <c r="R20" s="131"/>
    </row>
    <row r="21" spans="1:18" ht="15" customHeight="1" x14ac:dyDescent="0.25">
      <c r="A21" s="3"/>
      <c r="B21" s="104">
        <v>8</v>
      </c>
      <c r="C21" s="396" t="str">
        <f>IF('INPUT DATA'!K18="","",'INPUT DATA'!K18)</f>
        <v/>
      </c>
      <c r="D21" s="397"/>
      <c r="E21" s="397"/>
      <c r="F21" s="271" t="str">
        <f>IF(TRIM(C21)="","",IFERROR(_xlfn.XLOOKUP(TRIM(C21),'TERM 1'!$C$19:$C$119,'TERM 1'!$AW$19:$AW$119),""))</f>
        <v/>
      </c>
      <c r="G21" s="271" t="str">
        <f>IF(TRIM(C21)="","",IFERROR(_xlfn.XLOOKUP(TRIM(C21),'TERM 2'!$C$19:$C$119,'TERM 2'!$AW$19:$AW$119),""))</f>
        <v/>
      </c>
      <c r="H21" s="265" t="str">
        <f>IF(TRIM(C21)="","",IFERROR(_xlfn.XLOOKUP(TRIM(C21),'TERM 3'!$C$19:$C$119,'TERM 3'!$AW$19:$AW$119),""))</f>
        <v/>
      </c>
      <c r="I21" s="268" t="str">
        <f t="shared" si="0"/>
        <v/>
      </c>
      <c r="J21" s="262" t="str">
        <f>IF(C21="","",IFERROR(_xlfn.XLOOKUP(I21,HELPER!$F$8:$F$48,HELPER!$G$8:$G$48,,1),""))</f>
        <v/>
      </c>
      <c r="K21" s="140"/>
      <c r="L21" s="3"/>
      <c r="M21" s="3"/>
      <c r="N21" s="131"/>
      <c r="O21" s="131"/>
      <c r="P21" s="131"/>
      <c r="Q21" s="131"/>
      <c r="R21" s="131"/>
    </row>
    <row r="22" spans="1:18" ht="15" customHeight="1" x14ac:dyDescent="0.25">
      <c r="A22" s="3"/>
      <c r="B22" s="104">
        <v>9</v>
      </c>
      <c r="C22" s="396" t="str">
        <f>IF('INPUT DATA'!K19="","",'INPUT DATA'!K19)</f>
        <v/>
      </c>
      <c r="D22" s="397"/>
      <c r="E22" s="397"/>
      <c r="F22" s="271" t="str">
        <f>IF(TRIM(C22)="","",IFERROR(_xlfn.XLOOKUP(TRIM(C22),'TERM 1'!$C$19:$C$119,'TERM 1'!$AW$19:$AW$119),""))</f>
        <v/>
      </c>
      <c r="G22" s="271" t="str">
        <f>IF(TRIM(C22)="","",IFERROR(_xlfn.XLOOKUP(TRIM(C22),'TERM 2'!$C$19:$C$119,'TERM 2'!$AW$19:$AW$119),""))</f>
        <v/>
      </c>
      <c r="H22" s="265" t="str">
        <f>IF(TRIM(C22)="","",IFERROR(_xlfn.XLOOKUP(TRIM(C22),'TERM 3'!$C$19:$C$119,'TERM 3'!$AW$19:$AW$119),""))</f>
        <v/>
      </c>
      <c r="I22" s="268" t="str">
        <f t="shared" si="0"/>
        <v/>
      </c>
      <c r="J22" s="262" t="str">
        <f>IF(C22="","",IFERROR(_xlfn.XLOOKUP(I22,HELPER!$F$8:$F$48,HELPER!$G$8:$G$48,,1),""))</f>
        <v/>
      </c>
      <c r="K22" s="140"/>
      <c r="L22" s="3"/>
      <c r="M22" s="3"/>
      <c r="N22" s="131"/>
      <c r="O22" s="131"/>
      <c r="P22" s="131"/>
      <c r="Q22" s="131"/>
      <c r="R22" s="131"/>
    </row>
    <row r="23" spans="1:18" ht="15" customHeight="1" x14ac:dyDescent="0.25">
      <c r="A23" s="3"/>
      <c r="B23" s="104">
        <v>10</v>
      </c>
      <c r="C23" s="396" t="str">
        <f>IF('INPUT DATA'!K20="","",'INPUT DATA'!K20)</f>
        <v/>
      </c>
      <c r="D23" s="397"/>
      <c r="E23" s="397"/>
      <c r="F23" s="271" t="str">
        <f>IF(TRIM(C23)="","",IFERROR(_xlfn.XLOOKUP(TRIM(C23),'TERM 1'!$C$19:$C$119,'TERM 1'!$AW$19:$AW$119),""))</f>
        <v/>
      </c>
      <c r="G23" s="271" t="str">
        <f>IF(TRIM(C23)="","",IFERROR(_xlfn.XLOOKUP(TRIM(C23),'TERM 2'!$C$19:$C$119,'TERM 2'!$AW$19:$AW$119),""))</f>
        <v/>
      </c>
      <c r="H23" s="265" t="str">
        <f>IF(TRIM(C23)="","",IFERROR(_xlfn.XLOOKUP(TRIM(C23),'TERM 3'!$C$19:$C$119,'TERM 3'!$AW$19:$AW$119),""))</f>
        <v/>
      </c>
      <c r="I23" s="268" t="str">
        <f t="shared" si="0"/>
        <v/>
      </c>
      <c r="J23" s="262" t="str">
        <f>IF(C23="","",IFERROR(_xlfn.XLOOKUP(I23,HELPER!$F$8:$F$48,HELPER!$G$8:$G$48,,1),""))</f>
        <v/>
      </c>
      <c r="K23" s="140"/>
      <c r="L23" s="3"/>
      <c r="M23" s="3"/>
    </row>
    <row r="24" spans="1:18" ht="15" customHeight="1" x14ac:dyDescent="0.25">
      <c r="A24" s="3"/>
      <c r="B24" s="104">
        <v>11</v>
      </c>
      <c r="C24" s="396" t="str">
        <f>IF('INPUT DATA'!K21="","",'INPUT DATA'!K21)</f>
        <v/>
      </c>
      <c r="D24" s="397"/>
      <c r="E24" s="397"/>
      <c r="F24" s="271" t="str">
        <f>IF(TRIM(C24)="","",IFERROR(_xlfn.XLOOKUP(TRIM(C24),'TERM 1'!$C$19:$C$119,'TERM 1'!$AW$19:$AW$119),""))</f>
        <v/>
      </c>
      <c r="G24" s="271" t="str">
        <f>IF(TRIM(C24)="","",IFERROR(_xlfn.XLOOKUP(TRIM(C24),'TERM 2'!$C$19:$C$119,'TERM 2'!$AW$19:$AW$119),""))</f>
        <v/>
      </c>
      <c r="H24" s="265" t="str">
        <f>IF(TRIM(C24)="","",IFERROR(_xlfn.XLOOKUP(TRIM(C24),'TERM 3'!$C$19:$C$119,'TERM 3'!$AW$19:$AW$119),""))</f>
        <v/>
      </c>
      <c r="I24" s="268" t="str">
        <f t="shared" si="0"/>
        <v/>
      </c>
      <c r="J24" s="262" t="str">
        <f>IF(C24="","",IFERROR(_xlfn.XLOOKUP(I24,HELPER!$F$8:$F$48,HELPER!$G$8:$G$48,,1),""))</f>
        <v/>
      </c>
      <c r="K24" s="140"/>
      <c r="L24" s="3"/>
      <c r="M24" s="3"/>
    </row>
    <row r="25" spans="1:18" ht="15" customHeight="1" x14ac:dyDescent="0.25">
      <c r="A25" s="3"/>
      <c r="B25" s="104">
        <v>12</v>
      </c>
      <c r="C25" s="396" t="str">
        <f>IF('INPUT DATA'!K22="","",'INPUT DATA'!K22)</f>
        <v/>
      </c>
      <c r="D25" s="397"/>
      <c r="E25" s="397"/>
      <c r="F25" s="271" t="str">
        <f>IF(TRIM(C25)="","",IFERROR(_xlfn.XLOOKUP(TRIM(C25),'TERM 1'!$C$19:$C$119,'TERM 1'!$AW$19:$AW$119),""))</f>
        <v/>
      </c>
      <c r="G25" s="271" t="str">
        <f>IF(TRIM(C25)="","",IFERROR(_xlfn.XLOOKUP(TRIM(C25),'TERM 2'!$C$19:$C$119,'TERM 2'!$AW$19:$AW$119),""))</f>
        <v/>
      </c>
      <c r="H25" s="265" t="str">
        <f>IF(TRIM(C25)="","",IFERROR(_xlfn.XLOOKUP(TRIM(C25),'TERM 3'!$C$19:$C$119,'TERM 3'!$AW$19:$AW$119),""))</f>
        <v/>
      </c>
      <c r="I25" s="268" t="str">
        <f t="shared" si="0"/>
        <v/>
      </c>
      <c r="J25" s="262" t="str">
        <f>IF(C25="","",IFERROR(_xlfn.XLOOKUP(I25,HELPER!$F$8:$F$48,HELPER!$G$8:$G$48,,1),""))</f>
        <v/>
      </c>
      <c r="K25" s="140"/>
      <c r="L25" s="3"/>
      <c r="M25" s="3"/>
    </row>
    <row r="26" spans="1:18" ht="15" customHeight="1" x14ac:dyDescent="0.25">
      <c r="A26" s="3"/>
      <c r="B26" s="104">
        <v>13</v>
      </c>
      <c r="C26" s="396" t="str">
        <f>IF('INPUT DATA'!K23="","",'INPUT DATA'!K23)</f>
        <v/>
      </c>
      <c r="D26" s="397"/>
      <c r="E26" s="397"/>
      <c r="F26" s="271" t="str">
        <f>IF(TRIM(C26)="","",IFERROR(_xlfn.XLOOKUP(TRIM(C26),'TERM 1'!$C$19:$C$119,'TERM 1'!$AW$19:$AW$119),""))</f>
        <v/>
      </c>
      <c r="G26" s="271" t="str">
        <f>IF(TRIM(C26)="","",IFERROR(_xlfn.XLOOKUP(TRIM(C26),'TERM 2'!$C$19:$C$119,'TERM 2'!$AW$19:$AW$119),""))</f>
        <v/>
      </c>
      <c r="H26" s="265" t="str">
        <f>IF(TRIM(C26)="","",IFERROR(_xlfn.XLOOKUP(TRIM(C26),'TERM 3'!$C$19:$C$119,'TERM 3'!$AW$19:$AW$119),""))</f>
        <v/>
      </c>
      <c r="I26" s="268" t="str">
        <f t="shared" si="0"/>
        <v/>
      </c>
      <c r="J26" s="262" t="str">
        <f>IF(C26="","",IFERROR(_xlfn.XLOOKUP(I26,HELPER!$F$8:$F$48,HELPER!$G$8:$G$48,,1),""))</f>
        <v/>
      </c>
      <c r="K26" s="140"/>
      <c r="L26" s="3"/>
      <c r="M26" s="3"/>
    </row>
    <row r="27" spans="1:18" ht="15" customHeight="1" x14ac:dyDescent="0.25">
      <c r="A27" s="3"/>
      <c r="B27" s="104">
        <v>14</v>
      </c>
      <c r="C27" s="396" t="str">
        <f>IF('INPUT DATA'!K24="","",'INPUT DATA'!K24)</f>
        <v/>
      </c>
      <c r="D27" s="397"/>
      <c r="E27" s="397"/>
      <c r="F27" s="271" t="str">
        <f>IF(TRIM(C27)="","",IFERROR(_xlfn.XLOOKUP(TRIM(C27),'TERM 1'!$C$19:$C$119,'TERM 1'!$AW$19:$AW$119),""))</f>
        <v/>
      </c>
      <c r="G27" s="271" t="str">
        <f>IF(TRIM(C27)="","",IFERROR(_xlfn.XLOOKUP(TRIM(C27),'TERM 2'!$C$19:$C$119,'TERM 2'!$AW$19:$AW$119),""))</f>
        <v/>
      </c>
      <c r="H27" s="265" t="str">
        <f>IF(TRIM(C27)="","",IFERROR(_xlfn.XLOOKUP(TRIM(C27),'TERM 3'!$C$19:$C$119,'TERM 3'!$AW$19:$AW$119),""))</f>
        <v/>
      </c>
      <c r="I27" s="268" t="str">
        <f t="shared" si="0"/>
        <v/>
      </c>
      <c r="J27" s="262" t="str">
        <f>IF(C27="","",IFERROR(_xlfn.XLOOKUP(I27,HELPER!$F$8:$F$48,HELPER!$G$8:$G$48,,1),""))</f>
        <v/>
      </c>
      <c r="K27" s="140"/>
      <c r="L27" s="3"/>
      <c r="M27" s="3"/>
    </row>
    <row r="28" spans="1:18" ht="15" customHeight="1" x14ac:dyDescent="0.25">
      <c r="A28" s="3"/>
      <c r="B28" s="104">
        <v>15</v>
      </c>
      <c r="C28" s="396" t="str">
        <f>IF('INPUT DATA'!K25="","",'INPUT DATA'!K25)</f>
        <v/>
      </c>
      <c r="D28" s="397"/>
      <c r="E28" s="397"/>
      <c r="F28" s="271" t="str">
        <f>IF(TRIM(C28)="","",IFERROR(_xlfn.XLOOKUP(TRIM(C28),'TERM 1'!$C$19:$C$119,'TERM 1'!$AW$19:$AW$119),""))</f>
        <v/>
      </c>
      <c r="G28" s="271" t="str">
        <f>IF(TRIM(C28)="","",IFERROR(_xlfn.XLOOKUP(TRIM(C28),'TERM 2'!$C$19:$C$119,'TERM 2'!$AW$19:$AW$119),""))</f>
        <v/>
      </c>
      <c r="H28" s="265" t="str">
        <f>IF(TRIM(C28)="","",IFERROR(_xlfn.XLOOKUP(TRIM(C28),'TERM 3'!$C$19:$C$119,'TERM 3'!$AW$19:$AW$119),""))</f>
        <v/>
      </c>
      <c r="I28" s="268" t="str">
        <f t="shared" si="0"/>
        <v/>
      </c>
      <c r="J28" s="262" t="str">
        <f>IF(C28="","",IFERROR(_xlfn.XLOOKUP(I28,HELPER!$F$8:$F$48,HELPER!$G$8:$G$48,,1),""))</f>
        <v/>
      </c>
      <c r="K28" s="140"/>
      <c r="L28" s="3"/>
      <c r="M28" s="3"/>
    </row>
    <row r="29" spans="1:18" ht="15" customHeight="1" x14ac:dyDescent="0.25">
      <c r="A29" s="3"/>
      <c r="B29" s="104">
        <v>16</v>
      </c>
      <c r="C29" s="396" t="str">
        <f>IF('INPUT DATA'!K26="","",'INPUT DATA'!K26)</f>
        <v/>
      </c>
      <c r="D29" s="397"/>
      <c r="E29" s="397"/>
      <c r="F29" s="271" t="str">
        <f>IF(TRIM(C29)="","",IFERROR(_xlfn.XLOOKUP(TRIM(C29),'TERM 1'!$C$19:$C$119,'TERM 1'!$AW$19:$AW$119),""))</f>
        <v/>
      </c>
      <c r="G29" s="271" t="str">
        <f>IF(TRIM(C29)="","",IFERROR(_xlfn.XLOOKUP(TRIM(C29),'TERM 2'!$C$19:$C$119,'TERM 2'!$AW$19:$AW$119),""))</f>
        <v/>
      </c>
      <c r="H29" s="265" t="str">
        <f>IF(TRIM(C29)="","",IFERROR(_xlfn.XLOOKUP(TRIM(C29),'TERM 3'!$C$19:$C$119,'TERM 3'!$AW$19:$AW$119),""))</f>
        <v/>
      </c>
      <c r="I29" s="268" t="str">
        <f t="shared" si="0"/>
        <v/>
      </c>
      <c r="J29" s="262" t="str">
        <f>IF(C29="","",IFERROR(_xlfn.XLOOKUP(I29,HELPER!$F$8:$F$48,HELPER!$G$8:$G$48,,1),""))</f>
        <v/>
      </c>
      <c r="K29" s="140"/>
      <c r="L29" s="3"/>
      <c r="M29" s="3"/>
    </row>
    <row r="30" spans="1:18" ht="15" customHeight="1" x14ac:dyDescent="0.25">
      <c r="A30" s="3"/>
      <c r="B30" s="104">
        <v>17</v>
      </c>
      <c r="C30" s="396" t="str">
        <f>IF('INPUT DATA'!K27="","",'INPUT DATA'!K27)</f>
        <v/>
      </c>
      <c r="D30" s="397"/>
      <c r="E30" s="397"/>
      <c r="F30" s="271" t="str">
        <f>IF(TRIM(C30)="","",IFERROR(_xlfn.XLOOKUP(TRIM(C30),'TERM 1'!$C$19:$C$119,'TERM 1'!$AW$19:$AW$119),""))</f>
        <v/>
      </c>
      <c r="G30" s="271" t="str">
        <f>IF(TRIM(C30)="","",IFERROR(_xlfn.XLOOKUP(TRIM(C30),'TERM 2'!$C$19:$C$119,'TERM 2'!$AW$19:$AW$119),""))</f>
        <v/>
      </c>
      <c r="H30" s="265" t="str">
        <f>IF(TRIM(C30)="","",IFERROR(_xlfn.XLOOKUP(TRIM(C30),'TERM 3'!$C$19:$C$119,'TERM 3'!$AW$19:$AW$119),""))</f>
        <v/>
      </c>
      <c r="I30" s="268" t="str">
        <f t="shared" si="0"/>
        <v/>
      </c>
      <c r="J30" s="262" t="str">
        <f>IF(C30="","",IFERROR(_xlfn.XLOOKUP(I30,HELPER!$F$8:$F$48,HELPER!$G$8:$G$48,,1),""))</f>
        <v/>
      </c>
      <c r="K30" s="140"/>
      <c r="L30" s="3"/>
      <c r="M30" s="3"/>
    </row>
    <row r="31" spans="1:18" ht="15" customHeight="1" x14ac:dyDescent="0.25">
      <c r="A31" s="3"/>
      <c r="B31" s="104">
        <v>18</v>
      </c>
      <c r="C31" s="396" t="str">
        <f>IF('INPUT DATA'!K28="","",'INPUT DATA'!K28)</f>
        <v/>
      </c>
      <c r="D31" s="397"/>
      <c r="E31" s="397"/>
      <c r="F31" s="271" t="str">
        <f>IF(TRIM(C31)="","",IFERROR(_xlfn.XLOOKUP(TRIM(C31),'TERM 1'!$C$19:$C$119,'TERM 1'!$AW$19:$AW$119),""))</f>
        <v/>
      </c>
      <c r="G31" s="271" t="str">
        <f>IF(TRIM(C31)="","",IFERROR(_xlfn.XLOOKUP(TRIM(C31),'TERM 2'!$C$19:$C$119,'TERM 2'!$AW$19:$AW$119),""))</f>
        <v/>
      </c>
      <c r="H31" s="265" t="str">
        <f>IF(TRIM(C31)="","",IFERROR(_xlfn.XLOOKUP(TRIM(C31),'TERM 3'!$C$19:$C$119,'TERM 3'!$AW$19:$AW$119),""))</f>
        <v/>
      </c>
      <c r="I31" s="268" t="str">
        <f t="shared" si="0"/>
        <v/>
      </c>
      <c r="J31" s="262" t="str">
        <f>IF(C31="","",IFERROR(_xlfn.XLOOKUP(I31,HELPER!$F$8:$F$48,HELPER!$G$8:$G$48,,1),""))</f>
        <v/>
      </c>
      <c r="K31" s="140"/>
      <c r="L31" s="3"/>
      <c r="M31" s="3"/>
    </row>
    <row r="32" spans="1:18" ht="15" customHeight="1" x14ac:dyDescent="0.25">
      <c r="A32" s="3"/>
      <c r="B32" s="104">
        <v>19</v>
      </c>
      <c r="C32" s="396" t="str">
        <f>IF('INPUT DATA'!K29="","",'INPUT DATA'!K29)</f>
        <v/>
      </c>
      <c r="D32" s="397"/>
      <c r="E32" s="397"/>
      <c r="F32" s="271" t="str">
        <f>IF(TRIM(C32)="","",IFERROR(_xlfn.XLOOKUP(TRIM(C32),'TERM 1'!$C$19:$C$119,'TERM 1'!$AW$19:$AW$119),""))</f>
        <v/>
      </c>
      <c r="G32" s="271" t="str">
        <f>IF(TRIM(C32)="","",IFERROR(_xlfn.XLOOKUP(TRIM(C32),'TERM 2'!$C$19:$C$119,'TERM 2'!$AW$19:$AW$119),""))</f>
        <v/>
      </c>
      <c r="H32" s="265" t="str">
        <f>IF(TRIM(C32)="","",IFERROR(_xlfn.XLOOKUP(TRIM(C32),'TERM 3'!$C$19:$C$119,'TERM 3'!$AW$19:$AW$119),""))</f>
        <v/>
      </c>
      <c r="I32" s="268" t="str">
        <f t="shared" si="0"/>
        <v/>
      </c>
      <c r="J32" s="262" t="str">
        <f>IF(C32="","",IFERROR(_xlfn.XLOOKUP(I32,HELPER!$F$8:$F$48,HELPER!$G$8:$G$48,,1),""))</f>
        <v/>
      </c>
      <c r="K32" s="140"/>
      <c r="L32" s="3"/>
      <c r="M32" s="3"/>
    </row>
    <row r="33" spans="1:13" ht="15" customHeight="1" x14ac:dyDescent="0.25">
      <c r="A33" s="3"/>
      <c r="B33" s="108">
        <v>20</v>
      </c>
      <c r="C33" s="396" t="str">
        <f>IF('INPUT DATA'!K30="","",'INPUT DATA'!K30)</f>
        <v/>
      </c>
      <c r="D33" s="397"/>
      <c r="E33" s="397"/>
      <c r="F33" s="271" t="str">
        <f>IF(TRIM(C33)="","",IFERROR(_xlfn.XLOOKUP(TRIM(C33),'TERM 1'!$C$19:$C$119,'TERM 1'!$AW$19:$AW$119),""))</f>
        <v/>
      </c>
      <c r="G33" s="271" t="str">
        <f>IF(TRIM(C33)="","",IFERROR(_xlfn.XLOOKUP(TRIM(C33),'TERM 2'!$C$19:$C$119,'TERM 2'!$AW$19:$AW$119),""))</f>
        <v/>
      </c>
      <c r="H33" s="265" t="str">
        <f>IF(TRIM(C33)="","",IFERROR(_xlfn.XLOOKUP(TRIM(C33),'TERM 3'!$C$19:$C$119,'TERM 3'!$AW$19:$AW$119),""))</f>
        <v/>
      </c>
      <c r="I33" s="268" t="str">
        <f t="shared" si="0"/>
        <v/>
      </c>
      <c r="J33" s="262" t="str">
        <f>IF(C33="","",IFERROR(_xlfn.XLOOKUP(I33,HELPER!$F$8:$F$48,HELPER!$G$8:$G$48,,1),""))</f>
        <v/>
      </c>
      <c r="K33" s="140"/>
      <c r="L33" s="3"/>
      <c r="M33" s="3"/>
    </row>
    <row r="34" spans="1:13" ht="15" customHeight="1" x14ac:dyDescent="0.25">
      <c r="A34" s="3"/>
      <c r="B34" s="108">
        <v>21</v>
      </c>
      <c r="C34" s="396" t="str">
        <f>IF('INPUT DATA'!K31="","",'INPUT DATA'!K31)</f>
        <v/>
      </c>
      <c r="D34" s="397"/>
      <c r="E34" s="397"/>
      <c r="F34" s="271" t="str">
        <f>IF(TRIM(C34)="","",IFERROR(_xlfn.XLOOKUP(TRIM(C34),'TERM 1'!$C$19:$C$119,'TERM 1'!$AW$19:$AW$119),""))</f>
        <v/>
      </c>
      <c r="G34" s="271" t="str">
        <f>IF(TRIM(C34)="","",IFERROR(_xlfn.XLOOKUP(TRIM(C34),'TERM 2'!$C$19:$C$119,'TERM 2'!$AW$19:$AW$119),""))</f>
        <v/>
      </c>
      <c r="H34" s="265" t="str">
        <f>IF(TRIM(C34)="","",IFERROR(_xlfn.XLOOKUP(TRIM(C34),'TERM 3'!$C$19:$C$119,'TERM 3'!$AW$19:$AW$119),""))</f>
        <v/>
      </c>
      <c r="I34" s="268" t="str">
        <f t="shared" si="0"/>
        <v/>
      </c>
      <c r="J34" s="262" t="str">
        <f>IF(C34="","",IFERROR(_xlfn.XLOOKUP(I34,HELPER!$F$8:$F$48,HELPER!$G$8:$G$48,,1),""))</f>
        <v/>
      </c>
      <c r="K34" s="140"/>
      <c r="L34" s="3"/>
      <c r="M34" s="3"/>
    </row>
    <row r="35" spans="1:13" ht="15" customHeight="1" x14ac:dyDescent="0.25">
      <c r="A35" s="3"/>
      <c r="B35" s="108">
        <v>22</v>
      </c>
      <c r="C35" s="396" t="str">
        <f>IF('INPUT DATA'!K32="","",'INPUT DATA'!K32)</f>
        <v/>
      </c>
      <c r="D35" s="397"/>
      <c r="E35" s="397"/>
      <c r="F35" s="271" t="str">
        <f>IF(TRIM(C35)="","",IFERROR(_xlfn.XLOOKUP(TRIM(C35),'TERM 1'!$C$19:$C$119,'TERM 1'!$AW$19:$AW$119),""))</f>
        <v/>
      </c>
      <c r="G35" s="271" t="str">
        <f>IF(TRIM(C35)="","",IFERROR(_xlfn.XLOOKUP(TRIM(C35),'TERM 2'!$C$19:$C$119,'TERM 2'!$AW$19:$AW$119),""))</f>
        <v/>
      </c>
      <c r="H35" s="265" t="str">
        <f>IF(TRIM(C35)="","",IFERROR(_xlfn.XLOOKUP(TRIM(C35),'TERM 3'!$C$19:$C$119,'TERM 3'!$AW$19:$AW$119),""))</f>
        <v/>
      </c>
      <c r="I35" s="268" t="str">
        <f t="shared" si="0"/>
        <v/>
      </c>
      <c r="J35" s="262" t="str">
        <f>IF(C35="","",IFERROR(_xlfn.XLOOKUP(I35,HELPER!$F$8:$F$48,HELPER!$G$8:$G$48,,1),""))</f>
        <v/>
      </c>
      <c r="K35" s="140"/>
      <c r="L35" s="3"/>
      <c r="M35" s="3"/>
    </row>
    <row r="36" spans="1:13" ht="15" customHeight="1" x14ac:dyDescent="0.25">
      <c r="A36" s="3"/>
      <c r="B36" s="108">
        <v>23</v>
      </c>
      <c r="C36" s="396" t="str">
        <f>IF('INPUT DATA'!K33="","",'INPUT DATA'!K33)</f>
        <v/>
      </c>
      <c r="D36" s="397"/>
      <c r="E36" s="397"/>
      <c r="F36" s="271" t="str">
        <f>IF(TRIM(C36)="","",IFERROR(_xlfn.XLOOKUP(TRIM(C36),'TERM 1'!$C$19:$C$119,'TERM 1'!$AW$19:$AW$119),""))</f>
        <v/>
      </c>
      <c r="G36" s="271" t="str">
        <f>IF(TRIM(C36)="","",IFERROR(_xlfn.XLOOKUP(TRIM(C36),'TERM 2'!$C$19:$C$119,'TERM 2'!$AW$19:$AW$119),""))</f>
        <v/>
      </c>
      <c r="H36" s="265" t="str">
        <f>IF(TRIM(C36)="","",IFERROR(_xlfn.XLOOKUP(TRIM(C36),'TERM 3'!$C$19:$C$119,'TERM 3'!$AW$19:$AW$119),""))</f>
        <v/>
      </c>
      <c r="I36" s="268" t="str">
        <f t="shared" si="0"/>
        <v/>
      </c>
      <c r="J36" s="262" t="str">
        <f>IF(C36="","",IFERROR(_xlfn.XLOOKUP(I36,HELPER!$F$8:$F$48,HELPER!$G$8:$G$48,,1),""))</f>
        <v/>
      </c>
      <c r="K36" s="140"/>
      <c r="L36" s="3"/>
      <c r="M36" s="3"/>
    </row>
    <row r="37" spans="1:13" ht="15" customHeight="1" x14ac:dyDescent="0.25">
      <c r="A37" s="3"/>
      <c r="B37" s="108">
        <v>24</v>
      </c>
      <c r="C37" s="396" t="str">
        <f>IF('INPUT DATA'!K34="","",'INPUT DATA'!K34)</f>
        <v/>
      </c>
      <c r="D37" s="397"/>
      <c r="E37" s="397"/>
      <c r="F37" s="271" t="str">
        <f>IF(TRIM(C37)="","",IFERROR(_xlfn.XLOOKUP(TRIM(C37),'TERM 1'!$C$19:$C$119,'TERM 1'!$AW$19:$AW$119),""))</f>
        <v/>
      </c>
      <c r="G37" s="271" t="str">
        <f>IF(TRIM(C37)="","",IFERROR(_xlfn.XLOOKUP(TRIM(C37),'TERM 2'!$C$19:$C$119,'TERM 2'!$AW$19:$AW$119),""))</f>
        <v/>
      </c>
      <c r="H37" s="265" t="str">
        <f>IF(TRIM(C37)="","",IFERROR(_xlfn.XLOOKUP(TRIM(C37),'TERM 3'!$C$19:$C$119,'TERM 3'!$AW$19:$AW$119),""))</f>
        <v/>
      </c>
      <c r="I37" s="268" t="str">
        <f t="shared" si="0"/>
        <v/>
      </c>
      <c r="J37" s="262" t="str">
        <f>IF(C37="","",IFERROR(_xlfn.XLOOKUP(I37,HELPER!$F$8:$F$48,HELPER!$G$8:$G$48,,1),""))</f>
        <v/>
      </c>
      <c r="K37" s="140"/>
      <c r="L37" s="3"/>
      <c r="M37" s="3"/>
    </row>
    <row r="38" spans="1:13" ht="15" customHeight="1" x14ac:dyDescent="0.25">
      <c r="A38" s="3"/>
      <c r="B38" s="108">
        <v>25</v>
      </c>
      <c r="C38" s="396" t="str">
        <f>IF('INPUT DATA'!K35="","",'INPUT DATA'!K35)</f>
        <v/>
      </c>
      <c r="D38" s="397"/>
      <c r="E38" s="397"/>
      <c r="F38" s="271" t="str">
        <f>IF(TRIM(C38)="","",IFERROR(_xlfn.XLOOKUP(TRIM(C38),'TERM 1'!$C$19:$C$119,'TERM 1'!$AW$19:$AW$119),""))</f>
        <v/>
      </c>
      <c r="G38" s="271" t="str">
        <f>IF(TRIM(C38)="","",IFERROR(_xlfn.XLOOKUP(TRIM(C38),'TERM 2'!$C$19:$C$119,'TERM 2'!$AW$19:$AW$119),""))</f>
        <v/>
      </c>
      <c r="H38" s="265" t="str">
        <f>IF(TRIM(C38)="","",IFERROR(_xlfn.XLOOKUP(TRIM(C38),'TERM 3'!$C$19:$C$119,'TERM 3'!$AW$19:$AW$119),""))</f>
        <v/>
      </c>
      <c r="I38" s="268" t="str">
        <f t="shared" si="0"/>
        <v/>
      </c>
      <c r="J38" s="262" t="str">
        <f>IF(C38="","",IFERROR(_xlfn.XLOOKUP(I38,HELPER!$F$8:$F$48,HELPER!$G$8:$G$48,,1),""))</f>
        <v/>
      </c>
      <c r="K38" s="140"/>
      <c r="L38" s="3"/>
      <c r="M38" s="3"/>
    </row>
    <row r="39" spans="1:13" ht="15" customHeight="1" x14ac:dyDescent="0.25">
      <c r="A39" s="3"/>
      <c r="B39" s="108">
        <v>26</v>
      </c>
      <c r="C39" s="396" t="str">
        <f>IF('INPUT DATA'!K36="","",'INPUT DATA'!K36)</f>
        <v/>
      </c>
      <c r="D39" s="397"/>
      <c r="E39" s="397"/>
      <c r="F39" s="271" t="str">
        <f>IF(TRIM(C39)="","",IFERROR(_xlfn.XLOOKUP(TRIM(C39),'TERM 1'!$C$19:$C$119,'TERM 1'!$AW$19:$AW$119),""))</f>
        <v/>
      </c>
      <c r="G39" s="271" t="str">
        <f>IF(TRIM(C39)="","",IFERROR(_xlfn.XLOOKUP(TRIM(C39),'TERM 2'!$C$19:$C$119,'TERM 2'!$AW$19:$AW$119),""))</f>
        <v/>
      </c>
      <c r="H39" s="265" t="str">
        <f>IF(TRIM(C39)="","",IFERROR(_xlfn.XLOOKUP(TRIM(C39),'TERM 3'!$C$19:$C$119,'TERM 3'!$AW$19:$AW$119),""))</f>
        <v/>
      </c>
      <c r="I39" s="268" t="str">
        <f t="shared" si="0"/>
        <v/>
      </c>
      <c r="J39" s="262" t="str">
        <f>IF(C39="","",IFERROR(_xlfn.XLOOKUP(I39,HELPER!$F$8:$F$48,HELPER!$G$8:$G$48,,1),""))</f>
        <v/>
      </c>
      <c r="K39" s="140"/>
      <c r="L39" s="3"/>
      <c r="M39" s="3"/>
    </row>
    <row r="40" spans="1:13" ht="15" customHeight="1" x14ac:dyDescent="0.25">
      <c r="A40" s="3"/>
      <c r="B40" s="108">
        <v>27</v>
      </c>
      <c r="C40" s="396" t="str">
        <f>IF('INPUT DATA'!K37="","",'INPUT DATA'!K37)</f>
        <v/>
      </c>
      <c r="D40" s="397"/>
      <c r="E40" s="397"/>
      <c r="F40" s="271" t="str">
        <f>IF(TRIM(C40)="","",IFERROR(_xlfn.XLOOKUP(TRIM(C40),'TERM 1'!$C$19:$C$119,'TERM 1'!$AW$19:$AW$119),""))</f>
        <v/>
      </c>
      <c r="G40" s="271" t="str">
        <f>IF(TRIM(C40)="","",IFERROR(_xlfn.XLOOKUP(TRIM(C40),'TERM 2'!$C$19:$C$119,'TERM 2'!$AW$19:$AW$119),""))</f>
        <v/>
      </c>
      <c r="H40" s="265" t="str">
        <f>IF(TRIM(C40)="","",IFERROR(_xlfn.XLOOKUP(TRIM(C40),'TERM 3'!$C$19:$C$119,'TERM 3'!$AW$19:$AW$119),""))</f>
        <v/>
      </c>
      <c r="I40" s="268" t="str">
        <f t="shared" si="0"/>
        <v/>
      </c>
      <c r="J40" s="262" t="str">
        <f>IF(C40="","",IFERROR(_xlfn.XLOOKUP(I40,HELPER!$F$8:$F$48,HELPER!$G$8:$G$48,,1),""))</f>
        <v/>
      </c>
      <c r="K40" s="140"/>
      <c r="L40" s="3"/>
      <c r="M40" s="3"/>
    </row>
    <row r="41" spans="1:13" ht="15" customHeight="1" x14ac:dyDescent="0.25">
      <c r="A41" s="3"/>
      <c r="B41" s="108">
        <v>28</v>
      </c>
      <c r="C41" s="396" t="str">
        <f>IF('INPUT DATA'!K38="","",'INPUT DATA'!K38)</f>
        <v/>
      </c>
      <c r="D41" s="397"/>
      <c r="E41" s="397"/>
      <c r="F41" s="271" t="str">
        <f>IF(TRIM(C41)="","",IFERROR(_xlfn.XLOOKUP(TRIM(C41),'TERM 1'!$C$19:$C$119,'TERM 1'!$AW$19:$AW$119),""))</f>
        <v/>
      </c>
      <c r="G41" s="271" t="str">
        <f>IF(TRIM(C41)="","",IFERROR(_xlfn.XLOOKUP(TRIM(C41),'TERM 2'!$C$19:$C$119,'TERM 2'!$AW$19:$AW$119),""))</f>
        <v/>
      </c>
      <c r="H41" s="265" t="str">
        <f>IF(TRIM(C41)="","",IFERROR(_xlfn.XLOOKUP(TRIM(C41),'TERM 3'!$C$19:$C$119,'TERM 3'!$AW$19:$AW$119),""))</f>
        <v/>
      </c>
      <c r="I41" s="268" t="str">
        <f t="shared" si="0"/>
        <v/>
      </c>
      <c r="J41" s="262" t="str">
        <f>IF(C41="","",IFERROR(_xlfn.XLOOKUP(I41,HELPER!$F$8:$F$48,HELPER!$G$8:$G$48,,1),""))</f>
        <v/>
      </c>
      <c r="K41" s="140"/>
      <c r="L41" s="3"/>
      <c r="M41" s="3"/>
    </row>
    <row r="42" spans="1:13" ht="15" customHeight="1" x14ac:dyDescent="0.25">
      <c r="A42" s="3"/>
      <c r="B42" s="108">
        <v>29</v>
      </c>
      <c r="C42" s="396" t="str">
        <f>IF('INPUT DATA'!K39="","",'INPUT DATA'!K39)</f>
        <v/>
      </c>
      <c r="D42" s="397"/>
      <c r="E42" s="397"/>
      <c r="F42" s="271" t="str">
        <f>IF(TRIM(C42)="","",IFERROR(_xlfn.XLOOKUP(TRIM(C42),'TERM 1'!$C$19:$C$119,'TERM 1'!$AW$19:$AW$119),""))</f>
        <v/>
      </c>
      <c r="G42" s="271" t="str">
        <f>IF(TRIM(C42)="","",IFERROR(_xlfn.XLOOKUP(TRIM(C42),'TERM 2'!$C$19:$C$119,'TERM 2'!$AW$19:$AW$119),""))</f>
        <v/>
      </c>
      <c r="H42" s="265" t="str">
        <f>IF(TRIM(C42)="","",IFERROR(_xlfn.XLOOKUP(TRIM(C42),'TERM 3'!$C$19:$C$119,'TERM 3'!$AW$19:$AW$119),""))</f>
        <v/>
      </c>
      <c r="I42" s="268" t="str">
        <f t="shared" si="0"/>
        <v/>
      </c>
      <c r="J42" s="262" t="str">
        <f>IF(C42="","",IFERROR(_xlfn.XLOOKUP(I42,HELPER!$F$8:$F$48,HELPER!$G$8:$G$48,,1),""))</f>
        <v/>
      </c>
      <c r="K42" s="140"/>
      <c r="L42" s="3"/>
      <c r="M42" s="3"/>
    </row>
    <row r="43" spans="1:13" ht="15" customHeight="1" x14ac:dyDescent="0.25">
      <c r="A43" s="3"/>
      <c r="B43" s="108">
        <v>30</v>
      </c>
      <c r="C43" s="396" t="str">
        <f>IF('INPUT DATA'!K40="","",'INPUT DATA'!K40)</f>
        <v/>
      </c>
      <c r="D43" s="397"/>
      <c r="E43" s="397"/>
      <c r="F43" s="271" t="str">
        <f>IF(TRIM(C43)="","",IFERROR(_xlfn.XLOOKUP(TRIM(C43),'TERM 1'!$C$19:$C$119,'TERM 1'!$AW$19:$AW$119),""))</f>
        <v/>
      </c>
      <c r="G43" s="271" t="str">
        <f>IF(TRIM(C43)="","",IFERROR(_xlfn.XLOOKUP(TRIM(C43),'TERM 2'!$C$19:$C$119,'TERM 2'!$AW$19:$AW$119),""))</f>
        <v/>
      </c>
      <c r="H43" s="265" t="str">
        <f>IF(TRIM(C43)="","",IFERROR(_xlfn.XLOOKUP(TRIM(C43),'TERM 3'!$C$19:$C$119,'TERM 3'!$AW$19:$AW$119),""))</f>
        <v/>
      </c>
      <c r="I43" s="268" t="str">
        <f t="shared" si="0"/>
        <v/>
      </c>
      <c r="J43" s="262" t="str">
        <f>IF(C43="","",IFERROR(_xlfn.XLOOKUP(I43,HELPER!$F$8:$F$48,HELPER!$G$8:$G$48,,1),""))</f>
        <v/>
      </c>
      <c r="K43" s="140"/>
      <c r="L43" s="3"/>
      <c r="M43" s="3"/>
    </row>
    <row r="44" spans="1:13" ht="15" customHeight="1" x14ac:dyDescent="0.25">
      <c r="A44" s="3"/>
      <c r="B44" s="108">
        <v>31</v>
      </c>
      <c r="C44" s="396" t="str">
        <f>IF('INPUT DATA'!K41="","",'INPUT DATA'!K41)</f>
        <v/>
      </c>
      <c r="D44" s="397"/>
      <c r="E44" s="397"/>
      <c r="F44" s="271" t="str">
        <f>IF(TRIM(C44)="","",IFERROR(_xlfn.XLOOKUP(TRIM(C44),'TERM 1'!$C$19:$C$119,'TERM 1'!$AW$19:$AW$119),""))</f>
        <v/>
      </c>
      <c r="G44" s="271" t="str">
        <f>IF(TRIM(C44)="","",IFERROR(_xlfn.XLOOKUP(TRIM(C44),'TERM 2'!$C$19:$C$119,'TERM 2'!$AW$19:$AW$119),""))</f>
        <v/>
      </c>
      <c r="H44" s="265" t="str">
        <f>IF(TRIM(C44)="","",IFERROR(_xlfn.XLOOKUP(TRIM(C44),'TERM 3'!$C$19:$C$119,'TERM 3'!$AW$19:$AW$119),""))</f>
        <v/>
      </c>
      <c r="I44" s="268" t="str">
        <f t="shared" si="0"/>
        <v/>
      </c>
      <c r="J44" s="262" t="str">
        <f>IF(C44="","",IFERROR(_xlfn.XLOOKUP(I44,HELPER!$F$8:$F$48,HELPER!$G$8:$G$48,,1),""))</f>
        <v/>
      </c>
      <c r="K44" s="140"/>
      <c r="L44" s="3"/>
      <c r="M44" s="3"/>
    </row>
    <row r="45" spans="1:13" ht="15" customHeight="1" x14ac:dyDescent="0.25">
      <c r="A45" s="3"/>
      <c r="B45" s="108">
        <v>32</v>
      </c>
      <c r="C45" s="396" t="str">
        <f>IF('INPUT DATA'!K42="","",'INPUT DATA'!K42)</f>
        <v/>
      </c>
      <c r="D45" s="397"/>
      <c r="E45" s="397"/>
      <c r="F45" s="271" t="str">
        <f>IF(TRIM(C45)="","",IFERROR(_xlfn.XLOOKUP(TRIM(C45),'TERM 1'!$C$19:$C$119,'TERM 1'!$AW$19:$AW$119),""))</f>
        <v/>
      </c>
      <c r="G45" s="271" t="str">
        <f>IF(TRIM(C45)="","",IFERROR(_xlfn.XLOOKUP(TRIM(C45),'TERM 2'!$C$19:$C$119,'TERM 2'!$AW$19:$AW$119),""))</f>
        <v/>
      </c>
      <c r="H45" s="265" t="str">
        <f>IF(TRIM(C45)="","",IFERROR(_xlfn.XLOOKUP(TRIM(C45),'TERM 3'!$C$19:$C$119,'TERM 3'!$AW$19:$AW$119),""))</f>
        <v/>
      </c>
      <c r="I45" s="268" t="str">
        <f t="shared" si="0"/>
        <v/>
      </c>
      <c r="J45" s="262" t="str">
        <f>IF(C45="","",IFERROR(_xlfn.XLOOKUP(I45,HELPER!$F$8:$F$48,HELPER!$G$8:$G$48,,1),""))</f>
        <v/>
      </c>
      <c r="K45" s="140"/>
      <c r="L45" s="3"/>
      <c r="M45" s="3"/>
    </row>
    <row r="46" spans="1:13" ht="15" customHeight="1" x14ac:dyDescent="0.25">
      <c r="A46" s="3"/>
      <c r="B46" s="108">
        <v>33</v>
      </c>
      <c r="C46" s="396" t="str">
        <f>IF('INPUT DATA'!K43="","",'INPUT DATA'!K43)</f>
        <v/>
      </c>
      <c r="D46" s="397"/>
      <c r="E46" s="397"/>
      <c r="F46" s="271" t="str">
        <f>IF(TRIM(C46)="","",IFERROR(_xlfn.XLOOKUP(TRIM(C46),'TERM 1'!$C$19:$C$119,'TERM 1'!$AW$19:$AW$119),""))</f>
        <v/>
      </c>
      <c r="G46" s="271" t="str">
        <f>IF(TRIM(C46)="","",IFERROR(_xlfn.XLOOKUP(TRIM(C46),'TERM 2'!$C$19:$C$119,'TERM 2'!$AW$19:$AW$119),""))</f>
        <v/>
      </c>
      <c r="H46" s="265" t="str">
        <f>IF(TRIM(C46)="","",IFERROR(_xlfn.XLOOKUP(TRIM(C46),'TERM 3'!$C$19:$C$119,'TERM 3'!$AW$19:$AW$119),""))</f>
        <v/>
      </c>
      <c r="I46" s="268" t="str">
        <f t="shared" si="0"/>
        <v/>
      </c>
      <c r="J46" s="262" t="str">
        <f>IF(C46="","",IFERROR(_xlfn.XLOOKUP(I46,HELPER!$F$8:$F$48,HELPER!$G$8:$G$48,,1),""))</f>
        <v/>
      </c>
      <c r="K46" s="140"/>
      <c r="L46" s="3"/>
      <c r="M46" s="3"/>
    </row>
    <row r="47" spans="1:13" ht="15" customHeight="1" x14ac:dyDescent="0.25">
      <c r="A47" s="3"/>
      <c r="B47" s="108">
        <v>34</v>
      </c>
      <c r="C47" s="396" t="str">
        <f>IF('INPUT DATA'!K44="","",'INPUT DATA'!K44)</f>
        <v/>
      </c>
      <c r="D47" s="397"/>
      <c r="E47" s="397"/>
      <c r="F47" s="271" t="str">
        <f>IF(TRIM(C47)="","",IFERROR(_xlfn.XLOOKUP(TRIM(C47),'TERM 1'!$C$19:$C$119,'TERM 1'!$AW$19:$AW$119),""))</f>
        <v/>
      </c>
      <c r="G47" s="271" t="str">
        <f>IF(TRIM(C47)="","",IFERROR(_xlfn.XLOOKUP(TRIM(C47),'TERM 2'!$C$19:$C$119,'TERM 2'!$AW$19:$AW$119),""))</f>
        <v/>
      </c>
      <c r="H47" s="265" t="str">
        <f>IF(TRIM(C47)="","",IFERROR(_xlfn.XLOOKUP(TRIM(C47),'TERM 3'!$C$19:$C$119,'TERM 3'!$AW$19:$AW$119),""))</f>
        <v/>
      </c>
      <c r="I47" s="268" t="str">
        <f t="shared" si="0"/>
        <v/>
      </c>
      <c r="J47" s="262" t="str">
        <f>IF(C47="","",IFERROR(_xlfn.XLOOKUP(I47,HELPER!$F$8:$F$48,HELPER!$G$8:$G$48,,1),""))</f>
        <v/>
      </c>
      <c r="K47" s="140"/>
      <c r="L47" s="3"/>
      <c r="M47" s="3"/>
    </row>
    <row r="48" spans="1:13" ht="15" customHeight="1" x14ac:dyDescent="0.25">
      <c r="A48" s="3"/>
      <c r="B48" s="108">
        <v>35</v>
      </c>
      <c r="C48" s="396" t="str">
        <f>IF('INPUT DATA'!K45="","",'INPUT DATA'!K45)</f>
        <v/>
      </c>
      <c r="D48" s="397"/>
      <c r="E48" s="397"/>
      <c r="F48" s="271" t="str">
        <f>IF(TRIM(C48)="","",IFERROR(_xlfn.XLOOKUP(TRIM(C48),'TERM 1'!$C$19:$C$119,'TERM 1'!$AW$19:$AW$119),""))</f>
        <v/>
      </c>
      <c r="G48" s="271" t="str">
        <f>IF(TRIM(C48)="","",IFERROR(_xlfn.XLOOKUP(TRIM(C48),'TERM 2'!$C$19:$C$119,'TERM 2'!$AW$19:$AW$119),""))</f>
        <v/>
      </c>
      <c r="H48" s="265" t="str">
        <f>IF(TRIM(C48)="","",IFERROR(_xlfn.XLOOKUP(TRIM(C48),'TERM 3'!$C$19:$C$119,'TERM 3'!$AW$19:$AW$119),""))</f>
        <v/>
      </c>
      <c r="I48" s="268" t="str">
        <f t="shared" si="0"/>
        <v/>
      </c>
      <c r="J48" s="262" t="str">
        <f>IF(C48="","",IFERROR(_xlfn.XLOOKUP(I48,HELPER!$F$8:$F$48,HELPER!$G$8:$G$48,,1),""))</f>
        <v/>
      </c>
      <c r="K48" s="140"/>
      <c r="L48" s="3"/>
      <c r="M48" s="3"/>
    </row>
    <row r="49" spans="1:13" ht="15" customHeight="1" x14ac:dyDescent="0.25">
      <c r="A49" s="3"/>
      <c r="B49" s="108">
        <v>36</v>
      </c>
      <c r="C49" s="396" t="str">
        <f>IF('INPUT DATA'!K46="","",'INPUT DATA'!K46)</f>
        <v/>
      </c>
      <c r="D49" s="397"/>
      <c r="E49" s="397"/>
      <c r="F49" s="271" t="str">
        <f>IF(TRIM(C49)="","",IFERROR(_xlfn.XLOOKUP(TRIM(C49),'TERM 1'!$C$19:$C$119,'TERM 1'!$AW$19:$AW$119),""))</f>
        <v/>
      </c>
      <c r="G49" s="271" t="str">
        <f>IF(TRIM(C49)="","",IFERROR(_xlfn.XLOOKUP(TRIM(C49),'TERM 2'!$C$19:$C$119,'TERM 2'!$AW$19:$AW$119),""))</f>
        <v/>
      </c>
      <c r="H49" s="265" t="str">
        <f>IF(TRIM(C49)="","",IFERROR(_xlfn.XLOOKUP(TRIM(C49),'TERM 3'!$C$19:$C$119,'TERM 3'!$AW$19:$AW$119),""))</f>
        <v/>
      </c>
      <c r="I49" s="268" t="str">
        <f t="shared" si="0"/>
        <v/>
      </c>
      <c r="J49" s="262" t="str">
        <f>IF(C49="","",IFERROR(_xlfn.XLOOKUP(I49,HELPER!$F$8:$F$48,HELPER!$G$8:$G$48,,1),""))</f>
        <v/>
      </c>
      <c r="K49" s="140"/>
      <c r="L49" s="3"/>
      <c r="M49" s="3"/>
    </row>
    <row r="50" spans="1:13" ht="15" customHeight="1" x14ac:dyDescent="0.25">
      <c r="A50" s="3"/>
      <c r="B50" s="108">
        <v>37</v>
      </c>
      <c r="C50" s="396" t="str">
        <f>IF('INPUT DATA'!K47="","",'INPUT DATA'!K47)</f>
        <v/>
      </c>
      <c r="D50" s="397"/>
      <c r="E50" s="397"/>
      <c r="F50" s="271" t="str">
        <f>IF(TRIM(C50)="","",IFERROR(_xlfn.XLOOKUP(TRIM(C50),'TERM 1'!$C$19:$C$119,'TERM 1'!$AW$19:$AW$119),""))</f>
        <v/>
      </c>
      <c r="G50" s="271" t="str">
        <f>IF(TRIM(C50)="","",IFERROR(_xlfn.XLOOKUP(TRIM(C50),'TERM 2'!$C$19:$C$119,'TERM 2'!$AW$19:$AW$119),""))</f>
        <v/>
      </c>
      <c r="H50" s="265" t="str">
        <f>IF(TRIM(C50)="","",IFERROR(_xlfn.XLOOKUP(TRIM(C50),'TERM 3'!$C$19:$C$119,'TERM 3'!$AW$19:$AW$119),""))</f>
        <v/>
      </c>
      <c r="I50" s="268" t="str">
        <f t="shared" si="0"/>
        <v/>
      </c>
      <c r="J50" s="262" t="str">
        <f>IF(C50="","",IFERROR(_xlfn.XLOOKUP(I50,HELPER!$F$8:$F$48,HELPER!$G$8:$G$48,,1),""))</f>
        <v/>
      </c>
      <c r="K50" s="140"/>
      <c r="L50" s="3"/>
      <c r="M50" s="3"/>
    </row>
    <row r="51" spans="1:13" ht="15" customHeight="1" x14ac:dyDescent="0.25">
      <c r="A51" s="3"/>
      <c r="B51" s="108">
        <v>38</v>
      </c>
      <c r="C51" s="396" t="str">
        <f>IF('INPUT DATA'!K48="","",'INPUT DATA'!K48)</f>
        <v/>
      </c>
      <c r="D51" s="397"/>
      <c r="E51" s="397"/>
      <c r="F51" s="271" t="str">
        <f>IF(TRIM(C51)="","",IFERROR(_xlfn.XLOOKUP(TRIM(C51),'TERM 1'!$C$19:$C$119,'TERM 1'!$AW$19:$AW$119),""))</f>
        <v/>
      </c>
      <c r="G51" s="271" t="str">
        <f>IF(TRIM(C51)="","",IFERROR(_xlfn.XLOOKUP(TRIM(C51),'TERM 2'!$C$19:$C$119,'TERM 2'!$AW$19:$AW$119),""))</f>
        <v/>
      </c>
      <c r="H51" s="265" t="str">
        <f>IF(TRIM(C51)="","",IFERROR(_xlfn.XLOOKUP(TRIM(C51),'TERM 3'!$C$19:$C$119,'TERM 3'!$AW$19:$AW$119),""))</f>
        <v/>
      </c>
      <c r="I51" s="268" t="str">
        <f t="shared" si="0"/>
        <v/>
      </c>
      <c r="J51" s="262" t="str">
        <f>IF(C51="","",IFERROR(_xlfn.XLOOKUP(I51,HELPER!$F$8:$F$48,HELPER!$G$8:$G$48,,1),""))</f>
        <v/>
      </c>
      <c r="K51" s="140"/>
      <c r="L51" s="3"/>
      <c r="M51" s="3"/>
    </row>
    <row r="52" spans="1:13" ht="15" customHeight="1" x14ac:dyDescent="0.25">
      <c r="A52" s="3"/>
      <c r="B52" s="108">
        <v>39</v>
      </c>
      <c r="C52" s="396" t="str">
        <f>IF('INPUT DATA'!K49="","",'INPUT DATA'!K49)</f>
        <v/>
      </c>
      <c r="D52" s="397"/>
      <c r="E52" s="397"/>
      <c r="F52" s="271" t="str">
        <f>IF(TRIM(C52)="","",IFERROR(_xlfn.XLOOKUP(TRIM(C52),'TERM 1'!$C$19:$C$119,'TERM 1'!$AW$19:$AW$119),""))</f>
        <v/>
      </c>
      <c r="G52" s="271" t="str">
        <f>IF(TRIM(C52)="","",IFERROR(_xlfn.XLOOKUP(TRIM(C52),'TERM 2'!$C$19:$C$119,'TERM 2'!$AW$19:$AW$119),""))</f>
        <v/>
      </c>
      <c r="H52" s="265" t="str">
        <f>IF(TRIM(C52)="","",IFERROR(_xlfn.XLOOKUP(TRIM(C52),'TERM 3'!$C$19:$C$119,'TERM 3'!$AW$19:$AW$119),""))</f>
        <v/>
      </c>
      <c r="I52" s="268" t="str">
        <f t="shared" si="0"/>
        <v/>
      </c>
      <c r="J52" s="262" t="str">
        <f>IF(C52="","",IFERROR(_xlfn.XLOOKUP(I52,HELPER!$F$8:$F$48,HELPER!$G$8:$G$48,,1),""))</f>
        <v/>
      </c>
      <c r="K52" s="140"/>
      <c r="L52" s="3"/>
      <c r="M52" s="3"/>
    </row>
    <row r="53" spans="1:13" ht="15" customHeight="1" x14ac:dyDescent="0.25">
      <c r="A53" s="3"/>
      <c r="B53" s="108">
        <v>40</v>
      </c>
      <c r="C53" s="396" t="str">
        <f>IF('INPUT DATA'!K50="","",'INPUT DATA'!K50)</f>
        <v/>
      </c>
      <c r="D53" s="397"/>
      <c r="E53" s="397"/>
      <c r="F53" s="271" t="str">
        <f>IF(TRIM(C53)="","",IFERROR(_xlfn.XLOOKUP(TRIM(C53),'TERM 1'!$C$19:$C$119,'TERM 1'!$AW$19:$AW$119),""))</f>
        <v/>
      </c>
      <c r="G53" s="271" t="str">
        <f>IF(TRIM(C53)="","",IFERROR(_xlfn.XLOOKUP(TRIM(C53),'TERM 2'!$C$19:$C$119,'TERM 2'!$AW$19:$AW$119),""))</f>
        <v/>
      </c>
      <c r="H53" s="265" t="str">
        <f>IF(TRIM(C53)="","",IFERROR(_xlfn.XLOOKUP(TRIM(C53),'TERM 3'!$C$19:$C$119,'TERM 3'!$AW$19:$AW$119),""))</f>
        <v/>
      </c>
      <c r="I53" s="268" t="str">
        <f t="shared" si="0"/>
        <v/>
      </c>
      <c r="J53" s="262" t="str">
        <f>IF(C53="","",IFERROR(_xlfn.XLOOKUP(I53,HELPER!$F$8:$F$48,HELPER!$G$8:$G$48,,1),""))</f>
        <v/>
      </c>
      <c r="K53" s="140"/>
      <c r="L53" s="3"/>
      <c r="M53" s="3"/>
    </row>
    <row r="54" spans="1:13" ht="15" customHeight="1" x14ac:dyDescent="0.25">
      <c r="A54" s="3"/>
      <c r="B54" s="108">
        <v>41</v>
      </c>
      <c r="C54" s="396" t="str">
        <f>IF('INPUT DATA'!K51="","",'INPUT DATA'!K51)</f>
        <v/>
      </c>
      <c r="D54" s="397"/>
      <c r="E54" s="397"/>
      <c r="F54" s="271" t="str">
        <f>IF(TRIM(C54)="","",IFERROR(_xlfn.XLOOKUP(TRIM(C54),'TERM 1'!$C$19:$C$119,'TERM 1'!$AW$19:$AW$119),""))</f>
        <v/>
      </c>
      <c r="G54" s="271" t="str">
        <f>IF(TRIM(C54)="","",IFERROR(_xlfn.XLOOKUP(TRIM(C54),'TERM 2'!$C$19:$C$119,'TERM 2'!$AW$19:$AW$119),""))</f>
        <v/>
      </c>
      <c r="H54" s="265" t="str">
        <f>IF(TRIM(C54)="","",IFERROR(_xlfn.XLOOKUP(TRIM(C54),'TERM 3'!$C$19:$C$119,'TERM 3'!$AW$19:$AW$119),""))</f>
        <v/>
      </c>
      <c r="I54" s="268" t="str">
        <f t="shared" si="0"/>
        <v/>
      </c>
      <c r="J54" s="262" t="str">
        <f>IF(C54="","",IFERROR(_xlfn.XLOOKUP(I54,HELPER!$F$8:$F$48,HELPER!$G$8:$G$48,,1),""))</f>
        <v/>
      </c>
      <c r="K54" s="140"/>
      <c r="L54" s="3"/>
      <c r="M54" s="3"/>
    </row>
    <row r="55" spans="1:13" ht="15" customHeight="1" x14ac:dyDescent="0.25">
      <c r="A55" s="3"/>
      <c r="B55" s="108">
        <v>42</v>
      </c>
      <c r="C55" s="396" t="str">
        <f>IF('INPUT DATA'!K52="","",'INPUT DATA'!K52)</f>
        <v/>
      </c>
      <c r="D55" s="397"/>
      <c r="E55" s="397"/>
      <c r="F55" s="271" t="str">
        <f>IF(TRIM(C55)="","",IFERROR(_xlfn.XLOOKUP(TRIM(C55),'TERM 1'!$C$19:$C$119,'TERM 1'!$AW$19:$AW$119),""))</f>
        <v/>
      </c>
      <c r="G55" s="271" t="str">
        <f>IF(TRIM(C55)="","",IFERROR(_xlfn.XLOOKUP(TRIM(C55),'TERM 2'!$C$19:$C$119,'TERM 2'!$AW$19:$AW$119),""))</f>
        <v/>
      </c>
      <c r="H55" s="265" t="str">
        <f>IF(TRIM(C55)="","",IFERROR(_xlfn.XLOOKUP(TRIM(C55),'TERM 3'!$C$19:$C$119,'TERM 3'!$AW$19:$AW$119),""))</f>
        <v/>
      </c>
      <c r="I55" s="268" t="str">
        <f t="shared" si="0"/>
        <v/>
      </c>
      <c r="J55" s="262" t="str">
        <f>IF(C55="","",IFERROR(_xlfn.XLOOKUP(I55,HELPER!$F$8:$F$48,HELPER!$G$8:$G$48,,1),""))</f>
        <v/>
      </c>
      <c r="K55" s="140"/>
      <c r="L55" s="3"/>
      <c r="M55" s="3"/>
    </row>
    <row r="56" spans="1:13" ht="15" customHeight="1" x14ac:dyDescent="0.25">
      <c r="A56" s="3"/>
      <c r="B56" s="108">
        <v>43</v>
      </c>
      <c r="C56" s="396" t="str">
        <f>IF('INPUT DATA'!K53="","",'INPUT DATA'!K53)</f>
        <v/>
      </c>
      <c r="D56" s="397"/>
      <c r="E56" s="397"/>
      <c r="F56" s="271" t="str">
        <f>IF(TRIM(C56)="","",IFERROR(_xlfn.XLOOKUP(TRIM(C56),'TERM 1'!$C$19:$C$119,'TERM 1'!$AW$19:$AW$119),""))</f>
        <v/>
      </c>
      <c r="G56" s="271" t="str">
        <f>IF(TRIM(C56)="","",IFERROR(_xlfn.XLOOKUP(TRIM(C56),'TERM 2'!$C$19:$C$119,'TERM 2'!$AW$19:$AW$119),""))</f>
        <v/>
      </c>
      <c r="H56" s="265" t="str">
        <f>IF(TRIM(C56)="","",IFERROR(_xlfn.XLOOKUP(TRIM(C56),'TERM 3'!$C$19:$C$119,'TERM 3'!$AW$19:$AW$119),""))</f>
        <v/>
      </c>
      <c r="I56" s="268" t="str">
        <f t="shared" si="0"/>
        <v/>
      </c>
      <c r="J56" s="262" t="str">
        <f>IF(C56="","",IFERROR(_xlfn.XLOOKUP(I56,HELPER!$F$8:$F$48,HELPER!$G$8:$G$48,,1),""))</f>
        <v/>
      </c>
      <c r="K56" s="140"/>
      <c r="L56" s="3"/>
      <c r="M56" s="3"/>
    </row>
    <row r="57" spans="1:13" ht="15" customHeight="1" x14ac:dyDescent="0.25">
      <c r="A57" s="3"/>
      <c r="B57" s="108">
        <v>44</v>
      </c>
      <c r="C57" s="396" t="str">
        <f>IF('INPUT DATA'!K54="","",'INPUT DATA'!K54)</f>
        <v/>
      </c>
      <c r="D57" s="397"/>
      <c r="E57" s="397"/>
      <c r="F57" s="271" t="str">
        <f>IF(TRIM(C57)="","",IFERROR(_xlfn.XLOOKUP(TRIM(C57),'TERM 1'!$C$19:$C$119,'TERM 1'!$AW$19:$AW$119),""))</f>
        <v/>
      </c>
      <c r="G57" s="271" t="str">
        <f>IF(TRIM(C57)="","",IFERROR(_xlfn.XLOOKUP(TRIM(C57),'TERM 2'!$C$19:$C$119,'TERM 2'!$AW$19:$AW$119),""))</f>
        <v/>
      </c>
      <c r="H57" s="265" t="str">
        <f>IF(TRIM(C57)="","",IFERROR(_xlfn.XLOOKUP(TRIM(C57),'TERM 3'!$C$19:$C$119,'TERM 3'!$AW$19:$AW$119),""))</f>
        <v/>
      </c>
      <c r="I57" s="268" t="str">
        <f t="shared" si="0"/>
        <v/>
      </c>
      <c r="J57" s="262" t="str">
        <f>IF(C57="","",IFERROR(_xlfn.XLOOKUP(I57,HELPER!$F$8:$F$48,HELPER!$G$8:$G$48,,1),""))</f>
        <v/>
      </c>
      <c r="K57" s="140"/>
      <c r="L57" s="3"/>
      <c r="M57" s="3"/>
    </row>
    <row r="58" spans="1:13" ht="15" customHeight="1" x14ac:dyDescent="0.25">
      <c r="A58" s="3"/>
      <c r="B58" s="108">
        <v>45</v>
      </c>
      <c r="C58" s="396" t="str">
        <f>IF('INPUT DATA'!K55="","",'INPUT DATA'!K55)</f>
        <v/>
      </c>
      <c r="D58" s="397"/>
      <c r="E58" s="397"/>
      <c r="F58" s="271" t="str">
        <f>IF(TRIM(C58)="","",IFERROR(_xlfn.XLOOKUP(TRIM(C58),'TERM 1'!$C$19:$C$119,'TERM 1'!$AW$19:$AW$119),""))</f>
        <v/>
      </c>
      <c r="G58" s="271" t="str">
        <f>IF(TRIM(C58)="","",IFERROR(_xlfn.XLOOKUP(TRIM(C58),'TERM 2'!$C$19:$C$119,'TERM 2'!$AW$19:$AW$119),""))</f>
        <v/>
      </c>
      <c r="H58" s="265" t="str">
        <f>IF(TRIM(C58)="","",IFERROR(_xlfn.XLOOKUP(TRIM(C58),'TERM 3'!$C$19:$C$119,'TERM 3'!$AW$19:$AW$119),""))</f>
        <v/>
      </c>
      <c r="I58" s="268" t="str">
        <f t="shared" si="0"/>
        <v/>
      </c>
      <c r="J58" s="262" t="str">
        <f>IF(C58="","",IFERROR(_xlfn.XLOOKUP(I58,HELPER!$F$8:$F$48,HELPER!$G$8:$G$48,,1),""))</f>
        <v/>
      </c>
      <c r="K58" s="140"/>
      <c r="L58" s="3"/>
      <c r="M58" s="3"/>
    </row>
    <row r="59" spans="1:13" ht="15" customHeight="1" x14ac:dyDescent="0.25">
      <c r="A59" s="3"/>
      <c r="B59" s="108">
        <v>46</v>
      </c>
      <c r="C59" s="396" t="str">
        <f>IF('INPUT DATA'!K56="","",'INPUT DATA'!K56)</f>
        <v/>
      </c>
      <c r="D59" s="397"/>
      <c r="E59" s="397"/>
      <c r="F59" s="271" t="str">
        <f>IF(TRIM(C59)="","",IFERROR(_xlfn.XLOOKUP(TRIM(C59),'TERM 1'!$C$19:$C$119,'TERM 1'!$AW$19:$AW$119),""))</f>
        <v/>
      </c>
      <c r="G59" s="271" t="str">
        <f>IF(TRIM(C59)="","",IFERROR(_xlfn.XLOOKUP(TRIM(C59),'TERM 2'!$C$19:$C$119,'TERM 2'!$AW$19:$AW$119),""))</f>
        <v/>
      </c>
      <c r="H59" s="265" t="str">
        <f>IF(TRIM(C59)="","",IFERROR(_xlfn.XLOOKUP(TRIM(C59),'TERM 3'!$C$19:$C$119,'TERM 3'!$AW$19:$AW$119),""))</f>
        <v/>
      </c>
      <c r="I59" s="268" t="str">
        <f t="shared" si="0"/>
        <v/>
      </c>
      <c r="J59" s="262" t="str">
        <f>IF(C59="","",IFERROR(_xlfn.XLOOKUP(I59,HELPER!$F$8:$F$48,HELPER!$G$8:$G$48,,1),""))</f>
        <v/>
      </c>
      <c r="K59" s="140"/>
      <c r="L59" s="3"/>
      <c r="M59" s="3"/>
    </row>
    <row r="60" spans="1:13" ht="15" customHeight="1" x14ac:dyDescent="0.25">
      <c r="A60" s="3"/>
      <c r="B60" s="108">
        <v>47</v>
      </c>
      <c r="C60" s="396" t="str">
        <f>IF('INPUT DATA'!K57="","",'INPUT DATA'!K57)</f>
        <v/>
      </c>
      <c r="D60" s="397"/>
      <c r="E60" s="397"/>
      <c r="F60" s="271" t="str">
        <f>IF(TRIM(C60)="","",IFERROR(_xlfn.XLOOKUP(TRIM(C60),'TERM 1'!$C$19:$C$119,'TERM 1'!$AW$19:$AW$119),""))</f>
        <v/>
      </c>
      <c r="G60" s="271" t="str">
        <f>IF(TRIM(C60)="","",IFERROR(_xlfn.XLOOKUP(TRIM(C60),'TERM 2'!$C$19:$C$119,'TERM 2'!$AW$19:$AW$119),""))</f>
        <v/>
      </c>
      <c r="H60" s="265" t="str">
        <f>IF(TRIM(C60)="","",IFERROR(_xlfn.XLOOKUP(TRIM(C60),'TERM 3'!$C$19:$C$119,'TERM 3'!$AW$19:$AW$119),""))</f>
        <v/>
      </c>
      <c r="I60" s="268" t="str">
        <f t="shared" si="0"/>
        <v/>
      </c>
      <c r="J60" s="262" t="str">
        <f>IF(C60="","",IFERROR(_xlfn.XLOOKUP(I60,HELPER!$F$8:$F$48,HELPER!$G$8:$G$48,,1),""))</f>
        <v/>
      </c>
      <c r="K60" s="140"/>
      <c r="L60" s="3"/>
      <c r="M60" s="3"/>
    </row>
    <row r="61" spans="1:13" ht="15" customHeight="1" x14ac:dyDescent="0.25">
      <c r="A61" s="3"/>
      <c r="B61" s="108">
        <v>48</v>
      </c>
      <c r="C61" s="396" t="str">
        <f>IF('INPUT DATA'!K58="","",'INPUT DATA'!K58)</f>
        <v/>
      </c>
      <c r="D61" s="397"/>
      <c r="E61" s="397"/>
      <c r="F61" s="271" t="str">
        <f>IF(TRIM(C61)="","",IFERROR(_xlfn.XLOOKUP(TRIM(C61),'TERM 1'!$C$19:$C$119,'TERM 1'!$AW$19:$AW$119),""))</f>
        <v/>
      </c>
      <c r="G61" s="271" t="str">
        <f>IF(TRIM(C61)="","",IFERROR(_xlfn.XLOOKUP(TRIM(C61),'TERM 2'!$C$19:$C$119,'TERM 2'!$AW$19:$AW$119),""))</f>
        <v/>
      </c>
      <c r="H61" s="265" t="str">
        <f>IF(TRIM(C61)="","",IFERROR(_xlfn.XLOOKUP(TRIM(C61),'TERM 3'!$C$19:$C$119,'TERM 3'!$AW$19:$AW$119),""))</f>
        <v/>
      </c>
      <c r="I61" s="268" t="str">
        <f t="shared" si="0"/>
        <v/>
      </c>
      <c r="J61" s="262" t="str">
        <f>IF(C61="","",IFERROR(_xlfn.XLOOKUP(I61,HELPER!$F$8:$F$48,HELPER!$G$8:$G$48,,1),""))</f>
        <v/>
      </c>
      <c r="K61" s="140"/>
      <c r="L61" s="3"/>
      <c r="M61" s="3"/>
    </row>
    <row r="62" spans="1:13" ht="15" customHeight="1" x14ac:dyDescent="0.25">
      <c r="A62" s="3"/>
      <c r="B62" s="108">
        <v>49</v>
      </c>
      <c r="C62" s="396" t="str">
        <f>IF('INPUT DATA'!K59="","",'INPUT DATA'!K59)</f>
        <v/>
      </c>
      <c r="D62" s="397"/>
      <c r="E62" s="397"/>
      <c r="F62" s="271" t="str">
        <f>IF(TRIM(C62)="","",IFERROR(_xlfn.XLOOKUP(TRIM(C62),'TERM 1'!$C$19:$C$119,'TERM 1'!$AW$19:$AW$119),""))</f>
        <v/>
      </c>
      <c r="G62" s="271" t="str">
        <f>IF(TRIM(C62)="","",IFERROR(_xlfn.XLOOKUP(TRIM(C62),'TERM 2'!$C$19:$C$119,'TERM 2'!$AW$19:$AW$119),""))</f>
        <v/>
      </c>
      <c r="H62" s="265" t="str">
        <f>IF(TRIM(C62)="","",IFERROR(_xlfn.XLOOKUP(TRIM(C62),'TERM 3'!$C$19:$C$119,'TERM 3'!$AW$19:$AW$119),""))</f>
        <v/>
      </c>
      <c r="I62" s="268" t="str">
        <f t="shared" si="0"/>
        <v/>
      </c>
      <c r="J62" s="262" t="str">
        <f>IF(C62="","",IFERROR(_xlfn.XLOOKUP(I62,HELPER!$F$8:$F$48,HELPER!$G$8:$G$48,,1),""))</f>
        <v/>
      </c>
      <c r="K62" s="140"/>
      <c r="L62" s="3"/>
      <c r="M62" s="3"/>
    </row>
    <row r="63" spans="1:13" ht="15" customHeight="1" thickBot="1" x14ac:dyDescent="0.3">
      <c r="A63" s="3"/>
      <c r="B63" s="141">
        <v>50</v>
      </c>
      <c r="C63" s="396" t="str">
        <f>IF('INPUT DATA'!K60="","",'INPUT DATA'!K60)</f>
        <v/>
      </c>
      <c r="D63" s="397"/>
      <c r="E63" s="397"/>
      <c r="F63" s="272" t="str">
        <f>IF(TRIM(C63)="","",IFERROR(_xlfn.XLOOKUP(TRIM(C63),'TERM 1'!$C$19:$C$119,'TERM 1'!$AW$19:$AW$119),""))</f>
        <v/>
      </c>
      <c r="G63" s="272" t="str">
        <f>IF(TRIM(C63)="","",IFERROR(_xlfn.XLOOKUP(TRIM(C63),'TERM 2'!$C$19:$C$119,'TERM 2'!$AW$19:$AW$119),""))</f>
        <v/>
      </c>
      <c r="H63" s="266" t="str">
        <f>IF(TRIM(C63)="","",IFERROR(_xlfn.XLOOKUP(TRIM(C63),'TERM 3'!$C$19:$C$119,'TERM 3'!$AW$19:$AW$119),""))</f>
        <v/>
      </c>
      <c r="I63" s="269" t="str">
        <f t="shared" si="0"/>
        <v/>
      </c>
      <c r="J63" s="262" t="str">
        <f>IF(C63="","",IFERROR(_xlfn.XLOOKUP(I63,HELPER!$F$8:$F$48,HELPER!$G$8:$G$48,,1),""))</f>
        <v/>
      </c>
      <c r="K63" s="140"/>
      <c r="L63" s="3"/>
      <c r="M63" s="3"/>
    </row>
    <row r="64" spans="1:13" ht="14.4" thickBot="1" x14ac:dyDescent="0.3">
      <c r="A64" s="3"/>
      <c r="B64" s="402" t="s">
        <v>9</v>
      </c>
      <c r="C64" s="358"/>
      <c r="D64" s="358"/>
      <c r="E64" s="358"/>
      <c r="F64" s="359"/>
      <c r="G64" s="359"/>
      <c r="H64" s="359"/>
      <c r="I64" s="359"/>
      <c r="J64" s="358"/>
      <c r="K64" s="361"/>
      <c r="L64" s="3"/>
      <c r="M64" s="3"/>
    </row>
    <row r="65" spans="1:13" ht="15" customHeight="1" x14ac:dyDescent="0.25">
      <c r="A65" s="3"/>
      <c r="B65" s="109">
        <v>1</v>
      </c>
      <c r="C65" s="396" t="str">
        <f>IF('INPUT DATA'!N11="","",'INPUT DATA'!N11)</f>
        <v/>
      </c>
      <c r="D65" s="397"/>
      <c r="E65" s="397"/>
      <c r="F65" s="264" t="str">
        <f>IF(TRIM(C65)="","",IFERROR(_xlfn.XLOOKUP(TRIM(C65),'TERM 1'!$C$19:$C$119,'TERM 1'!$AW$19:$AW$119),""))</f>
        <v/>
      </c>
      <c r="G65" s="273" t="str">
        <f>IF(TRIM(C65)="","",IFERROR(_xlfn.XLOOKUP(TRIM(C65),'TERM 2'!$C$19:$C$119,'TERM 2'!$AW$19:$AW$119),""))</f>
        <v/>
      </c>
      <c r="H65" s="264" t="str">
        <f>IF(TRIM(C65)="","",IFERROR(_xlfn.XLOOKUP(TRIM(C65),'TERM 3'!$C$19:$C$119,'TERM 3'!$AW$19:$AW$119),""))</f>
        <v/>
      </c>
      <c r="I65" s="267" t="str">
        <f t="shared" ref="I65:I114" si="1">IF(C65="","",IF(COUNT($F65:$H65)=0,"",SUM($F65:$H65)/3))</f>
        <v/>
      </c>
      <c r="J65" s="262" t="str">
        <f>IF(C65="","",IFERROR(_xlfn.XLOOKUP(I65,HELPER!$F$8:$F$48,HELPER!$G$8:$G$48,,1),""))</f>
        <v/>
      </c>
      <c r="K65" s="139"/>
      <c r="L65" s="3"/>
      <c r="M65" s="3"/>
    </row>
    <row r="66" spans="1:13" ht="15" customHeight="1" x14ac:dyDescent="0.25">
      <c r="A66" s="3"/>
      <c r="B66" s="110">
        <v>2</v>
      </c>
      <c r="C66" s="396" t="str">
        <f>IF('INPUT DATA'!N12="","",'INPUT DATA'!N12)</f>
        <v/>
      </c>
      <c r="D66" s="397"/>
      <c r="E66" s="397"/>
      <c r="F66" s="265" t="str">
        <f>IF(TRIM(C66)="","",IFERROR(_xlfn.XLOOKUP(TRIM(C66),'TERM 1'!$C$19:$C$119,'TERM 1'!$AW$19:$AW$119),""))</f>
        <v/>
      </c>
      <c r="G66" s="274" t="str">
        <f>IF(TRIM(C66)="","",IFERROR(_xlfn.XLOOKUP(TRIM(C66),'TERM 2'!$C$19:$C$119,'TERM 2'!$AW$19:$AW$119),""))</f>
        <v/>
      </c>
      <c r="H66" s="265" t="str">
        <f>IF(TRIM(C66)="","",IFERROR(_xlfn.XLOOKUP(TRIM(C66),'TERM 3'!$C$19:$C$119,'TERM 3'!$AW$19:$AW$119),""))</f>
        <v/>
      </c>
      <c r="I66" s="268" t="str">
        <f t="shared" si="1"/>
        <v/>
      </c>
      <c r="J66" s="262" t="str">
        <f>IF(C66="","",IFERROR(_xlfn.XLOOKUP(I66,HELPER!$F$8:$F$48,HELPER!$G$8:$G$48,,1),""))</f>
        <v/>
      </c>
      <c r="K66" s="140"/>
      <c r="L66" s="3"/>
      <c r="M66" s="3"/>
    </row>
    <row r="67" spans="1:13" ht="15" customHeight="1" x14ac:dyDescent="0.25">
      <c r="A67" s="3"/>
      <c r="B67" s="110">
        <v>3</v>
      </c>
      <c r="C67" s="396" t="str">
        <f>IF('INPUT DATA'!N13="","",'INPUT DATA'!N13)</f>
        <v/>
      </c>
      <c r="D67" s="397"/>
      <c r="E67" s="397"/>
      <c r="F67" s="265" t="str">
        <f>IF(TRIM(C67)="","",IFERROR(_xlfn.XLOOKUP(TRIM(C67),'TERM 1'!$C$19:$C$119,'TERM 1'!$AW$19:$AW$119),""))</f>
        <v/>
      </c>
      <c r="G67" s="274" t="str">
        <f>IF(TRIM(C67)="","",IFERROR(_xlfn.XLOOKUP(TRIM(C67),'TERM 2'!$C$19:$C$119,'TERM 2'!$AW$19:$AW$119),""))</f>
        <v/>
      </c>
      <c r="H67" s="265" t="str">
        <f>IF(TRIM(C67)="","",IFERROR(_xlfn.XLOOKUP(TRIM(C67),'TERM 3'!$C$19:$C$119,'TERM 3'!$AW$19:$AW$119),""))</f>
        <v/>
      </c>
      <c r="I67" s="268" t="str">
        <f t="shared" si="1"/>
        <v/>
      </c>
      <c r="J67" s="262" t="str">
        <f>IF(C67="","",IFERROR(_xlfn.XLOOKUP(I67,HELPER!$F$8:$F$48,HELPER!$G$8:$G$48,,1),""))</f>
        <v/>
      </c>
      <c r="K67" s="140"/>
      <c r="L67" s="3"/>
      <c r="M67" s="3"/>
    </row>
    <row r="68" spans="1:13" ht="15" customHeight="1" x14ac:dyDescent="0.25">
      <c r="A68" s="3"/>
      <c r="B68" s="110">
        <v>4</v>
      </c>
      <c r="C68" s="396" t="str">
        <f>IF('INPUT DATA'!N14="","",'INPUT DATA'!N14)</f>
        <v/>
      </c>
      <c r="D68" s="397"/>
      <c r="E68" s="397"/>
      <c r="F68" s="265" t="str">
        <f>IF(TRIM(C68)="","",IFERROR(_xlfn.XLOOKUP(TRIM(C68),'TERM 1'!$C$19:$C$119,'TERM 1'!$AW$19:$AW$119),""))</f>
        <v/>
      </c>
      <c r="G68" s="274" t="str">
        <f>IF(TRIM(C68)="","",IFERROR(_xlfn.XLOOKUP(TRIM(C68),'TERM 2'!$C$19:$C$119,'TERM 2'!$AW$19:$AW$119),""))</f>
        <v/>
      </c>
      <c r="H68" s="265" t="str">
        <f>IF(TRIM(C68)="","",IFERROR(_xlfn.XLOOKUP(TRIM(C68),'TERM 3'!$C$19:$C$119,'TERM 3'!$AW$19:$AW$119),""))</f>
        <v/>
      </c>
      <c r="I68" s="268" t="str">
        <f t="shared" si="1"/>
        <v/>
      </c>
      <c r="J68" s="262" t="str">
        <f>IF(C68="","",IFERROR(_xlfn.XLOOKUP(I68,HELPER!$F$8:$F$48,HELPER!$G$8:$G$48,,1),""))</f>
        <v/>
      </c>
      <c r="K68" s="140"/>
      <c r="L68" s="3"/>
      <c r="M68" s="3"/>
    </row>
    <row r="69" spans="1:13" ht="15" customHeight="1" x14ac:dyDescent="0.25">
      <c r="A69" s="3"/>
      <c r="B69" s="110">
        <v>5</v>
      </c>
      <c r="C69" s="396" t="str">
        <f>IF('INPUT DATA'!N15="","",'INPUT DATA'!N15)</f>
        <v/>
      </c>
      <c r="D69" s="397"/>
      <c r="E69" s="397"/>
      <c r="F69" s="265" t="str">
        <f>IF(TRIM(C69)="","",IFERROR(_xlfn.XLOOKUP(TRIM(C69),'TERM 1'!$C$19:$C$119,'TERM 1'!$AW$19:$AW$119),""))</f>
        <v/>
      </c>
      <c r="G69" s="274" t="str">
        <f>IF(TRIM(C69)="","",IFERROR(_xlfn.XLOOKUP(TRIM(C69),'TERM 2'!$C$19:$C$119,'TERM 2'!$AW$19:$AW$119),""))</f>
        <v/>
      </c>
      <c r="H69" s="265" t="str">
        <f>IF(TRIM(C69)="","",IFERROR(_xlfn.XLOOKUP(TRIM(C69),'TERM 3'!$C$19:$C$119,'TERM 3'!$AW$19:$AW$119),""))</f>
        <v/>
      </c>
      <c r="I69" s="268" t="str">
        <f t="shared" si="1"/>
        <v/>
      </c>
      <c r="J69" s="262" t="str">
        <f>IF(C69="","",IFERROR(_xlfn.XLOOKUP(I69,HELPER!$F$8:$F$48,HELPER!$G$8:$G$48,,1),""))</f>
        <v/>
      </c>
      <c r="K69" s="140"/>
      <c r="L69" s="3"/>
      <c r="M69" s="3"/>
    </row>
    <row r="70" spans="1:13" ht="15" customHeight="1" x14ac:dyDescent="0.25">
      <c r="A70" s="3"/>
      <c r="B70" s="110">
        <v>6</v>
      </c>
      <c r="C70" s="396" t="str">
        <f>IF('INPUT DATA'!N16="","",'INPUT DATA'!N16)</f>
        <v/>
      </c>
      <c r="D70" s="397"/>
      <c r="E70" s="397"/>
      <c r="F70" s="265" t="str">
        <f>IF(TRIM(C70)="","",IFERROR(_xlfn.XLOOKUP(TRIM(C70),'TERM 1'!$C$19:$C$119,'TERM 1'!$AW$19:$AW$119),""))</f>
        <v/>
      </c>
      <c r="G70" s="274" t="str">
        <f>IF(TRIM(C70)="","",IFERROR(_xlfn.XLOOKUP(TRIM(C70),'TERM 2'!$C$19:$C$119,'TERM 2'!$AW$19:$AW$119),""))</f>
        <v/>
      </c>
      <c r="H70" s="265" t="str">
        <f>IF(TRIM(C70)="","",IFERROR(_xlfn.XLOOKUP(TRIM(C70),'TERM 3'!$C$19:$C$119,'TERM 3'!$AW$19:$AW$119),""))</f>
        <v/>
      </c>
      <c r="I70" s="268" t="str">
        <f t="shared" si="1"/>
        <v/>
      </c>
      <c r="J70" s="262" t="str">
        <f>IF(C70="","",IFERROR(_xlfn.XLOOKUP(I70,HELPER!$F$8:$F$48,HELPER!$G$8:$G$48,,1),""))</f>
        <v/>
      </c>
      <c r="K70" s="140"/>
      <c r="L70" s="3"/>
      <c r="M70" s="3"/>
    </row>
    <row r="71" spans="1:13" ht="15" customHeight="1" x14ac:dyDescent="0.25">
      <c r="A71" s="3"/>
      <c r="B71" s="110">
        <v>7</v>
      </c>
      <c r="C71" s="396" t="str">
        <f>IF('INPUT DATA'!N17="","",'INPUT DATA'!N17)</f>
        <v/>
      </c>
      <c r="D71" s="397"/>
      <c r="E71" s="397"/>
      <c r="F71" s="265" t="str">
        <f>IF(TRIM(C71)="","",IFERROR(_xlfn.XLOOKUP(TRIM(C71),'TERM 1'!$C$19:$C$119,'TERM 1'!$AW$19:$AW$119),""))</f>
        <v/>
      </c>
      <c r="G71" s="274" t="str">
        <f>IF(TRIM(C71)="","",IFERROR(_xlfn.XLOOKUP(TRIM(C71),'TERM 2'!$C$19:$C$119,'TERM 2'!$AW$19:$AW$119),""))</f>
        <v/>
      </c>
      <c r="H71" s="265" t="str">
        <f>IF(TRIM(C71)="","",IFERROR(_xlfn.XLOOKUP(TRIM(C71),'TERM 3'!$C$19:$C$119,'TERM 3'!$AW$19:$AW$119),""))</f>
        <v/>
      </c>
      <c r="I71" s="268" t="str">
        <f t="shared" si="1"/>
        <v/>
      </c>
      <c r="J71" s="262" t="str">
        <f>IF(C71="","",IFERROR(_xlfn.XLOOKUP(I71,HELPER!$F$8:$F$48,HELPER!$G$8:$G$48,,1),""))</f>
        <v/>
      </c>
      <c r="K71" s="140"/>
      <c r="L71" s="3"/>
      <c r="M71" s="3"/>
    </row>
    <row r="72" spans="1:13" ht="15" customHeight="1" x14ac:dyDescent="0.25">
      <c r="A72" s="3"/>
      <c r="B72" s="110">
        <v>8</v>
      </c>
      <c r="C72" s="396" t="str">
        <f>IF('INPUT DATA'!N18="","",'INPUT DATA'!N18)</f>
        <v/>
      </c>
      <c r="D72" s="397"/>
      <c r="E72" s="397"/>
      <c r="F72" s="265" t="str">
        <f>IF(TRIM(C72)="","",IFERROR(_xlfn.XLOOKUP(TRIM(C72),'TERM 1'!$C$19:$C$119,'TERM 1'!$AW$19:$AW$119),""))</f>
        <v/>
      </c>
      <c r="G72" s="274" t="str">
        <f>IF(TRIM(C72)="","",IFERROR(_xlfn.XLOOKUP(TRIM(C72),'TERM 2'!$C$19:$C$119,'TERM 2'!$AW$19:$AW$119),""))</f>
        <v/>
      </c>
      <c r="H72" s="265" t="str">
        <f>IF(TRIM(C72)="","",IFERROR(_xlfn.XLOOKUP(TRIM(C72),'TERM 3'!$C$19:$C$119,'TERM 3'!$AW$19:$AW$119),""))</f>
        <v/>
      </c>
      <c r="I72" s="268" t="str">
        <f t="shared" si="1"/>
        <v/>
      </c>
      <c r="J72" s="262" t="str">
        <f>IF(C72="","",IFERROR(_xlfn.XLOOKUP(I72,HELPER!$F$8:$F$48,HELPER!$G$8:$G$48,,1),""))</f>
        <v/>
      </c>
      <c r="K72" s="140"/>
      <c r="L72" s="3"/>
      <c r="M72" s="3"/>
    </row>
    <row r="73" spans="1:13" ht="15" customHeight="1" x14ac:dyDescent="0.25">
      <c r="A73" s="3"/>
      <c r="B73" s="110">
        <v>9</v>
      </c>
      <c r="C73" s="396" t="str">
        <f>IF('INPUT DATA'!N19="","",'INPUT DATA'!N19)</f>
        <v/>
      </c>
      <c r="D73" s="397"/>
      <c r="E73" s="397"/>
      <c r="F73" s="265" t="str">
        <f>IF(TRIM(C73)="","",IFERROR(_xlfn.XLOOKUP(TRIM(C73),'TERM 1'!$C$19:$C$119,'TERM 1'!$AW$19:$AW$119),""))</f>
        <v/>
      </c>
      <c r="G73" s="274" t="str">
        <f>IF(TRIM(C73)="","",IFERROR(_xlfn.XLOOKUP(TRIM(C73),'TERM 2'!$C$19:$C$119,'TERM 2'!$AW$19:$AW$119),""))</f>
        <v/>
      </c>
      <c r="H73" s="265" t="str">
        <f>IF(TRIM(C73)="","",IFERROR(_xlfn.XLOOKUP(TRIM(C73),'TERM 3'!$C$19:$C$119,'TERM 3'!$AW$19:$AW$119),""))</f>
        <v/>
      </c>
      <c r="I73" s="268" t="str">
        <f t="shared" si="1"/>
        <v/>
      </c>
      <c r="J73" s="262" t="str">
        <f>IF(C73="","",IFERROR(_xlfn.XLOOKUP(I73,HELPER!$F$8:$F$48,HELPER!$G$8:$G$48,,1),""))</f>
        <v/>
      </c>
      <c r="K73" s="140"/>
      <c r="L73" s="3"/>
      <c r="M73" s="3"/>
    </row>
    <row r="74" spans="1:13" ht="15" customHeight="1" x14ac:dyDescent="0.25">
      <c r="A74" s="3"/>
      <c r="B74" s="110">
        <v>10</v>
      </c>
      <c r="C74" s="396" t="str">
        <f>IF('INPUT DATA'!N20="","",'INPUT DATA'!N20)</f>
        <v/>
      </c>
      <c r="D74" s="397"/>
      <c r="E74" s="397"/>
      <c r="F74" s="265" t="str">
        <f>IF(TRIM(C74)="","",IFERROR(_xlfn.XLOOKUP(TRIM(C74),'TERM 1'!$C$19:$C$119,'TERM 1'!$AW$19:$AW$119),""))</f>
        <v/>
      </c>
      <c r="G74" s="274" t="str">
        <f>IF(TRIM(C74)="","",IFERROR(_xlfn.XLOOKUP(TRIM(C74),'TERM 2'!$C$19:$C$119,'TERM 2'!$AW$19:$AW$119),""))</f>
        <v/>
      </c>
      <c r="H74" s="265" t="str">
        <f>IF(TRIM(C74)="","",IFERROR(_xlfn.XLOOKUP(TRIM(C74),'TERM 3'!$C$19:$C$119,'TERM 3'!$AW$19:$AW$119),""))</f>
        <v/>
      </c>
      <c r="I74" s="268" t="str">
        <f t="shared" si="1"/>
        <v/>
      </c>
      <c r="J74" s="262" t="str">
        <f>IF(C74="","",IFERROR(_xlfn.XLOOKUP(I74,HELPER!$F$8:$F$48,HELPER!$G$8:$G$48,,1),""))</f>
        <v/>
      </c>
      <c r="K74" s="140"/>
      <c r="L74" s="3"/>
      <c r="M74" s="3"/>
    </row>
    <row r="75" spans="1:13" ht="15" customHeight="1" x14ac:dyDescent="0.25">
      <c r="A75" s="3"/>
      <c r="B75" s="110">
        <v>11</v>
      </c>
      <c r="C75" s="396" t="str">
        <f>IF('INPUT DATA'!N21="","",'INPUT DATA'!N21)</f>
        <v/>
      </c>
      <c r="D75" s="397"/>
      <c r="E75" s="397"/>
      <c r="F75" s="265" t="str">
        <f>IF(TRIM(C75)="","",IFERROR(_xlfn.XLOOKUP(TRIM(C75),'TERM 1'!$C$19:$C$119,'TERM 1'!$AW$19:$AW$119),""))</f>
        <v/>
      </c>
      <c r="G75" s="274" t="str">
        <f>IF(TRIM(C75)="","",IFERROR(_xlfn.XLOOKUP(TRIM(C75),'TERM 2'!$C$19:$C$119,'TERM 2'!$AW$19:$AW$119),""))</f>
        <v/>
      </c>
      <c r="H75" s="265" t="str">
        <f>IF(TRIM(C75)="","",IFERROR(_xlfn.XLOOKUP(TRIM(C75),'TERM 3'!$C$19:$C$119,'TERM 3'!$AW$19:$AW$119),""))</f>
        <v/>
      </c>
      <c r="I75" s="268" t="str">
        <f t="shared" si="1"/>
        <v/>
      </c>
      <c r="J75" s="262" t="str">
        <f>IF(C75="","",IFERROR(_xlfn.XLOOKUP(I75,HELPER!$F$8:$F$48,HELPER!$G$8:$G$48,,1),""))</f>
        <v/>
      </c>
      <c r="K75" s="140"/>
      <c r="L75" s="3"/>
      <c r="M75" s="3"/>
    </row>
    <row r="76" spans="1:13" ht="15" customHeight="1" x14ac:dyDescent="0.25">
      <c r="A76" s="3"/>
      <c r="B76" s="110">
        <v>12</v>
      </c>
      <c r="C76" s="396" t="str">
        <f>IF('INPUT DATA'!N22="","",'INPUT DATA'!N22)</f>
        <v/>
      </c>
      <c r="D76" s="397"/>
      <c r="E76" s="397"/>
      <c r="F76" s="265" t="str">
        <f>IF(TRIM(C76)="","",IFERROR(_xlfn.XLOOKUP(TRIM(C76),'TERM 1'!$C$19:$C$119,'TERM 1'!$AW$19:$AW$119),""))</f>
        <v/>
      </c>
      <c r="G76" s="274" t="str">
        <f>IF(TRIM(C76)="","",IFERROR(_xlfn.XLOOKUP(TRIM(C76),'TERM 2'!$C$19:$C$119,'TERM 2'!$AW$19:$AW$119),""))</f>
        <v/>
      </c>
      <c r="H76" s="265" t="str">
        <f>IF(TRIM(C76)="","",IFERROR(_xlfn.XLOOKUP(TRIM(C76),'TERM 3'!$C$19:$C$119,'TERM 3'!$AW$19:$AW$119),""))</f>
        <v/>
      </c>
      <c r="I76" s="268" t="str">
        <f t="shared" si="1"/>
        <v/>
      </c>
      <c r="J76" s="262" t="str">
        <f>IF(C76="","",IFERROR(_xlfn.XLOOKUP(I76,HELPER!$F$8:$F$48,HELPER!$G$8:$G$48,,1),""))</f>
        <v/>
      </c>
      <c r="K76" s="140"/>
      <c r="L76" s="3"/>
      <c r="M76" s="3"/>
    </row>
    <row r="77" spans="1:13" ht="15" customHeight="1" x14ac:dyDescent="0.25">
      <c r="A77" s="3"/>
      <c r="B77" s="110">
        <v>13</v>
      </c>
      <c r="C77" s="396" t="str">
        <f>IF('INPUT DATA'!N23="","",'INPUT DATA'!N23)</f>
        <v/>
      </c>
      <c r="D77" s="397"/>
      <c r="E77" s="397"/>
      <c r="F77" s="265" t="str">
        <f>IF(TRIM(C77)="","",IFERROR(_xlfn.XLOOKUP(TRIM(C77),'TERM 1'!$C$19:$C$119,'TERM 1'!$AW$19:$AW$119),""))</f>
        <v/>
      </c>
      <c r="G77" s="274" t="str">
        <f>IF(TRIM(C77)="","",IFERROR(_xlfn.XLOOKUP(TRIM(C77),'TERM 2'!$C$19:$C$119,'TERM 2'!$AW$19:$AW$119),""))</f>
        <v/>
      </c>
      <c r="H77" s="265" t="str">
        <f>IF(TRIM(C77)="","",IFERROR(_xlfn.XLOOKUP(TRIM(C77),'TERM 3'!$C$19:$C$119,'TERM 3'!$AW$19:$AW$119),""))</f>
        <v/>
      </c>
      <c r="I77" s="268" t="str">
        <f t="shared" si="1"/>
        <v/>
      </c>
      <c r="J77" s="262" t="str">
        <f>IF(C77="","",IFERROR(_xlfn.XLOOKUP(I77,HELPER!$F$8:$F$48,HELPER!$G$8:$G$48,,1),""))</f>
        <v/>
      </c>
      <c r="K77" s="140"/>
      <c r="L77" s="3"/>
      <c r="M77" s="3"/>
    </row>
    <row r="78" spans="1:13" ht="15" customHeight="1" x14ac:dyDescent="0.25">
      <c r="A78" s="3"/>
      <c r="B78" s="110">
        <v>14</v>
      </c>
      <c r="C78" s="396" t="str">
        <f>IF('INPUT DATA'!N24="","",'INPUT DATA'!N24)</f>
        <v/>
      </c>
      <c r="D78" s="397"/>
      <c r="E78" s="397"/>
      <c r="F78" s="265" t="str">
        <f>IF(TRIM(C78)="","",IFERROR(_xlfn.XLOOKUP(TRIM(C78),'TERM 1'!$C$19:$C$119,'TERM 1'!$AW$19:$AW$119),""))</f>
        <v/>
      </c>
      <c r="G78" s="274" t="str">
        <f>IF(TRIM(C78)="","",IFERROR(_xlfn.XLOOKUP(TRIM(C78),'TERM 2'!$C$19:$C$119,'TERM 2'!$AW$19:$AW$119),""))</f>
        <v/>
      </c>
      <c r="H78" s="265" t="str">
        <f>IF(TRIM(C78)="","",IFERROR(_xlfn.XLOOKUP(TRIM(C78),'TERM 3'!$C$19:$C$119,'TERM 3'!$AW$19:$AW$119),""))</f>
        <v/>
      </c>
      <c r="I78" s="268" t="str">
        <f t="shared" si="1"/>
        <v/>
      </c>
      <c r="J78" s="262" t="str">
        <f>IF(C78="","",IFERROR(_xlfn.XLOOKUP(I78,HELPER!$F$8:$F$48,HELPER!$G$8:$G$48,,1),""))</f>
        <v/>
      </c>
      <c r="K78" s="140"/>
      <c r="L78" s="3"/>
      <c r="M78" s="3"/>
    </row>
    <row r="79" spans="1:13" ht="15" customHeight="1" x14ac:dyDescent="0.25">
      <c r="A79" s="3"/>
      <c r="B79" s="110">
        <v>15</v>
      </c>
      <c r="C79" s="396" t="str">
        <f>IF('INPUT DATA'!N25="","",'INPUT DATA'!N25)</f>
        <v/>
      </c>
      <c r="D79" s="397"/>
      <c r="E79" s="397"/>
      <c r="F79" s="265" t="str">
        <f>IF(TRIM(C79)="","",IFERROR(_xlfn.XLOOKUP(TRIM(C79),'TERM 1'!$C$19:$C$119,'TERM 1'!$AW$19:$AW$119),""))</f>
        <v/>
      </c>
      <c r="G79" s="274" t="str">
        <f>IF(TRIM(C79)="","",IFERROR(_xlfn.XLOOKUP(TRIM(C79),'TERM 2'!$C$19:$C$119,'TERM 2'!$AW$19:$AW$119),""))</f>
        <v/>
      </c>
      <c r="H79" s="265" t="str">
        <f>IF(TRIM(C79)="","",IFERROR(_xlfn.XLOOKUP(TRIM(C79),'TERM 3'!$C$19:$C$119,'TERM 3'!$AW$19:$AW$119),""))</f>
        <v/>
      </c>
      <c r="I79" s="268" t="str">
        <f t="shared" si="1"/>
        <v/>
      </c>
      <c r="J79" s="262" t="str">
        <f>IF(C79="","",IFERROR(_xlfn.XLOOKUP(I79,HELPER!$F$8:$F$48,HELPER!$G$8:$G$48,,1),""))</f>
        <v/>
      </c>
      <c r="K79" s="140"/>
      <c r="L79" s="3"/>
      <c r="M79" s="3"/>
    </row>
    <row r="80" spans="1:13" ht="15" customHeight="1" x14ac:dyDescent="0.25">
      <c r="A80" s="3"/>
      <c r="B80" s="110">
        <v>16</v>
      </c>
      <c r="C80" s="396" t="str">
        <f>IF('INPUT DATA'!N26="","",'INPUT DATA'!N26)</f>
        <v/>
      </c>
      <c r="D80" s="397"/>
      <c r="E80" s="397"/>
      <c r="F80" s="265" t="str">
        <f>IF(TRIM(C80)="","",IFERROR(_xlfn.XLOOKUP(TRIM(C80),'TERM 1'!$C$19:$C$119,'TERM 1'!$AW$19:$AW$119),""))</f>
        <v/>
      </c>
      <c r="G80" s="274" t="str">
        <f>IF(TRIM(C80)="","",IFERROR(_xlfn.XLOOKUP(TRIM(C80),'TERM 2'!$C$19:$C$119,'TERM 2'!$AW$19:$AW$119),""))</f>
        <v/>
      </c>
      <c r="H80" s="265" t="str">
        <f>IF(TRIM(C80)="","",IFERROR(_xlfn.XLOOKUP(TRIM(C80),'TERM 3'!$C$19:$C$119,'TERM 3'!$AW$19:$AW$119),""))</f>
        <v/>
      </c>
      <c r="I80" s="268" t="str">
        <f t="shared" si="1"/>
        <v/>
      </c>
      <c r="J80" s="262" t="str">
        <f>IF(C80="","",IFERROR(_xlfn.XLOOKUP(I80,HELPER!$F$8:$F$48,HELPER!$G$8:$G$48,,1),""))</f>
        <v/>
      </c>
      <c r="K80" s="140"/>
      <c r="L80" s="3"/>
      <c r="M80" s="3"/>
    </row>
    <row r="81" spans="1:13" ht="15" customHeight="1" x14ac:dyDescent="0.25">
      <c r="A81" s="3"/>
      <c r="B81" s="110">
        <v>17</v>
      </c>
      <c r="C81" s="396" t="str">
        <f>IF('INPUT DATA'!N27="","",'INPUT DATA'!N27)</f>
        <v/>
      </c>
      <c r="D81" s="397"/>
      <c r="E81" s="397"/>
      <c r="F81" s="265" t="str">
        <f>IF(TRIM(C81)="","",IFERROR(_xlfn.XLOOKUP(TRIM(C81),'TERM 1'!$C$19:$C$119,'TERM 1'!$AW$19:$AW$119),""))</f>
        <v/>
      </c>
      <c r="G81" s="274" t="str">
        <f>IF(TRIM(C81)="","",IFERROR(_xlfn.XLOOKUP(TRIM(C81),'TERM 2'!$C$19:$C$119,'TERM 2'!$AW$19:$AW$119),""))</f>
        <v/>
      </c>
      <c r="H81" s="265" t="str">
        <f>IF(TRIM(C81)="","",IFERROR(_xlfn.XLOOKUP(TRIM(C81),'TERM 3'!$C$19:$C$119,'TERM 3'!$AW$19:$AW$119),""))</f>
        <v/>
      </c>
      <c r="I81" s="268" t="str">
        <f t="shared" si="1"/>
        <v/>
      </c>
      <c r="J81" s="262" t="str">
        <f>IF(C81="","",IFERROR(_xlfn.XLOOKUP(I81,HELPER!$F$8:$F$48,HELPER!$G$8:$G$48,,1),""))</f>
        <v/>
      </c>
      <c r="K81" s="140"/>
      <c r="L81" s="3"/>
      <c r="M81" s="3"/>
    </row>
    <row r="82" spans="1:13" ht="15" customHeight="1" x14ac:dyDescent="0.25">
      <c r="A82" s="3"/>
      <c r="B82" s="110">
        <v>18</v>
      </c>
      <c r="C82" s="396" t="str">
        <f>IF('INPUT DATA'!N28="","",'INPUT DATA'!N28)</f>
        <v/>
      </c>
      <c r="D82" s="397"/>
      <c r="E82" s="397"/>
      <c r="F82" s="265" t="str">
        <f>IF(TRIM(C82)="","",IFERROR(_xlfn.XLOOKUP(TRIM(C82),'TERM 1'!$C$19:$C$119,'TERM 1'!$AW$19:$AW$119),""))</f>
        <v/>
      </c>
      <c r="G82" s="274" t="str">
        <f>IF(TRIM(C82)="","",IFERROR(_xlfn.XLOOKUP(TRIM(C82),'TERM 2'!$C$19:$C$119,'TERM 2'!$AW$19:$AW$119),""))</f>
        <v/>
      </c>
      <c r="H82" s="265" t="str">
        <f>IF(TRIM(C82)="","",IFERROR(_xlfn.XLOOKUP(TRIM(C82),'TERM 3'!$C$19:$C$119,'TERM 3'!$AW$19:$AW$119),""))</f>
        <v/>
      </c>
      <c r="I82" s="268" t="str">
        <f t="shared" si="1"/>
        <v/>
      </c>
      <c r="J82" s="262" t="str">
        <f>IF(C82="","",IFERROR(_xlfn.XLOOKUP(I82,HELPER!$F$8:$F$48,HELPER!$G$8:$G$48,,1),""))</f>
        <v/>
      </c>
      <c r="K82" s="140"/>
      <c r="L82" s="3"/>
      <c r="M82" s="3"/>
    </row>
    <row r="83" spans="1:13" ht="15" customHeight="1" x14ac:dyDescent="0.25">
      <c r="A83" s="3"/>
      <c r="B83" s="110">
        <v>19</v>
      </c>
      <c r="C83" s="396" t="str">
        <f>IF('INPUT DATA'!N29="","",'INPUT DATA'!N29)</f>
        <v/>
      </c>
      <c r="D83" s="397"/>
      <c r="E83" s="397"/>
      <c r="F83" s="265" t="str">
        <f>IF(TRIM(C83)="","",IFERROR(_xlfn.XLOOKUP(TRIM(C83),'TERM 1'!$C$19:$C$119,'TERM 1'!$AW$19:$AW$119),""))</f>
        <v/>
      </c>
      <c r="G83" s="274" t="str">
        <f>IF(TRIM(C83)="","",IFERROR(_xlfn.XLOOKUP(TRIM(C83),'TERM 2'!$C$19:$C$119,'TERM 2'!$AW$19:$AW$119),""))</f>
        <v/>
      </c>
      <c r="H83" s="265" t="str">
        <f>IF(TRIM(C83)="","",IFERROR(_xlfn.XLOOKUP(TRIM(C83),'TERM 3'!$C$19:$C$119,'TERM 3'!$AW$19:$AW$119),""))</f>
        <v/>
      </c>
      <c r="I83" s="268" t="str">
        <f t="shared" si="1"/>
        <v/>
      </c>
      <c r="J83" s="262" t="str">
        <f>IF(C83="","",IFERROR(_xlfn.XLOOKUP(I83,HELPER!$F$8:$F$48,HELPER!$G$8:$G$48,,1),""))</f>
        <v/>
      </c>
      <c r="K83" s="140"/>
      <c r="L83" s="3"/>
      <c r="M83" s="3"/>
    </row>
    <row r="84" spans="1:13" ht="15" customHeight="1" x14ac:dyDescent="0.25">
      <c r="A84" s="3"/>
      <c r="B84" s="111">
        <v>20</v>
      </c>
      <c r="C84" s="396" t="str">
        <f>IF('INPUT DATA'!N30="","",'INPUT DATA'!N30)</f>
        <v/>
      </c>
      <c r="D84" s="397"/>
      <c r="E84" s="397"/>
      <c r="F84" s="265" t="str">
        <f>IF(TRIM(C84)="","",IFERROR(_xlfn.XLOOKUP(TRIM(C84),'TERM 1'!$C$19:$C$119,'TERM 1'!$AW$19:$AW$119),""))</f>
        <v/>
      </c>
      <c r="G84" s="274" t="str">
        <f>IF(TRIM(C84)="","",IFERROR(_xlfn.XLOOKUP(TRIM(C84),'TERM 2'!$C$19:$C$119,'TERM 2'!$AW$19:$AW$119),""))</f>
        <v/>
      </c>
      <c r="H84" s="265" t="str">
        <f>IF(TRIM(C84)="","",IFERROR(_xlfn.XLOOKUP(TRIM(C84),'TERM 3'!$C$19:$C$119,'TERM 3'!$AW$19:$AW$119),""))</f>
        <v/>
      </c>
      <c r="I84" s="268" t="str">
        <f t="shared" si="1"/>
        <v/>
      </c>
      <c r="J84" s="262" t="str">
        <f>IF(C84="","",IFERROR(_xlfn.XLOOKUP(I84,HELPER!$F$8:$F$48,HELPER!$G$8:$G$48,,1),""))</f>
        <v/>
      </c>
      <c r="K84" s="140"/>
      <c r="L84" s="3"/>
      <c r="M84" s="3"/>
    </row>
    <row r="85" spans="1:13" ht="15" customHeight="1" x14ac:dyDescent="0.25">
      <c r="A85" s="3"/>
      <c r="B85" s="111">
        <v>21</v>
      </c>
      <c r="C85" s="396" t="str">
        <f>IF('INPUT DATA'!N31="","",'INPUT DATA'!N31)</f>
        <v/>
      </c>
      <c r="D85" s="397"/>
      <c r="E85" s="397"/>
      <c r="F85" s="265" t="str">
        <f>IF(TRIM(C85)="","",IFERROR(_xlfn.XLOOKUP(TRIM(C85),'TERM 1'!$C$19:$C$119,'TERM 1'!$AW$19:$AW$119),""))</f>
        <v/>
      </c>
      <c r="G85" s="274" t="str">
        <f>IF(TRIM(C85)="","",IFERROR(_xlfn.XLOOKUP(TRIM(C85),'TERM 2'!$C$19:$C$119,'TERM 2'!$AW$19:$AW$119),""))</f>
        <v/>
      </c>
      <c r="H85" s="265" t="str">
        <f>IF(TRIM(C85)="","",IFERROR(_xlfn.XLOOKUP(TRIM(C85),'TERM 3'!$C$19:$C$119,'TERM 3'!$AW$19:$AW$119),""))</f>
        <v/>
      </c>
      <c r="I85" s="268" t="str">
        <f t="shared" si="1"/>
        <v/>
      </c>
      <c r="J85" s="262" t="str">
        <f>IF(C85="","",IFERROR(_xlfn.XLOOKUP(I85,HELPER!$F$8:$F$48,HELPER!$G$8:$G$48,,1),""))</f>
        <v/>
      </c>
      <c r="K85" s="140"/>
      <c r="L85" s="3"/>
      <c r="M85" s="3"/>
    </row>
    <row r="86" spans="1:13" ht="15" customHeight="1" x14ac:dyDescent="0.25">
      <c r="A86" s="3"/>
      <c r="B86" s="111">
        <v>22</v>
      </c>
      <c r="C86" s="396" t="str">
        <f>IF('INPUT DATA'!N32="","",'INPUT DATA'!N32)</f>
        <v/>
      </c>
      <c r="D86" s="397"/>
      <c r="E86" s="397"/>
      <c r="F86" s="265" t="str">
        <f>IF(TRIM(C86)="","",IFERROR(_xlfn.XLOOKUP(TRIM(C86),'TERM 1'!$C$19:$C$119,'TERM 1'!$AW$19:$AW$119),""))</f>
        <v/>
      </c>
      <c r="G86" s="274" t="str">
        <f>IF(TRIM(C86)="","",IFERROR(_xlfn.XLOOKUP(TRIM(C86),'TERM 2'!$C$19:$C$119,'TERM 2'!$AW$19:$AW$119),""))</f>
        <v/>
      </c>
      <c r="H86" s="265" t="str">
        <f>IF(TRIM(C86)="","",IFERROR(_xlfn.XLOOKUP(TRIM(C86),'TERM 3'!$C$19:$C$119,'TERM 3'!$AW$19:$AW$119),""))</f>
        <v/>
      </c>
      <c r="I86" s="268" t="str">
        <f t="shared" si="1"/>
        <v/>
      </c>
      <c r="J86" s="262" t="str">
        <f>IF(C86="","",IFERROR(_xlfn.XLOOKUP(I86,HELPER!$F$8:$F$48,HELPER!$G$8:$G$48,,1),""))</f>
        <v/>
      </c>
      <c r="K86" s="140"/>
      <c r="L86" s="3"/>
      <c r="M86" s="3"/>
    </row>
    <row r="87" spans="1:13" ht="15" customHeight="1" x14ac:dyDescent="0.25">
      <c r="A87" s="3"/>
      <c r="B87" s="111">
        <v>23</v>
      </c>
      <c r="C87" s="396" t="str">
        <f>IF('INPUT DATA'!N33="","",'INPUT DATA'!N33)</f>
        <v/>
      </c>
      <c r="D87" s="397"/>
      <c r="E87" s="397"/>
      <c r="F87" s="265" t="str">
        <f>IF(TRIM(C87)="","",IFERROR(_xlfn.XLOOKUP(TRIM(C87),'TERM 1'!$C$19:$C$119,'TERM 1'!$AW$19:$AW$119),""))</f>
        <v/>
      </c>
      <c r="G87" s="274" t="str">
        <f>IF(TRIM(C87)="","",IFERROR(_xlfn.XLOOKUP(TRIM(C87),'TERM 2'!$C$19:$C$119,'TERM 2'!$AW$19:$AW$119),""))</f>
        <v/>
      </c>
      <c r="H87" s="265" t="str">
        <f>IF(TRIM(C87)="","",IFERROR(_xlfn.XLOOKUP(TRIM(C87),'TERM 3'!$C$19:$C$119,'TERM 3'!$AW$19:$AW$119),""))</f>
        <v/>
      </c>
      <c r="I87" s="268" t="str">
        <f t="shared" si="1"/>
        <v/>
      </c>
      <c r="J87" s="262" t="str">
        <f>IF(C87="","",IFERROR(_xlfn.XLOOKUP(I87,HELPER!$F$8:$F$48,HELPER!$G$8:$G$48,,1),""))</f>
        <v/>
      </c>
      <c r="K87" s="140"/>
      <c r="L87" s="3"/>
      <c r="M87" s="3"/>
    </row>
    <row r="88" spans="1:13" ht="15" customHeight="1" x14ac:dyDescent="0.25">
      <c r="A88" s="3"/>
      <c r="B88" s="111">
        <v>24</v>
      </c>
      <c r="C88" s="396" t="str">
        <f>IF('INPUT DATA'!N34="","",'INPUT DATA'!N34)</f>
        <v/>
      </c>
      <c r="D88" s="397"/>
      <c r="E88" s="397"/>
      <c r="F88" s="265" t="str">
        <f>IF(TRIM(C88)="","",IFERROR(_xlfn.XLOOKUP(TRIM(C88),'TERM 1'!$C$19:$C$119,'TERM 1'!$AW$19:$AW$119),""))</f>
        <v/>
      </c>
      <c r="G88" s="274" t="str">
        <f>IF(TRIM(C88)="","",IFERROR(_xlfn.XLOOKUP(TRIM(C88),'TERM 2'!$C$19:$C$119,'TERM 2'!$AW$19:$AW$119),""))</f>
        <v/>
      </c>
      <c r="H88" s="265" t="str">
        <f>IF(TRIM(C88)="","",IFERROR(_xlfn.XLOOKUP(TRIM(C88),'TERM 3'!$C$19:$C$119,'TERM 3'!$AW$19:$AW$119),""))</f>
        <v/>
      </c>
      <c r="I88" s="268" t="str">
        <f t="shared" si="1"/>
        <v/>
      </c>
      <c r="J88" s="262" t="str">
        <f>IF(C88="","",IFERROR(_xlfn.XLOOKUP(I88,HELPER!$F$8:$F$48,HELPER!$G$8:$G$48,,1),""))</f>
        <v/>
      </c>
      <c r="K88" s="140"/>
      <c r="L88" s="3"/>
      <c r="M88" s="3"/>
    </row>
    <row r="89" spans="1:13" ht="15" customHeight="1" x14ac:dyDescent="0.25">
      <c r="A89" s="3"/>
      <c r="B89" s="111">
        <v>25</v>
      </c>
      <c r="C89" s="396" t="str">
        <f>IF('INPUT DATA'!N35="","",'INPUT DATA'!N35)</f>
        <v/>
      </c>
      <c r="D89" s="397"/>
      <c r="E89" s="397"/>
      <c r="F89" s="265" t="str">
        <f>IF(TRIM(C89)="","",IFERROR(_xlfn.XLOOKUP(TRIM(C89),'TERM 1'!$C$19:$C$119,'TERM 1'!$AW$19:$AW$119),""))</f>
        <v/>
      </c>
      <c r="G89" s="274" t="str">
        <f>IF(TRIM(C89)="","",IFERROR(_xlfn.XLOOKUP(TRIM(C89),'TERM 2'!$C$19:$C$119,'TERM 2'!$AW$19:$AW$119),""))</f>
        <v/>
      </c>
      <c r="H89" s="265" t="str">
        <f>IF(TRIM(C89)="","",IFERROR(_xlfn.XLOOKUP(TRIM(C89),'TERM 3'!$C$19:$C$119,'TERM 3'!$AW$19:$AW$119),""))</f>
        <v/>
      </c>
      <c r="I89" s="268" t="str">
        <f t="shared" si="1"/>
        <v/>
      </c>
      <c r="J89" s="262" t="str">
        <f>IF(C89="","",IFERROR(_xlfn.XLOOKUP(I89,HELPER!$F$8:$F$48,HELPER!$G$8:$G$48,,1),""))</f>
        <v/>
      </c>
      <c r="K89" s="140"/>
      <c r="L89" s="3"/>
      <c r="M89" s="3"/>
    </row>
    <row r="90" spans="1:13" ht="15" customHeight="1" x14ac:dyDescent="0.25">
      <c r="A90" s="3"/>
      <c r="B90" s="111">
        <v>26</v>
      </c>
      <c r="C90" s="396" t="str">
        <f>IF('INPUT DATA'!N36="","",'INPUT DATA'!N36)</f>
        <v/>
      </c>
      <c r="D90" s="397"/>
      <c r="E90" s="397"/>
      <c r="F90" s="265" t="str">
        <f>IF(TRIM(C90)="","",IFERROR(_xlfn.XLOOKUP(TRIM(C90),'TERM 1'!$C$19:$C$119,'TERM 1'!$AW$19:$AW$119),""))</f>
        <v/>
      </c>
      <c r="G90" s="274" t="str">
        <f>IF(TRIM(C90)="","",IFERROR(_xlfn.XLOOKUP(TRIM(C90),'TERM 2'!$C$19:$C$119,'TERM 2'!$AW$19:$AW$119),""))</f>
        <v/>
      </c>
      <c r="H90" s="265" t="str">
        <f>IF(TRIM(C90)="","",IFERROR(_xlfn.XLOOKUP(TRIM(C90),'TERM 3'!$C$19:$C$119,'TERM 3'!$AW$19:$AW$119),""))</f>
        <v/>
      </c>
      <c r="I90" s="268" t="str">
        <f t="shared" si="1"/>
        <v/>
      </c>
      <c r="J90" s="262" t="str">
        <f>IF(C90="","",IFERROR(_xlfn.XLOOKUP(I90,HELPER!$F$8:$F$48,HELPER!$G$8:$G$48,,1),""))</f>
        <v/>
      </c>
      <c r="K90" s="140"/>
      <c r="L90" s="3"/>
      <c r="M90" s="3"/>
    </row>
    <row r="91" spans="1:13" ht="15" customHeight="1" x14ac:dyDescent="0.25">
      <c r="A91" s="3"/>
      <c r="B91" s="111">
        <v>27</v>
      </c>
      <c r="C91" s="396" t="str">
        <f>IF('INPUT DATA'!N37="","",'INPUT DATA'!N37)</f>
        <v/>
      </c>
      <c r="D91" s="397"/>
      <c r="E91" s="397"/>
      <c r="F91" s="265" t="str">
        <f>IF(TRIM(C91)="","",IFERROR(_xlfn.XLOOKUP(TRIM(C91),'TERM 1'!$C$19:$C$119,'TERM 1'!$AW$19:$AW$119),""))</f>
        <v/>
      </c>
      <c r="G91" s="274" t="str">
        <f>IF(TRIM(C91)="","",IFERROR(_xlfn.XLOOKUP(TRIM(C91),'TERM 2'!$C$19:$C$119,'TERM 2'!$AW$19:$AW$119),""))</f>
        <v/>
      </c>
      <c r="H91" s="265" t="str">
        <f>IF(TRIM(C91)="","",IFERROR(_xlfn.XLOOKUP(TRIM(C91),'TERM 3'!$C$19:$C$119,'TERM 3'!$AW$19:$AW$119),""))</f>
        <v/>
      </c>
      <c r="I91" s="268" t="str">
        <f t="shared" si="1"/>
        <v/>
      </c>
      <c r="J91" s="262" t="str">
        <f>IF(C91="","",IFERROR(_xlfn.XLOOKUP(I91,HELPER!$F$8:$F$48,HELPER!$G$8:$G$48,,1),""))</f>
        <v/>
      </c>
      <c r="K91" s="140"/>
      <c r="L91" s="3"/>
      <c r="M91" s="3"/>
    </row>
    <row r="92" spans="1:13" ht="15" customHeight="1" x14ac:dyDescent="0.25">
      <c r="A92" s="3"/>
      <c r="B92" s="111">
        <v>28</v>
      </c>
      <c r="C92" s="396" t="str">
        <f>IF('INPUT DATA'!N38="","",'INPUT DATA'!N38)</f>
        <v/>
      </c>
      <c r="D92" s="397"/>
      <c r="E92" s="397"/>
      <c r="F92" s="265" t="str">
        <f>IF(TRIM(C92)="","",IFERROR(_xlfn.XLOOKUP(TRIM(C92),'TERM 1'!$C$19:$C$119,'TERM 1'!$AW$19:$AW$119),""))</f>
        <v/>
      </c>
      <c r="G92" s="274" t="str">
        <f>IF(TRIM(C92)="","",IFERROR(_xlfn.XLOOKUP(TRIM(C92),'TERM 2'!$C$19:$C$119,'TERM 2'!$AW$19:$AW$119),""))</f>
        <v/>
      </c>
      <c r="H92" s="265" t="str">
        <f>IF(TRIM(C92)="","",IFERROR(_xlfn.XLOOKUP(TRIM(C92),'TERM 3'!$C$19:$C$119,'TERM 3'!$AW$19:$AW$119),""))</f>
        <v/>
      </c>
      <c r="I92" s="268" t="str">
        <f t="shared" si="1"/>
        <v/>
      </c>
      <c r="J92" s="262" t="str">
        <f>IF(C92="","",IFERROR(_xlfn.XLOOKUP(I92,HELPER!$F$8:$F$48,HELPER!$G$8:$G$48,,1),""))</f>
        <v/>
      </c>
      <c r="K92" s="140"/>
      <c r="L92" s="3"/>
      <c r="M92" s="3"/>
    </row>
    <row r="93" spans="1:13" ht="15" customHeight="1" x14ac:dyDescent="0.25">
      <c r="A93" s="3"/>
      <c r="B93" s="111">
        <v>29</v>
      </c>
      <c r="C93" s="396" t="str">
        <f>IF('INPUT DATA'!N39="","",'INPUT DATA'!N39)</f>
        <v/>
      </c>
      <c r="D93" s="397"/>
      <c r="E93" s="397"/>
      <c r="F93" s="265" t="str">
        <f>IF(TRIM(C93)="","",IFERROR(_xlfn.XLOOKUP(TRIM(C93),'TERM 1'!$C$19:$C$119,'TERM 1'!$AW$19:$AW$119),""))</f>
        <v/>
      </c>
      <c r="G93" s="274" t="str">
        <f>IF(TRIM(C93)="","",IFERROR(_xlfn.XLOOKUP(TRIM(C93),'TERM 2'!$C$19:$C$119,'TERM 2'!$AW$19:$AW$119),""))</f>
        <v/>
      </c>
      <c r="H93" s="265" t="str">
        <f>IF(TRIM(C93)="","",IFERROR(_xlfn.XLOOKUP(TRIM(C93),'TERM 3'!$C$19:$C$119,'TERM 3'!$AW$19:$AW$119),""))</f>
        <v/>
      </c>
      <c r="I93" s="268" t="str">
        <f t="shared" si="1"/>
        <v/>
      </c>
      <c r="J93" s="262" t="str">
        <f>IF(C93="","",IFERROR(_xlfn.XLOOKUP(I93,HELPER!$F$8:$F$48,HELPER!$G$8:$G$48,,1),""))</f>
        <v/>
      </c>
      <c r="K93" s="140"/>
      <c r="L93" s="3"/>
      <c r="M93" s="3"/>
    </row>
    <row r="94" spans="1:13" ht="15" customHeight="1" x14ac:dyDescent="0.25">
      <c r="A94" s="3"/>
      <c r="B94" s="111">
        <v>30</v>
      </c>
      <c r="C94" s="396" t="str">
        <f>IF('INPUT DATA'!N40="","",'INPUT DATA'!N40)</f>
        <v/>
      </c>
      <c r="D94" s="397"/>
      <c r="E94" s="397"/>
      <c r="F94" s="265" t="str">
        <f>IF(TRIM(C94)="","",IFERROR(_xlfn.XLOOKUP(TRIM(C94),'TERM 1'!$C$19:$C$119,'TERM 1'!$AW$19:$AW$119),""))</f>
        <v/>
      </c>
      <c r="G94" s="274" t="str">
        <f>IF(TRIM(C94)="","",IFERROR(_xlfn.XLOOKUP(TRIM(C94),'TERM 2'!$C$19:$C$119,'TERM 2'!$AW$19:$AW$119),""))</f>
        <v/>
      </c>
      <c r="H94" s="265" t="str">
        <f>IF(TRIM(C94)="","",IFERROR(_xlfn.XLOOKUP(TRIM(C94),'TERM 3'!$C$19:$C$119,'TERM 3'!$AW$19:$AW$119),""))</f>
        <v/>
      </c>
      <c r="I94" s="268" t="str">
        <f t="shared" si="1"/>
        <v/>
      </c>
      <c r="J94" s="262" t="str">
        <f>IF(C94="","",IFERROR(_xlfn.XLOOKUP(I94,HELPER!$F$8:$F$48,HELPER!$G$8:$G$48,,1),""))</f>
        <v/>
      </c>
      <c r="K94" s="140"/>
      <c r="L94" s="3"/>
      <c r="M94" s="3"/>
    </row>
    <row r="95" spans="1:13" ht="15" customHeight="1" x14ac:dyDescent="0.25">
      <c r="A95" s="3"/>
      <c r="B95" s="111">
        <v>31</v>
      </c>
      <c r="C95" s="396" t="str">
        <f>IF('INPUT DATA'!N41="","",'INPUT DATA'!N41)</f>
        <v/>
      </c>
      <c r="D95" s="397"/>
      <c r="E95" s="397"/>
      <c r="F95" s="265" t="str">
        <f>IF(TRIM(C95)="","",IFERROR(_xlfn.XLOOKUP(TRIM(C95),'TERM 1'!$C$19:$C$119,'TERM 1'!$AW$19:$AW$119),""))</f>
        <v/>
      </c>
      <c r="G95" s="274" t="str">
        <f>IF(TRIM(C95)="","",IFERROR(_xlfn.XLOOKUP(TRIM(C95),'TERM 2'!$C$19:$C$119,'TERM 2'!$AW$19:$AW$119),""))</f>
        <v/>
      </c>
      <c r="H95" s="265" t="str">
        <f>IF(TRIM(C95)="","",IFERROR(_xlfn.XLOOKUP(TRIM(C95),'TERM 3'!$C$19:$C$119,'TERM 3'!$AW$19:$AW$119),""))</f>
        <v/>
      </c>
      <c r="I95" s="268" t="str">
        <f t="shared" si="1"/>
        <v/>
      </c>
      <c r="J95" s="262" t="str">
        <f>IF(C95="","",IFERROR(_xlfn.XLOOKUP(I95,HELPER!$F$8:$F$48,HELPER!$G$8:$G$48,,1),""))</f>
        <v/>
      </c>
      <c r="K95" s="140"/>
      <c r="L95" s="3"/>
      <c r="M95" s="3"/>
    </row>
    <row r="96" spans="1:13" ht="15" customHeight="1" x14ac:dyDescent="0.25">
      <c r="A96" s="3"/>
      <c r="B96" s="111">
        <v>32</v>
      </c>
      <c r="C96" s="396" t="str">
        <f>IF('INPUT DATA'!N42="","",'INPUT DATA'!N42)</f>
        <v/>
      </c>
      <c r="D96" s="397"/>
      <c r="E96" s="397"/>
      <c r="F96" s="265" t="str">
        <f>IF(TRIM(C96)="","",IFERROR(_xlfn.XLOOKUP(TRIM(C96),'TERM 1'!$C$19:$C$119,'TERM 1'!$AW$19:$AW$119),""))</f>
        <v/>
      </c>
      <c r="G96" s="274" t="str">
        <f>IF(TRIM(C96)="","",IFERROR(_xlfn.XLOOKUP(TRIM(C96),'TERM 2'!$C$19:$C$119,'TERM 2'!$AW$19:$AW$119),""))</f>
        <v/>
      </c>
      <c r="H96" s="265" t="str">
        <f>IF(TRIM(C96)="","",IFERROR(_xlfn.XLOOKUP(TRIM(C96),'TERM 3'!$C$19:$C$119,'TERM 3'!$AW$19:$AW$119),""))</f>
        <v/>
      </c>
      <c r="I96" s="268" t="str">
        <f t="shared" si="1"/>
        <v/>
      </c>
      <c r="J96" s="262" t="str">
        <f>IF(C96="","",IFERROR(_xlfn.XLOOKUP(I96,HELPER!$F$8:$F$48,HELPER!$G$8:$G$48,,1),""))</f>
        <v/>
      </c>
      <c r="K96" s="140"/>
      <c r="L96" s="3"/>
      <c r="M96" s="3"/>
    </row>
    <row r="97" spans="1:13" ht="15" customHeight="1" x14ac:dyDescent="0.25">
      <c r="A97" s="3"/>
      <c r="B97" s="111">
        <v>33</v>
      </c>
      <c r="C97" s="396" t="str">
        <f>IF('INPUT DATA'!N43="","",'INPUT DATA'!N43)</f>
        <v/>
      </c>
      <c r="D97" s="397"/>
      <c r="E97" s="397"/>
      <c r="F97" s="265" t="str">
        <f>IF(TRIM(C97)="","",IFERROR(_xlfn.XLOOKUP(TRIM(C97),'TERM 1'!$C$19:$C$119,'TERM 1'!$AW$19:$AW$119),""))</f>
        <v/>
      </c>
      <c r="G97" s="274" t="str">
        <f>IF(TRIM(C97)="","",IFERROR(_xlfn.XLOOKUP(TRIM(C97),'TERM 2'!$C$19:$C$119,'TERM 2'!$AW$19:$AW$119),""))</f>
        <v/>
      </c>
      <c r="H97" s="265" t="str">
        <f>IF(TRIM(C97)="","",IFERROR(_xlfn.XLOOKUP(TRIM(C97),'TERM 3'!$C$19:$C$119,'TERM 3'!$AW$19:$AW$119),""))</f>
        <v/>
      </c>
      <c r="I97" s="268" t="str">
        <f t="shared" si="1"/>
        <v/>
      </c>
      <c r="J97" s="262" t="str">
        <f>IF(C97="","",IFERROR(_xlfn.XLOOKUP(I97,HELPER!$F$8:$F$48,HELPER!$G$8:$G$48,,1),""))</f>
        <v/>
      </c>
      <c r="K97" s="140"/>
      <c r="L97" s="3"/>
      <c r="M97" s="3"/>
    </row>
    <row r="98" spans="1:13" ht="15" customHeight="1" x14ac:dyDescent="0.25">
      <c r="A98" s="3"/>
      <c r="B98" s="111">
        <v>34</v>
      </c>
      <c r="C98" s="396" t="str">
        <f>IF('INPUT DATA'!N44="","",'INPUT DATA'!N44)</f>
        <v/>
      </c>
      <c r="D98" s="397"/>
      <c r="E98" s="397"/>
      <c r="F98" s="265" t="str">
        <f>IF(TRIM(C98)="","",IFERROR(_xlfn.XLOOKUP(TRIM(C98),'TERM 1'!$C$19:$C$119,'TERM 1'!$AW$19:$AW$119),""))</f>
        <v/>
      </c>
      <c r="G98" s="274" t="str">
        <f>IF(TRIM(C98)="","",IFERROR(_xlfn.XLOOKUP(TRIM(C98),'TERM 2'!$C$19:$C$119,'TERM 2'!$AW$19:$AW$119),""))</f>
        <v/>
      </c>
      <c r="H98" s="265" t="str">
        <f>IF(TRIM(C98)="","",IFERROR(_xlfn.XLOOKUP(TRIM(C98),'TERM 3'!$C$19:$C$119,'TERM 3'!$AW$19:$AW$119),""))</f>
        <v/>
      </c>
      <c r="I98" s="268" t="str">
        <f t="shared" si="1"/>
        <v/>
      </c>
      <c r="J98" s="262" t="str">
        <f>IF(C98="","",IFERROR(_xlfn.XLOOKUP(I98,HELPER!$F$8:$F$48,HELPER!$G$8:$G$48,,1),""))</f>
        <v/>
      </c>
      <c r="K98" s="140"/>
      <c r="L98" s="3"/>
      <c r="M98" s="3"/>
    </row>
    <row r="99" spans="1:13" ht="15" customHeight="1" x14ac:dyDescent="0.25">
      <c r="A99" s="3"/>
      <c r="B99" s="111">
        <v>35</v>
      </c>
      <c r="C99" s="396" t="str">
        <f>IF('INPUT DATA'!N45="","",'INPUT DATA'!N45)</f>
        <v/>
      </c>
      <c r="D99" s="397"/>
      <c r="E99" s="397"/>
      <c r="F99" s="265" t="str">
        <f>IF(TRIM(C99)="","",IFERROR(_xlfn.XLOOKUP(TRIM(C99),'TERM 1'!$C$19:$C$119,'TERM 1'!$AW$19:$AW$119),""))</f>
        <v/>
      </c>
      <c r="G99" s="274" t="str">
        <f>IF(TRIM(C99)="","",IFERROR(_xlfn.XLOOKUP(TRIM(C99),'TERM 2'!$C$19:$C$119,'TERM 2'!$AW$19:$AW$119),""))</f>
        <v/>
      </c>
      <c r="H99" s="265" t="str">
        <f>IF(TRIM(C99)="","",IFERROR(_xlfn.XLOOKUP(TRIM(C99),'TERM 3'!$C$19:$C$119,'TERM 3'!$AW$19:$AW$119),""))</f>
        <v/>
      </c>
      <c r="I99" s="268" t="str">
        <f t="shared" si="1"/>
        <v/>
      </c>
      <c r="J99" s="262" t="str">
        <f>IF(C99="","",IFERROR(_xlfn.XLOOKUP(I99,HELPER!$F$8:$F$48,HELPER!$G$8:$G$48,,1),""))</f>
        <v/>
      </c>
      <c r="K99" s="140"/>
      <c r="L99" s="3"/>
      <c r="M99" s="3"/>
    </row>
    <row r="100" spans="1:13" ht="15" customHeight="1" x14ac:dyDescent="0.25">
      <c r="A100" s="3"/>
      <c r="B100" s="111">
        <v>36</v>
      </c>
      <c r="C100" s="396" t="str">
        <f>IF('INPUT DATA'!N46="","",'INPUT DATA'!N46)</f>
        <v/>
      </c>
      <c r="D100" s="397"/>
      <c r="E100" s="397"/>
      <c r="F100" s="265" t="str">
        <f>IF(TRIM(C100)="","",IFERROR(_xlfn.XLOOKUP(TRIM(C100),'TERM 1'!$C$19:$C$119,'TERM 1'!$AW$19:$AW$119),""))</f>
        <v/>
      </c>
      <c r="G100" s="274" t="str">
        <f>IF(TRIM(C100)="","",IFERROR(_xlfn.XLOOKUP(TRIM(C100),'TERM 2'!$C$19:$C$119,'TERM 2'!$AW$19:$AW$119),""))</f>
        <v/>
      </c>
      <c r="H100" s="265" t="str">
        <f>IF(TRIM(C100)="","",IFERROR(_xlfn.XLOOKUP(TRIM(C100),'TERM 3'!$C$19:$C$119,'TERM 3'!$AW$19:$AW$119),""))</f>
        <v/>
      </c>
      <c r="I100" s="268" t="str">
        <f t="shared" si="1"/>
        <v/>
      </c>
      <c r="J100" s="262" t="str">
        <f>IF(C100="","",IFERROR(_xlfn.XLOOKUP(I100,HELPER!$F$8:$F$48,HELPER!$G$8:$G$48,,1),""))</f>
        <v/>
      </c>
      <c r="K100" s="140"/>
      <c r="L100" s="3"/>
      <c r="M100" s="3"/>
    </row>
    <row r="101" spans="1:13" ht="15" customHeight="1" x14ac:dyDescent="0.25">
      <c r="A101" s="3"/>
      <c r="B101" s="111">
        <v>37</v>
      </c>
      <c r="C101" s="396" t="str">
        <f>IF('INPUT DATA'!N47="","",'INPUT DATA'!N47)</f>
        <v/>
      </c>
      <c r="D101" s="397"/>
      <c r="E101" s="397"/>
      <c r="F101" s="265" t="str">
        <f>IF(TRIM(C101)="","",IFERROR(_xlfn.XLOOKUP(TRIM(C101),'TERM 1'!$C$19:$C$119,'TERM 1'!$AW$19:$AW$119),""))</f>
        <v/>
      </c>
      <c r="G101" s="274" t="str">
        <f>IF(TRIM(C101)="","",IFERROR(_xlfn.XLOOKUP(TRIM(C101),'TERM 2'!$C$19:$C$119,'TERM 2'!$AW$19:$AW$119),""))</f>
        <v/>
      </c>
      <c r="H101" s="265" t="str">
        <f>IF(TRIM(C101)="","",IFERROR(_xlfn.XLOOKUP(TRIM(C101),'TERM 3'!$C$19:$C$119,'TERM 3'!$AW$19:$AW$119),""))</f>
        <v/>
      </c>
      <c r="I101" s="268" t="str">
        <f t="shared" si="1"/>
        <v/>
      </c>
      <c r="J101" s="262" t="str">
        <f>IF(C101="","",IFERROR(_xlfn.XLOOKUP(I101,HELPER!$F$8:$F$48,HELPER!$G$8:$G$48,,1),""))</f>
        <v/>
      </c>
      <c r="K101" s="140"/>
      <c r="L101" s="3"/>
      <c r="M101" s="3"/>
    </row>
    <row r="102" spans="1:13" ht="15" customHeight="1" x14ac:dyDescent="0.25">
      <c r="A102" s="3"/>
      <c r="B102" s="111">
        <v>38</v>
      </c>
      <c r="C102" s="396" t="str">
        <f>IF('INPUT DATA'!N48="","",'INPUT DATA'!N48)</f>
        <v/>
      </c>
      <c r="D102" s="397"/>
      <c r="E102" s="397"/>
      <c r="F102" s="265" t="str">
        <f>IF(TRIM(C102)="","",IFERROR(_xlfn.XLOOKUP(TRIM(C102),'TERM 1'!$C$19:$C$119,'TERM 1'!$AW$19:$AW$119),""))</f>
        <v/>
      </c>
      <c r="G102" s="274" t="str">
        <f>IF(TRIM(C102)="","",IFERROR(_xlfn.XLOOKUP(TRIM(C102),'TERM 2'!$C$19:$C$119,'TERM 2'!$AW$19:$AW$119),""))</f>
        <v/>
      </c>
      <c r="H102" s="265" t="str">
        <f>IF(TRIM(C102)="","",IFERROR(_xlfn.XLOOKUP(TRIM(C102),'TERM 3'!$C$19:$C$119,'TERM 3'!$AW$19:$AW$119),""))</f>
        <v/>
      </c>
      <c r="I102" s="268" t="str">
        <f t="shared" si="1"/>
        <v/>
      </c>
      <c r="J102" s="262" t="str">
        <f>IF(C102="","",IFERROR(_xlfn.XLOOKUP(I102,HELPER!$F$8:$F$48,HELPER!$G$8:$G$48,,1),""))</f>
        <v/>
      </c>
      <c r="K102" s="140"/>
      <c r="L102" s="3"/>
      <c r="M102" s="3"/>
    </row>
    <row r="103" spans="1:13" ht="15" customHeight="1" x14ac:dyDescent="0.25">
      <c r="A103" s="3"/>
      <c r="B103" s="111">
        <v>39</v>
      </c>
      <c r="C103" s="396" t="str">
        <f>IF('INPUT DATA'!N49="","",'INPUT DATA'!N49)</f>
        <v/>
      </c>
      <c r="D103" s="397"/>
      <c r="E103" s="397"/>
      <c r="F103" s="265" t="str">
        <f>IF(TRIM(C103)="","",IFERROR(_xlfn.XLOOKUP(TRIM(C103),'TERM 1'!$C$19:$C$119,'TERM 1'!$AW$19:$AW$119),""))</f>
        <v/>
      </c>
      <c r="G103" s="274" t="str">
        <f>IF(TRIM(C103)="","",IFERROR(_xlfn.XLOOKUP(TRIM(C103),'TERM 2'!$C$19:$C$119,'TERM 2'!$AW$19:$AW$119),""))</f>
        <v/>
      </c>
      <c r="H103" s="265" t="str">
        <f>IF(TRIM(C103)="","",IFERROR(_xlfn.XLOOKUP(TRIM(C103),'TERM 3'!$C$19:$C$119,'TERM 3'!$AW$19:$AW$119),""))</f>
        <v/>
      </c>
      <c r="I103" s="268" t="str">
        <f t="shared" si="1"/>
        <v/>
      </c>
      <c r="J103" s="262" t="str">
        <f>IF(C103="","",IFERROR(_xlfn.XLOOKUP(I103,HELPER!$F$8:$F$48,HELPER!$G$8:$G$48,,1),""))</f>
        <v/>
      </c>
      <c r="K103" s="140"/>
      <c r="L103" s="3"/>
      <c r="M103" s="3"/>
    </row>
    <row r="104" spans="1:13" ht="15" customHeight="1" x14ac:dyDescent="0.25">
      <c r="A104" s="3"/>
      <c r="B104" s="111">
        <v>40</v>
      </c>
      <c r="C104" s="396" t="str">
        <f>IF('INPUT DATA'!N50="","",'INPUT DATA'!N50)</f>
        <v/>
      </c>
      <c r="D104" s="397"/>
      <c r="E104" s="397"/>
      <c r="F104" s="265" t="str">
        <f>IF(TRIM(C104)="","",IFERROR(_xlfn.XLOOKUP(TRIM(C104),'TERM 1'!$C$19:$C$119,'TERM 1'!$AW$19:$AW$119),""))</f>
        <v/>
      </c>
      <c r="G104" s="274" t="str">
        <f>IF(TRIM(C104)="","",IFERROR(_xlfn.XLOOKUP(TRIM(C104),'TERM 2'!$C$19:$C$119,'TERM 2'!$AW$19:$AW$119),""))</f>
        <v/>
      </c>
      <c r="H104" s="265" t="str">
        <f>IF(TRIM(C104)="","",IFERROR(_xlfn.XLOOKUP(TRIM(C104),'TERM 3'!$C$19:$C$119,'TERM 3'!$AW$19:$AW$119),""))</f>
        <v/>
      </c>
      <c r="I104" s="268" t="str">
        <f t="shared" si="1"/>
        <v/>
      </c>
      <c r="J104" s="262" t="str">
        <f>IF(C104="","",IFERROR(_xlfn.XLOOKUP(I104,HELPER!$F$8:$F$48,HELPER!$G$8:$G$48,,1),""))</f>
        <v/>
      </c>
      <c r="K104" s="140"/>
      <c r="L104" s="3"/>
      <c r="M104" s="3"/>
    </row>
    <row r="105" spans="1:13" ht="15" customHeight="1" x14ac:dyDescent="0.25">
      <c r="A105" s="3"/>
      <c r="B105" s="111">
        <v>41</v>
      </c>
      <c r="C105" s="396" t="str">
        <f>IF('INPUT DATA'!N51="","",'INPUT DATA'!N51)</f>
        <v/>
      </c>
      <c r="D105" s="397"/>
      <c r="E105" s="397"/>
      <c r="F105" s="265" t="str">
        <f>IF(TRIM(C105)="","",IFERROR(_xlfn.XLOOKUP(TRIM(C105),'TERM 1'!$C$19:$C$119,'TERM 1'!$AW$19:$AW$119),""))</f>
        <v/>
      </c>
      <c r="G105" s="274" t="str">
        <f>IF(TRIM(C105)="","",IFERROR(_xlfn.XLOOKUP(TRIM(C105),'TERM 2'!$C$19:$C$119,'TERM 2'!$AW$19:$AW$119),""))</f>
        <v/>
      </c>
      <c r="H105" s="265" t="str">
        <f>IF(TRIM(C105)="","",IFERROR(_xlfn.XLOOKUP(TRIM(C105),'TERM 3'!$C$19:$C$119,'TERM 3'!$AW$19:$AW$119),""))</f>
        <v/>
      </c>
      <c r="I105" s="268" t="str">
        <f t="shared" si="1"/>
        <v/>
      </c>
      <c r="J105" s="262" t="str">
        <f>IF(C105="","",IFERROR(_xlfn.XLOOKUP(I105,HELPER!$F$8:$F$48,HELPER!$G$8:$G$48,,1),""))</f>
        <v/>
      </c>
      <c r="K105" s="140"/>
      <c r="L105" s="3"/>
      <c r="M105" s="3"/>
    </row>
    <row r="106" spans="1:13" ht="15" customHeight="1" x14ac:dyDescent="0.25">
      <c r="A106" s="3"/>
      <c r="B106" s="111">
        <v>42</v>
      </c>
      <c r="C106" s="396" t="str">
        <f>IF('INPUT DATA'!N52="","",'INPUT DATA'!N52)</f>
        <v/>
      </c>
      <c r="D106" s="397"/>
      <c r="E106" s="397"/>
      <c r="F106" s="265" t="str">
        <f>IF(TRIM(C106)="","",IFERROR(_xlfn.XLOOKUP(TRIM(C106),'TERM 1'!$C$19:$C$119,'TERM 1'!$AW$19:$AW$119),""))</f>
        <v/>
      </c>
      <c r="G106" s="274" t="str">
        <f>IF(TRIM(C106)="","",IFERROR(_xlfn.XLOOKUP(TRIM(C106),'TERM 2'!$C$19:$C$119,'TERM 2'!$AW$19:$AW$119),""))</f>
        <v/>
      </c>
      <c r="H106" s="265" t="str">
        <f>IF(TRIM(C106)="","",IFERROR(_xlfn.XLOOKUP(TRIM(C106),'TERM 3'!$C$19:$C$119,'TERM 3'!$AW$19:$AW$119),""))</f>
        <v/>
      </c>
      <c r="I106" s="268" t="str">
        <f t="shared" si="1"/>
        <v/>
      </c>
      <c r="J106" s="262" t="str">
        <f>IF(C106="","",IFERROR(_xlfn.XLOOKUP(I106,HELPER!$F$8:$F$48,HELPER!$G$8:$G$48,,1),""))</f>
        <v/>
      </c>
      <c r="K106" s="140"/>
      <c r="L106" s="3"/>
      <c r="M106" s="3"/>
    </row>
    <row r="107" spans="1:13" ht="15" customHeight="1" x14ac:dyDescent="0.25">
      <c r="A107" s="3"/>
      <c r="B107" s="111">
        <v>43</v>
      </c>
      <c r="C107" s="396" t="str">
        <f>IF('INPUT DATA'!N53="","",'INPUT DATA'!N53)</f>
        <v/>
      </c>
      <c r="D107" s="397"/>
      <c r="E107" s="397"/>
      <c r="F107" s="265" t="str">
        <f>IF(TRIM(C107)="","",IFERROR(_xlfn.XLOOKUP(TRIM(C107),'TERM 1'!$C$19:$C$119,'TERM 1'!$AW$19:$AW$119),""))</f>
        <v/>
      </c>
      <c r="G107" s="274" t="str">
        <f>IF(TRIM(C107)="","",IFERROR(_xlfn.XLOOKUP(TRIM(C107),'TERM 2'!$C$19:$C$119,'TERM 2'!$AW$19:$AW$119),""))</f>
        <v/>
      </c>
      <c r="H107" s="265" t="str">
        <f>IF(TRIM(C107)="","",IFERROR(_xlfn.XLOOKUP(TRIM(C107),'TERM 3'!$C$19:$C$119,'TERM 3'!$AW$19:$AW$119),""))</f>
        <v/>
      </c>
      <c r="I107" s="268" t="str">
        <f t="shared" si="1"/>
        <v/>
      </c>
      <c r="J107" s="262" t="str">
        <f>IF(C107="","",IFERROR(_xlfn.XLOOKUP(I107,HELPER!$F$8:$F$48,HELPER!$G$8:$G$48,,1),""))</f>
        <v/>
      </c>
      <c r="K107" s="140"/>
      <c r="L107" s="3"/>
      <c r="M107" s="3"/>
    </row>
    <row r="108" spans="1:13" ht="15" customHeight="1" x14ac:dyDescent="0.25">
      <c r="A108" s="3"/>
      <c r="B108" s="111">
        <v>44</v>
      </c>
      <c r="C108" s="396" t="str">
        <f>IF('INPUT DATA'!N54="","",'INPUT DATA'!N54)</f>
        <v/>
      </c>
      <c r="D108" s="397"/>
      <c r="E108" s="397"/>
      <c r="F108" s="265" t="str">
        <f>IF(TRIM(C108)="","",IFERROR(_xlfn.XLOOKUP(TRIM(C108),'TERM 1'!$C$19:$C$119,'TERM 1'!$AW$19:$AW$119),""))</f>
        <v/>
      </c>
      <c r="G108" s="274" t="str">
        <f>IF(TRIM(C108)="","",IFERROR(_xlfn.XLOOKUP(TRIM(C108),'TERM 2'!$C$19:$C$119,'TERM 2'!$AW$19:$AW$119),""))</f>
        <v/>
      </c>
      <c r="H108" s="265" t="str">
        <f>IF(TRIM(C108)="","",IFERROR(_xlfn.XLOOKUP(TRIM(C108),'TERM 3'!$C$19:$C$119,'TERM 3'!$AW$19:$AW$119),""))</f>
        <v/>
      </c>
      <c r="I108" s="268" t="str">
        <f t="shared" si="1"/>
        <v/>
      </c>
      <c r="J108" s="262" t="str">
        <f>IF(C108="","",IFERROR(_xlfn.XLOOKUP(I108,HELPER!$F$8:$F$48,HELPER!$G$8:$G$48,,1),""))</f>
        <v/>
      </c>
      <c r="K108" s="140"/>
      <c r="L108" s="3"/>
      <c r="M108" s="3"/>
    </row>
    <row r="109" spans="1:13" ht="15" customHeight="1" x14ac:dyDescent="0.25">
      <c r="A109" s="3"/>
      <c r="B109" s="111">
        <v>45</v>
      </c>
      <c r="C109" s="396" t="str">
        <f>IF('INPUT DATA'!N55="","",'INPUT DATA'!N55)</f>
        <v/>
      </c>
      <c r="D109" s="397"/>
      <c r="E109" s="397"/>
      <c r="F109" s="265" t="str">
        <f>IF(TRIM(C109)="","",IFERROR(_xlfn.XLOOKUP(TRIM(C109),'TERM 1'!$C$19:$C$119,'TERM 1'!$AW$19:$AW$119),""))</f>
        <v/>
      </c>
      <c r="G109" s="274" t="str">
        <f>IF(TRIM(C109)="","",IFERROR(_xlfn.XLOOKUP(TRIM(C109),'TERM 2'!$C$19:$C$119,'TERM 2'!$AW$19:$AW$119),""))</f>
        <v/>
      </c>
      <c r="H109" s="265" t="str">
        <f>IF(TRIM(C109)="","",IFERROR(_xlfn.XLOOKUP(TRIM(C109),'TERM 3'!$C$19:$C$119,'TERM 3'!$AW$19:$AW$119),""))</f>
        <v/>
      </c>
      <c r="I109" s="268" t="str">
        <f t="shared" si="1"/>
        <v/>
      </c>
      <c r="J109" s="262" t="str">
        <f>IF(C109="","",IFERROR(_xlfn.XLOOKUP(I109,HELPER!$F$8:$F$48,HELPER!$G$8:$G$48,,1),""))</f>
        <v/>
      </c>
      <c r="K109" s="140"/>
      <c r="L109" s="3"/>
      <c r="M109" s="3"/>
    </row>
    <row r="110" spans="1:13" ht="15" customHeight="1" x14ac:dyDescent="0.25">
      <c r="A110" s="3"/>
      <c r="B110" s="111">
        <v>46</v>
      </c>
      <c r="C110" s="396" t="str">
        <f>IF('INPUT DATA'!N56="","",'INPUT DATA'!N56)</f>
        <v/>
      </c>
      <c r="D110" s="397"/>
      <c r="E110" s="397"/>
      <c r="F110" s="265" t="str">
        <f>IF(TRIM(C110)="","",IFERROR(_xlfn.XLOOKUP(TRIM(C110),'TERM 1'!$C$19:$C$119,'TERM 1'!$AW$19:$AW$119),""))</f>
        <v/>
      </c>
      <c r="G110" s="274" t="str">
        <f>IF(TRIM(C110)="","",IFERROR(_xlfn.XLOOKUP(TRIM(C110),'TERM 2'!$C$19:$C$119,'TERM 2'!$AW$19:$AW$119),""))</f>
        <v/>
      </c>
      <c r="H110" s="265" t="str">
        <f>IF(TRIM(C110)="","",IFERROR(_xlfn.XLOOKUP(TRIM(C110),'TERM 3'!$C$19:$C$119,'TERM 3'!$AW$19:$AW$119),""))</f>
        <v/>
      </c>
      <c r="I110" s="268" t="str">
        <f t="shared" si="1"/>
        <v/>
      </c>
      <c r="J110" s="262" t="str">
        <f>IF(C110="","",IFERROR(_xlfn.XLOOKUP(I110,HELPER!$F$8:$F$48,HELPER!$G$8:$G$48,,1),""))</f>
        <v/>
      </c>
      <c r="K110" s="140"/>
      <c r="L110" s="3"/>
      <c r="M110" s="3"/>
    </row>
    <row r="111" spans="1:13" ht="15" customHeight="1" x14ac:dyDescent="0.25">
      <c r="A111" s="3"/>
      <c r="B111" s="111">
        <v>47</v>
      </c>
      <c r="C111" s="396" t="str">
        <f>IF('INPUT DATA'!N57="","",'INPUT DATA'!N57)</f>
        <v/>
      </c>
      <c r="D111" s="397"/>
      <c r="E111" s="397"/>
      <c r="F111" s="265" t="str">
        <f>IF(TRIM(C111)="","",IFERROR(_xlfn.XLOOKUP(TRIM(C111),'TERM 1'!$C$19:$C$119,'TERM 1'!$AW$19:$AW$119),""))</f>
        <v/>
      </c>
      <c r="G111" s="274" t="str">
        <f>IF(TRIM(C111)="","",IFERROR(_xlfn.XLOOKUP(TRIM(C111),'TERM 2'!$C$19:$C$119,'TERM 2'!$AW$19:$AW$119),""))</f>
        <v/>
      </c>
      <c r="H111" s="265" t="str">
        <f>IF(TRIM(C111)="","",IFERROR(_xlfn.XLOOKUP(TRIM(C111),'TERM 3'!$C$19:$C$119,'TERM 3'!$AW$19:$AW$119),""))</f>
        <v/>
      </c>
      <c r="I111" s="268" t="str">
        <f t="shared" si="1"/>
        <v/>
      </c>
      <c r="J111" s="262" t="str">
        <f>IF(C111="","",IFERROR(_xlfn.XLOOKUP(I111,HELPER!$F$8:$F$48,HELPER!$G$8:$G$48,,1),""))</f>
        <v/>
      </c>
      <c r="K111" s="140"/>
      <c r="L111" s="3"/>
      <c r="M111" s="3"/>
    </row>
    <row r="112" spans="1:13" ht="15" customHeight="1" x14ac:dyDescent="0.25">
      <c r="A112" s="3"/>
      <c r="B112" s="111">
        <v>48</v>
      </c>
      <c r="C112" s="396" t="str">
        <f>IF('INPUT DATA'!N58="","",'INPUT DATA'!N58)</f>
        <v/>
      </c>
      <c r="D112" s="397"/>
      <c r="E112" s="397"/>
      <c r="F112" s="265" t="str">
        <f>IF(TRIM(C112)="","",IFERROR(_xlfn.XLOOKUP(TRIM(C112),'TERM 1'!$C$19:$C$119,'TERM 1'!$AW$19:$AW$119),""))</f>
        <v/>
      </c>
      <c r="G112" s="274" t="str">
        <f>IF(TRIM(C112)="","",IFERROR(_xlfn.XLOOKUP(TRIM(C112),'TERM 2'!$C$19:$C$119,'TERM 2'!$AW$19:$AW$119),""))</f>
        <v/>
      </c>
      <c r="H112" s="265" t="str">
        <f>IF(TRIM(C112)="","",IFERROR(_xlfn.XLOOKUP(TRIM(C112),'TERM 3'!$C$19:$C$119,'TERM 3'!$AW$19:$AW$119),""))</f>
        <v/>
      </c>
      <c r="I112" s="268" t="str">
        <f t="shared" si="1"/>
        <v/>
      </c>
      <c r="J112" s="262" t="str">
        <f>IF(C112="","",IFERROR(_xlfn.XLOOKUP(I112,HELPER!$F$8:$F$48,HELPER!$G$8:$G$48,,1),""))</f>
        <v/>
      </c>
      <c r="K112" s="140"/>
      <c r="L112" s="3"/>
      <c r="M112" s="3"/>
    </row>
    <row r="113" spans="1:13" ht="15" customHeight="1" x14ac:dyDescent="0.25">
      <c r="A113" s="3"/>
      <c r="B113" s="111">
        <v>49</v>
      </c>
      <c r="C113" s="396" t="str">
        <f>IF('INPUT DATA'!N59="","",'INPUT DATA'!N59)</f>
        <v/>
      </c>
      <c r="D113" s="397"/>
      <c r="E113" s="397"/>
      <c r="F113" s="265" t="str">
        <f>IF(TRIM(C113)="","",IFERROR(_xlfn.XLOOKUP(TRIM(C113),'TERM 1'!$C$19:$C$119,'TERM 1'!$AW$19:$AW$119),""))</f>
        <v/>
      </c>
      <c r="G113" s="274" t="str">
        <f>IF(TRIM(C113)="","",IFERROR(_xlfn.XLOOKUP(TRIM(C113),'TERM 2'!$C$19:$C$119,'TERM 2'!$AW$19:$AW$119),""))</f>
        <v/>
      </c>
      <c r="H113" s="265" t="str">
        <f>IF(TRIM(C113)="","",IFERROR(_xlfn.XLOOKUP(TRIM(C113),'TERM 3'!$C$19:$C$119,'TERM 3'!$AW$19:$AW$119),""))</f>
        <v/>
      </c>
      <c r="I113" s="268" t="str">
        <f t="shared" si="1"/>
        <v/>
      </c>
      <c r="J113" s="262" t="str">
        <f>IF(C113="","",IFERROR(_xlfn.XLOOKUP(I113,HELPER!$F$8:$F$48,HELPER!$G$8:$G$48,,1),""))</f>
        <v/>
      </c>
      <c r="K113" s="140"/>
      <c r="L113" s="3"/>
      <c r="M113" s="3"/>
    </row>
    <row r="114" spans="1:13" ht="15" customHeight="1" thickBot="1" x14ac:dyDescent="0.3">
      <c r="A114" s="3"/>
      <c r="B114" s="112">
        <v>50</v>
      </c>
      <c r="C114" s="400" t="str">
        <f>IF('INPUT DATA'!N60="","",'INPUT DATA'!N60)</f>
        <v/>
      </c>
      <c r="D114" s="401"/>
      <c r="E114" s="401"/>
      <c r="F114" s="266" t="str">
        <f>IF(TRIM(C114)="","",IFERROR(_xlfn.XLOOKUP(TRIM(C114),'TERM 1'!$C$19:$C$119,'TERM 1'!$AW$19:$AW$119),""))</f>
        <v/>
      </c>
      <c r="G114" s="275" t="str">
        <f>IF(TRIM(C114)="","",IFERROR(_xlfn.XLOOKUP(TRIM(C114),'TERM 2'!$C$19:$C$119,'TERM 2'!$AW$19:$AW$119),""))</f>
        <v/>
      </c>
      <c r="H114" s="266" t="str">
        <f>IF(TRIM(C114)="","",IFERROR(_xlfn.XLOOKUP(TRIM(C114),'TERM 3'!$C$19:$C$119,'TERM 3'!$AW$19:$AW$119),""))</f>
        <v/>
      </c>
      <c r="I114" s="269" t="str">
        <f t="shared" si="1"/>
        <v/>
      </c>
      <c r="J114" s="263" t="str">
        <f>IF(C114="","",IFERROR(_xlfn.XLOOKUP(I114,HELPER!$F$8:$F$48,HELPER!$G$8:$G$48,,1),""))</f>
        <v/>
      </c>
      <c r="K114" s="142"/>
      <c r="L114" s="3"/>
      <c r="M114" s="3"/>
    </row>
    <row r="115" spans="1:13" ht="13.2" x14ac:dyDescent="0.25">
      <c r="A115" s="3"/>
      <c r="B115" s="3"/>
      <c r="C115" s="398"/>
      <c r="D115" s="399"/>
      <c r="E115" s="399"/>
      <c r="F115" s="3"/>
      <c r="G115" s="3"/>
      <c r="H115" s="3"/>
      <c r="I115" s="3"/>
      <c r="J115" s="3"/>
      <c r="K115" s="3"/>
      <c r="L115" s="3"/>
      <c r="M115" s="3"/>
    </row>
    <row r="116" spans="1:13" ht="13.2" x14ac:dyDescent="0.25">
      <c r="A116" s="3"/>
      <c r="B116" s="3"/>
      <c r="C116" s="3"/>
      <c r="D116" s="3"/>
      <c r="E116" s="3"/>
      <c r="F116" s="3"/>
      <c r="G116" s="3"/>
      <c r="H116" s="3"/>
      <c r="I116" s="3"/>
      <c r="J116" s="3"/>
      <c r="K116" s="3"/>
      <c r="L116" s="3"/>
      <c r="M116" s="3"/>
    </row>
    <row r="117" spans="1:13" ht="13.2" x14ac:dyDescent="0.25">
      <c r="F117" s="41"/>
      <c r="G117" s="41"/>
      <c r="H117" s="41"/>
      <c r="I117" s="41"/>
      <c r="J117" s="41"/>
      <c r="K117" s="41"/>
    </row>
  </sheetData>
  <sheetProtection formatCells="0" formatColumns="0" formatRows="0"/>
  <mergeCells count="122">
    <mergeCell ref="N13:Q13"/>
    <mergeCell ref="D9:G9"/>
    <mergeCell ref="I9:K9"/>
    <mergeCell ref="D5:E5"/>
    <mergeCell ref="G5:H5"/>
    <mergeCell ref="J5:K5"/>
    <mergeCell ref="D6:H6"/>
    <mergeCell ref="J6:K6"/>
    <mergeCell ref="B9:C9"/>
    <mergeCell ref="B13:K13"/>
    <mergeCell ref="B2:K3"/>
    <mergeCell ref="B8:K8"/>
    <mergeCell ref="B10:C10"/>
    <mergeCell ref="D10:G10"/>
    <mergeCell ref="I10:K10"/>
    <mergeCell ref="F11:H11"/>
    <mergeCell ref="I11:I12"/>
    <mergeCell ref="J11:J12"/>
    <mergeCell ref="K11:K12"/>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89:E89"/>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10:E110"/>
    <mergeCell ref="C111:E111"/>
    <mergeCell ref="C112:E112"/>
    <mergeCell ref="C113:E113"/>
    <mergeCell ref="C114:E114"/>
    <mergeCell ref="C115:E115"/>
    <mergeCell ref="C103:E103"/>
    <mergeCell ref="C104:E104"/>
    <mergeCell ref="C105:E105"/>
    <mergeCell ref="C106:E106"/>
    <mergeCell ref="C107:E107"/>
    <mergeCell ref="C108:E108"/>
    <mergeCell ref="C109:E10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s>
  <pageMargins left="0.7" right="0.7" top="0.75" bottom="0.75" header="0.3" footer="0.3"/>
  <pageSetup paperSize="9" scale="61" fitToHeight="0" orientation="portrait" r:id="rId1"/>
  <ignoredErrors>
    <ignoredError sqref="B64:K64 B14:E14 I14:K14 B15:E63 I15:K63 B66:E114 B65:E65 I65:K65 I66:K114"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defaultColWidth="12.6640625" defaultRowHeight="15.75" customHeight="1" x14ac:dyDescent="0.25"/>
  <cols>
    <col min="1" max="1" width="3.88671875" customWidth="1"/>
    <col min="2" max="3" width="15.109375" customWidth="1"/>
    <col min="4" max="4" width="21.109375" customWidth="1"/>
    <col min="6" max="7" width="17.44140625" customWidth="1"/>
    <col min="8" max="8" width="25.44140625" customWidth="1"/>
    <col min="9" max="9" width="3.88671875" customWidth="1"/>
  </cols>
  <sheetData>
    <row r="2" spans="1:9" ht="37.200000000000003" customHeight="1" x14ac:dyDescent="0.65">
      <c r="B2" s="42" t="s">
        <v>39</v>
      </c>
      <c r="C2" s="43"/>
    </row>
    <row r="3" spans="1:9" ht="36" customHeight="1" x14ac:dyDescent="0.5">
      <c r="B3" s="44" t="s">
        <v>40</v>
      </c>
      <c r="C3" s="43"/>
    </row>
    <row r="5" spans="1:9" ht="15.75" customHeight="1" thickBot="1" x14ac:dyDescent="0.3"/>
    <row r="6" spans="1:9" ht="15.75" customHeight="1" thickBot="1" x14ac:dyDescent="0.35">
      <c r="A6" s="45"/>
      <c r="B6" s="436" t="s">
        <v>41</v>
      </c>
      <c r="C6" s="399"/>
      <c r="D6" s="399"/>
      <c r="E6" s="46"/>
      <c r="F6" s="437" t="s">
        <v>34</v>
      </c>
      <c r="G6" s="430"/>
      <c r="H6" s="438"/>
      <c r="I6" s="45"/>
    </row>
    <row r="7" spans="1:9" ht="15.75" customHeight="1" thickBot="1" x14ac:dyDescent="0.35">
      <c r="B7" s="79" t="s">
        <v>42</v>
      </c>
      <c r="C7" s="80" t="s">
        <v>43</v>
      </c>
      <c r="D7" s="81" t="s">
        <v>44</v>
      </c>
      <c r="E7" s="46"/>
      <c r="F7" s="84" t="s">
        <v>45</v>
      </c>
      <c r="G7" s="85" t="s">
        <v>17</v>
      </c>
      <c r="H7" s="86" t="s">
        <v>46</v>
      </c>
    </row>
    <row r="8" spans="1:9" ht="15.75" customHeight="1" x14ac:dyDescent="0.3">
      <c r="B8" s="76">
        <v>99.5</v>
      </c>
      <c r="C8" s="77">
        <v>100</v>
      </c>
      <c r="D8" s="78">
        <v>100</v>
      </c>
      <c r="F8" s="82">
        <v>100</v>
      </c>
      <c r="G8" s="83" t="s">
        <v>47</v>
      </c>
      <c r="H8" s="439" t="s">
        <v>48</v>
      </c>
    </row>
    <row r="9" spans="1:9" ht="15.75" customHeight="1" x14ac:dyDescent="0.3">
      <c r="B9" s="70">
        <v>98.32</v>
      </c>
      <c r="C9" s="66">
        <v>99.49</v>
      </c>
      <c r="D9" s="69">
        <v>99</v>
      </c>
      <c r="F9" s="47">
        <v>99</v>
      </c>
      <c r="G9" s="48" t="s">
        <v>47</v>
      </c>
      <c r="H9" s="433"/>
    </row>
    <row r="10" spans="1:9" ht="15.75" customHeight="1" x14ac:dyDescent="0.3">
      <c r="B10" s="70">
        <v>97.14</v>
      </c>
      <c r="C10" s="66">
        <v>98.31</v>
      </c>
      <c r="D10" s="69">
        <v>98</v>
      </c>
      <c r="F10" s="47">
        <v>98</v>
      </c>
      <c r="G10" s="48" t="s">
        <v>47</v>
      </c>
      <c r="H10" s="433"/>
    </row>
    <row r="11" spans="1:9" ht="15.75" customHeight="1" x14ac:dyDescent="0.3">
      <c r="B11" s="70">
        <v>95.96</v>
      </c>
      <c r="C11" s="66">
        <v>97.13</v>
      </c>
      <c r="D11" s="69">
        <v>97</v>
      </c>
      <c r="F11" s="47">
        <v>97</v>
      </c>
      <c r="G11" s="48" t="s">
        <v>47</v>
      </c>
      <c r="H11" s="433"/>
    </row>
    <row r="12" spans="1:9" ht="15.75" customHeight="1" x14ac:dyDescent="0.3">
      <c r="B12" s="70">
        <v>94.78</v>
      </c>
      <c r="C12" s="66">
        <v>95.95</v>
      </c>
      <c r="D12" s="69">
        <v>96</v>
      </c>
      <c r="F12" s="47">
        <v>96</v>
      </c>
      <c r="G12" s="48" t="s">
        <v>47</v>
      </c>
      <c r="H12" s="433"/>
    </row>
    <row r="13" spans="1:9" ht="15.75" customHeight="1" x14ac:dyDescent="0.3">
      <c r="B13" s="68">
        <v>93.6</v>
      </c>
      <c r="C13" s="66">
        <v>94.77</v>
      </c>
      <c r="D13" s="69">
        <v>95</v>
      </c>
      <c r="F13" s="47">
        <v>95</v>
      </c>
      <c r="G13" s="48" t="s">
        <v>47</v>
      </c>
      <c r="H13" s="433"/>
    </row>
    <row r="14" spans="1:9" ht="15.75" customHeight="1" x14ac:dyDescent="0.3">
      <c r="B14" s="70">
        <v>92.42</v>
      </c>
      <c r="C14" s="66">
        <v>93.59</v>
      </c>
      <c r="D14" s="69">
        <v>94</v>
      </c>
      <c r="F14" s="47">
        <v>94</v>
      </c>
      <c r="G14" s="48" t="s">
        <v>47</v>
      </c>
      <c r="H14" s="433"/>
    </row>
    <row r="15" spans="1:9" ht="15.75" customHeight="1" x14ac:dyDescent="0.3">
      <c r="B15" s="70">
        <v>91.24</v>
      </c>
      <c r="C15" s="66">
        <v>92.41</v>
      </c>
      <c r="D15" s="69">
        <v>93</v>
      </c>
      <c r="F15" s="47">
        <v>93</v>
      </c>
      <c r="G15" s="48" t="s">
        <v>47</v>
      </c>
      <c r="H15" s="433"/>
    </row>
    <row r="16" spans="1:9" ht="15.75" customHeight="1" x14ac:dyDescent="0.3">
      <c r="B16" s="70">
        <v>90.06</v>
      </c>
      <c r="C16" s="66">
        <v>91.23</v>
      </c>
      <c r="D16" s="69">
        <v>92</v>
      </c>
      <c r="F16" s="47">
        <v>92</v>
      </c>
      <c r="G16" s="48" t="s">
        <v>47</v>
      </c>
      <c r="H16" s="433"/>
    </row>
    <row r="17" spans="2:8" ht="15.75" customHeight="1" x14ac:dyDescent="0.3">
      <c r="B17" s="70">
        <v>88.88</v>
      </c>
      <c r="C17" s="66">
        <v>90.05</v>
      </c>
      <c r="D17" s="69">
        <v>91</v>
      </c>
      <c r="F17" s="47">
        <v>91</v>
      </c>
      <c r="G17" s="48" t="s">
        <v>47</v>
      </c>
      <c r="H17" s="433"/>
    </row>
    <row r="18" spans="2:8" ht="15.75" customHeight="1" x14ac:dyDescent="0.3">
      <c r="B18" s="68">
        <v>87.7</v>
      </c>
      <c r="C18" s="66">
        <v>88.87</v>
      </c>
      <c r="D18" s="69">
        <v>90</v>
      </c>
      <c r="F18" s="47">
        <v>90</v>
      </c>
      <c r="G18" s="48" t="s">
        <v>47</v>
      </c>
      <c r="H18" s="434"/>
    </row>
    <row r="19" spans="2:8" ht="15.75" customHeight="1" x14ac:dyDescent="0.3">
      <c r="B19" s="70">
        <v>86.52</v>
      </c>
      <c r="C19" s="66">
        <v>87.69</v>
      </c>
      <c r="D19" s="69">
        <v>89</v>
      </c>
      <c r="F19" s="47">
        <v>89</v>
      </c>
      <c r="G19" s="48" t="s">
        <v>49</v>
      </c>
      <c r="H19" s="432" t="s">
        <v>50</v>
      </c>
    </row>
    <row r="20" spans="2:8" ht="15.75" customHeight="1" x14ac:dyDescent="0.3">
      <c r="B20" s="70">
        <v>85.34</v>
      </c>
      <c r="C20" s="66">
        <v>86.51</v>
      </c>
      <c r="D20" s="69">
        <v>88</v>
      </c>
      <c r="F20" s="47">
        <v>88</v>
      </c>
      <c r="G20" s="48" t="s">
        <v>49</v>
      </c>
      <c r="H20" s="433"/>
    </row>
    <row r="21" spans="2:8" ht="15.75" customHeight="1" x14ac:dyDescent="0.3">
      <c r="B21" s="70">
        <v>84.16</v>
      </c>
      <c r="C21" s="66">
        <v>85.33</v>
      </c>
      <c r="D21" s="69">
        <v>87</v>
      </c>
      <c r="F21" s="47">
        <v>87</v>
      </c>
      <c r="G21" s="48" t="s">
        <v>49</v>
      </c>
      <c r="H21" s="433"/>
    </row>
    <row r="22" spans="2:8" ht="15.75" customHeight="1" x14ac:dyDescent="0.3">
      <c r="B22" s="70">
        <v>82.98</v>
      </c>
      <c r="C22" s="66">
        <v>84.15</v>
      </c>
      <c r="D22" s="69">
        <v>86</v>
      </c>
      <c r="F22" s="47">
        <v>86</v>
      </c>
      <c r="G22" s="48" t="s">
        <v>49</v>
      </c>
      <c r="H22" s="433"/>
    </row>
    <row r="23" spans="2:8" ht="15.75" customHeight="1" x14ac:dyDescent="0.3">
      <c r="B23" s="70">
        <v>81.8</v>
      </c>
      <c r="C23" s="66">
        <v>82.97</v>
      </c>
      <c r="D23" s="69">
        <v>85</v>
      </c>
      <c r="F23" s="47">
        <v>85</v>
      </c>
      <c r="G23" s="48" t="s">
        <v>49</v>
      </c>
      <c r="H23" s="433"/>
    </row>
    <row r="24" spans="2:8" ht="15.75" customHeight="1" x14ac:dyDescent="0.3">
      <c r="B24" s="70">
        <v>80.62</v>
      </c>
      <c r="C24" s="66">
        <v>81.790000000000006</v>
      </c>
      <c r="D24" s="69">
        <v>84</v>
      </c>
      <c r="F24" s="47">
        <v>84</v>
      </c>
      <c r="G24" s="48" t="s">
        <v>49</v>
      </c>
      <c r="H24" s="433"/>
    </row>
    <row r="25" spans="2:8" ht="15.75" customHeight="1" x14ac:dyDescent="0.3">
      <c r="B25" s="70">
        <v>79.44</v>
      </c>
      <c r="C25" s="66">
        <v>80.61</v>
      </c>
      <c r="D25" s="69">
        <v>83</v>
      </c>
      <c r="F25" s="47">
        <v>83</v>
      </c>
      <c r="G25" s="48" t="s">
        <v>49</v>
      </c>
      <c r="H25" s="433"/>
    </row>
    <row r="26" spans="2:8" ht="15.75" customHeight="1" x14ac:dyDescent="0.3">
      <c r="B26" s="70">
        <v>78.260000000000005</v>
      </c>
      <c r="C26" s="66">
        <v>79.430000000000007</v>
      </c>
      <c r="D26" s="69">
        <v>82</v>
      </c>
      <c r="F26" s="47">
        <v>82</v>
      </c>
      <c r="G26" s="48" t="s">
        <v>49</v>
      </c>
      <c r="H26" s="433"/>
    </row>
    <row r="27" spans="2:8" ht="15.75" customHeight="1" x14ac:dyDescent="0.3">
      <c r="B27" s="70">
        <v>77.08</v>
      </c>
      <c r="C27" s="66">
        <v>78.25</v>
      </c>
      <c r="D27" s="69">
        <v>81</v>
      </c>
      <c r="F27" s="47">
        <v>81</v>
      </c>
      <c r="G27" s="48" t="s">
        <v>49</v>
      </c>
      <c r="H27" s="433"/>
    </row>
    <row r="28" spans="2:8" ht="15.75" customHeight="1" x14ac:dyDescent="0.3">
      <c r="B28" s="70">
        <v>75.900000000000006</v>
      </c>
      <c r="C28" s="66">
        <v>77.069999999999993</v>
      </c>
      <c r="D28" s="69">
        <v>80</v>
      </c>
      <c r="F28" s="47">
        <v>80</v>
      </c>
      <c r="G28" s="48" t="s">
        <v>49</v>
      </c>
      <c r="H28" s="434"/>
    </row>
    <row r="29" spans="2:8" ht="15.75" customHeight="1" x14ac:dyDescent="0.3">
      <c r="B29" s="70">
        <v>74.72</v>
      </c>
      <c r="C29" s="66">
        <v>75.89</v>
      </c>
      <c r="D29" s="69">
        <v>79</v>
      </c>
      <c r="F29" s="47">
        <v>79</v>
      </c>
      <c r="G29" s="48" t="s">
        <v>51</v>
      </c>
      <c r="H29" s="432" t="s">
        <v>52</v>
      </c>
    </row>
    <row r="30" spans="2:8" ht="15.75" customHeight="1" x14ac:dyDescent="0.3">
      <c r="B30" s="70">
        <v>73.540000000000006</v>
      </c>
      <c r="C30" s="66">
        <v>74.709999999999994</v>
      </c>
      <c r="D30" s="69">
        <v>78</v>
      </c>
      <c r="F30" s="47">
        <v>78</v>
      </c>
      <c r="G30" s="48" t="s">
        <v>51</v>
      </c>
      <c r="H30" s="433"/>
    </row>
    <row r="31" spans="2:8" ht="15.75" customHeight="1" x14ac:dyDescent="0.3">
      <c r="B31" s="70">
        <v>72.36</v>
      </c>
      <c r="C31" s="66">
        <v>73.53</v>
      </c>
      <c r="D31" s="69">
        <v>77</v>
      </c>
      <c r="F31" s="47">
        <v>77</v>
      </c>
      <c r="G31" s="48" t="s">
        <v>51</v>
      </c>
      <c r="H31" s="433"/>
    </row>
    <row r="32" spans="2:8" ht="15.75" customHeight="1" x14ac:dyDescent="0.3">
      <c r="B32" s="70">
        <v>71.180000000000007</v>
      </c>
      <c r="C32" s="66">
        <v>72.349999999999994</v>
      </c>
      <c r="D32" s="69">
        <v>76</v>
      </c>
      <c r="F32" s="47">
        <v>76</v>
      </c>
      <c r="G32" s="48" t="s">
        <v>51</v>
      </c>
      <c r="H32" s="433"/>
    </row>
    <row r="33" spans="2:8" ht="15.75" customHeight="1" x14ac:dyDescent="0.3">
      <c r="B33" s="71">
        <v>70</v>
      </c>
      <c r="C33" s="67">
        <v>71.17</v>
      </c>
      <c r="D33" s="72">
        <v>75</v>
      </c>
      <c r="F33" s="47">
        <v>75</v>
      </c>
      <c r="G33" s="48" t="s">
        <v>51</v>
      </c>
      <c r="H33" s="434"/>
    </row>
    <row r="34" spans="2:8" ht="15.6" x14ac:dyDescent="0.3">
      <c r="B34" s="70">
        <v>65.34</v>
      </c>
      <c r="C34" s="66">
        <v>69.989999999999995</v>
      </c>
      <c r="D34" s="69">
        <v>74</v>
      </c>
      <c r="F34" s="47">
        <v>74</v>
      </c>
      <c r="G34" s="48" t="s">
        <v>53</v>
      </c>
      <c r="H34" s="432" t="s">
        <v>54</v>
      </c>
    </row>
    <row r="35" spans="2:8" ht="15.6" x14ac:dyDescent="0.3">
      <c r="B35" s="70">
        <v>60.67</v>
      </c>
      <c r="C35" s="66">
        <v>65.33</v>
      </c>
      <c r="D35" s="69">
        <v>73</v>
      </c>
      <c r="F35" s="47">
        <v>73</v>
      </c>
      <c r="G35" s="48" t="s">
        <v>53</v>
      </c>
      <c r="H35" s="433"/>
    </row>
    <row r="36" spans="2:8" ht="15.6" x14ac:dyDescent="0.3">
      <c r="B36" s="70">
        <v>56.01</v>
      </c>
      <c r="C36" s="66">
        <v>60.66</v>
      </c>
      <c r="D36" s="69">
        <v>72</v>
      </c>
      <c r="F36" s="47">
        <v>72</v>
      </c>
      <c r="G36" s="48" t="s">
        <v>53</v>
      </c>
      <c r="H36" s="433"/>
    </row>
    <row r="37" spans="2:8" ht="15.6" x14ac:dyDescent="0.3">
      <c r="B37" s="70">
        <v>51.34</v>
      </c>
      <c r="C37" s="65">
        <v>56</v>
      </c>
      <c r="D37" s="69">
        <v>71</v>
      </c>
      <c r="F37" s="47">
        <v>71</v>
      </c>
      <c r="G37" s="48" t="s">
        <v>53</v>
      </c>
      <c r="H37" s="433"/>
    </row>
    <row r="38" spans="2:8" ht="15.6" x14ac:dyDescent="0.3">
      <c r="B38" s="70">
        <v>46.67</v>
      </c>
      <c r="C38" s="66">
        <v>51.33</v>
      </c>
      <c r="D38" s="69">
        <v>70</v>
      </c>
      <c r="F38" s="47">
        <v>70</v>
      </c>
      <c r="G38" s="48" t="s">
        <v>53</v>
      </c>
      <c r="H38" s="433"/>
    </row>
    <row r="39" spans="2:8" ht="15.6" x14ac:dyDescent="0.3">
      <c r="B39" s="70">
        <v>42.01</v>
      </c>
      <c r="C39" s="66">
        <v>46.66</v>
      </c>
      <c r="D39" s="69">
        <v>69</v>
      </c>
      <c r="F39" s="47">
        <v>69</v>
      </c>
      <c r="G39" s="48" t="s">
        <v>53</v>
      </c>
      <c r="H39" s="433"/>
    </row>
    <row r="40" spans="2:8" ht="15.6" x14ac:dyDescent="0.3">
      <c r="B40" s="70">
        <v>37.340000000000003</v>
      </c>
      <c r="C40" s="65">
        <v>42</v>
      </c>
      <c r="D40" s="69">
        <v>68</v>
      </c>
      <c r="F40" s="47">
        <v>68</v>
      </c>
      <c r="G40" s="48" t="s">
        <v>53</v>
      </c>
      <c r="H40" s="433"/>
    </row>
    <row r="41" spans="2:8" ht="15.6" x14ac:dyDescent="0.3">
      <c r="B41" s="70">
        <v>32.68</v>
      </c>
      <c r="C41" s="66">
        <v>37.33</v>
      </c>
      <c r="D41" s="69">
        <v>67</v>
      </c>
      <c r="F41" s="47">
        <v>67</v>
      </c>
      <c r="G41" s="48" t="s">
        <v>53</v>
      </c>
      <c r="H41" s="433"/>
    </row>
    <row r="42" spans="2:8" ht="15.6" x14ac:dyDescent="0.3">
      <c r="B42" s="70">
        <v>28.01</v>
      </c>
      <c r="C42" s="66">
        <v>32.67</v>
      </c>
      <c r="D42" s="69">
        <v>66</v>
      </c>
      <c r="F42" s="47">
        <v>66</v>
      </c>
      <c r="G42" s="48" t="s">
        <v>53</v>
      </c>
      <c r="H42" s="433"/>
    </row>
    <row r="43" spans="2:8" ht="15.6" x14ac:dyDescent="0.3">
      <c r="B43" s="70">
        <v>23.35</v>
      </c>
      <c r="C43" s="65">
        <v>28</v>
      </c>
      <c r="D43" s="69">
        <v>65</v>
      </c>
      <c r="F43" s="47">
        <v>65</v>
      </c>
      <c r="G43" s="48" t="s">
        <v>53</v>
      </c>
      <c r="H43" s="434"/>
    </row>
    <row r="44" spans="2:8" ht="15.6" x14ac:dyDescent="0.3">
      <c r="B44" s="70">
        <v>18.68</v>
      </c>
      <c r="C44" s="66">
        <v>23.34</v>
      </c>
      <c r="D44" s="69">
        <v>64</v>
      </c>
      <c r="F44" s="47">
        <v>64</v>
      </c>
      <c r="G44" s="48" t="s">
        <v>55</v>
      </c>
      <c r="H44" s="432" t="s">
        <v>56</v>
      </c>
    </row>
    <row r="45" spans="2:8" ht="15.6" x14ac:dyDescent="0.3">
      <c r="B45" s="70">
        <v>14.01</v>
      </c>
      <c r="C45" s="66">
        <v>18.670000000000002</v>
      </c>
      <c r="D45" s="69">
        <v>63</v>
      </c>
      <c r="F45" s="47">
        <v>63</v>
      </c>
      <c r="G45" s="48" t="s">
        <v>55</v>
      </c>
      <c r="H45" s="433"/>
    </row>
    <row r="46" spans="2:8" ht="15.6" x14ac:dyDescent="0.3">
      <c r="B46" s="70">
        <v>9.35</v>
      </c>
      <c r="C46" s="65">
        <v>14</v>
      </c>
      <c r="D46" s="69">
        <v>62</v>
      </c>
      <c r="F46" s="47">
        <v>62</v>
      </c>
      <c r="G46" s="48" t="s">
        <v>55</v>
      </c>
      <c r="H46" s="433"/>
    </row>
    <row r="47" spans="2:8" ht="15.6" x14ac:dyDescent="0.3">
      <c r="B47" s="70">
        <v>4.68</v>
      </c>
      <c r="C47" s="66">
        <v>9.34</v>
      </c>
      <c r="D47" s="69">
        <v>61</v>
      </c>
      <c r="F47" s="47">
        <v>61</v>
      </c>
      <c r="G47" s="48" t="s">
        <v>55</v>
      </c>
      <c r="H47" s="433"/>
    </row>
    <row r="48" spans="2:8" ht="16.2" thickBot="1" x14ac:dyDescent="0.35">
      <c r="B48" s="73">
        <v>0</v>
      </c>
      <c r="C48" s="74">
        <v>4.67</v>
      </c>
      <c r="D48" s="75">
        <v>60</v>
      </c>
      <c r="F48" s="49">
        <v>60</v>
      </c>
      <c r="G48" s="50" t="s">
        <v>55</v>
      </c>
      <c r="H48" s="435"/>
    </row>
    <row r="49" spans="2:8" ht="15" x14ac:dyDescent="0.25">
      <c r="B49" s="41"/>
      <c r="C49" s="41"/>
      <c r="D49" s="41"/>
      <c r="G49" s="41"/>
      <c r="H49" s="51"/>
    </row>
    <row r="50" spans="2:8" ht="15" x14ac:dyDescent="0.25">
      <c r="B50" s="41"/>
      <c r="C50" s="41"/>
      <c r="D50" s="41"/>
      <c r="G50" s="41"/>
      <c r="H50" s="51"/>
    </row>
  </sheetData>
  <sheetProtection algorithmName="SHA-512" hashValue="GheGbZmNBCqOiboAWdpCwu9PZvHBiaXDmDSXg5zEexNLm9XP7ROaTodjdeRMpZXoI/3hBk+sAeZl9B9OSOB8og==" saltValue="8CNm4Bg1ftMZV6zGX7GSoQ==" spinCount="100000" sheet="1" objects="1" scenarios="1"/>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2026-08-25T06:29:07Z</cp:lastPrinted>
  <dcterms:modified xsi:type="dcterms:W3CDTF">2026-08-28T11:44:38Z</dcterms:modified>
</cp:coreProperties>
</file>