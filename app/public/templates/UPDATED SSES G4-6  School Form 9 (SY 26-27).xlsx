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69F164BD-BA6B-435C-A49C-9202D82E2F82}" xr6:coauthVersionLast="47" xr6:coauthVersionMax="47" xr10:uidLastSave="{00000000-0000-0000-0000-000000000000}"/>
  <bookViews>
    <workbookView xWindow="-108" yWindow="-108" windowWidth="23256" windowHeight="12456" tabRatio="776" xr2:uid="{00000000-000D-0000-FFFF-FFFF00000000}"/>
  </bookViews>
  <sheets>
    <sheet name="Home" sheetId="1" r:id="rId1"/>
    <sheet name="INPUT DATA" sheetId="2" r:id="rId2"/>
    <sheet name="TERM 1 SUMMARY" sheetId="17" r:id="rId3"/>
    <sheet name="TERM 2 SUMMARY" sheetId="20" r:id="rId4"/>
    <sheet name="TERM 3 SUMMARY" sheetId="21" r:id="rId5"/>
    <sheet name="SF9 - GRADE 4-6" sheetId="9" r:id="rId6"/>
    <sheet name="ATTENDANCE RECORD SUMMARY" sheetId="8" r:id="rId7"/>
  </sheets>
  <definedNames>
    <definedName name="_xlnm.Print_Area" localSheetId="1">'INPUT DATA'!$A$1:$U$62</definedName>
    <definedName name="_xlnm.Print_Area" localSheetId="5">'SF9 - GRADE 4-6'!$A$2:$AD$52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2" i="9" l="1"/>
  <c r="U115" i="21"/>
  <c r="U114" i="21"/>
  <c r="U113" i="21"/>
  <c r="U112" i="21"/>
  <c r="U111" i="21"/>
  <c r="U110" i="21"/>
  <c r="U109" i="21"/>
  <c r="U108" i="21"/>
  <c r="U107" i="21"/>
  <c r="V107" i="21" s="1"/>
  <c r="U106" i="21"/>
  <c r="U105" i="21"/>
  <c r="V105" i="21" s="1"/>
  <c r="U104" i="21"/>
  <c r="V104" i="21" s="1"/>
  <c r="U103" i="21"/>
  <c r="U102" i="21"/>
  <c r="U101" i="21"/>
  <c r="U100" i="21"/>
  <c r="U99" i="21"/>
  <c r="U98" i="21"/>
  <c r="U97" i="21"/>
  <c r="U96" i="21"/>
  <c r="U95" i="21"/>
  <c r="U94" i="21"/>
  <c r="U93" i="21"/>
  <c r="U92" i="21"/>
  <c r="V92" i="21" s="1"/>
  <c r="U91" i="21"/>
  <c r="U90" i="21"/>
  <c r="U89" i="21"/>
  <c r="U88" i="21"/>
  <c r="U87" i="21"/>
  <c r="U86" i="21"/>
  <c r="U85" i="21"/>
  <c r="U84" i="21"/>
  <c r="U83" i="21"/>
  <c r="U82" i="21"/>
  <c r="V82" i="21" s="1"/>
  <c r="U81" i="21"/>
  <c r="V81" i="21" s="1"/>
  <c r="U80" i="21"/>
  <c r="V80" i="21" s="1"/>
  <c r="U79" i="21"/>
  <c r="U78" i="21"/>
  <c r="U77" i="21"/>
  <c r="U76" i="21"/>
  <c r="U75" i="21"/>
  <c r="U74" i="21"/>
  <c r="U73" i="21"/>
  <c r="U72" i="21"/>
  <c r="U71" i="21"/>
  <c r="U70" i="21"/>
  <c r="U69" i="21"/>
  <c r="U68" i="21"/>
  <c r="V68" i="21" s="1"/>
  <c r="U67" i="21"/>
  <c r="U66" i="21"/>
  <c r="U64" i="21"/>
  <c r="U63" i="21"/>
  <c r="U62" i="21"/>
  <c r="U61" i="21"/>
  <c r="U60" i="21"/>
  <c r="U59" i="21"/>
  <c r="U58" i="21"/>
  <c r="U57" i="21"/>
  <c r="U56" i="21"/>
  <c r="U55" i="21"/>
  <c r="U54" i="21"/>
  <c r="U53" i="21"/>
  <c r="V53" i="21" s="1"/>
  <c r="U52" i="21"/>
  <c r="U51" i="21"/>
  <c r="U50" i="21"/>
  <c r="U49" i="21"/>
  <c r="U48" i="21"/>
  <c r="U47" i="21"/>
  <c r="U46" i="21"/>
  <c r="U45" i="21"/>
  <c r="U44" i="21"/>
  <c r="U43" i="21"/>
  <c r="U42" i="21"/>
  <c r="V42" i="21" s="1"/>
  <c r="U41" i="21"/>
  <c r="V41" i="21" s="1"/>
  <c r="U40" i="21"/>
  <c r="U39" i="21"/>
  <c r="V39" i="21" s="1"/>
  <c r="U38" i="21"/>
  <c r="U37" i="21"/>
  <c r="U36" i="21"/>
  <c r="U35" i="21"/>
  <c r="U34" i="21"/>
  <c r="U33" i="21"/>
  <c r="U32" i="21"/>
  <c r="U31" i="21"/>
  <c r="U30" i="21"/>
  <c r="V30" i="21" s="1"/>
  <c r="U29" i="21"/>
  <c r="V29" i="21" s="1"/>
  <c r="U28" i="21"/>
  <c r="U27" i="21"/>
  <c r="U26" i="21"/>
  <c r="U25" i="21"/>
  <c r="U24" i="21"/>
  <c r="U23" i="21"/>
  <c r="U22" i="21"/>
  <c r="U21" i="21"/>
  <c r="U20" i="21"/>
  <c r="U19" i="21"/>
  <c r="U18" i="21"/>
  <c r="U17" i="21"/>
  <c r="U16" i="21"/>
  <c r="U15" i="21"/>
  <c r="U115" i="20"/>
  <c r="U114" i="20"/>
  <c r="U113" i="20"/>
  <c r="U112" i="20"/>
  <c r="U111" i="20"/>
  <c r="U110" i="20"/>
  <c r="U109" i="20"/>
  <c r="U108" i="20"/>
  <c r="U107" i="20"/>
  <c r="U106" i="20"/>
  <c r="U105" i="20"/>
  <c r="V105" i="20" s="1"/>
  <c r="U104" i="20"/>
  <c r="V104" i="20" s="1"/>
  <c r="U103" i="20"/>
  <c r="U102" i="20"/>
  <c r="U101" i="20"/>
  <c r="U100" i="20"/>
  <c r="U99" i="20"/>
  <c r="U98" i="20"/>
  <c r="U97" i="20"/>
  <c r="U96" i="20"/>
  <c r="U95" i="20"/>
  <c r="U94" i="20"/>
  <c r="U93" i="20"/>
  <c r="V93" i="20" s="1"/>
  <c r="U92" i="20"/>
  <c r="V92" i="20" s="1"/>
  <c r="U91" i="20"/>
  <c r="U90" i="20"/>
  <c r="U89" i="20"/>
  <c r="U88" i="20"/>
  <c r="U87" i="20"/>
  <c r="U86" i="20"/>
  <c r="U85" i="20"/>
  <c r="U84" i="20"/>
  <c r="U83" i="20"/>
  <c r="U82" i="20"/>
  <c r="U81" i="20"/>
  <c r="V81" i="20" s="1"/>
  <c r="U80" i="20"/>
  <c r="V80" i="20" s="1"/>
  <c r="U79" i="20"/>
  <c r="U78" i="20"/>
  <c r="U77" i="20"/>
  <c r="U76" i="20"/>
  <c r="U75" i="20"/>
  <c r="U74" i="20"/>
  <c r="U73" i="20"/>
  <c r="U72" i="20"/>
  <c r="U71" i="20"/>
  <c r="U70" i="20"/>
  <c r="U69" i="20"/>
  <c r="V69" i="20" s="1"/>
  <c r="U68" i="20"/>
  <c r="V68" i="20" s="1"/>
  <c r="U67" i="20"/>
  <c r="U66" i="20"/>
  <c r="U64" i="20"/>
  <c r="U63" i="20"/>
  <c r="U62" i="20"/>
  <c r="U61" i="20"/>
  <c r="U60" i="20"/>
  <c r="U59" i="20"/>
  <c r="U58" i="20"/>
  <c r="U57" i="20"/>
  <c r="U56" i="20"/>
  <c r="U55" i="20"/>
  <c r="U54" i="20"/>
  <c r="U53" i="20"/>
  <c r="U52" i="20"/>
  <c r="U51" i="20"/>
  <c r="U50" i="20"/>
  <c r="U49" i="20"/>
  <c r="U48" i="20"/>
  <c r="U47" i="20"/>
  <c r="U46" i="20"/>
  <c r="U45" i="20"/>
  <c r="U44" i="20"/>
  <c r="U43" i="20"/>
  <c r="U42" i="20"/>
  <c r="U41" i="20"/>
  <c r="U40" i="20"/>
  <c r="U39" i="20"/>
  <c r="U38" i="20"/>
  <c r="U37" i="20"/>
  <c r="U36" i="20"/>
  <c r="U35" i="20"/>
  <c r="U34" i="20"/>
  <c r="U33" i="20"/>
  <c r="U32" i="20"/>
  <c r="U31" i="20"/>
  <c r="U30" i="20"/>
  <c r="U29" i="20"/>
  <c r="U28" i="20"/>
  <c r="U27" i="20"/>
  <c r="U26" i="20"/>
  <c r="U25" i="20"/>
  <c r="U24" i="20"/>
  <c r="U23" i="20"/>
  <c r="U22" i="20"/>
  <c r="U21" i="20"/>
  <c r="U20" i="20"/>
  <c r="U19" i="20"/>
  <c r="U18" i="20"/>
  <c r="U17" i="20"/>
  <c r="U16" i="20"/>
  <c r="U15" i="20"/>
  <c r="U115" i="17"/>
  <c r="U114" i="17"/>
  <c r="U113" i="17"/>
  <c r="U112" i="17"/>
  <c r="U111" i="17"/>
  <c r="U110" i="17"/>
  <c r="U109" i="17"/>
  <c r="U108" i="17"/>
  <c r="U107" i="17"/>
  <c r="U106" i="17"/>
  <c r="U105" i="17"/>
  <c r="U104" i="17"/>
  <c r="U103" i="17"/>
  <c r="U102" i="17"/>
  <c r="U101" i="17"/>
  <c r="U100" i="17"/>
  <c r="U99" i="17"/>
  <c r="U98" i="17"/>
  <c r="U97" i="17"/>
  <c r="U96" i="17"/>
  <c r="U95" i="17"/>
  <c r="U94" i="17"/>
  <c r="U93" i="17"/>
  <c r="U92" i="17"/>
  <c r="U91" i="17"/>
  <c r="U90" i="17"/>
  <c r="U89" i="17"/>
  <c r="U88" i="17"/>
  <c r="U87" i="17"/>
  <c r="U86" i="17"/>
  <c r="U85" i="17"/>
  <c r="U84" i="17"/>
  <c r="U83" i="17"/>
  <c r="U82" i="17"/>
  <c r="U81" i="17"/>
  <c r="U80" i="17"/>
  <c r="U79" i="17"/>
  <c r="U78" i="17"/>
  <c r="U77" i="17"/>
  <c r="U76" i="17"/>
  <c r="U75" i="17"/>
  <c r="U74" i="17"/>
  <c r="U73" i="17"/>
  <c r="U72" i="17"/>
  <c r="U71" i="17"/>
  <c r="U70" i="17"/>
  <c r="U69" i="17"/>
  <c r="U68" i="17"/>
  <c r="U67" i="17"/>
  <c r="U66" i="17"/>
  <c r="U64" i="17"/>
  <c r="U63" i="17"/>
  <c r="U62" i="17"/>
  <c r="U61" i="17"/>
  <c r="U60" i="17"/>
  <c r="U59" i="17"/>
  <c r="U58" i="17"/>
  <c r="U57" i="17"/>
  <c r="U56" i="17"/>
  <c r="U55" i="17"/>
  <c r="U54" i="17"/>
  <c r="U53" i="17"/>
  <c r="U52" i="17"/>
  <c r="U51" i="17"/>
  <c r="U50" i="17"/>
  <c r="U49" i="17"/>
  <c r="U48" i="17"/>
  <c r="U47" i="17"/>
  <c r="U46" i="17"/>
  <c r="U45" i="17"/>
  <c r="U44" i="17"/>
  <c r="U43" i="17"/>
  <c r="U42" i="17"/>
  <c r="U41" i="17"/>
  <c r="U40" i="17"/>
  <c r="U39" i="17"/>
  <c r="U38" i="17"/>
  <c r="U37" i="17"/>
  <c r="U36" i="17"/>
  <c r="U35" i="17"/>
  <c r="U34" i="17"/>
  <c r="U33" i="17"/>
  <c r="U32" i="17"/>
  <c r="U31" i="17"/>
  <c r="U30" i="17"/>
  <c r="U29" i="17"/>
  <c r="U28" i="17"/>
  <c r="U27" i="17"/>
  <c r="U26" i="17"/>
  <c r="U25" i="17"/>
  <c r="U24" i="17"/>
  <c r="U23" i="17"/>
  <c r="U22" i="17"/>
  <c r="U21" i="17"/>
  <c r="U20" i="17"/>
  <c r="U19" i="17"/>
  <c r="U18" i="17"/>
  <c r="U17" i="17"/>
  <c r="U16" i="17"/>
  <c r="U15" i="17"/>
  <c r="V115" i="21"/>
  <c r="V114" i="21"/>
  <c r="V112" i="21"/>
  <c r="V109" i="21"/>
  <c r="V103" i="21"/>
  <c r="V102" i="21"/>
  <c r="V100" i="21"/>
  <c r="V97" i="21"/>
  <c r="V94" i="21"/>
  <c r="V93" i="21"/>
  <c r="V91" i="21"/>
  <c r="V90" i="21"/>
  <c r="V85" i="21"/>
  <c r="V79" i="21"/>
  <c r="V78" i="21"/>
  <c r="V71" i="21"/>
  <c r="V70" i="21"/>
  <c r="V67" i="21"/>
  <c r="V66" i="21"/>
  <c r="V51" i="21"/>
  <c r="V27" i="21"/>
  <c r="V16" i="21"/>
  <c r="V113" i="20"/>
  <c r="V110" i="20"/>
  <c r="V99" i="20"/>
  <c r="V98" i="20"/>
  <c r="V87" i="20"/>
  <c r="V86" i="20"/>
  <c r="V75" i="20"/>
  <c r="V74" i="20"/>
  <c r="V61" i="20"/>
  <c r="V49" i="20"/>
  <c r="V37" i="20"/>
  <c r="V25" i="20"/>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115" i="20"/>
  <c r="F114" i="20"/>
  <c r="F113" i="20"/>
  <c r="F112" i="20"/>
  <c r="F111" i="20"/>
  <c r="F110" i="20"/>
  <c r="F109" i="20"/>
  <c r="F108" i="20"/>
  <c r="F107" i="20"/>
  <c r="F106" i="20"/>
  <c r="F105" i="20"/>
  <c r="F104" i="20"/>
  <c r="F103" i="20"/>
  <c r="F102" i="20"/>
  <c r="F101" i="20"/>
  <c r="F100" i="20"/>
  <c r="F99" i="20"/>
  <c r="F98" i="20"/>
  <c r="F97" i="20"/>
  <c r="F96" i="20"/>
  <c r="F95" i="20"/>
  <c r="F94" i="20"/>
  <c r="F93" i="20"/>
  <c r="F92" i="20"/>
  <c r="F91" i="20"/>
  <c r="F90" i="20"/>
  <c r="F89" i="20"/>
  <c r="F88" i="20"/>
  <c r="F87" i="20"/>
  <c r="F86" i="20"/>
  <c r="F85" i="20"/>
  <c r="F84" i="20"/>
  <c r="F83" i="20"/>
  <c r="F82" i="20"/>
  <c r="F81" i="20"/>
  <c r="F80" i="20"/>
  <c r="F79" i="20"/>
  <c r="F78" i="20"/>
  <c r="F77" i="20"/>
  <c r="F76" i="20"/>
  <c r="F75" i="20"/>
  <c r="F74" i="20"/>
  <c r="F73" i="20"/>
  <c r="F72" i="20"/>
  <c r="F71" i="20"/>
  <c r="F70" i="20"/>
  <c r="F69" i="20"/>
  <c r="F68" i="20"/>
  <c r="F67" i="20"/>
  <c r="F66" i="20"/>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L10" i="8"/>
  <c r="G11" i="8"/>
  <c r="G10" i="8"/>
  <c r="N7" i="8"/>
  <c r="I7" i="8"/>
  <c r="I5" i="8"/>
  <c r="E7" i="8"/>
  <c r="E5" i="8"/>
  <c r="Q49" i="9"/>
  <c r="X40" i="9"/>
  <c r="Q41" i="9"/>
  <c r="H27" i="9"/>
  <c r="B27" i="9"/>
  <c r="H115" i="21"/>
  <c r="I115" i="21" s="1"/>
  <c r="C115" i="21"/>
  <c r="H114" i="21"/>
  <c r="I114" i="21" s="1"/>
  <c r="C114" i="21"/>
  <c r="V113" i="21"/>
  <c r="H113" i="21"/>
  <c r="I113" i="21" s="1"/>
  <c r="C113" i="21"/>
  <c r="H112" i="21"/>
  <c r="I112" i="21" s="1"/>
  <c r="C112" i="21"/>
  <c r="V111" i="21"/>
  <c r="H111" i="21"/>
  <c r="I111" i="21" s="1"/>
  <c r="C111" i="21"/>
  <c r="V110" i="21"/>
  <c r="H110" i="21"/>
  <c r="I110" i="21" s="1"/>
  <c r="C110" i="21"/>
  <c r="H109" i="21"/>
  <c r="I109" i="21" s="1"/>
  <c r="C109" i="21"/>
  <c r="V108" i="21"/>
  <c r="H108" i="21"/>
  <c r="I108" i="21" s="1"/>
  <c r="C108" i="21"/>
  <c r="H107" i="21"/>
  <c r="I107" i="21" s="1"/>
  <c r="C107" i="21"/>
  <c r="V106" i="21"/>
  <c r="H106" i="21"/>
  <c r="I106" i="21" s="1"/>
  <c r="C106" i="21"/>
  <c r="I105" i="21"/>
  <c r="H105" i="21"/>
  <c r="C105" i="21"/>
  <c r="H104" i="21"/>
  <c r="I104" i="21" s="1"/>
  <c r="C104" i="21"/>
  <c r="H103" i="21"/>
  <c r="I103" i="21" s="1"/>
  <c r="C103" i="21"/>
  <c r="H102" i="21"/>
  <c r="I102" i="21" s="1"/>
  <c r="C102" i="21"/>
  <c r="V101" i="21"/>
  <c r="H101" i="21"/>
  <c r="I101" i="21" s="1"/>
  <c r="C101" i="21"/>
  <c r="H100" i="21"/>
  <c r="I100" i="21" s="1"/>
  <c r="C100" i="21"/>
  <c r="V99" i="21"/>
  <c r="H99" i="21"/>
  <c r="I99" i="21" s="1"/>
  <c r="C99" i="21"/>
  <c r="V98" i="21"/>
  <c r="H98" i="21"/>
  <c r="I98" i="21" s="1"/>
  <c r="C98" i="21"/>
  <c r="H97" i="21"/>
  <c r="I97" i="21" s="1"/>
  <c r="C97" i="21"/>
  <c r="V96" i="21"/>
  <c r="H96" i="21"/>
  <c r="I96" i="21" s="1"/>
  <c r="C96" i="21"/>
  <c r="V95" i="21"/>
  <c r="H95" i="21"/>
  <c r="I95" i="21" s="1"/>
  <c r="C95" i="21"/>
  <c r="H94" i="21"/>
  <c r="I94" i="21" s="1"/>
  <c r="C94" i="21"/>
  <c r="H93" i="21"/>
  <c r="I93" i="21" s="1"/>
  <c r="C93" i="21"/>
  <c r="H92" i="21"/>
  <c r="I92" i="21" s="1"/>
  <c r="C92" i="21"/>
  <c r="H91" i="21"/>
  <c r="I91" i="21" s="1"/>
  <c r="C91" i="21"/>
  <c r="H90" i="21"/>
  <c r="I90" i="21" s="1"/>
  <c r="C90" i="21"/>
  <c r="V89" i="21"/>
  <c r="H89" i="21"/>
  <c r="I89" i="21" s="1"/>
  <c r="C89" i="21"/>
  <c r="V88" i="21"/>
  <c r="H88" i="21"/>
  <c r="I88" i="21" s="1"/>
  <c r="C88" i="21"/>
  <c r="V87" i="21"/>
  <c r="H87" i="21"/>
  <c r="I87" i="21" s="1"/>
  <c r="C87" i="21"/>
  <c r="V86" i="21"/>
  <c r="H86" i="21"/>
  <c r="I86" i="21" s="1"/>
  <c r="C86" i="21"/>
  <c r="H85" i="21"/>
  <c r="I85" i="21" s="1"/>
  <c r="C85" i="21"/>
  <c r="V84" i="21"/>
  <c r="H84" i="21"/>
  <c r="I84" i="21" s="1"/>
  <c r="C84" i="21"/>
  <c r="V83" i="21"/>
  <c r="H83" i="21"/>
  <c r="I83" i="21" s="1"/>
  <c r="C83" i="21"/>
  <c r="H82" i="21"/>
  <c r="I82" i="21" s="1"/>
  <c r="C82" i="21"/>
  <c r="I81" i="21"/>
  <c r="H81" i="21"/>
  <c r="C81" i="21"/>
  <c r="H80" i="21"/>
  <c r="I80" i="21" s="1"/>
  <c r="C80" i="21"/>
  <c r="H79" i="21"/>
  <c r="I79" i="21" s="1"/>
  <c r="C79" i="21"/>
  <c r="H78" i="21"/>
  <c r="I78" i="21" s="1"/>
  <c r="C78" i="21"/>
  <c r="V77" i="21"/>
  <c r="H77" i="21"/>
  <c r="I77" i="21" s="1"/>
  <c r="C77" i="21"/>
  <c r="V76" i="21"/>
  <c r="H76" i="21"/>
  <c r="I76" i="21" s="1"/>
  <c r="C76" i="21"/>
  <c r="V75" i="21"/>
  <c r="H75" i="21"/>
  <c r="I75" i="21" s="1"/>
  <c r="C75" i="21"/>
  <c r="V74" i="21"/>
  <c r="H74" i="21"/>
  <c r="I74" i="21" s="1"/>
  <c r="C74" i="21"/>
  <c r="V73" i="21"/>
  <c r="H73" i="21"/>
  <c r="I73" i="21" s="1"/>
  <c r="C73" i="21"/>
  <c r="V72" i="21"/>
  <c r="H72" i="21"/>
  <c r="I72" i="21" s="1"/>
  <c r="C72" i="21"/>
  <c r="H71" i="21"/>
  <c r="I71" i="21" s="1"/>
  <c r="C71" i="21"/>
  <c r="H70" i="21"/>
  <c r="I70" i="21" s="1"/>
  <c r="C70" i="21"/>
  <c r="V69" i="21"/>
  <c r="H69" i="21"/>
  <c r="I69" i="21" s="1"/>
  <c r="C69" i="21"/>
  <c r="H68" i="21"/>
  <c r="I68" i="21" s="1"/>
  <c r="C68" i="21"/>
  <c r="H67" i="21"/>
  <c r="I67" i="21" s="1"/>
  <c r="C67" i="21"/>
  <c r="H66" i="21"/>
  <c r="I66" i="21" s="1"/>
  <c r="C66" i="21"/>
  <c r="T64" i="21"/>
  <c r="V64" i="21" s="1"/>
  <c r="H64" i="21"/>
  <c r="I64" i="21" s="1"/>
  <c r="F64" i="21"/>
  <c r="C64" i="21"/>
  <c r="V63" i="21"/>
  <c r="T63" i="21"/>
  <c r="H63" i="21"/>
  <c r="I63" i="21" s="1"/>
  <c r="F63" i="21"/>
  <c r="C63" i="21"/>
  <c r="T62" i="21"/>
  <c r="V62" i="21" s="1"/>
  <c r="H62" i="21"/>
  <c r="I62" i="21" s="1"/>
  <c r="F62" i="21"/>
  <c r="C62" i="21"/>
  <c r="T61" i="21"/>
  <c r="V61" i="21" s="1"/>
  <c r="H61" i="21"/>
  <c r="I61" i="21" s="1"/>
  <c r="F61" i="21"/>
  <c r="C61" i="21"/>
  <c r="T60" i="21"/>
  <c r="V60" i="21" s="1"/>
  <c r="I60" i="21"/>
  <c r="H60" i="21"/>
  <c r="F60" i="21"/>
  <c r="C60" i="21"/>
  <c r="T59" i="21"/>
  <c r="V59" i="21" s="1"/>
  <c r="H59" i="21"/>
  <c r="I59" i="21" s="1"/>
  <c r="F59" i="21"/>
  <c r="C59" i="21"/>
  <c r="T58" i="21"/>
  <c r="V58" i="21" s="1"/>
  <c r="H58" i="21"/>
  <c r="I58" i="21" s="1"/>
  <c r="F58" i="21"/>
  <c r="C58" i="21"/>
  <c r="T57" i="21"/>
  <c r="V57" i="21" s="1"/>
  <c r="H57" i="21"/>
  <c r="I57" i="21" s="1"/>
  <c r="F57" i="21"/>
  <c r="C57" i="21"/>
  <c r="T56" i="21"/>
  <c r="V56" i="21" s="1"/>
  <c r="H56" i="21"/>
  <c r="I56" i="21" s="1"/>
  <c r="F56" i="21"/>
  <c r="C56" i="21"/>
  <c r="T55" i="21"/>
  <c r="V55" i="21" s="1"/>
  <c r="I55" i="21"/>
  <c r="H55" i="21"/>
  <c r="F55" i="21"/>
  <c r="C55" i="21"/>
  <c r="T54" i="21"/>
  <c r="H54" i="21"/>
  <c r="I54" i="21" s="1"/>
  <c r="F54" i="21"/>
  <c r="C54" i="21"/>
  <c r="T53" i="21"/>
  <c r="H53" i="21"/>
  <c r="I53" i="21" s="1"/>
  <c r="F53" i="21"/>
  <c r="C53" i="21"/>
  <c r="T52" i="21"/>
  <c r="V52" i="21" s="1"/>
  <c r="I52" i="21"/>
  <c r="H52" i="21"/>
  <c r="F52" i="21"/>
  <c r="C52" i="21"/>
  <c r="T51" i="21"/>
  <c r="H51" i="21"/>
  <c r="I51" i="21" s="1"/>
  <c r="F51" i="21"/>
  <c r="C51" i="21"/>
  <c r="T50" i="21"/>
  <c r="V50" i="21" s="1"/>
  <c r="H50" i="21"/>
  <c r="I50" i="21" s="1"/>
  <c r="F50" i="21"/>
  <c r="C50" i="21"/>
  <c r="T49" i="21"/>
  <c r="V49" i="21" s="1"/>
  <c r="H49" i="21"/>
  <c r="I49" i="21" s="1"/>
  <c r="F49" i="21"/>
  <c r="C49" i="21"/>
  <c r="T48" i="21"/>
  <c r="V48" i="21" s="1"/>
  <c r="I48" i="21"/>
  <c r="H48" i="21"/>
  <c r="F48" i="21"/>
  <c r="C48" i="21"/>
  <c r="T47" i="21"/>
  <c r="V47" i="21" s="1"/>
  <c r="H47" i="21"/>
  <c r="I47" i="21" s="1"/>
  <c r="F47" i="21"/>
  <c r="C47" i="21"/>
  <c r="T46" i="21"/>
  <c r="V46" i="21" s="1"/>
  <c r="H46" i="21"/>
  <c r="I46" i="21" s="1"/>
  <c r="F46" i="21"/>
  <c r="C46" i="21"/>
  <c r="T45" i="21"/>
  <c r="V45" i="21" s="1"/>
  <c r="H45" i="21"/>
  <c r="I45" i="21" s="1"/>
  <c r="F45" i="21"/>
  <c r="C45" i="21"/>
  <c r="T44" i="21"/>
  <c r="H44" i="21"/>
  <c r="I44" i="21" s="1"/>
  <c r="F44" i="21"/>
  <c r="C44" i="21"/>
  <c r="T43" i="21"/>
  <c r="V43" i="21" s="1"/>
  <c r="H43" i="21"/>
  <c r="I43" i="21" s="1"/>
  <c r="F43" i="21"/>
  <c r="C43" i="21"/>
  <c r="T42" i="21"/>
  <c r="H42" i="21"/>
  <c r="I42" i="21" s="1"/>
  <c r="F42" i="21"/>
  <c r="C42" i="21"/>
  <c r="T41" i="21"/>
  <c r="H41" i="21"/>
  <c r="I41" i="21" s="1"/>
  <c r="F41" i="21"/>
  <c r="C41" i="21"/>
  <c r="T40" i="21"/>
  <c r="V40" i="21" s="1"/>
  <c r="H40" i="21"/>
  <c r="I40" i="21" s="1"/>
  <c r="F40" i="21"/>
  <c r="C40" i="21"/>
  <c r="T39" i="21"/>
  <c r="H39" i="21"/>
  <c r="I39" i="21" s="1"/>
  <c r="F39" i="21"/>
  <c r="C39" i="21"/>
  <c r="T38" i="21"/>
  <c r="V38" i="21" s="1"/>
  <c r="H38" i="21"/>
  <c r="I38" i="21" s="1"/>
  <c r="F38" i="21"/>
  <c r="C38" i="21"/>
  <c r="T37" i="21"/>
  <c r="V37" i="21" s="1"/>
  <c r="H37" i="21"/>
  <c r="I37" i="21" s="1"/>
  <c r="F37" i="21"/>
  <c r="C37" i="21"/>
  <c r="T36" i="21"/>
  <c r="V36" i="21" s="1"/>
  <c r="I36" i="21"/>
  <c r="H36" i="21"/>
  <c r="F36" i="21"/>
  <c r="C36" i="21"/>
  <c r="T35" i="21"/>
  <c r="V35" i="21" s="1"/>
  <c r="H35" i="21"/>
  <c r="I35" i="21" s="1"/>
  <c r="F35" i="21"/>
  <c r="C35" i="21"/>
  <c r="T34" i="21"/>
  <c r="V34" i="21" s="1"/>
  <c r="H34" i="21"/>
  <c r="I34" i="21" s="1"/>
  <c r="F34" i="21"/>
  <c r="C34" i="21"/>
  <c r="T33" i="21"/>
  <c r="V33" i="21" s="1"/>
  <c r="H33" i="21"/>
  <c r="I33" i="21" s="1"/>
  <c r="F33" i="21"/>
  <c r="C33" i="21"/>
  <c r="T32" i="21"/>
  <c r="V32" i="21" s="1"/>
  <c r="H32" i="21"/>
  <c r="I32" i="21" s="1"/>
  <c r="F32" i="21"/>
  <c r="C32" i="21"/>
  <c r="T31" i="21"/>
  <c r="V31" i="21" s="1"/>
  <c r="H31" i="21"/>
  <c r="I31" i="21" s="1"/>
  <c r="F31" i="21"/>
  <c r="C31" i="21"/>
  <c r="T30" i="21"/>
  <c r="H30" i="21"/>
  <c r="I30" i="21" s="1"/>
  <c r="F30" i="21"/>
  <c r="C30" i="21"/>
  <c r="T29" i="21"/>
  <c r="H29" i="21"/>
  <c r="I29" i="21" s="1"/>
  <c r="F29" i="21"/>
  <c r="C29" i="21"/>
  <c r="T28" i="21"/>
  <c r="V28" i="21" s="1"/>
  <c r="I28" i="21"/>
  <c r="H28" i="21"/>
  <c r="F28" i="21"/>
  <c r="C28" i="21"/>
  <c r="T27" i="21"/>
  <c r="H27" i="21"/>
  <c r="I27" i="21" s="1"/>
  <c r="F27" i="21"/>
  <c r="C27" i="21"/>
  <c r="T26" i="21"/>
  <c r="V26" i="21" s="1"/>
  <c r="H26" i="21"/>
  <c r="I26" i="21" s="1"/>
  <c r="F26" i="21"/>
  <c r="C26" i="21"/>
  <c r="T25" i="21"/>
  <c r="V25" i="21" s="1"/>
  <c r="H25" i="21"/>
  <c r="I25" i="21" s="1"/>
  <c r="F25" i="21"/>
  <c r="C25" i="21"/>
  <c r="T24" i="21"/>
  <c r="V24" i="21" s="1"/>
  <c r="H24" i="21"/>
  <c r="I24" i="21" s="1"/>
  <c r="F24" i="21"/>
  <c r="C24" i="21"/>
  <c r="T23" i="21"/>
  <c r="V23" i="21" s="1"/>
  <c r="H23" i="21"/>
  <c r="I23" i="21" s="1"/>
  <c r="F23" i="21"/>
  <c r="C23" i="21"/>
  <c r="T22" i="21"/>
  <c r="V22" i="21" s="1"/>
  <c r="H22" i="21"/>
  <c r="I22" i="21" s="1"/>
  <c r="F22" i="21"/>
  <c r="C22" i="21"/>
  <c r="T21" i="21"/>
  <c r="V21" i="21" s="1"/>
  <c r="H21" i="21"/>
  <c r="I21" i="21" s="1"/>
  <c r="F21" i="21"/>
  <c r="C21" i="21"/>
  <c r="T20" i="21"/>
  <c r="V20" i="21" s="1"/>
  <c r="H20" i="21"/>
  <c r="I20" i="21" s="1"/>
  <c r="F20" i="21"/>
  <c r="C20" i="21"/>
  <c r="T19" i="21"/>
  <c r="V19" i="21" s="1"/>
  <c r="H19" i="21"/>
  <c r="I19" i="21" s="1"/>
  <c r="F19" i="21"/>
  <c r="C19" i="21"/>
  <c r="T18" i="21"/>
  <c r="V18" i="21" s="1"/>
  <c r="H18" i="21"/>
  <c r="I18" i="21" s="1"/>
  <c r="F18" i="21"/>
  <c r="C18" i="21"/>
  <c r="T17" i="21"/>
  <c r="H17" i="21"/>
  <c r="I17" i="21" s="1"/>
  <c r="F17" i="21"/>
  <c r="C17" i="21"/>
  <c r="T16" i="21"/>
  <c r="I16" i="21"/>
  <c r="H16" i="21"/>
  <c r="F16" i="21"/>
  <c r="C16" i="21"/>
  <c r="T15" i="21"/>
  <c r="H41" i="9" s="1"/>
  <c r="H15" i="21"/>
  <c r="I15" i="21" s="1"/>
  <c r="F15" i="21"/>
  <c r="C15" i="21"/>
  <c r="G10" i="21"/>
  <c r="N9" i="21"/>
  <c r="G9" i="21"/>
  <c r="U6" i="21"/>
  <c r="K6" i="21"/>
  <c r="E6" i="21"/>
  <c r="K5" i="21"/>
  <c r="E5" i="21"/>
  <c r="V115" i="20"/>
  <c r="H115" i="20"/>
  <c r="I115" i="20" s="1"/>
  <c r="C115" i="20"/>
  <c r="V114" i="20"/>
  <c r="H114" i="20"/>
  <c r="I114" i="20" s="1"/>
  <c r="C114" i="20"/>
  <c r="H113" i="20"/>
  <c r="I113" i="20" s="1"/>
  <c r="C113" i="20"/>
  <c r="V112" i="20"/>
  <c r="H112" i="20"/>
  <c r="I112" i="20" s="1"/>
  <c r="C112" i="20"/>
  <c r="V111" i="20"/>
  <c r="H111" i="20"/>
  <c r="I111" i="20" s="1"/>
  <c r="C111" i="20"/>
  <c r="H110" i="20"/>
  <c r="I110" i="20" s="1"/>
  <c r="C110" i="20"/>
  <c r="V109" i="20"/>
  <c r="H109" i="20"/>
  <c r="I109" i="20" s="1"/>
  <c r="C109" i="20"/>
  <c r="V108" i="20"/>
  <c r="H108" i="20"/>
  <c r="I108" i="20" s="1"/>
  <c r="C108" i="20"/>
  <c r="V107" i="20"/>
  <c r="H107" i="20"/>
  <c r="I107" i="20" s="1"/>
  <c r="C107" i="20"/>
  <c r="V106" i="20"/>
  <c r="H106" i="20"/>
  <c r="I106" i="20" s="1"/>
  <c r="C106" i="20"/>
  <c r="H105" i="20"/>
  <c r="I105" i="20" s="1"/>
  <c r="C105" i="20"/>
  <c r="H104" i="20"/>
  <c r="I104" i="20" s="1"/>
  <c r="C104" i="20"/>
  <c r="V103" i="20"/>
  <c r="H103" i="20"/>
  <c r="I103" i="20" s="1"/>
  <c r="C103" i="20"/>
  <c r="V102" i="20"/>
  <c r="H102" i="20"/>
  <c r="I102" i="20" s="1"/>
  <c r="C102" i="20"/>
  <c r="V101" i="20"/>
  <c r="H101" i="20"/>
  <c r="I101" i="20" s="1"/>
  <c r="C101" i="20"/>
  <c r="V100" i="20"/>
  <c r="H100" i="20"/>
  <c r="I100" i="20" s="1"/>
  <c r="C100" i="20"/>
  <c r="H99" i="20"/>
  <c r="I99" i="20" s="1"/>
  <c r="C99" i="20"/>
  <c r="H98" i="20"/>
  <c r="I98" i="20" s="1"/>
  <c r="C98" i="20"/>
  <c r="V97" i="20"/>
  <c r="H97" i="20"/>
  <c r="I97" i="20" s="1"/>
  <c r="C97" i="20"/>
  <c r="V96" i="20"/>
  <c r="H96" i="20"/>
  <c r="I96" i="20" s="1"/>
  <c r="C96" i="20"/>
  <c r="V95" i="20"/>
  <c r="H95" i="20"/>
  <c r="I95" i="20" s="1"/>
  <c r="C95" i="20"/>
  <c r="V94" i="20"/>
  <c r="H94" i="20"/>
  <c r="I94" i="20" s="1"/>
  <c r="C94" i="20"/>
  <c r="H93" i="20"/>
  <c r="I93" i="20" s="1"/>
  <c r="C93" i="20"/>
  <c r="H92" i="20"/>
  <c r="I92" i="20" s="1"/>
  <c r="C92" i="20"/>
  <c r="V91" i="20"/>
  <c r="H91" i="20"/>
  <c r="I91" i="20" s="1"/>
  <c r="C91" i="20"/>
  <c r="V90" i="20"/>
  <c r="H90" i="20"/>
  <c r="I90" i="20" s="1"/>
  <c r="C90" i="20"/>
  <c r="V89" i="20"/>
  <c r="H89" i="20"/>
  <c r="I89" i="20" s="1"/>
  <c r="C89" i="20"/>
  <c r="V88" i="20"/>
  <c r="H88" i="20"/>
  <c r="I88" i="20" s="1"/>
  <c r="C88" i="20"/>
  <c r="H87" i="20"/>
  <c r="I87" i="20" s="1"/>
  <c r="C87" i="20"/>
  <c r="H86" i="20"/>
  <c r="I86" i="20" s="1"/>
  <c r="C86" i="20"/>
  <c r="V85" i="20"/>
  <c r="H85" i="20"/>
  <c r="I85" i="20" s="1"/>
  <c r="C85" i="20"/>
  <c r="V84" i="20"/>
  <c r="H84" i="20"/>
  <c r="I84" i="20" s="1"/>
  <c r="C84" i="20"/>
  <c r="V83" i="20"/>
  <c r="H83" i="20"/>
  <c r="I83" i="20" s="1"/>
  <c r="C83" i="20"/>
  <c r="V82" i="20"/>
  <c r="H82" i="20"/>
  <c r="I82" i="20" s="1"/>
  <c r="C82" i="20"/>
  <c r="H81" i="20"/>
  <c r="I81" i="20" s="1"/>
  <c r="C81" i="20"/>
  <c r="H80" i="20"/>
  <c r="I80" i="20" s="1"/>
  <c r="C80" i="20"/>
  <c r="V79" i="20"/>
  <c r="H79" i="20"/>
  <c r="I79" i="20" s="1"/>
  <c r="C79" i="20"/>
  <c r="V78" i="20"/>
  <c r="H78" i="20"/>
  <c r="I78" i="20" s="1"/>
  <c r="C78" i="20"/>
  <c r="V77" i="20"/>
  <c r="H77" i="20"/>
  <c r="I77" i="20" s="1"/>
  <c r="C77" i="20"/>
  <c r="V76" i="20"/>
  <c r="H76" i="20"/>
  <c r="I76" i="20" s="1"/>
  <c r="C76" i="20"/>
  <c r="H75" i="20"/>
  <c r="I75" i="20" s="1"/>
  <c r="C75" i="20"/>
  <c r="H74" i="20"/>
  <c r="I74" i="20" s="1"/>
  <c r="C74" i="20"/>
  <c r="V73" i="20"/>
  <c r="H73" i="20"/>
  <c r="I73" i="20" s="1"/>
  <c r="C73" i="20"/>
  <c r="V72" i="20"/>
  <c r="H72" i="20"/>
  <c r="I72" i="20" s="1"/>
  <c r="C72" i="20"/>
  <c r="V71" i="20"/>
  <c r="H71" i="20"/>
  <c r="I71" i="20" s="1"/>
  <c r="C71" i="20"/>
  <c r="V70" i="20"/>
  <c r="H70" i="20"/>
  <c r="I70" i="20" s="1"/>
  <c r="C70" i="20"/>
  <c r="H69" i="20"/>
  <c r="I69" i="20" s="1"/>
  <c r="C69" i="20"/>
  <c r="H68" i="20"/>
  <c r="I68" i="20" s="1"/>
  <c r="C68" i="20"/>
  <c r="V67" i="20"/>
  <c r="H67" i="20"/>
  <c r="I67" i="20" s="1"/>
  <c r="C67" i="20"/>
  <c r="V66" i="20"/>
  <c r="H66" i="20"/>
  <c r="I66" i="20" s="1"/>
  <c r="C66" i="20"/>
  <c r="T64" i="20"/>
  <c r="V64" i="20" s="1"/>
  <c r="H64" i="20"/>
  <c r="I64" i="20" s="1"/>
  <c r="F64" i="20"/>
  <c r="C64" i="20"/>
  <c r="T63" i="20"/>
  <c r="V63" i="20" s="1"/>
  <c r="H63" i="20"/>
  <c r="I63" i="20" s="1"/>
  <c r="F63" i="20"/>
  <c r="C63" i="20"/>
  <c r="V62" i="20"/>
  <c r="T62" i="20"/>
  <c r="H62" i="20"/>
  <c r="I62" i="20" s="1"/>
  <c r="F62" i="20"/>
  <c r="C62" i="20"/>
  <c r="T61" i="20"/>
  <c r="H61" i="20"/>
  <c r="I61" i="20" s="1"/>
  <c r="F61" i="20"/>
  <c r="C61" i="20"/>
  <c r="T60" i="20"/>
  <c r="V60" i="20" s="1"/>
  <c r="H60" i="20"/>
  <c r="I60" i="20" s="1"/>
  <c r="F60" i="20"/>
  <c r="C60" i="20"/>
  <c r="T59" i="20"/>
  <c r="V59" i="20" s="1"/>
  <c r="H59" i="20"/>
  <c r="I59" i="20" s="1"/>
  <c r="F59" i="20"/>
  <c r="C59" i="20"/>
  <c r="T58" i="20"/>
  <c r="V58" i="20" s="1"/>
  <c r="H58" i="20"/>
  <c r="I58" i="20" s="1"/>
  <c r="F58" i="20"/>
  <c r="C58" i="20"/>
  <c r="T57" i="20"/>
  <c r="V57" i="20" s="1"/>
  <c r="H57" i="20"/>
  <c r="I57" i="20" s="1"/>
  <c r="F57" i="20"/>
  <c r="C57" i="20"/>
  <c r="T56" i="20"/>
  <c r="V56" i="20" s="1"/>
  <c r="H56" i="20"/>
  <c r="I56" i="20" s="1"/>
  <c r="F56" i="20"/>
  <c r="C56" i="20"/>
  <c r="T55" i="20"/>
  <c r="H55" i="20"/>
  <c r="I55" i="20" s="1"/>
  <c r="F55" i="20"/>
  <c r="C55" i="20"/>
  <c r="T54" i="20"/>
  <c r="H54" i="20"/>
  <c r="I54" i="20" s="1"/>
  <c r="F54" i="20"/>
  <c r="C54" i="20"/>
  <c r="T53" i="20"/>
  <c r="H53" i="20"/>
  <c r="I53" i="20" s="1"/>
  <c r="F53" i="20"/>
  <c r="C53" i="20"/>
  <c r="T52" i="20"/>
  <c r="V52" i="20" s="1"/>
  <c r="H52" i="20"/>
  <c r="I52" i="20" s="1"/>
  <c r="F52" i="20"/>
  <c r="C52" i="20"/>
  <c r="T51" i="20"/>
  <c r="V51" i="20" s="1"/>
  <c r="H51" i="20"/>
  <c r="I51" i="20" s="1"/>
  <c r="F51" i="20"/>
  <c r="C51" i="20"/>
  <c r="T50" i="20"/>
  <c r="V50" i="20" s="1"/>
  <c r="H50" i="20"/>
  <c r="I50" i="20" s="1"/>
  <c r="F50" i="20"/>
  <c r="C50" i="20"/>
  <c r="T49" i="20"/>
  <c r="H49" i="20"/>
  <c r="I49" i="20" s="1"/>
  <c r="F49" i="20"/>
  <c r="C49" i="20"/>
  <c r="T48" i="20"/>
  <c r="V48" i="20" s="1"/>
  <c r="H48" i="20"/>
  <c r="I48" i="20" s="1"/>
  <c r="F48" i="20"/>
  <c r="C48" i="20"/>
  <c r="T47" i="20"/>
  <c r="V47" i="20" s="1"/>
  <c r="H47" i="20"/>
  <c r="I47" i="20" s="1"/>
  <c r="F47" i="20"/>
  <c r="C47" i="20"/>
  <c r="T46" i="20"/>
  <c r="V46" i="20" s="1"/>
  <c r="H46" i="20"/>
  <c r="I46" i="20" s="1"/>
  <c r="F46" i="20"/>
  <c r="C46" i="20"/>
  <c r="T45" i="20"/>
  <c r="V45" i="20" s="1"/>
  <c r="H45" i="20"/>
  <c r="I45" i="20" s="1"/>
  <c r="F45" i="20"/>
  <c r="C45" i="20"/>
  <c r="T44" i="20"/>
  <c r="V44" i="20" s="1"/>
  <c r="H44" i="20"/>
  <c r="I44" i="20" s="1"/>
  <c r="F44" i="20"/>
  <c r="C44" i="20"/>
  <c r="T43" i="20"/>
  <c r="H43" i="20"/>
  <c r="I43" i="20" s="1"/>
  <c r="F43" i="20"/>
  <c r="C43" i="20"/>
  <c r="T42" i="20"/>
  <c r="H42" i="20"/>
  <c r="I42" i="20" s="1"/>
  <c r="F42" i="20"/>
  <c r="C42" i="20"/>
  <c r="T41" i="20"/>
  <c r="H41" i="20"/>
  <c r="I41" i="20" s="1"/>
  <c r="F41" i="20"/>
  <c r="C41" i="20"/>
  <c r="T40" i="20"/>
  <c r="V40" i="20" s="1"/>
  <c r="H40" i="20"/>
  <c r="I40" i="20" s="1"/>
  <c r="F40" i="20"/>
  <c r="C40" i="20"/>
  <c r="T39" i="20"/>
  <c r="V39" i="20" s="1"/>
  <c r="H39" i="20"/>
  <c r="I39" i="20" s="1"/>
  <c r="F39" i="20"/>
  <c r="C39" i="20"/>
  <c r="T38" i="20"/>
  <c r="V38" i="20" s="1"/>
  <c r="H38" i="20"/>
  <c r="I38" i="20" s="1"/>
  <c r="F38" i="20"/>
  <c r="C38" i="20"/>
  <c r="T37" i="20"/>
  <c r="H37" i="20"/>
  <c r="I37" i="20" s="1"/>
  <c r="F37" i="20"/>
  <c r="C37" i="20"/>
  <c r="T36" i="20"/>
  <c r="V36" i="20" s="1"/>
  <c r="H36" i="20"/>
  <c r="I36" i="20" s="1"/>
  <c r="F36" i="20"/>
  <c r="C36" i="20"/>
  <c r="T35" i="20"/>
  <c r="V35" i="20" s="1"/>
  <c r="H35" i="20"/>
  <c r="I35" i="20" s="1"/>
  <c r="F35" i="20"/>
  <c r="C35" i="20"/>
  <c r="T34" i="20"/>
  <c r="V34" i="20" s="1"/>
  <c r="H34" i="20"/>
  <c r="I34" i="20" s="1"/>
  <c r="F34" i="20"/>
  <c r="C34" i="20"/>
  <c r="T33" i="20"/>
  <c r="V33" i="20" s="1"/>
  <c r="H33" i="20"/>
  <c r="I33" i="20" s="1"/>
  <c r="F33" i="20"/>
  <c r="C33" i="20"/>
  <c r="T32" i="20"/>
  <c r="V32" i="20" s="1"/>
  <c r="H32" i="20"/>
  <c r="I32" i="20" s="1"/>
  <c r="F32" i="20"/>
  <c r="C32" i="20"/>
  <c r="T31" i="20"/>
  <c r="H31" i="20"/>
  <c r="I31" i="20" s="1"/>
  <c r="F31" i="20"/>
  <c r="C31" i="20"/>
  <c r="T30" i="20"/>
  <c r="H30" i="20"/>
  <c r="I30" i="20" s="1"/>
  <c r="F30" i="20"/>
  <c r="C30" i="20"/>
  <c r="T29" i="20"/>
  <c r="H29" i="20"/>
  <c r="I29" i="20" s="1"/>
  <c r="F29" i="20"/>
  <c r="C29" i="20"/>
  <c r="T28" i="20"/>
  <c r="V28" i="20" s="1"/>
  <c r="H28" i="20"/>
  <c r="I28" i="20" s="1"/>
  <c r="F28" i="20"/>
  <c r="C28" i="20"/>
  <c r="T27" i="20"/>
  <c r="V27" i="20" s="1"/>
  <c r="H27" i="20"/>
  <c r="I27" i="20" s="1"/>
  <c r="F27" i="20"/>
  <c r="C27" i="20"/>
  <c r="T26" i="20"/>
  <c r="V26" i="20" s="1"/>
  <c r="H26" i="20"/>
  <c r="I26" i="20" s="1"/>
  <c r="F26" i="20"/>
  <c r="C26" i="20"/>
  <c r="T25" i="20"/>
  <c r="H25" i="20"/>
  <c r="I25" i="20" s="1"/>
  <c r="F25" i="20"/>
  <c r="C25" i="20"/>
  <c r="T24" i="20"/>
  <c r="V24" i="20" s="1"/>
  <c r="H24" i="20"/>
  <c r="I24" i="20" s="1"/>
  <c r="F24" i="20"/>
  <c r="C24" i="20"/>
  <c r="T23" i="20"/>
  <c r="V23" i="20" s="1"/>
  <c r="H23" i="20"/>
  <c r="I23" i="20" s="1"/>
  <c r="F23" i="20"/>
  <c r="C23" i="20"/>
  <c r="T22" i="20"/>
  <c r="V22" i="20" s="1"/>
  <c r="H22" i="20"/>
  <c r="I22" i="20" s="1"/>
  <c r="F22" i="20"/>
  <c r="C22" i="20"/>
  <c r="T21" i="20"/>
  <c r="V21" i="20" s="1"/>
  <c r="H21" i="20"/>
  <c r="I21" i="20" s="1"/>
  <c r="F21" i="20"/>
  <c r="C21" i="20"/>
  <c r="T20" i="20"/>
  <c r="V20" i="20" s="1"/>
  <c r="H20" i="20"/>
  <c r="I20" i="20" s="1"/>
  <c r="F20" i="20"/>
  <c r="C20" i="20"/>
  <c r="T19" i="20"/>
  <c r="H19" i="20"/>
  <c r="I19" i="20" s="1"/>
  <c r="F19" i="20"/>
  <c r="C19" i="20"/>
  <c r="T18" i="20"/>
  <c r="H18" i="20"/>
  <c r="I18" i="20" s="1"/>
  <c r="F18" i="20"/>
  <c r="C18" i="20"/>
  <c r="T17" i="20"/>
  <c r="H17" i="20"/>
  <c r="I17" i="20" s="1"/>
  <c r="F17" i="20"/>
  <c r="C17" i="20"/>
  <c r="T16" i="20"/>
  <c r="H16" i="20"/>
  <c r="I16" i="20" s="1"/>
  <c r="F16" i="20"/>
  <c r="C16" i="20"/>
  <c r="T15" i="20"/>
  <c r="G41" i="9" s="1"/>
  <c r="H15" i="20"/>
  <c r="I15" i="20" s="1"/>
  <c r="F15" i="20"/>
  <c r="C15" i="20"/>
  <c r="G10" i="20"/>
  <c r="N9" i="20"/>
  <c r="G9" i="20"/>
  <c r="U6" i="20"/>
  <c r="K6" i="20"/>
  <c r="E6" i="20"/>
  <c r="K5" i="20"/>
  <c r="E5" i="20"/>
  <c r="T64" i="17"/>
  <c r="T63" i="17"/>
  <c r="T62" i="17"/>
  <c r="T61" i="17"/>
  <c r="T60" i="17"/>
  <c r="T59" i="17"/>
  <c r="T58" i="17"/>
  <c r="T57" i="17"/>
  <c r="T56" i="17"/>
  <c r="T55" i="17"/>
  <c r="T54" i="17"/>
  <c r="T53" i="17"/>
  <c r="T52" i="17"/>
  <c r="T51" i="17"/>
  <c r="T50" i="17"/>
  <c r="T49" i="17"/>
  <c r="T48" i="17"/>
  <c r="T47" i="17"/>
  <c r="T46" i="17"/>
  <c r="T45" i="17"/>
  <c r="T44" i="17"/>
  <c r="T43" i="17"/>
  <c r="T42" i="17"/>
  <c r="T41" i="17"/>
  <c r="T40" i="17"/>
  <c r="T39" i="17"/>
  <c r="T38" i="17"/>
  <c r="T37" i="17"/>
  <c r="T36" i="17"/>
  <c r="T35" i="17"/>
  <c r="T34" i="17"/>
  <c r="T33" i="17"/>
  <c r="T32" i="17"/>
  <c r="T31" i="17"/>
  <c r="T30" i="17"/>
  <c r="T29" i="17"/>
  <c r="T28" i="17"/>
  <c r="T27" i="17"/>
  <c r="T26" i="17"/>
  <c r="T25" i="17"/>
  <c r="T24" i="17"/>
  <c r="T23" i="17"/>
  <c r="T22" i="17"/>
  <c r="T21" i="17"/>
  <c r="T20" i="17"/>
  <c r="T19" i="17"/>
  <c r="T18" i="17"/>
  <c r="T17" i="17"/>
  <c r="T16" i="17"/>
  <c r="T15" i="17"/>
  <c r="F39" i="9" s="1"/>
  <c r="N9" i="17"/>
  <c r="G10" i="17"/>
  <c r="G9" i="17"/>
  <c r="U6" i="17"/>
  <c r="K6" i="17"/>
  <c r="K5" i="17"/>
  <c r="E6" i="17"/>
  <c r="E5" i="17"/>
  <c r="V54" i="21" l="1"/>
  <c r="V17" i="21"/>
  <c r="V44" i="21"/>
  <c r="V41" i="20"/>
  <c r="V53" i="20"/>
  <c r="V18" i="20"/>
  <c r="V54" i="20"/>
  <c r="V30" i="20"/>
  <c r="V42" i="20"/>
  <c r="V29" i="20"/>
  <c r="V31" i="20"/>
  <c r="V43" i="20"/>
  <c r="V55" i="20"/>
  <c r="V17" i="20"/>
  <c r="V19" i="20"/>
  <c r="V15" i="21"/>
  <c r="V15" i="20"/>
  <c r="H33" i="9"/>
  <c r="H34" i="9"/>
  <c r="H32" i="9"/>
  <c r="H35" i="9"/>
  <c r="H36" i="9"/>
  <c r="H37" i="9"/>
  <c r="H38" i="9"/>
  <c r="H39" i="9"/>
  <c r="H40" i="9"/>
  <c r="G39" i="9"/>
  <c r="G32" i="9"/>
  <c r="G33" i="9"/>
  <c r="G34" i="9"/>
  <c r="G35" i="9"/>
  <c r="G36" i="9"/>
  <c r="G37" i="9"/>
  <c r="G38" i="9"/>
  <c r="G40" i="9"/>
  <c r="V16" i="20"/>
  <c r="I39" i="9" l="1"/>
  <c r="C18" i="9"/>
  <c r="K17" i="9"/>
  <c r="I17" i="9"/>
  <c r="V71" i="17" l="1"/>
  <c r="V72" i="17"/>
  <c r="V75" i="17"/>
  <c r="V78" i="17"/>
  <c r="V83" i="17"/>
  <c r="V84" i="17"/>
  <c r="V87" i="17"/>
  <c r="V90" i="17"/>
  <c r="V95" i="17"/>
  <c r="V96" i="17"/>
  <c r="V102" i="17"/>
  <c r="V104" i="17"/>
  <c r="V105" i="17"/>
  <c r="V107" i="17"/>
  <c r="V108" i="17"/>
  <c r="V113" i="17"/>
  <c r="V114" i="17"/>
  <c r="V20" i="17"/>
  <c r="V21" i="17"/>
  <c r="V29" i="17"/>
  <c r="V32" i="17"/>
  <c r="V33" i="17"/>
  <c r="V39" i="17"/>
  <c r="V41" i="17"/>
  <c r="V44" i="17"/>
  <c r="V45" i="17"/>
  <c r="V51" i="17"/>
  <c r="V53" i="17"/>
  <c r="V56" i="17"/>
  <c r="V57" i="17"/>
  <c r="V63" i="17"/>
  <c r="V115" i="17"/>
  <c r="H115" i="17"/>
  <c r="I115" i="17" s="1"/>
  <c r="C115" i="17"/>
  <c r="H114" i="17"/>
  <c r="I114" i="17" s="1"/>
  <c r="C114" i="17"/>
  <c r="H113" i="17"/>
  <c r="I113" i="17" s="1"/>
  <c r="C113" i="17"/>
  <c r="V112" i="17"/>
  <c r="H112" i="17"/>
  <c r="I112" i="17" s="1"/>
  <c r="C112" i="17"/>
  <c r="V111" i="17"/>
  <c r="H111" i="17"/>
  <c r="I111" i="17" s="1"/>
  <c r="C111" i="17"/>
  <c r="V110" i="17"/>
  <c r="H110" i="17"/>
  <c r="I110" i="17" s="1"/>
  <c r="C110" i="17"/>
  <c r="V109" i="17"/>
  <c r="H109" i="17"/>
  <c r="I109" i="17" s="1"/>
  <c r="C109" i="17"/>
  <c r="H108" i="17"/>
  <c r="I108" i="17" s="1"/>
  <c r="C108" i="17"/>
  <c r="H107" i="17"/>
  <c r="I107" i="17" s="1"/>
  <c r="C107" i="17"/>
  <c r="V106" i="17"/>
  <c r="H106" i="17"/>
  <c r="I106" i="17" s="1"/>
  <c r="C106" i="17"/>
  <c r="H105" i="17"/>
  <c r="I105" i="17" s="1"/>
  <c r="C105" i="17"/>
  <c r="H104" i="17"/>
  <c r="I104" i="17" s="1"/>
  <c r="C104" i="17"/>
  <c r="V103" i="17"/>
  <c r="H103" i="17"/>
  <c r="I103" i="17" s="1"/>
  <c r="C103" i="17"/>
  <c r="H102" i="17"/>
  <c r="I102" i="17" s="1"/>
  <c r="C102" i="17"/>
  <c r="V101" i="17"/>
  <c r="H101" i="17"/>
  <c r="I101" i="17" s="1"/>
  <c r="C101" i="17"/>
  <c r="V100" i="17"/>
  <c r="H100" i="17"/>
  <c r="I100" i="17" s="1"/>
  <c r="C100" i="17"/>
  <c r="V99" i="17"/>
  <c r="H99" i="17"/>
  <c r="I99" i="17" s="1"/>
  <c r="C99" i="17"/>
  <c r="V98" i="17"/>
  <c r="H98" i="17"/>
  <c r="I98" i="17" s="1"/>
  <c r="C98" i="17"/>
  <c r="V97" i="17"/>
  <c r="H97" i="17"/>
  <c r="I97" i="17" s="1"/>
  <c r="C97" i="17"/>
  <c r="H96" i="17"/>
  <c r="I96" i="17" s="1"/>
  <c r="C96" i="17"/>
  <c r="H95" i="17"/>
  <c r="I95" i="17" s="1"/>
  <c r="C95" i="17"/>
  <c r="V94" i="17"/>
  <c r="H94" i="17"/>
  <c r="I94" i="17" s="1"/>
  <c r="C94" i="17"/>
  <c r="V93" i="17"/>
  <c r="H93" i="17"/>
  <c r="I93" i="17" s="1"/>
  <c r="C93" i="17"/>
  <c r="V92" i="17"/>
  <c r="H92" i="17"/>
  <c r="I92" i="17" s="1"/>
  <c r="C92" i="17"/>
  <c r="V91" i="17"/>
  <c r="H91" i="17"/>
  <c r="I91" i="17" s="1"/>
  <c r="C91" i="17"/>
  <c r="H90" i="17"/>
  <c r="I90" i="17" s="1"/>
  <c r="C90" i="17"/>
  <c r="V89" i="17"/>
  <c r="H89" i="17"/>
  <c r="I89" i="17" s="1"/>
  <c r="C89" i="17"/>
  <c r="V88" i="17"/>
  <c r="H88" i="17"/>
  <c r="I88" i="17" s="1"/>
  <c r="C88" i="17"/>
  <c r="H87" i="17"/>
  <c r="I87" i="17" s="1"/>
  <c r="C87" i="17"/>
  <c r="V86" i="17"/>
  <c r="H86" i="17"/>
  <c r="I86" i="17" s="1"/>
  <c r="C86" i="17"/>
  <c r="V85" i="17"/>
  <c r="H85" i="17"/>
  <c r="I85" i="17" s="1"/>
  <c r="C85" i="17"/>
  <c r="H84" i="17"/>
  <c r="I84" i="17" s="1"/>
  <c r="C84" i="17"/>
  <c r="H83" i="17"/>
  <c r="I83" i="17" s="1"/>
  <c r="C83" i="17"/>
  <c r="V82" i="17"/>
  <c r="H82" i="17"/>
  <c r="I82" i="17" s="1"/>
  <c r="C82" i="17"/>
  <c r="V81" i="17"/>
  <c r="H81" i="17"/>
  <c r="I81" i="17" s="1"/>
  <c r="C81" i="17"/>
  <c r="V80" i="17"/>
  <c r="H80" i="17"/>
  <c r="I80" i="17" s="1"/>
  <c r="C80" i="17"/>
  <c r="V79" i="17"/>
  <c r="H79" i="17"/>
  <c r="I79" i="17" s="1"/>
  <c r="C79" i="17"/>
  <c r="H78" i="17"/>
  <c r="I78" i="17" s="1"/>
  <c r="C78" i="17"/>
  <c r="V77" i="17"/>
  <c r="H77" i="17"/>
  <c r="I77" i="17" s="1"/>
  <c r="C77" i="17"/>
  <c r="V76" i="17"/>
  <c r="H76" i="17"/>
  <c r="I76" i="17" s="1"/>
  <c r="C76" i="17"/>
  <c r="H75" i="17"/>
  <c r="I75" i="17" s="1"/>
  <c r="C75" i="17"/>
  <c r="V74" i="17"/>
  <c r="H74" i="17"/>
  <c r="I74" i="17" s="1"/>
  <c r="C74" i="17"/>
  <c r="V73" i="17"/>
  <c r="H73" i="17"/>
  <c r="I73" i="17" s="1"/>
  <c r="C73" i="17"/>
  <c r="H72" i="17"/>
  <c r="I72" i="17" s="1"/>
  <c r="C72" i="17"/>
  <c r="H71" i="17"/>
  <c r="I71" i="17" s="1"/>
  <c r="C71" i="17"/>
  <c r="V70" i="17"/>
  <c r="H70" i="17"/>
  <c r="I70" i="17" s="1"/>
  <c r="C70" i="17"/>
  <c r="V69" i="17"/>
  <c r="H69" i="17"/>
  <c r="I69" i="17" s="1"/>
  <c r="C69" i="17"/>
  <c r="H68" i="17"/>
  <c r="I68" i="17" s="1"/>
  <c r="C68" i="17"/>
  <c r="H67" i="17"/>
  <c r="I67" i="17" s="1"/>
  <c r="C67" i="17"/>
  <c r="H66" i="17"/>
  <c r="I66" i="17" s="1"/>
  <c r="C66" i="17"/>
  <c r="V64" i="17"/>
  <c r="H64" i="17"/>
  <c r="I64" i="17" s="1"/>
  <c r="F64" i="17"/>
  <c r="C64" i="17"/>
  <c r="H63" i="17"/>
  <c r="I63" i="17" s="1"/>
  <c r="F63" i="17"/>
  <c r="C63" i="17"/>
  <c r="V62" i="17"/>
  <c r="H62" i="17"/>
  <c r="I62" i="17" s="1"/>
  <c r="F62" i="17"/>
  <c r="C62" i="17"/>
  <c r="V61" i="17"/>
  <c r="H61" i="17"/>
  <c r="I61" i="17" s="1"/>
  <c r="F61" i="17"/>
  <c r="C61" i="17"/>
  <c r="V60" i="17"/>
  <c r="H60" i="17"/>
  <c r="I60" i="17" s="1"/>
  <c r="F60" i="17"/>
  <c r="C60" i="17"/>
  <c r="V59" i="17"/>
  <c r="H59" i="17"/>
  <c r="I59" i="17" s="1"/>
  <c r="F59" i="17"/>
  <c r="C59" i="17"/>
  <c r="V58" i="17"/>
  <c r="H58" i="17"/>
  <c r="I58" i="17" s="1"/>
  <c r="F58" i="17"/>
  <c r="C58" i="17"/>
  <c r="H57" i="17"/>
  <c r="I57" i="17" s="1"/>
  <c r="F57" i="17"/>
  <c r="C57" i="17"/>
  <c r="H56" i="17"/>
  <c r="I56" i="17" s="1"/>
  <c r="F56" i="17"/>
  <c r="C56" i="17"/>
  <c r="V55" i="17"/>
  <c r="H55" i="17"/>
  <c r="I55" i="17" s="1"/>
  <c r="F55" i="17"/>
  <c r="C55" i="17"/>
  <c r="V54" i="17"/>
  <c r="H54" i="17"/>
  <c r="I54" i="17" s="1"/>
  <c r="F54" i="17"/>
  <c r="C54" i="17"/>
  <c r="H53" i="17"/>
  <c r="I53" i="17" s="1"/>
  <c r="F53" i="17"/>
  <c r="C53" i="17"/>
  <c r="V52" i="17"/>
  <c r="H52" i="17"/>
  <c r="I52" i="17" s="1"/>
  <c r="F52" i="17"/>
  <c r="C52" i="17"/>
  <c r="H51" i="17"/>
  <c r="I51" i="17" s="1"/>
  <c r="F51" i="17"/>
  <c r="C51" i="17"/>
  <c r="V50" i="17"/>
  <c r="H50" i="17"/>
  <c r="I50" i="17" s="1"/>
  <c r="F50" i="17"/>
  <c r="C50" i="17"/>
  <c r="V49" i="17"/>
  <c r="H49" i="17"/>
  <c r="I49" i="17" s="1"/>
  <c r="F49" i="17"/>
  <c r="C49" i="17"/>
  <c r="V48" i="17"/>
  <c r="H48" i="17"/>
  <c r="I48" i="17" s="1"/>
  <c r="F48" i="17"/>
  <c r="C48" i="17"/>
  <c r="V47" i="17"/>
  <c r="H47" i="17"/>
  <c r="I47" i="17" s="1"/>
  <c r="F47" i="17"/>
  <c r="C47" i="17"/>
  <c r="V46" i="17"/>
  <c r="H46" i="17"/>
  <c r="I46" i="17" s="1"/>
  <c r="F46" i="17"/>
  <c r="C46" i="17"/>
  <c r="H45" i="17"/>
  <c r="I45" i="17" s="1"/>
  <c r="F45" i="17"/>
  <c r="C45" i="17"/>
  <c r="H44" i="17"/>
  <c r="I44" i="17" s="1"/>
  <c r="F44" i="17"/>
  <c r="C44" i="17"/>
  <c r="V43" i="17"/>
  <c r="H43" i="17"/>
  <c r="I43" i="17" s="1"/>
  <c r="F43" i="17"/>
  <c r="C43" i="17"/>
  <c r="V42" i="17"/>
  <c r="H42" i="17"/>
  <c r="I42" i="17" s="1"/>
  <c r="F42" i="17"/>
  <c r="C42" i="17"/>
  <c r="H41" i="17"/>
  <c r="I41" i="17" s="1"/>
  <c r="F41" i="17"/>
  <c r="C41" i="17"/>
  <c r="V40" i="17"/>
  <c r="H40" i="17"/>
  <c r="I40" i="17" s="1"/>
  <c r="F40" i="17"/>
  <c r="C40" i="17"/>
  <c r="H39" i="17"/>
  <c r="I39" i="17" s="1"/>
  <c r="F39" i="17"/>
  <c r="C39" i="17"/>
  <c r="V38" i="17"/>
  <c r="H38" i="17"/>
  <c r="I38" i="17" s="1"/>
  <c r="F38" i="17"/>
  <c r="C38" i="17"/>
  <c r="V37" i="17"/>
  <c r="H37" i="17"/>
  <c r="I37" i="17" s="1"/>
  <c r="F37" i="17"/>
  <c r="C37" i="17"/>
  <c r="V36" i="17"/>
  <c r="H36" i="17"/>
  <c r="I36" i="17" s="1"/>
  <c r="F36" i="17"/>
  <c r="C36" i="17"/>
  <c r="V35" i="17"/>
  <c r="H35" i="17"/>
  <c r="I35" i="17" s="1"/>
  <c r="F35" i="17"/>
  <c r="C35" i="17"/>
  <c r="V34" i="17"/>
  <c r="H34" i="17"/>
  <c r="I34" i="17" s="1"/>
  <c r="F34" i="17"/>
  <c r="C34" i="17"/>
  <c r="H33" i="17"/>
  <c r="I33" i="17" s="1"/>
  <c r="F33" i="17"/>
  <c r="C33" i="17"/>
  <c r="H32" i="17"/>
  <c r="I32" i="17" s="1"/>
  <c r="F32" i="17"/>
  <c r="C32" i="17"/>
  <c r="V31" i="17"/>
  <c r="H31" i="17"/>
  <c r="I31" i="17" s="1"/>
  <c r="F31" i="17"/>
  <c r="C31" i="17"/>
  <c r="V30" i="17"/>
  <c r="H30" i="17"/>
  <c r="I30" i="17" s="1"/>
  <c r="F30" i="17"/>
  <c r="C30" i="17"/>
  <c r="H29" i="17"/>
  <c r="I29" i="17" s="1"/>
  <c r="F29" i="17"/>
  <c r="C29" i="17"/>
  <c r="V28" i="17"/>
  <c r="H28" i="17"/>
  <c r="I28" i="17" s="1"/>
  <c r="F28" i="17"/>
  <c r="C28" i="17"/>
  <c r="V27" i="17"/>
  <c r="H27" i="17"/>
  <c r="I27" i="17" s="1"/>
  <c r="F27" i="17"/>
  <c r="C27" i="17"/>
  <c r="V26" i="17"/>
  <c r="H26" i="17"/>
  <c r="I26" i="17" s="1"/>
  <c r="F26" i="17"/>
  <c r="C26" i="17"/>
  <c r="V25" i="17"/>
  <c r="H25" i="17"/>
  <c r="I25" i="17" s="1"/>
  <c r="F25" i="17"/>
  <c r="C25" i="17"/>
  <c r="V24" i="17"/>
  <c r="H24" i="17"/>
  <c r="I24" i="17" s="1"/>
  <c r="F24" i="17"/>
  <c r="C24" i="17"/>
  <c r="V23" i="17"/>
  <c r="H23" i="17"/>
  <c r="I23" i="17" s="1"/>
  <c r="F23" i="17"/>
  <c r="C23" i="17"/>
  <c r="V22" i="17"/>
  <c r="H22" i="17"/>
  <c r="I22" i="17" s="1"/>
  <c r="F22" i="17"/>
  <c r="C22" i="17"/>
  <c r="H21" i="17"/>
  <c r="I21" i="17" s="1"/>
  <c r="F21" i="17"/>
  <c r="C21" i="17"/>
  <c r="H20" i="17"/>
  <c r="I20" i="17" s="1"/>
  <c r="F20" i="17"/>
  <c r="C20" i="17"/>
  <c r="V19" i="17"/>
  <c r="H19" i="17"/>
  <c r="I19" i="17" s="1"/>
  <c r="F19" i="17"/>
  <c r="C19" i="17"/>
  <c r="V18" i="17"/>
  <c r="H18" i="17"/>
  <c r="I18" i="17" s="1"/>
  <c r="F18" i="17"/>
  <c r="C18" i="17"/>
  <c r="H17" i="17"/>
  <c r="I17" i="17" s="1"/>
  <c r="F17" i="17"/>
  <c r="C17" i="17"/>
  <c r="H16" i="17"/>
  <c r="I16" i="17" s="1"/>
  <c r="F16" i="17"/>
  <c r="C16" i="17"/>
  <c r="H15" i="17"/>
  <c r="I15" i="17" s="1"/>
  <c r="F15" i="17"/>
  <c r="C15" i="17"/>
  <c r="K18" i="9"/>
  <c r="I18" i="9"/>
  <c r="F32" i="9" l="1"/>
  <c r="I32" i="9" s="1"/>
  <c r="F41" i="9"/>
  <c r="I41" i="9" s="1"/>
  <c r="F40" i="9"/>
  <c r="I40" i="9" s="1"/>
  <c r="F38" i="9"/>
  <c r="I38" i="9" s="1"/>
  <c r="F37" i="9"/>
  <c r="I37" i="9" s="1"/>
  <c r="F36" i="9"/>
  <c r="I36" i="9" s="1"/>
  <c r="F35" i="9"/>
  <c r="I35" i="9" s="1"/>
  <c r="F34" i="9"/>
  <c r="I34" i="9" s="1"/>
  <c r="F33" i="9"/>
  <c r="I33" i="9" s="1"/>
  <c r="V68" i="17"/>
  <c r="V15" i="17"/>
  <c r="V17" i="17"/>
  <c r="V66" i="17"/>
  <c r="V16" i="17"/>
  <c r="V67" i="17"/>
  <c r="AE35" i="9" l="1"/>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7" i="9" l="1"/>
  <c r="R9" i="9" s="1"/>
  <c r="S7" i="9"/>
  <c r="S9" i="9" s="1"/>
  <c r="T7" i="9"/>
  <c r="T9" i="9" s="1"/>
  <c r="V7" i="9"/>
  <c r="V9" i="9" s="1"/>
  <c r="U7" i="9"/>
  <c r="U9" i="9" s="1"/>
  <c r="W7" i="9"/>
  <c r="W9" i="9" s="1"/>
  <c r="X7" i="9"/>
  <c r="X9" i="9" s="1"/>
  <c r="Y7" i="9"/>
  <c r="Y9" i="9" s="1"/>
  <c r="Z7" i="9"/>
  <c r="Z9" i="9" s="1"/>
  <c r="AA7" i="9"/>
  <c r="AA9" i="9" s="1"/>
  <c r="AB7" i="9"/>
  <c r="AB9" i="9" s="1"/>
  <c r="E117" i="8"/>
  <c r="AC7" i="9" l="1"/>
  <c r="AC9" i="9" s="1"/>
</calcChain>
</file>

<file path=xl/sharedStrings.xml><?xml version="1.0" encoding="utf-8"?>
<sst xmlns="http://schemas.openxmlformats.org/spreadsheetml/2006/main" count="260" uniqueCount="141">
  <si>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</si>
  <si>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</si>
  <si>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</si>
  <si>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</si>
  <si>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</si>
  <si>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</si>
  <si>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</si>
  <si>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</si>
  <si>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</si>
  <si>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</si>
  <si>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</si>
  <si>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</si>
  <si>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</si>
  <si>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</si>
  <si>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</si>
  <si>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</si>
  <si>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</si>
  <si>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</si>
  <si>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</si>
  <si>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</si>
  <si>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</si>
  <si>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</si>
  <si>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</si>
  <si>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</si>
  <si>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</si>
  <si>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</si>
  <si>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</si>
  <si>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</si>
  <si>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</si>
  <si>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</si>
  <si>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</si>
  <si>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</si>
  <si>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</si>
  <si>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</si>
  <si>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</si>
  <si>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</si>
  <si>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</si>
  <si>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</si>
  <si>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</si>
  <si>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</si>
  <si>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</si>
  <si>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</si>
  <si>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</si>
  <si>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</si>
  <si>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</si>
  <si>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</si>
  <si>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</si>
  <si>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</si>
  <si>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</si>
  <si>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</si>
  <si>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</si>
  <si>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</si>
  <si>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</si>
  <si>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</si>
  <si>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</si>
  <si>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</si>
  <si>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</si>
  <si>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</si>
  <si>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</si>
  <si>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</si>
  <si>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</si>
  <si>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</si>
  <si>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</si>
  <si>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</si>
  <si>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</si>
  <si>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</si>
  <si>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</si>
  <si>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</si>
  <si>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</si>
  <si>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</si>
  <si>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</si>
  <si>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</si>
  <si>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</si>
  <si>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</si>
  <si>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</si>
  <si>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</si>
  <si>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</si>
  <si>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</si>
  <si>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</si>
  <si>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</si>
  <si>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</si>
  <si>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</si>
  <si>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</si>
  <si>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</si>
  <si>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</si>
  <si>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</si>
  <si>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</si>
  <si>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</si>
  <si>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</si>
  <si>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</si>
  <si>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</si>
  <si>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</si>
  <si>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</si>
  <si>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</si>
  <si>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</si>
  <si>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</si>
  <si>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</si>
  <si>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</si>
  <si>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</si>
  <si>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</si>
  <si>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</si>
  <si>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</si>
  <si>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</si>
  <si>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</si>
  <si>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</si>
  <si>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</si>
  <si>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</si>
  <si>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</si>
  <si>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</si>
  <si>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</si>
  <si>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</si>
  <si>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</si>
  <si>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</si>
  <si>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</si>
  <si>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</si>
  <si>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</si>
  <si>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</si>
  <si>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</si>
  <si>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THIRD TERM</t>
  </si>
  <si>
    <t>SECOND TERM</t>
  </si>
  <si>
    <t>School  Head</t>
  </si>
  <si>
    <t>Sex</t>
  </si>
  <si>
    <t>Araling Panlipunan (AP)</t>
  </si>
  <si>
    <t>EPP/TLE</t>
  </si>
  <si>
    <t>MAPEH</t>
  </si>
  <si>
    <t>Music and Arts</t>
  </si>
  <si>
    <t>Physical Education and Health</t>
  </si>
  <si>
    <t>AP</t>
  </si>
  <si>
    <t>GMRC/VE</t>
  </si>
  <si>
    <t>M A</t>
  </si>
  <si>
    <t>P E H</t>
  </si>
  <si>
    <r>
      <t xml:space="preserve">Sheet Protection Password: </t>
    </r>
    <r>
      <rPr>
        <b/>
        <sz val="12"/>
        <color rgb="FFFF0000"/>
        <rFont val="Arial"/>
        <family val="2"/>
      </rPr>
      <t>password123</t>
    </r>
  </si>
  <si>
    <t>CLASS SUMMARY</t>
  </si>
  <si>
    <t>Term Grade</t>
  </si>
  <si>
    <t/>
  </si>
  <si>
    <t>SCHOOLS DIVISION OF _____</t>
  </si>
  <si>
    <t>District</t>
  </si>
  <si>
    <t>Municipality/City, Province</t>
  </si>
  <si>
    <t>Enhanced Mathematics</t>
  </si>
  <si>
    <t>Enhanced Science</t>
  </si>
  <si>
    <t>(Accepts Grades 4 to 6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</si>
</sst>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7">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font>
    <font>
      <b/>
      <sz val="10"/>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
      <b/>
      <sz val="12"/>
      <color rgb="FFFF0000"/>
      <name val="Arial"/>
      <family val="2"/>
    </font>
    <font>
      <i/>
      <sz val="10"/>
      <color rgb="FF002060"/>
      <name val="Arial"/>
      <family val="2"/>
    </font>
  </fonts>
  <fills count="1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s>
  <borders count="12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0" fontId="46" fillId="0" borderId="68"/>
  </cellStyleXfs>
  <cellXfs count="565">
    <xf numFmtId="0" fontId="0" fillId="0" borderId="0" xfId="0" applyFont="1" applyAlignment="1"/>
    <xf numFmtId="0" fontId="9"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12" fillId="0" borderId="0" xfId="0" applyFont="1" applyAlignment="1">
      <alignment horizontal="left" vertical="center" wrapText="1"/>
    </xf>
    <xf numFmtId="0" fontId="9" fillId="4" borderId="33" xfId="0" applyFont="1" applyFill="1" applyBorder="1" applyAlignment="1">
      <alignment vertical="center"/>
    </xf>
    <xf numFmtId="0" fontId="13" fillId="0" borderId="0" xfId="0" applyFont="1" applyAlignment="1">
      <alignment horizontal="right" vertical="center"/>
    </xf>
    <xf numFmtId="0" fontId="15" fillId="5" borderId="35" xfId="0" applyFont="1" applyFill="1" applyBorder="1" applyAlignment="1">
      <alignment horizontal="center" vertical="center"/>
    </xf>
    <xf numFmtId="0" fontId="12" fillId="0" borderId="0" xfId="0" applyFont="1" applyAlignment="1">
      <alignment horizontal="center" vertical="center" wrapText="1"/>
    </xf>
    <xf numFmtId="0" fontId="14" fillId="3" borderId="38" xfId="0" applyFont="1" applyFill="1" applyBorder="1" applyAlignment="1">
      <alignment vertical="center"/>
    </xf>
    <xf numFmtId="0" fontId="16" fillId="0" borderId="0" xfId="0" applyFont="1" applyAlignment="1">
      <alignment horizontal="center" vertical="center"/>
    </xf>
    <xf numFmtId="0" fontId="9" fillId="3" borderId="39" xfId="0" applyFont="1" applyFill="1" applyBorder="1" applyAlignment="1">
      <alignment vertical="center"/>
    </xf>
    <xf numFmtId="0" fontId="11" fillId="0" borderId="0" xfId="0" applyFont="1" applyAlignment="1">
      <alignment horizontal="center" vertical="center" wrapText="1"/>
    </xf>
    <xf numFmtId="0" fontId="14" fillId="3" borderId="11" xfId="0" applyFont="1" applyFill="1" applyBorder="1" applyAlignment="1">
      <alignment horizontal="center"/>
    </xf>
    <xf numFmtId="0" fontId="14" fillId="3" borderId="11" xfId="0" applyFont="1" applyFill="1" applyBorder="1" applyAlignment="1">
      <alignment horizontal="center"/>
    </xf>
    <xf numFmtId="0" fontId="16" fillId="0" borderId="0" xfId="0" applyFont="1" applyAlignment="1">
      <alignment horizontal="center" vertical="center" wrapText="1"/>
    </xf>
    <xf numFmtId="0" fontId="9" fillId="3" borderId="40" xfId="0" applyFont="1" applyFill="1" applyBorder="1" applyAlignment="1">
      <alignment vertical="center"/>
    </xf>
    <xf numFmtId="0" fontId="11" fillId="0" borderId="0" xfId="0" applyFont="1" applyAlignment="1">
      <alignment horizontal="center" vertical="center" wrapText="1"/>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horizontal="center"/>
    </xf>
    <xf numFmtId="164" fontId="9" fillId="5" borderId="40" xfId="0" applyNumberFormat="1" applyFont="1" applyFill="1" applyBorder="1" applyAlignment="1">
      <alignment horizontal="center"/>
    </xf>
    <xf numFmtId="165" fontId="9" fillId="5" borderId="40" xfId="0" applyNumberFormat="1" applyFont="1" applyFill="1" applyBorder="1" applyAlignment="1">
      <alignment horizontal="center"/>
    </xf>
    <xf numFmtId="0" fontId="9" fillId="5" borderId="40" xfId="0" applyFont="1" applyFill="1" applyBorder="1" applyAlignment="1">
      <alignment vertical="center"/>
    </xf>
    <xf numFmtId="0" fontId="9" fillId="5" borderId="49" xfId="0" applyFont="1" applyFill="1" applyBorder="1" applyAlignment="1">
      <alignment horizontal="left" vertical="center"/>
    </xf>
    <xf numFmtId="0" fontId="19" fillId="0" borderId="0" xfId="0" applyFont="1" applyAlignment="1">
      <alignment horizontal="center" vertical="center"/>
    </xf>
    <xf numFmtId="0" fontId="13" fillId="0" borderId="41" xfId="0" applyFont="1" applyBorder="1" applyAlignment="1">
      <alignment horizontal="center" vertical="center"/>
    </xf>
    <xf numFmtId="0" fontId="9" fillId="4" borderId="59" xfId="0" applyFont="1" applyFill="1" applyBorder="1" applyAlignment="1">
      <alignment vertical="center"/>
    </xf>
    <xf numFmtId="0" fontId="9" fillId="4" borderId="60" xfId="0" applyFont="1" applyFill="1" applyBorder="1" applyAlignment="1">
      <alignment vertical="center"/>
    </xf>
    <xf numFmtId="0" fontId="9" fillId="4" borderId="61" xfId="0" applyFont="1" applyFill="1" applyBorder="1" applyAlignment="1">
      <alignment vertical="center"/>
    </xf>
    <xf numFmtId="0" fontId="17" fillId="0" borderId="0" xfId="0" applyFont="1"/>
    <xf numFmtId="0" fontId="9" fillId="4" borderId="64" xfId="0" applyFont="1" applyFill="1" applyBorder="1" applyAlignment="1">
      <alignment vertical="center"/>
    </xf>
    <xf numFmtId="0" fontId="9" fillId="4" borderId="65" xfId="0" applyFont="1" applyFill="1" applyBorder="1" applyAlignment="1">
      <alignment vertical="center"/>
    </xf>
    <xf numFmtId="0" fontId="9" fillId="5" borderId="66" xfId="0" applyFont="1" applyFill="1" applyBorder="1" applyAlignment="1">
      <alignment vertical="center"/>
    </xf>
    <xf numFmtId="0" fontId="15" fillId="5" borderId="66" xfId="0" applyFont="1" applyFill="1" applyBorder="1" applyAlignment="1">
      <alignment horizontal="center" vertical="center"/>
    </xf>
    <xf numFmtId="0" fontId="9" fillId="4" borderId="67"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8" xfId="0" applyFont="1" applyFill="1" applyBorder="1" applyAlignment="1">
      <alignment vertical="center"/>
    </xf>
    <xf numFmtId="0" fontId="9" fillId="7" borderId="30" xfId="0" applyFont="1" applyFill="1" applyBorder="1" applyAlignment="1">
      <alignment vertical="center"/>
    </xf>
    <xf numFmtId="0" fontId="9" fillId="7" borderId="32" xfId="0" applyFont="1" applyFill="1" applyBorder="1" applyAlignment="1">
      <alignment vertical="center"/>
    </xf>
    <xf numFmtId="0" fontId="9" fillId="7" borderId="59" xfId="0" applyFont="1" applyFill="1" applyBorder="1" applyAlignment="1">
      <alignment vertical="center"/>
    </xf>
    <xf numFmtId="0" fontId="9" fillId="7" borderId="60" xfId="0" applyFont="1" applyFill="1" applyBorder="1" applyAlignment="1">
      <alignment vertical="center"/>
    </xf>
    <xf numFmtId="0" fontId="9" fillId="7" borderId="61" xfId="0" applyFont="1" applyFill="1" applyBorder="1" applyAlignment="1">
      <alignment vertical="center"/>
    </xf>
    <xf numFmtId="0" fontId="9" fillId="4" borderId="70" xfId="0" applyFont="1" applyFill="1" applyBorder="1" applyAlignment="1">
      <alignment vertical="center"/>
    </xf>
    <xf numFmtId="0" fontId="21" fillId="0" borderId="0" xfId="0" applyFont="1" applyAlignment="1">
      <alignment horizontal="right" vertical="center"/>
    </xf>
    <xf numFmtId="0" fontId="13" fillId="6" borderId="4" xfId="0" applyFont="1" applyFill="1" applyBorder="1" applyAlignment="1">
      <alignment horizontal="left" vertical="center"/>
    </xf>
    <xf numFmtId="0" fontId="13" fillId="6" borderId="5" xfId="0"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24" fillId="0" borderId="41" xfId="0" applyFont="1" applyBorder="1" applyAlignment="1">
      <alignment vertical="center"/>
    </xf>
    <xf numFmtId="0" fontId="25" fillId="0" borderId="41" xfId="0" applyFont="1" applyBorder="1" applyAlignment="1">
      <alignment horizontal="center" vertical="center"/>
    </xf>
    <xf numFmtId="0" fontId="16" fillId="6" borderId="3" xfId="0" applyFont="1" applyFill="1" applyBorder="1" applyAlignment="1">
      <alignment horizontal="left" vertical="center"/>
    </xf>
    <xf numFmtId="0" fontId="26" fillId="5" borderId="6" xfId="0" applyFont="1" applyFill="1" applyBorder="1" applyAlignment="1">
      <alignment horizontal="center" vertical="center"/>
    </xf>
    <xf numFmtId="0" fontId="11" fillId="0" borderId="78" xfId="0" applyFont="1" applyBorder="1" applyAlignment="1">
      <alignment horizontal="center" vertical="center"/>
    </xf>
    <xf numFmtId="0" fontId="11" fillId="0" borderId="79" xfId="0" applyFont="1" applyBorder="1" applyAlignment="1">
      <alignment horizontal="center" vertical="center"/>
    </xf>
    <xf numFmtId="0" fontId="11" fillId="0" borderId="74" xfId="0" applyFont="1" applyBorder="1" applyAlignment="1">
      <alignment horizontal="center" vertical="center"/>
    </xf>
    <xf numFmtId="0" fontId="26" fillId="5" borderId="12" xfId="0" applyFont="1" applyFill="1" applyBorder="1" applyAlignment="1">
      <alignment horizontal="center" vertical="center"/>
    </xf>
    <xf numFmtId="0" fontId="11"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75" xfId="0" applyFont="1" applyBorder="1" applyAlignment="1">
      <alignment horizontal="center" vertical="center"/>
    </xf>
    <xf numFmtId="0" fontId="11" fillId="0" borderId="75" xfId="0" applyFont="1" applyBorder="1" applyAlignment="1">
      <alignment horizontal="center" vertical="center"/>
    </xf>
    <xf numFmtId="0" fontId="26" fillId="5" borderId="71" xfId="0" applyFont="1" applyFill="1" applyBorder="1" applyAlignment="1">
      <alignment horizontal="center" vertical="center"/>
    </xf>
    <xf numFmtId="0" fontId="26" fillId="5" borderId="71" xfId="0"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11" fillId="0" borderId="76" xfId="0" applyFont="1" applyBorder="1" applyAlignment="1">
      <alignment horizontal="center" vertical="center"/>
    </xf>
    <xf numFmtId="0" fontId="16" fillId="6" borderId="4" xfId="0" applyFont="1" applyFill="1" applyBorder="1" applyAlignment="1">
      <alignment horizontal="left" vertical="center"/>
    </xf>
    <xf numFmtId="0" fontId="12" fillId="0" borderId="0" xfId="0" applyFont="1"/>
    <xf numFmtId="0" fontId="26" fillId="5" borderId="21" xfId="0" applyFont="1" applyFill="1" applyBorder="1" applyAlignment="1">
      <alignment horizontal="center" vertical="center"/>
    </xf>
    <xf numFmtId="0" fontId="11" fillId="0" borderId="21" xfId="0" applyFont="1" applyBorder="1" applyAlignment="1">
      <alignment horizontal="center" vertical="center"/>
    </xf>
    <xf numFmtId="0" fontId="11" fillId="0" borderId="84" xfId="0" applyFont="1" applyBorder="1" applyAlignment="1">
      <alignment horizontal="center" vertical="center"/>
    </xf>
    <xf numFmtId="0" fontId="19" fillId="0" borderId="41" xfId="0" applyFont="1" applyBorder="1" applyAlignment="1">
      <alignment horizontal="center" vertical="center"/>
    </xf>
    <xf numFmtId="0" fontId="15" fillId="5" borderId="40" xfId="0" applyFont="1" applyFill="1" applyBorder="1" applyAlignment="1">
      <alignment horizontal="center" vertical="center"/>
    </xf>
    <xf numFmtId="0" fontId="38" fillId="5" borderId="6"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71" xfId="0" applyFont="1" applyFill="1" applyBorder="1" applyAlignment="1">
      <alignment horizontal="center" vertical="center"/>
    </xf>
    <xf numFmtId="0" fontId="38" fillId="5" borderId="21" xfId="0" applyFont="1" applyFill="1" applyBorder="1" applyAlignment="1">
      <alignment horizontal="center" vertical="center"/>
    </xf>
    <xf numFmtId="0" fontId="6" fillId="0" borderId="39" xfId="0" applyFont="1" applyBorder="1" applyAlignment="1">
      <alignment horizontal="left"/>
    </xf>
    <xf numFmtId="0" fontId="13" fillId="6" borderId="59" xfId="0" applyFont="1" applyFill="1" applyBorder="1" applyAlignment="1">
      <alignment horizontal="left" vertical="center"/>
    </xf>
    <xf numFmtId="0" fontId="13" fillId="6" borderId="70" xfId="0" applyFont="1" applyFill="1" applyBorder="1" applyAlignment="1">
      <alignment horizontal="left" vertical="center"/>
    </xf>
    <xf numFmtId="0" fontId="11" fillId="0" borderId="0" xfId="0" applyFont="1" applyAlignment="1">
      <alignment horizontal="left" vertical="center"/>
    </xf>
    <xf numFmtId="0" fontId="31" fillId="9" borderId="10" xfId="0" applyFont="1" applyFill="1" applyBorder="1" applyAlignment="1" applyProtection="1">
      <alignment horizontal="center" vertical="center"/>
      <protection hidden="1"/>
    </xf>
    <xf numFmtId="164" fontId="35" fillId="9" borderId="62" xfId="0" applyNumberFormat="1" applyFont="1" applyFill="1" applyBorder="1" applyAlignment="1" applyProtection="1">
      <alignment horizontal="center" vertical="center"/>
      <protection hidden="1"/>
    </xf>
    <xf numFmtId="164" fontId="35" fillId="9" borderId="14" xfId="0" applyNumberFormat="1" applyFont="1" applyFill="1" applyBorder="1" applyAlignment="1" applyProtection="1">
      <alignment horizontal="center" vertical="center"/>
      <protection hidden="1"/>
    </xf>
    <xf numFmtId="164" fontId="35" fillId="9" borderId="76" xfId="0" applyNumberFormat="1" applyFont="1" applyFill="1" applyBorder="1" applyAlignment="1" applyProtection="1">
      <alignment horizontal="center" vertical="center"/>
      <protection hidden="1"/>
    </xf>
    <xf numFmtId="0" fontId="31" fillId="0" borderId="59" xfId="0" applyFont="1" applyBorder="1" applyAlignment="1" applyProtection="1">
      <alignment horizontal="left" vertical="center"/>
      <protection hidden="1"/>
    </xf>
    <xf numFmtId="0" fontId="31" fillId="0" borderId="41" xfId="0" applyFont="1" applyBorder="1" applyAlignment="1" applyProtection="1">
      <alignment horizontal="left" vertical="center"/>
      <protection hidden="1"/>
    </xf>
    <xf numFmtId="0" fontId="31" fillId="9" borderId="26" xfId="0" applyFont="1" applyFill="1" applyBorder="1" applyAlignment="1" applyProtection="1">
      <alignment horizontal="center" vertical="center"/>
      <protection hidden="1"/>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0" xfId="0" applyFont="1" applyAlignment="1"/>
    <xf numFmtId="0" fontId="11" fillId="0" borderId="0" xfId="0" applyFont="1" applyAlignment="1">
      <alignment horizontal="center" vertical="center"/>
    </xf>
    <xf numFmtId="0" fontId="0" fillId="0" borderId="68" xfId="0" applyFont="1" applyBorder="1" applyAlignment="1"/>
    <xf numFmtId="0" fontId="6" fillId="0" borderId="68" xfId="0" applyFont="1" applyBorder="1" applyAlignment="1"/>
    <xf numFmtId="0" fontId="51" fillId="5" borderId="50" xfId="0" applyFont="1" applyFill="1" applyBorder="1" applyAlignment="1">
      <alignment vertical="center"/>
    </xf>
    <xf numFmtId="0" fontId="10" fillId="0" borderId="9" xfId="0" applyFont="1" applyFill="1" applyBorder="1" applyAlignment="1" applyProtection="1">
      <alignment horizontal="center"/>
      <protection hidden="1"/>
    </xf>
    <xf numFmtId="0" fontId="11" fillId="0" borderId="68" xfId="0" applyFont="1" applyBorder="1" applyAlignment="1">
      <alignment horizontal="center" vertical="center" wrapText="1"/>
    </xf>
    <xf numFmtId="0" fontId="50" fillId="0" borderId="68" xfId="0" applyFont="1" applyBorder="1" applyAlignment="1">
      <alignment horizontal="left" vertical="center"/>
    </xf>
    <xf numFmtId="0" fontId="50" fillId="0" borderId="68" xfId="0" applyFont="1" applyBorder="1" applyAlignment="1">
      <alignment horizontal="center" vertical="center"/>
    </xf>
    <xf numFmtId="0" fontId="37" fillId="0" borderId="68" xfId="0" applyFont="1" applyBorder="1" applyAlignment="1">
      <alignment horizontal="center"/>
    </xf>
    <xf numFmtId="0" fontId="16" fillId="0" borderId="68" xfId="0" applyFont="1" applyBorder="1" applyAlignment="1">
      <alignment horizontal="right" vertical="center"/>
    </xf>
    <xf numFmtId="0" fontId="36" fillId="0" borderId="68" xfId="0" applyFont="1" applyBorder="1" applyAlignment="1">
      <alignment horizontal="right" vertical="center"/>
    </xf>
    <xf numFmtId="0" fontId="24" fillId="0" borderId="45" xfId="0" applyFont="1" applyBorder="1" applyAlignment="1">
      <alignment vertical="center"/>
    </xf>
    <xf numFmtId="0" fontId="4" fillId="9" borderId="103" xfId="0" applyFont="1" applyFill="1" applyBorder="1" applyAlignment="1" applyProtection="1">
      <alignment horizontal="center" vertical="center"/>
      <protection hidden="1"/>
    </xf>
    <xf numFmtId="0" fontId="4" fillId="9" borderId="105" xfId="0" applyFont="1" applyFill="1" applyBorder="1" applyAlignment="1" applyProtection="1">
      <alignment horizontal="center" vertical="center"/>
      <protection hidden="1"/>
    </xf>
    <xf numFmtId="0" fontId="4" fillId="9" borderId="106" xfId="0" applyFont="1" applyFill="1" applyBorder="1" applyAlignment="1" applyProtection="1">
      <alignment horizontal="center" vertical="center"/>
      <protection hidden="1"/>
    </xf>
    <xf numFmtId="0" fontId="4" fillId="9" borderId="107" xfId="0" applyFont="1" applyFill="1" applyBorder="1" applyAlignment="1" applyProtection="1">
      <alignment horizontal="center" vertical="center"/>
      <protection hidden="1"/>
    </xf>
    <xf numFmtId="0" fontId="13" fillId="6" borderId="68" xfId="0" applyFont="1" applyFill="1" applyBorder="1" applyAlignment="1">
      <alignment horizontal="left" vertical="center"/>
    </xf>
    <xf numFmtId="1" fontId="39" fillId="0" borderId="95" xfId="0" applyNumberFormat="1" applyFont="1" applyBorder="1" applyAlignment="1" applyProtection="1">
      <alignment horizontal="center" vertical="center"/>
      <protection hidden="1"/>
    </xf>
    <xf numFmtId="0" fontId="27" fillId="0" borderId="41" xfId="0" applyFont="1" applyBorder="1" applyAlignment="1" applyProtection="1">
      <alignment horizontal="center" vertical="center"/>
      <protection hidden="1"/>
    </xf>
    <xf numFmtId="0" fontId="12" fillId="0" borderId="0" xfId="0" applyFont="1" applyFill="1" applyProtection="1">
      <protection hidden="1"/>
    </xf>
    <xf numFmtId="0" fontId="0" fillId="0" borderId="0" xfId="0" applyFont="1" applyAlignment="1"/>
    <xf numFmtId="0" fontId="11" fillId="0" borderId="0" xfId="0" applyFont="1" applyAlignment="1">
      <alignment horizontal="center" vertical="center"/>
    </xf>
    <xf numFmtId="0" fontId="0" fillId="0" borderId="0" xfId="0" applyFont="1" applyAlignment="1"/>
    <xf numFmtId="0" fontId="11" fillId="0" borderId="0" xfId="0" applyFont="1" applyAlignment="1">
      <alignment horizontal="center" vertical="center"/>
    </xf>
    <xf numFmtId="0" fontId="2" fillId="9" borderId="105" xfId="0" applyFont="1" applyFill="1" applyBorder="1" applyAlignment="1" applyProtection="1">
      <alignment horizontal="center" vertical="center"/>
      <protection hidden="1"/>
    </xf>
    <xf numFmtId="0" fontId="2" fillId="9" borderId="106" xfId="0" applyFont="1" applyFill="1" applyBorder="1" applyAlignment="1" applyProtection="1">
      <alignment horizontal="center" vertical="center"/>
      <protection hidden="1"/>
    </xf>
    <xf numFmtId="0" fontId="0" fillId="0" borderId="0" xfId="0" applyFont="1" applyAlignment="1"/>
    <xf numFmtId="0" fontId="11" fillId="0" borderId="0" xfId="0" applyFont="1" applyAlignment="1">
      <alignment horizontal="center" vertical="center"/>
    </xf>
    <xf numFmtId="0" fontId="40" fillId="0" borderId="95" xfId="0" applyFont="1" applyBorder="1" applyAlignment="1" applyProtection="1">
      <alignment horizontal="center" vertical="center"/>
      <protection hidden="1"/>
    </xf>
    <xf numFmtId="0" fontId="40" fillId="0" borderId="95" xfId="0" applyFont="1" applyFill="1" applyBorder="1" applyAlignment="1" applyProtection="1">
      <alignment horizontal="center" vertical="center"/>
      <protection hidden="1"/>
    </xf>
    <xf numFmtId="14" fontId="9" fillId="5" borderId="40" xfId="0" applyNumberFormat="1" applyFont="1" applyFill="1" applyBorder="1" applyAlignment="1">
      <alignment horizontal="center"/>
    </xf>
    <xf numFmtId="0" fontId="9" fillId="5" borderId="40" xfId="0" applyFont="1" applyFill="1" applyBorder="1" applyAlignment="1">
      <alignment horizontal="center" vertical="center"/>
    </xf>
    <xf numFmtId="164" fontId="9" fillId="5" borderId="40" xfId="0" applyNumberFormat="1" applyFont="1" applyFill="1" applyBorder="1" applyAlignment="1">
      <alignment horizontal="center" vertical="center"/>
    </xf>
    <xf numFmtId="0" fontId="0" fillId="0" borderId="0" xfId="0" applyFont="1" applyAlignment="1"/>
    <xf numFmtId="0" fontId="36" fillId="0" borderId="91" xfId="0" applyFont="1" applyBorder="1" applyAlignment="1" applyProtection="1">
      <alignment horizontal="center" vertical="center"/>
      <protection hidden="1"/>
    </xf>
    <xf numFmtId="0" fontId="11" fillId="0" borderId="0" xfId="0" applyFont="1" applyAlignment="1">
      <alignment horizontal="center" vertical="center"/>
    </xf>
    <xf numFmtId="0" fontId="4" fillId="9" borderId="20" xfId="0" applyFont="1" applyFill="1" applyBorder="1" applyAlignment="1" applyProtection="1">
      <alignment horizontal="center" vertical="center"/>
      <protection hidden="1"/>
    </xf>
    <xf numFmtId="0" fontId="4" fillId="9" borderId="85" xfId="0" applyFont="1" applyFill="1" applyBorder="1" applyAlignment="1" applyProtection="1">
      <alignment horizontal="center" vertical="center"/>
      <protection hidden="1"/>
    </xf>
    <xf numFmtId="0" fontId="36" fillId="0" borderId="115" xfId="0" applyFont="1" applyBorder="1" applyAlignment="1" applyProtection="1">
      <alignment horizontal="center" vertical="center"/>
      <protection hidden="1"/>
    </xf>
    <xf numFmtId="0" fontId="16" fillId="0" borderId="115" xfId="0" applyFont="1" applyBorder="1" applyAlignment="1" applyProtection="1">
      <alignment horizontal="center" vertical="center"/>
      <protection hidden="1"/>
    </xf>
    <xf numFmtId="0" fontId="4" fillId="0" borderId="105" xfId="0" applyFont="1" applyBorder="1" applyAlignment="1">
      <alignment horizontal="center" vertical="center"/>
    </xf>
    <xf numFmtId="0" fontId="4" fillId="0" borderId="106" xfId="0" applyFont="1" applyBorder="1" applyAlignment="1">
      <alignment horizontal="center" vertical="center"/>
    </xf>
    <xf numFmtId="0" fontId="4" fillId="0" borderId="107" xfId="0" applyFont="1" applyBorder="1" applyAlignment="1">
      <alignment horizontal="center" vertical="center"/>
    </xf>
    <xf numFmtId="0" fontId="56" fillId="5" borderId="39" xfId="0" applyFont="1" applyFill="1" applyBorder="1" applyAlignment="1">
      <alignment horizontal="center" vertical="center"/>
    </xf>
    <xf numFmtId="1" fontId="9" fillId="5" borderId="40" xfId="0" applyNumberFormat="1" applyFont="1" applyFill="1" applyBorder="1" applyAlignment="1">
      <alignment horizontal="center"/>
    </xf>
    <xf numFmtId="1" fontId="9" fillId="5" borderId="40" xfId="0" applyNumberFormat="1" applyFont="1" applyFill="1" applyBorder="1" applyAlignment="1">
      <alignment horizontal="center" vertical="center"/>
    </xf>
    <xf numFmtId="164" fontId="35" fillId="9" borderId="77" xfId="0" applyNumberFormat="1" applyFont="1" applyFill="1" applyBorder="1" applyAlignment="1" applyProtection="1">
      <alignment horizontal="center" vertical="center"/>
      <protection hidden="1"/>
    </xf>
    <xf numFmtId="165" fontId="35" fillId="9" borderId="16" xfId="0" applyNumberFormat="1" applyFont="1" applyFill="1" applyBorder="1" applyAlignment="1" applyProtection="1">
      <alignment horizontal="center" vertical="center"/>
      <protection hidden="1"/>
    </xf>
    <xf numFmtId="165" fontId="35" fillId="9" borderId="26" xfId="0" applyNumberFormat="1" applyFont="1" applyFill="1" applyBorder="1" applyAlignment="1" applyProtection="1">
      <alignment horizontal="center" vertical="center"/>
      <protection hidden="1"/>
    </xf>
    <xf numFmtId="0" fontId="11" fillId="0" borderId="0" xfId="0" applyFont="1" applyAlignment="1" applyProtection="1">
      <alignment horizontal="left" vertical="center"/>
      <protection locked="0"/>
    </xf>
    <xf numFmtId="0" fontId="0" fillId="0" borderId="0" xfId="0" applyFont="1" applyAlignment="1" applyProtection="1">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9" xfId="0" applyFont="1" applyBorder="1" applyAlignment="1" applyProtection="1">
      <alignment horizontal="left" vertical="center"/>
      <protection locked="0"/>
    </xf>
    <xf numFmtId="0" fontId="31" fillId="0" borderId="41"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6" fillId="0" borderId="115"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16" fillId="0" borderId="115" xfId="0" applyFont="1" applyBorder="1" applyAlignment="1" applyProtection="1">
      <alignment horizontal="center" vertical="center"/>
      <protection locked="0"/>
    </xf>
    <xf numFmtId="0" fontId="38" fillId="5" borderId="6" xfId="0" applyFont="1" applyFill="1" applyBorder="1" applyAlignment="1" applyProtection="1">
      <alignment horizontal="center" vertical="center"/>
      <protection locked="0"/>
    </xf>
    <xf numFmtId="0" fontId="4" fillId="9" borderId="105" xfId="0" applyFont="1" applyFill="1" applyBorder="1" applyAlignment="1" applyProtection="1">
      <alignment horizontal="center" vertical="center"/>
      <protection locked="0"/>
    </xf>
    <xf numFmtId="0" fontId="4" fillId="0" borderId="77" xfId="0" applyFont="1" applyBorder="1" applyAlignment="1" applyProtection="1">
      <alignment horizontal="center" vertical="center"/>
      <protection locked="0"/>
    </xf>
    <xf numFmtId="0" fontId="4" fillId="0" borderId="63" xfId="0" applyFont="1" applyBorder="1" applyAlignment="1" applyProtection="1">
      <alignment horizontal="center" vertical="center"/>
      <protection locked="0"/>
    </xf>
    <xf numFmtId="0" fontId="4" fillId="0" borderId="103" xfId="0" applyFont="1" applyBorder="1" applyAlignment="1" applyProtection="1">
      <alignment horizontal="center" vertical="center"/>
      <protection locked="0"/>
    </xf>
    <xf numFmtId="0" fontId="4" fillId="0" borderId="105" xfId="0" applyFont="1" applyBorder="1" applyAlignment="1" applyProtection="1">
      <alignment horizontal="center" vertical="center"/>
      <protection locked="0"/>
    </xf>
    <xf numFmtId="0" fontId="38" fillId="5" borderId="12" xfId="0" applyFont="1" applyFill="1" applyBorder="1" applyAlignment="1" applyProtection="1">
      <alignment horizontal="center" vertical="center"/>
      <protection locked="0"/>
    </xf>
    <xf numFmtId="0" fontId="4" fillId="9" borderId="106"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9"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106" xfId="0" applyFont="1" applyBorder="1" applyAlignment="1" applyProtection="1">
      <alignment horizontal="center" vertical="center"/>
      <protection locked="0"/>
    </xf>
    <xf numFmtId="0" fontId="38" fillId="5" borderId="71" xfId="0" applyFont="1" applyFill="1" applyBorder="1" applyAlignment="1" applyProtection="1">
      <alignment horizontal="center" vertical="center"/>
      <protection locked="0"/>
    </xf>
    <xf numFmtId="0" fontId="4" fillId="0" borderId="111" xfId="0" applyFont="1" applyBorder="1" applyAlignment="1" applyProtection="1">
      <alignment horizontal="center" vertical="center"/>
      <protection locked="0"/>
    </xf>
    <xf numFmtId="0" fontId="4" fillId="0" borderId="72" xfId="0" applyFont="1" applyBorder="1" applyAlignment="1" applyProtection="1">
      <alignment horizontal="center" vertical="center"/>
      <protection locked="0"/>
    </xf>
    <xf numFmtId="0" fontId="4" fillId="0" borderId="104" xfId="0" applyFont="1" applyBorder="1" applyAlignment="1" applyProtection="1">
      <alignment horizontal="center" vertical="center"/>
      <protection locked="0"/>
    </xf>
    <xf numFmtId="0" fontId="38" fillId="5" borderId="21" xfId="0" applyFont="1" applyFill="1" applyBorder="1" applyAlignment="1" applyProtection="1">
      <alignment horizontal="center" vertical="center"/>
      <protection locked="0"/>
    </xf>
    <xf numFmtId="0" fontId="4" fillId="9" borderId="107" xfId="0" applyFont="1" applyFill="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73" xfId="0" applyFont="1" applyBorder="1" applyAlignment="1" applyProtection="1">
      <alignment horizontal="center" vertical="center"/>
      <protection locked="0"/>
    </xf>
    <xf numFmtId="0" fontId="4" fillId="0" borderId="85" xfId="0" applyFont="1" applyBorder="1" applyAlignment="1" applyProtection="1">
      <alignment horizontal="center" vertical="center"/>
      <protection locked="0"/>
    </xf>
    <xf numFmtId="0" fontId="4" fillId="0" borderId="107" xfId="0" applyFont="1" applyBorder="1" applyAlignment="1" applyProtection="1">
      <alignment horizontal="center" vertical="center"/>
      <protection locked="0"/>
    </xf>
    <xf numFmtId="0" fontId="13" fillId="6" borderId="59" xfId="0" applyFont="1" applyFill="1" applyBorder="1" applyAlignment="1" applyProtection="1">
      <alignment horizontal="left" vertical="center"/>
      <protection locked="0"/>
    </xf>
    <xf numFmtId="0" fontId="13" fillId="6" borderId="70" xfId="0" applyFont="1" applyFill="1" applyBorder="1" applyAlignment="1" applyProtection="1">
      <alignment horizontal="left" vertical="center"/>
      <protection locked="0"/>
    </xf>
    <xf numFmtId="0" fontId="13" fillId="6" borderId="68"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5" xfId="0" applyFont="1" applyFill="1" applyBorder="1" applyAlignment="1" applyProtection="1">
      <alignment horizontal="left" vertical="center"/>
      <protection locked="0"/>
    </xf>
    <xf numFmtId="0" fontId="2" fillId="9" borderId="105" xfId="0" applyFont="1" applyFill="1" applyBorder="1" applyAlignment="1" applyProtection="1">
      <alignment horizontal="center" vertical="center"/>
      <protection locked="0"/>
    </xf>
    <xf numFmtId="0" fontId="2" fillId="9" borderId="106" xfId="0" applyFont="1" applyFill="1" applyBorder="1" applyAlignment="1" applyProtection="1">
      <alignment horizontal="center" vertical="center"/>
      <protection locked="0"/>
    </xf>
    <xf numFmtId="0" fontId="31" fillId="9" borderId="105" xfId="0" applyFont="1" applyFill="1" applyBorder="1" applyAlignment="1" applyProtection="1">
      <alignment horizontal="center" vertical="center"/>
      <protection hidden="1"/>
    </xf>
    <xf numFmtId="0" fontId="31" fillId="9" borderId="106" xfId="0" applyFont="1" applyFill="1" applyBorder="1" applyAlignment="1" applyProtection="1">
      <alignment horizontal="center" vertical="center"/>
      <protection hidden="1"/>
    </xf>
    <xf numFmtId="0" fontId="31" fillId="9" borderId="107" xfId="0" applyFont="1" applyFill="1" applyBorder="1" applyAlignment="1" applyProtection="1">
      <alignment horizontal="center" vertical="center"/>
      <protection hidden="1"/>
    </xf>
    <xf numFmtId="0" fontId="1" fillId="0" borderId="20" xfId="0" applyFont="1" applyBorder="1" applyAlignment="1" applyProtection="1">
      <alignment horizontal="center" vertical="center"/>
      <protection locked="0"/>
    </xf>
    <xf numFmtId="0" fontId="12" fillId="0" borderId="0" xfId="0" applyFont="1" applyFill="1" applyProtection="1">
      <protection locked="0"/>
    </xf>
    <xf numFmtId="0" fontId="0" fillId="0" borderId="0" xfId="0" applyFont="1" applyFill="1" applyAlignment="1" applyProtection="1">
      <protection locked="0"/>
    </xf>
    <xf numFmtId="0" fontId="12" fillId="0" borderId="22" xfId="0" applyFont="1" applyFill="1" applyBorder="1" applyProtection="1">
      <protection locked="0"/>
    </xf>
    <xf numFmtId="0" fontId="12" fillId="0" borderId="24" xfId="0" applyFont="1" applyFill="1" applyBorder="1" applyProtection="1">
      <protection locked="0"/>
    </xf>
    <xf numFmtId="0" fontId="12" fillId="0" borderId="27" xfId="0" applyFont="1" applyFill="1" applyBorder="1" applyProtection="1">
      <protection locked="0"/>
    </xf>
    <xf numFmtId="0" fontId="12" fillId="0" borderId="68" xfId="0" applyFont="1" applyFill="1" applyBorder="1" applyProtection="1">
      <protection locked="0"/>
    </xf>
    <xf numFmtId="0" fontId="10" fillId="0" borderId="65" xfId="0" applyFont="1" applyFill="1" applyBorder="1" applyProtection="1">
      <protection locked="0"/>
    </xf>
    <xf numFmtId="0" fontId="10" fillId="0" borderId="0" xfId="0" applyFont="1" applyFill="1" applyProtection="1">
      <protection locked="0"/>
    </xf>
    <xf numFmtId="0" fontId="10" fillId="0" borderId="44" xfId="0" applyFont="1" applyFill="1" applyBorder="1" applyProtection="1">
      <protection locked="0"/>
    </xf>
    <xf numFmtId="0" fontId="10" fillId="0" borderId="68" xfId="0" applyFont="1" applyFill="1" applyBorder="1" applyProtection="1">
      <protection locked="0"/>
    </xf>
    <xf numFmtId="0" fontId="10" fillId="0" borderId="43" xfId="0" applyFont="1" applyFill="1" applyBorder="1" applyProtection="1">
      <protection locked="0"/>
    </xf>
    <xf numFmtId="0" fontId="12" fillId="0" borderId="44" xfId="0" applyFont="1" applyFill="1" applyBorder="1" applyProtection="1">
      <protection locked="0"/>
    </xf>
    <xf numFmtId="0" fontId="10" fillId="0" borderId="65" xfId="0" applyFont="1" applyFill="1" applyBorder="1" applyAlignment="1" applyProtection="1">
      <alignment horizontal="center"/>
      <protection locked="0"/>
    </xf>
    <xf numFmtId="0" fontId="10" fillId="0" borderId="44" xfId="0" applyFont="1" applyFill="1" applyBorder="1" applyAlignment="1" applyProtection="1">
      <alignment horizontal="center"/>
      <protection locked="0"/>
    </xf>
    <xf numFmtId="0" fontId="10" fillId="0" borderId="68"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10" fillId="0" borderId="43" xfId="0" applyFont="1" applyFill="1" applyBorder="1" applyAlignment="1" applyProtection="1">
      <alignment horizontal="center"/>
      <protection locked="0"/>
    </xf>
    <xf numFmtId="0" fontId="8" fillId="0" borderId="40" xfId="0" applyFont="1" applyFill="1" applyBorder="1" applyAlignment="1" applyProtection="1">
      <alignment horizontal="center" vertical="center"/>
      <protection locked="0"/>
    </xf>
    <xf numFmtId="0" fontId="12" fillId="0" borderId="43" xfId="0" applyFont="1" applyFill="1" applyBorder="1" applyProtection="1">
      <protection locked="0"/>
    </xf>
    <xf numFmtId="0" fontId="12" fillId="0" borderId="65" xfId="0" applyFont="1" applyFill="1" applyBorder="1" applyProtection="1">
      <protection locked="0"/>
    </xf>
    <xf numFmtId="0" fontId="8" fillId="0" borderId="65" xfId="0" applyFont="1" applyFill="1" applyBorder="1" applyAlignment="1" applyProtection="1">
      <alignment horizontal="center"/>
      <protection locked="0"/>
    </xf>
    <xf numFmtId="0" fontId="10" fillId="0" borderId="44" xfId="0" applyFont="1" applyFill="1" applyBorder="1" applyAlignment="1" applyProtection="1">
      <alignment horizontal="left"/>
      <protection locked="0"/>
    </xf>
    <xf numFmtId="0" fontId="10" fillId="0" borderId="68"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10" fillId="0" borderId="43" xfId="0" applyFont="1" applyFill="1" applyBorder="1" applyAlignment="1" applyProtection="1">
      <alignment horizontal="left"/>
      <protection locked="0"/>
    </xf>
    <xf numFmtId="0" fontId="8" fillId="0" borderId="44" xfId="0" applyFont="1" applyFill="1" applyBorder="1" applyAlignment="1" applyProtection="1">
      <alignment horizontal="center"/>
      <protection locked="0"/>
    </xf>
    <xf numFmtId="0" fontId="8" fillId="0" borderId="68"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8" fillId="0" borderId="43" xfId="0" applyFont="1" applyFill="1" applyBorder="1" applyAlignment="1" applyProtection="1">
      <alignment horizontal="center"/>
      <protection locked="0"/>
    </xf>
    <xf numFmtId="0" fontId="10" fillId="0" borderId="65" xfId="0" applyFont="1" applyFill="1" applyBorder="1" applyAlignment="1" applyProtection="1">
      <alignment horizontal="left"/>
      <protection locked="0"/>
    </xf>
    <xf numFmtId="0" fontId="40" fillId="0" borderId="68" xfId="0" applyFont="1" applyFill="1" applyBorder="1" applyAlignment="1" applyProtection="1">
      <alignment horizontal="left"/>
      <protection locked="0"/>
    </xf>
    <xf numFmtId="0" fontId="10" fillId="0" borderId="44" xfId="0" applyFont="1" applyFill="1" applyBorder="1" applyAlignment="1" applyProtection="1">
      <alignment horizontal="right"/>
      <protection locked="0"/>
    </xf>
    <xf numFmtId="0" fontId="10" fillId="0" borderId="68" xfId="0" applyFont="1" applyFill="1" applyBorder="1" applyAlignment="1" applyProtection="1">
      <alignment horizontal="right"/>
      <protection locked="0"/>
    </xf>
    <xf numFmtId="0" fontId="10" fillId="0" borderId="66" xfId="0" applyFont="1" applyFill="1" applyBorder="1" applyAlignment="1" applyProtection="1">
      <protection locked="0"/>
    </xf>
    <xf numFmtId="0" fontId="6" fillId="0" borderId="66" xfId="0" applyFont="1" applyFill="1" applyBorder="1" applyAlignment="1" applyProtection="1">
      <protection locked="0"/>
    </xf>
    <xf numFmtId="0" fontId="40" fillId="0" borderId="0" xfId="0" applyFont="1" applyFill="1" applyAlignment="1" applyProtection="1">
      <alignment horizontal="left"/>
      <protection locked="0"/>
    </xf>
    <xf numFmtId="0" fontId="10" fillId="0" borderId="65" xfId="0" applyFont="1" applyFill="1" applyBorder="1" applyAlignment="1" applyProtection="1">
      <protection locked="0"/>
    </xf>
    <xf numFmtId="0" fontId="10" fillId="0" borderId="0" xfId="0" applyFont="1" applyFill="1" applyAlignment="1" applyProtection="1">
      <protection locked="0"/>
    </xf>
    <xf numFmtId="0" fontId="10" fillId="0" borderId="9" xfId="0" applyFont="1" applyFill="1" applyBorder="1" applyAlignment="1" applyProtection="1">
      <protection locked="0"/>
    </xf>
    <xf numFmtId="0" fontId="10" fillId="0" borderId="9" xfId="0" applyFont="1" applyFill="1" applyBorder="1" applyProtection="1">
      <protection locked="0"/>
    </xf>
    <xf numFmtId="0" fontId="10" fillId="0" borderId="43" xfId="0" applyFont="1" applyFill="1" applyBorder="1" applyAlignment="1" applyProtection="1">
      <protection locked="0"/>
    </xf>
    <xf numFmtId="0" fontId="10" fillId="0" borderId="65" xfId="0" applyFont="1" applyFill="1" applyBorder="1" applyAlignment="1" applyProtection="1">
      <alignment wrapText="1"/>
      <protection locked="0"/>
    </xf>
    <xf numFmtId="0" fontId="10" fillId="0" borderId="0" xfId="0" applyFont="1" applyFill="1" applyAlignment="1" applyProtection="1">
      <alignment wrapText="1"/>
      <protection locked="0"/>
    </xf>
    <xf numFmtId="0" fontId="10" fillId="0" borderId="44" xfId="0" applyFont="1" applyFill="1" applyBorder="1" applyAlignment="1" applyProtection="1">
      <alignment wrapText="1"/>
      <protection locked="0"/>
    </xf>
    <xf numFmtId="0" fontId="10" fillId="0" borderId="68" xfId="0" applyFont="1" applyFill="1" applyBorder="1" applyAlignment="1" applyProtection="1">
      <alignment wrapText="1"/>
      <protection locked="0"/>
    </xf>
    <xf numFmtId="0" fontId="10" fillId="0" borderId="43" xfId="0" applyFont="1" applyFill="1" applyBorder="1" applyAlignment="1" applyProtection="1">
      <alignment wrapText="1"/>
      <protection locked="0"/>
    </xf>
    <xf numFmtId="0" fontId="40" fillId="0" borderId="0" xfId="0" applyFont="1" applyFill="1" applyProtection="1">
      <protection locked="0"/>
    </xf>
    <xf numFmtId="0" fontId="8" fillId="0" borderId="65" xfId="0" applyFont="1" applyFill="1" applyBorder="1" applyAlignment="1" applyProtection="1">
      <alignment horizontal="center" vertical="center"/>
      <protection locked="0"/>
    </xf>
    <xf numFmtId="0" fontId="8" fillId="0" borderId="44" xfId="0" applyFont="1" applyFill="1" applyBorder="1" applyAlignment="1" applyProtection="1">
      <alignment horizontal="center" vertical="center"/>
      <protection locked="0"/>
    </xf>
    <xf numFmtId="0" fontId="8" fillId="0" borderId="68" xfId="0" applyFont="1" applyFill="1" applyBorder="1" applyAlignment="1" applyProtection="1">
      <alignment horizontal="center" vertical="center"/>
      <protection locked="0"/>
    </xf>
    <xf numFmtId="0" fontId="8" fillId="0" borderId="0" xfId="0" applyFont="1" applyFill="1" applyAlignment="1" applyProtection="1">
      <alignment horizontal="center" vertical="center"/>
      <protection locked="0"/>
    </xf>
    <xf numFmtId="0" fontId="8" fillId="0" borderId="43" xfId="0" applyFont="1" applyFill="1" applyBorder="1" applyAlignment="1" applyProtection="1">
      <alignment horizontal="center" vertical="center"/>
      <protection locked="0"/>
    </xf>
    <xf numFmtId="0" fontId="12" fillId="0" borderId="9" xfId="0" applyFont="1" applyFill="1" applyBorder="1" applyProtection="1">
      <protection locked="0"/>
    </xf>
    <xf numFmtId="0" fontId="39" fillId="0" borderId="95" xfId="0" applyFont="1" applyBorder="1" applyAlignment="1" applyProtection="1">
      <alignment horizontal="center" vertical="center"/>
      <protection locked="0"/>
    </xf>
    <xf numFmtId="4" fontId="28" fillId="0" borderId="65" xfId="0" applyNumberFormat="1" applyFont="1" applyFill="1" applyBorder="1" applyAlignment="1" applyProtection="1">
      <alignment horizontal="left" wrapText="1"/>
      <protection locked="0"/>
    </xf>
    <xf numFmtId="0" fontId="10" fillId="0" borderId="98" xfId="0" applyFont="1" applyFill="1" applyBorder="1" applyProtection="1">
      <protection locked="0"/>
    </xf>
    <xf numFmtId="4" fontId="29" fillId="0" borderId="65" xfId="0" applyNumberFormat="1" applyFont="1" applyFill="1" applyBorder="1" applyAlignment="1" applyProtection="1">
      <alignment horizontal="left" wrapText="1"/>
      <protection locked="0"/>
    </xf>
    <xf numFmtId="4" fontId="30" fillId="0" borderId="65" xfId="0" applyNumberFormat="1" applyFont="1" applyFill="1" applyBorder="1" applyAlignment="1" applyProtection="1">
      <alignment horizontal="center" wrapText="1"/>
      <protection locked="0"/>
    </xf>
    <xf numFmtId="0" fontId="8" fillId="0" borderId="65" xfId="0" applyFont="1" applyFill="1" applyBorder="1" applyAlignment="1" applyProtection="1">
      <protection locked="0"/>
    </xf>
    <xf numFmtId="0" fontId="11" fillId="0" borderId="44" xfId="0" applyFont="1" applyFill="1" applyBorder="1" applyProtection="1">
      <protection locked="0"/>
    </xf>
    <xf numFmtId="0" fontId="11" fillId="0" borderId="68" xfId="0" applyFont="1" applyFill="1" applyBorder="1" applyProtection="1">
      <protection locked="0"/>
    </xf>
    <xf numFmtId="0" fontId="12" fillId="0" borderId="59" xfId="0" applyFont="1" applyFill="1" applyBorder="1" applyProtection="1">
      <protection locked="0"/>
    </xf>
    <xf numFmtId="0" fontId="12" fillId="0" borderId="47" xfId="0" applyFont="1" applyFill="1" applyBorder="1" applyProtection="1">
      <protection locked="0"/>
    </xf>
    <xf numFmtId="0" fontId="12" fillId="0" borderId="70" xfId="0" applyFont="1" applyFill="1" applyBorder="1" applyProtection="1">
      <protection locked="0"/>
    </xf>
    <xf numFmtId="0" fontId="12" fillId="0" borderId="48" xfId="0" applyFont="1" applyFill="1" applyBorder="1" applyProtection="1">
      <protection locked="0"/>
    </xf>
    <xf numFmtId="0" fontId="12" fillId="0" borderId="46" xfId="0" applyFont="1" applyFill="1" applyBorder="1" applyProtection="1">
      <protection locked="0"/>
    </xf>
    <xf numFmtId="3" fontId="41" fillId="0" borderId="95" xfId="0" applyNumberFormat="1" applyFont="1" applyBorder="1" applyAlignment="1" applyProtection="1">
      <alignment horizontal="center" vertical="center" wrapText="1"/>
      <protection hidden="1"/>
    </xf>
    <xf numFmtId="3" fontId="41" fillId="0" borderId="95" xfId="0" applyNumberFormat="1" applyFont="1" applyFill="1" applyBorder="1" applyAlignment="1" applyProtection="1">
      <alignment horizontal="center" vertical="center" wrapText="1"/>
      <protection hidden="1"/>
    </xf>
    <xf numFmtId="0" fontId="47" fillId="10" borderId="96" xfId="0" applyFont="1" applyFill="1" applyBorder="1" applyAlignment="1">
      <alignment horizontal="center" vertical="center"/>
    </xf>
    <xf numFmtId="0" fontId="47" fillId="10" borderId="97" xfId="0" applyFont="1" applyFill="1" applyBorder="1" applyAlignment="1">
      <alignment horizontal="center" vertical="center"/>
    </xf>
    <xf numFmtId="0" fontId="47" fillId="10" borderId="113" xfId="0" applyFont="1" applyFill="1" applyBorder="1" applyAlignment="1">
      <alignment horizontal="center" vertical="center"/>
    </xf>
    <xf numFmtId="0" fontId="47" fillId="10" borderId="93" xfId="0" applyFont="1" applyFill="1" applyBorder="1" applyAlignment="1">
      <alignment horizontal="center" vertical="center"/>
    </xf>
    <xf numFmtId="0" fontId="47" fillId="10" borderId="68" xfId="0" applyFont="1" applyFill="1" applyBorder="1" applyAlignment="1">
      <alignment horizontal="center" vertical="center"/>
    </xf>
    <xf numFmtId="0" fontId="47" fillId="10" borderId="94" xfId="0" applyFont="1" applyFill="1" applyBorder="1" applyAlignment="1">
      <alignment horizontal="center" vertical="center"/>
    </xf>
    <xf numFmtId="0" fontId="47" fillId="10" borderId="87" xfId="0" applyFont="1" applyFill="1" applyBorder="1" applyAlignment="1">
      <alignment horizontal="center" vertical="center"/>
    </xf>
    <xf numFmtId="0" fontId="47" fillId="10" borderId="92" xfId="0" applyFont="1" applyFill="1" applyBorder="1" applyAlignment="1">
      <alignment horizontal="center" vertical="center"/>
    </xf>
    <xf numFmtId="0" fontId="47" fillId="10" borderId="88"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15" fillId="5" borderId="14" xfId="0" applyFont="1" applyFill="1" applyBorder="1" applyAlignment="1">
      <alignment vertical="center"/>
    </xf>
    <xf numFmtId="0" fontId="6" fillId="0" borderId="34" xfId="0" applyFont="1" applyBorder="1"/>
    <xf numFmtId="0" fontId="9" fillId="5" borderId="36" xfId="0" applyFont="1" applyFill="1" applyBorder="1" applyAlignment="1">
      <alignment vertical="center"/>
    </xf>
    <xf numFmtId="0" fontId="6" fillId="0" borderId="37" xfId="0" applyFont="1" applyBorder="1"/>
    <xf numFmtId="0" fontId="9" fillId="5" borderId="15" xfId="0" applyFont="1" applyFill="1" applyBorder="1" applyAlignment="1">
      <alignment vertical="center"/>
    </xf>
    <xf numFmtId="0" fontId="6" fillId="0" borderId="15" xfId="0" applyFont="1" applyBorder="1"/>
    <xf numFmtId="0" fontId="33" fillId="7" borderId="1" xfId="0" applyFont="1" applyFill="1" applyBorder="1" applyAlignment="1">
      <alignment horizontal="left" wrapText="1"/>
    </xf>
    <xf numFmtId="0" fontId="6" fillId="0" borderId="2" xfId="0" applyFont="1" applyBorder="1" applyAlignment="1">
      <alignment horizontal="left"/>
    </xf>
    <xf numFmtId="0" fontId="6" fillId="0" borderId="7" xfId="0" applyFont="1" applyBorder="1" applyAlignment="1">
      <alignment horizontal="left"/>
    </xf>
    <xf numFmtId="0" fontId="6" fillId="0" borderId="11" xfId="0" applyFont="1" applyBorder="1" applyAlignment="1">
      <alignment horizontal="left"/>
    </xf>
    <xf numFmtId="0" fontId="0" fillId="0" borderId="0" xfId="0" applyFont="1" applyAlignment="1">
      <alignment horizontal="left"/>
    </xf>
    <xf numFmtId="0" fontId="6" fillId="0" borderId="13" xfId="0" applyFont="1" applyBorder="1" applyAlignment="1">
      <alignment horizontal="left"/>
    </xf>
    <xf numFmtId="0" fontId="6" fillId="0" borderId="17" xfId="0" applyFont="1" applyBorder="1" applyAlignment="1">
      <alignment horizontal="left"/>
    </xf>
    <xf numFmtId="0" fontId="6" fillId="0" borderId="18" xfId="0" applyFont="1" applyBorder="1" applyAlignment="1">
      <alignment horizontal="left"/>
    </xf>
    <xf numFmtId="0" fontId="6" fillId="0" borderId="19" xfId="0" applyFont="1" applyBorder="1" applyAlignment="1">
      <alignment horizontal="left"/>
    </xf>
    <xf numFmtId="0" fontId="15" fillId="5" borderId="50" xfId="0" applyFont="1" applyFill="1" applyBorder="1" applyAlignment="1">
      <alignment vertical="center"/>
    </xf>
    <xf numFmtId="0" fontId="6" fillId="0" borderId="51" xfId="0" applyFont="1" applyBorder="1"/>
    <xf numFmtId="0" fontId="6" fillId="0" borderId="8" xfId="0" applyFont="1" applyBorder="1"/>
    <xf numFmtId="0" fontId="6" fillId="0" borderId="55" xfId="0" applyFont="1" applyBorder="1"/>
    <xf numFmtId="0" fontId="15" fillId="5" borderId="52" xfId="0" applyFont="1" applyFill="1" applyBorder="1" applyAlignment="1">
      <alignment horizontal="center" vertical="center"/>
    </xf>
    <xf numFmtId="0" fontId="6" fillId="0" borderId="56" xfId="0" applyFont="1" applyBorder="1"/>
    <xf numFmtId="0" fontId="9" fillId="5" borderId="53" xfId="0" applyFont="1" applyFill="1" applyBorder="1" applyAlignment="1">
      <alignment vertical="center" wrapText="1"/>
    </xf>
    <xf numFmtId="0" fontId="6" fillId="0" borderId="54" xfId="0" applyFont="1" applyBorder="1" applyAlignment="1">
      <alignment wrapText="1"/>
    </xf>
    <xf numFmtId="0" fontId="6" fillId="0" borderId="57" xfId="0" applyFont="1" applyBorder="1" applyAlignment="1">
      <alignment wrapText="1"/>
    </xf>
    <xf numFmtId="0" fontId="6" fillId="0" borderId="58" xfId="0" applyFont="1" applyBorder="1" applyAlignment="1">
      <alignment wrapText="1"/>
    </xf>
    <xf numFmtId="0" fontId="9" fillId="5" borderId="36" xfId="0" applyFont="1" applyFill="1" applyBorder="1" applyAlignment="1">
      <alignment horizontal="left" vertical="center"/>
    </xf>
    <xf numFmtId="0" fontId="36" fillId="0" borderId="110" xfId="0" applyFont="1" applyBorder="1" applyAlignment="1" applyProtection="1">
      <alignment horizontal="center" vertical="center"/>
      <protection hidden="1"/>
    </xf>
    <xf numFmtId="0" fontId="36" fillId="0" borderId="59" xfId="0" applyFont="1" applyBorder="1" applyAlignment="1" applyProtection="1">
      <alignment horizontal="center" vertical="center"/>
      <protection hidden="1"/>
    </xf>
    <xf numFmtId="0" fontId="11" fillId="8" borderId="89" xfId="0" applyFont="1" applyFill="1" applyBorder="1" applyAlignment="1">
      <alignment horizontal="center" vertical="center"/>
    </xf>
    <xf numFmtId="0" fontId="11" fillId="8" borderId="90" xfId="0" applyFont="1" applyFill="1" applyBorder="1" applyAlignment="1">
      <alignment horizontal="center" vertical="center"/>
    </xf>
    <xf numFmtId="0" fontId="11" fillId="8" borderId="91" xfId="0" applyFont="1" applyFill="1" applyBorder="1" applyAlignment="1">
      <alignment horizontal="center" vertical="center"/>
    </xf>
    <xf numFmtId="0" fontId="52" fillId="0" borderId="65" xfId="0" applyFont="1" applyBorder="1" applyAlignment="1" applyProtection="1">
      <alignment horizontal="center" vertical="center"/>
      <protection hidden="1"/>
    </xf>
    <xf numFmtId="0" fontId="6" fillId="0" borderId="68" xfId="0" applyFont="1" applyBorder="1" applyProtection="1">
      <protection hidden="1"/>
    </xf>
    <xf numFmtId="0" fontId="6" fillId="0" borderId="67" xfId="0" applyFont="1" applyBorder="1" applyProtection="1">
      <protection hidden="1"/>
    </xf>
    <xf numFmtId="0" fontId="6" fillId="0" borderId="43" xfId="0" applyFont="1" applyBorder="1" applyProtection="1">
      <protection hidden="1"/>
    </xf>
    <xf numFmtId="0" fontId="0" fillId="0" borderId="0" xfId="0" applyFont="1" applyAlignment="1" applyProtection="1">
      <protection hidden="1"/>
    </xf>
    <xf numFmtId="0" fontId="6" fillId="0" borderId="44" xfId="0" applyFont="1" applyBorder="1" applyProtection="1">
      <protection hidden="1"/>
    </xf>
    <xf numFmtId="0" fontId="4" fillId="0" borderId="87" xfId="0" applyFont="1" applyBorder="1" applyAlignment="1" applyProtection="1">
      <alignment horizontal="center" vertical="center"/>
      <protection hidden="1"/>
    </xf>
    <xf numFmtId="0" fontId="4" fillId="0" borderId="92" xfId="0" applyFont="1" applyBorder="1" applyAlignment="1" applyProtection="1">
      <alignment horizontal="center" vertical="center"/>
      <protection hidden="1"/>
    </xf>
    <xf numFmtId="0" fontId="4" fillId="0" borderId="88" xfId="0" applyFont="1" applyBorder="1" applyAlignment="1" applyProtection="1">
      <alignment horizontal="center" vertical="center"/>
      <protection hidden="1"/>
    </xf>
    <xf numFmtId="0" fontId="31" fillId="0" borderId="93" xfId="0" applyFont="1" applyBorder="1" applyAlignment="1" applyProtection="1">
      <alignment horizontal="center" vertical="center"/>
      <protection hidden="1"/>
    </xf>
    <xf numFmtId="0" fontId="31" fillId="0" borderId="94" xfId="0" applyFont="1" applyBorder="1" applyAlignment="1" applyProtection="1">
      <alignment horizontal="center" vertical="center"/>
      <protection hidden="1"/>
    </xf>
    <xf numFmtId="0" fontId="4" fillId="0" borderId="59" xfId="0" applyFont="1" applyBorder="1" applyAlignment="1" applyProtection="1">
      <alignment horizontal="center" vertical="center"/>
      <protection hidden="1"/>
    </xf>
    <xf numFmtId="0" fontId="4" fillId="0" borderId="70" xfId="0" applyFont="1" applyBorder="1" applyAlignment="1" applyProtection="1">
      <alignment horizontal="center" vertical="center"/>
      <protection hidden="1"/>
    </xf>
    <xf numFmtId="0" fontId="4" fillId="0" borderId="94" xfId="0" applyFont="1" applyBorder="1" applyAlignment="1" applyProtection="1">
      <alignment horizontal="center" vertical="center"/>
      <protection hidden="1"/>
    </xf>
    <xf numFmtId="0" fontId="45" fillId="0" borderId="0" xfId="0" applyFont="1" applyAlignment="1">
      <alignment horizontal="center" vertical="center"/>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34" fillId="0" borderId="89" xfId="0" applyFont="1" applyBorder="1" applyAlignment="1" applyProtection="1">
      <alignment horizontal="center"/>
      <protection hidden="1"/>
    </xf>
    <xf numFmtId="0" fontId="34" fillId="0" borderId="91" xfId="0" applyFont="1" applyBorder="1" applyAlignment="1" applyProtection="1">
      <alignment horizontal="center"/>
      <protection hidden="1"/>
    </xf>
    <xf numFmtId="0" fontId="34" fillId="0" borderId="96" xfId="0" applyFont="1" applyBorder="1" applyAlignment="1" applyProtection="1">
      <alignment horizontal="center" vertical="center"/>
      <protection hidden="1"/>
    </xf>
    <xf numFmtId="0" fontId="34" fillId="0" borderId="97" xfId="0" applyFont="1" applyBorder="1" applyAlignment="1" applyProtection="1">
      <alignment horizontal="center" vertical="center"/>
      <protection hidden="1"/>
    </xf>
    <xf numFmtId="0" fontId="34" fillId="0" borderId="113" xfId="0" applyFont="1" applyBorder="1" applyAlignment="1" applyProtection="1">
      <alignment horizontal="center" vertical="center"/>
      <protection hidden="1"/>
    </xf>
    <xf numFmtId="0" fontId="34" fillId="0" borderId="93" xfId="0" applyFont="1" applyBorder="1" applyAlignment="1" applyProtection="1">
      <alignment horizontal="center" vertical="center"/>
      <protection hidden="1"/>
    </xf>
    <xf numFmtId="0" fontId="34" fillId="0" borderId="68" xfId="0" applyFont="1" applyBorder="1" applyAlignment="1" applyProtection="1">
      <alignment horizontal="center" vertical="center"/>
      <protection hidden="1"/>
    </xf>
    <xf numFmtId="0" fontId="34" fillId="0" borderId="92" xfId="0" applyFont="1" applyBorder="1" applyAlignment="1" applyProtection="1">
      <alignment horizontal="center" vertical="center"/>
      <protection hidden="1"/>
    </xf>
    <xf numFmtId="0" fontId="34" fillId="0" borderId="88"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 fillId="0" borderId="90" xfId="0" applyFont="1" applyBorder="1" applyAlignment="1" applyProtection="1">
      <alignment horizontal="center" vertical="center"/>
      <protection hidden="1"/>
    </xf>
    <xf numFmtId="0" fontId="3" fillId="0" borderId="91" xfId="0" applyFont="1" applyBorder="1" applyAlignment="1" applyProtection="1">
      <alignment horizontal="center" vertical="center"/>
      <protection hidden="1"/>
    </xf>
    <xf numFmtId="0" fontId="34" fillId="0" borderId="90" xfId="0" applyFont="1" applyBorder="1" applyAlignment="1" applyProtection="1">
      <alignment horizontal="center"/>
      <protection hidden="1"/>
    </xf>
    <xf numFmtId="0" fontId="36" fillId="0" borderId="65" xfId="0" applyFont="1" applyBorder="1" applyAlignment="1" applyProtection="1">
      <alignment horizontal="center" vertical="center"/>
      <protection hidden="1"/>
    </xf>
    <xf numFmtId="0" fontId="36" fillId="0" borderId="68" xfId="0" applyFont="1" applyBorder="1" applyAlignment="1" applyProtection="1">
      <alignment horizontal="center" vertical="center"/>
      <protection hidden="1"/>
    </xf>
    <xf numFmtId="0" fontId="36" fillId="0" borderId="94" xfId="0" applyFont="1" applyBorder="1" applyAlignment="1" applyProtection="1">
      <alignment horizontal="center" vertical="center"/>
      <protection hidden="1"/>
    </xf>
    <xf numFmtId="0" fontId="36" fillId="0" borderId="89" xfId="0" applyFont="1" applyBorder="1" applyAlignment="1" applyProtection="1">
      <alignment horizontal="center" vertical="center"/>
      <protection hidden="1"/>
    </xf>
    <xf numFmtId="0" fontId="36" fillId="0" borderId="90" xfId="0" applyFont="1" applyBorder="1" applyAlignment="1" applyProtection="1">
      <alignment horizontal="center" vertical="center"/>
      <protection hidden="1"/>
    </xf>
    <xf numFmtId="0" fontId="4" fillId="9" borderId="9" xfId="0" applyFont="1" applyFill="1" applyBorder="1" applyAlignment="1" applyProtection="1">
      <alignment horizontal="left" vertical="center"/>
      <protection hidden="1"/>
    </xf>
    <xf numFmtId="0" fontId="34" fillId="9" borderId="9" xfId="0" applyFont="1" applyFill="1" applyBorder="1" applyProtection="1">
      <protection hidden="1"/>
    </xf>
    <xf numFmtId="0" fontId="34" fillId="9" borderId="10" xfId="0" applyFont="1" applyFill="1" applyBorder="1" applyProtection="1">
      <protection hidden="1"/>
    </xf>
    <xf numFmtId="1" fontId="35" fillId="9" borderId="9" xfId="0" applyNumberFormat="1" applyFont="1" applyFill="1" applyBorder="1" applyAlignment="1" applyProtection="1">
      <alignment horizontal="center" vertical="center"/>
      <protection hidden="1"/>
    </xf>
    <xf numFmtId="1" fontId="34" fillId="9" borderId="10" xfId="0" applyNumberFormat="1" applyFont="1" applyFill="1" applyBorder="1" applyAlignment="1" applyProtection="1">
      <alignment vertical="center"/>
      <protection hidden="1"/>
    </xf>
    <xf numFmtId="0" fontId="36" fillId="0" borderId="112" xfId="0" applyFont="1" applyBorder="1" applyAlignment="1" applyProtection="1">
      <alignment horizontal="center" vertical="center"/>
      <protection hidden="1"/>
    </xf>
    <xf numFmtId="0" fontId="37" fillId="0" borderId="102" xfId="0" applyFont="1" applyBorder="1" applyProtection="1">
      <protection hidden="1"/>
    </xf>
    <xf numFmtId="0" fontId="36" fillId="0" borderId="67" xfId="0" applyFont="1" applyBorder="1" applyAlignment="1" applyProtection="1">
      <alignment horizontal="center" vertical="center"/>
      <protection hidden="1"/>
    </xf>
    <xf numFmtId="0" fontId="37" fillId="0" borderId="61" xfId="0" applyFont="1" applyBorder="1" applyProtection="1">
      <protection hidden="1"/>
    </xf>
    <xf numFmtId="0" fontId="13" fillId="6" borderId="3" xfId="0" applyFont="1" applyFill="1" applyBorder="1" applyAlignment="1">
      <alignment horizontal="left" vertical="center" wrapText="1"/>
    </xf>
    <xf numFmtId="0" fontId="6" fillId="0" borderId="4" xfId="0" applyFont="1" applyBorder="1" applyAlignment="1">
      <alignment wrapText="1"/>
    </xf>
    <xf numFmtId="0" fontId="6" fillId="0" borderId="24" xfId="0" applyFont="1" applyBorder="1" applyAlignment="1">
      <alignment wrapText="1"/>
    </xf>
    <xf numFmtId="0" fontId="6" fillId="0" borderId="70" xfId="0" applyFont="1" applyBorder="1" applyAlignment="1">
      <alignment wrapText="1"/>
    </xf>
    <xf numFmtId="0" fontId="6" fillId="0" borderId="68" xfId="0" applyFont="1" applyBorder="1" applyAlignment="1">
      <alignment wrapText="1"/>
    </xf>
    <xf numFmtId="0" fontId="6" fillId="0" borderId="5" xfId="0" applyFont="1" applyBorder="1" applyAlignment="1">
      <alignment wrapText="1"/>
    </xf>
    <xf numFmtId="0" fontId="18" fillId="0" borderId="22" xfId="0" applyFont="1" applyBorder="1" applyAlignment="1" applyProtection="1">
      <alignment horizontal="center" vertical="center"/>
      <protection hidden="1"/>
    </xf>
    <xf numFmtId="0" fontId="18" fillId="0" borderId="24" xfId="0" applyFont="1" applyBorder="1" applyAlignment="1" applyProtection="1">
      <alignment horizontal="center" vertical="center"/>
      <protection hidden="1"/>
    </xf>
    <xf numFmtId="0" fontId="18" fillId="0" borderId="27" xfId="0" applyFont="1" applyBorder="1" applyAlignment="1" applyProtection="1">
      <alignment horizontal="center" vertical="center"/>
      <protection hidden="1"/>
    </xf>
    <xf numFmtId="0" fontId="18" fillId="0" borderId="65" xfId="0" applyFont="1" applyBorder="1" applyAlignment="1" applyProtection="1">
      <alignment horizontal="center" vertical="center"/>
      <protection hidden="1"/>
    </xf>
    <xf numFmtId="0" fontId="18" fillId="0" borderId="68" xfId="0" applyFont="1" applyBorder="1" applyAlignment="1" applyProtection="1">
      <alignment horizontal="center" vertical="center"/>
      <protection hidden="1"/>
    </xf>
    <xf numFmtId="0" fontId="18" fillId="0" borderId="67" xfId="0" applyFont="1" applyBorder="1" applyAlignment="1" applyProtection="1">
      <alignment horizontal="center" vertical="center"/>
      <protection hidden="1"/>
    </xf>
    <xf numFmtId="0" fontId="18" fillId="0" borderId="59" xfId="0" applyFont="1" applyBorder="1" applyAlignment="1" applyProtection="1">
      <alignment horizontal="center" vertical="center"/>
      <protection hidden="1"/>
    </xf>
    <xf numFmtId="0" fontId="18" fillId="0" borderId="70" xfId="0" applyFont="1" applyBorder="1" applyAlignment="1" applyProtection="1">
      <alignment horizontal="center" vertical="center"/>
      <protection hidden="1"/>
    </xf>
    <xf numFmtId="0" fontId="18" fillId="0" borderId="61" xfId="0" applyFont="1" applyBorder="1" applyAlignment="1" applyProtection="1">
      <alignment horizontal="center" vertical="center"/>
      <protection hidden="1"/>
    </xf>
    <xf numFmtId="0" fontId="36" fillId="0" borderId="22"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61" xfId="0" applyFont="1" applyBorder="1" applyAlignment="1" applyProtection="1">
      <alignment horizontal="center" vertical="center"/>
      <protection hidden="1"/>
    </xf>
    <xf numFmtId="0" fontId="36" fillId="0" borderId="42" xfId="0" applyFont="1" applyBorder="1" applyAlignment="1" applyProtection="1">
      <alignment horizontal="center" vertical="center"/>
      <protection hidden="1"/>
    </xf>
    <xf numFmtId="0" fontId="36" fillId="0" borderId="45" xfId="0" applyFont="1" applyBorder="1" applyAlignment="1" applyProtection="1">
      <alignment horizontal="center" vertical="center"/>
      <protection hidden="1"/>
    </xf>
    <xf numFmtId="0" fontId="37" fillId="0" borderId="45" xfId="0" applyFont="1" applyBorder="1" applyProtection="1">
      <protection hidden="1"/>
    </xf>
    <xf numFmtId="0" fontId="16" fillId="0" borderId="110" xfId="0" applyFont="1" applyBorder="1" applyAlignment="1" applyProtection="1">
      <alignment horizontal="center" vertical="center" wrapText="1"/>
      <protection hidden="1"/>
    </xf>
    <xf numFmtId="0" fontId="36" fillId="0" borderId="45" xfId="0" applyFont="1" applyBorder="1" applyAlignment="1" applyProtection="1">
      <alignment horizontal="center" vertical="center" wrapText="1"/>
      <protection hidden="1"/>
    </xf>
    <xf numFmtId="0" fontId="4" fillId="9" borderId="62" xfId="0" applyFont="1" applyFill="1" applyBorder="1" applyAlignment="1" applyProtection="1">
      <alignment horizontal="left" vertical="center"/>
      <protection hidden="1"/>
    </xf>
    <xf numFmtId="0" fontId="4" fillId="9" borderId="86" xfId="0" applyFont="1" applyFill="1" applyBorder="1" applyAlignment="1" applyProtection="1">
      <alignment horizontal="left" vertical="center"/>
      <protection hidden="1"/>
    </xf>
    <xf numFmtId="1" fontId="4" fillId="9" borderId="100" xfId="0" applyNumberFormat="1" applyFont="1" applyFill="1" applyBorder="1" applyAlignment="1" applyProtection="1">
      <alignment horizontal="center" vertical="center"/>
      <protection hidden="1"/>
    </xf>
    <xf numFmtId="1" fontId="4" fillId="9" borderId="101" xfId="0" applyNumberFormat="1" applyFont="1" applyFill="1" applyBorder="1" applyAlignment="1" applyProtection="1">
      <alignment horizontal="center" vertical="center"/>
      <protection hidden="1"/>
    </xf>
    <xf numFmtId="0" fontId="4" fillId="9" borderId="38" xfId="0" applyFont="1" applyFill="1" applyBorder="1" applyAlignment="1" applyProtection="1">
      <alignment horizontal="left" vertical="center"/>
      <protection hidden="1"/>
    </xf>
    <xf numFmtId="0" fontId="4" fillId="9" borderId="36" xfId="0" applyFont="1" applyFill="1" applyBorder="1" applyAlignment="1" applyProtection="1">
      <alignment horizontal="left" vertical="center"/>
      <protection hidden="1"/>
    </xf>
    <xf numFmtId="1" fontId="4" fillId="9" borderId="116" xfId="0" applyNumberFormat="1" applyFont="1" applyFill="1" applyBorder="1" applyAlignment="1" applyProtection="1">
      <alignment horizontal="center" vertical="center"/>
      <protection hidden="1"/>
    </xf>
    <xf numFmtId="1" fontId="4" fillId="9" borderId="117" xfId="0" applyNumberFormat="1" applyFont="1" applyFill="1" applyBorder="1" applyAlignment="1" applyProtection="1">
      <alignment horizontal="center" vertical="center"/>
      <protection hidden="1"/>
    </xf>
    <xf numFmtId="0" fontId="4" fillId="9" borderId="23" xfId="0" applyFont="1" applyFill="1" applyBorder="1" applyAlignment="1" applyProtection="1">
      <alignment horizontal="left" vertical="center"/>
      <protection hidden="1"/>
    </xf>
    <xf numFmtId="0" fontId="34" fillId="9" borderId="25" xfId="0" applyFont="1" applyFill="1" applyBorder="1" applyProtection="1">
      <protection hidden="1"/>
    </xf>
    <xf numFmtId="0" fontId="34" fillId="9" borderId="26" xfId="0" applyFont="1" applyFill="1" applyBorder="1" applyProtection="1">
      <protection hidden="1"/>
    </xf>
    <xf numFmtId="1" fontId="35" fillId="9" borderId="25" xfId="0" applyNumberFormat="1" applyFont="1" applyFill="1" applyBorder="1" applyAlignment="1" applyProtection="1">
      <alignment horizontal="center" vertical="center"/>
      <protection hidden="1"/>
    </xf>
    <xf numFmtId="1" fontId="34" fillId="9" borderId="26" xfId="0" applyNumberFormat="1" applyFont="1" applyFill="1" applyBorder="1" applyAlignment="1" applyProtection="1">
      <alignment vertical="center"/>
      <protection hidden="1"/>
    </xf>
    <xf numFmtId="0" fontId="4" fillId="9" borderId="25" xfId="0" applyFont="1" applyFill="1" applyBorder="1" applyAlignment="1" applyProtection="1">
      <alignment horizontal="left" vertical="center"/>
      <protection hidden="1"/>
    </xf>
    <xf numFmtId="1" fontId="4" fillId="9" borderId="118" xfId="0" applyNumberFormat="1" applyFont="1" applyFill="1" applyBorder="1" applyAlignment="1" applyProtection="1">
      <alignment horizontal="center" vertical="center"/>
      <protection hidden="1"/>
    </xf>
    <xf numFmtId="1" fontId="4" fillId="9" borderId="119" xfId="0" applyNumberFormat="1" applyFont="1" applyFill="1" applyBorder="1" applyAlignment="1" applyProtection="1">
      <alignment horizontal="center" vertical="center"/>
      <protection hidden="1"/>
    </xf>
    <xf numFmtId="0" fontId="13" fillId="6" borderId="3" xfId="0" applyFont="1" applyFill="1" applyBorder="1" applyAlignment="1">
      <alignment horizontal="left" vertical="center"/>
    </xf>
    <xf numFmtId="0" fontId="6" fillId="0" borderId="4" xfId="0" applyFont="1" applyBorder="1"/>
    <xf numFmtId="0" fontId="6" fillId="0" borderId="24" xfId="0" applyFont="1" applyBorder="1"/>
    <xf numFmtId="0" fontId="6" fillId="0" borderId="70" xfId="0" applyFont="1" applyBorder="1"/>
    <xf numFmtId="0" fontId="6" fillId="0" borderId="68" xfId="0" applyFont="1" applyBorder="1"/>
    <xf numFmtId="0" fontId="6" fillId="0" borderId="5" xfId="0" applyFont="1" applyBorder="1"/>
    <xf numFmtId="0" fontId="13" fillId="6" borderId="3" xfId="0" applyFont="1" applyFill="1" applyBorder="1" applyAlignment="1" applyProtection="1">
      <alignment horizontal="left" vertical="center"/>
      <protection locked="0"/>
    </xf>
    <xf numFmtId="0" fontId="6" fillId="0" borderId="4" xfId="0" applyFont="1" applyBorder="1" applyProtection="1">
      <protection locked="0"/>
    </xf>
    <xf numFmtId="0" fontId="6" fillId="0" borderId="24" xfId="0" applyFont="1" applyBorder="1" applyProtection="1">
      <protection locked="0"/>
    </xf>
    <xf numFmtId="0" fontId="6" fillId="0" borderId="70" xfId="0" applyFont="1" applyBorder="1" applyProtection="1">
      <protection locked="0"/>
    </xf>
    <xf numFmtId="0" fontId="6" fillId="0" borderId="68" xfId="0" applyFont="1" applyBorder="1" applyProtection="1">
      <protection locked="0"/>
    </xf>
    <xf numFmtId="0" fontId="6" fillId="0" borderId="5" xfId="0" applyFont="1" applyBorder="1" applyProtection="1">
      <protection locked="0"/>
    </xf>
    <xf numFmtId="0" fontId="36" fillId="0" borderId="112" xfId="0" applyFont="1" applyBorder="1" applyAlignment="1" applyProtection="1">
      <alignment horizontal="center" vertical="center"/>
      <protection locked="0"/>
    </xf>
    <xf numFmtId="0" fontId="37" fillId="0" borderId="102" xfId="0" applyFont="1" applyBorder="1" applyProtection="1">
      <protection locked="0"/>
    </xf>
    <xf numFmtId="0" fontId="36" fillId="0" borderId="67" xfId="0" applyFont="1" applyBorder="1" applyAlignment="1" applyProtection="1">
      <alignment horizontal="center" vertical="center"/>
      <protection locked="0"/>
    </xf>
    <xf numFmtId="0" fontId="37" fillId="0" borderId="61" xfId="0" applyFont="1" applyBorder="1" applyProtection="1">
      <protection locked="0"/>
    </xf>
    <xf numFmtId="0" fontId="36" fillId="0" borderId="110" xfId="0" applyFont="1" applyBorder="1" applyAlignment="1" applyProtection="1">
      <alignment horizontal="center" vertical="center"/>
      <protection locked="0"/>
    </xf>
    <xf numFmtId="0" fontId="36" fillId="0" borderId="45" xfId="0" applyFont="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65" xfId="0" applyFont="1" applyBorder="1" applyAlignment="1" applyProtection="1">
      <alignment horizontal="center" vertical="center"/>
      <protection locked="0"/>
    </xf>
    <xf numFmtId="0" fontId="36" fillId="0" borderId="68" xfId="0" applyFont="1" applyBorder="1" applyAlignment="1" applyProtection="1">
      <alignment horizontal="center" vertical="center"/>
      <protection locked="0"/>
    </xf>
    <xf numFmtId="0" fontId="36" fillId="0" borderId="94"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65" xfId="0" applyFont="1" applyBorder="1" applyAlignment="1" applyProtection="1">
      <alignment horizontal="center" vertical="center"/>
      <protection locked="0"/>
    </xf>
    <xf numFmtId="0" fontId="18" fillId="0" borderId="68" xfId="0" applyFont="1" applyBorder="1" applyAlignment="1" applyProtection="1">
      <alignment horizontal="center" vertical="center"/>
      <protection locked="0"/>
    </xf>
    <xf numFmtId="0" fontId="18" fillId="0" borderId="67"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70" xfId="0" applyFont="1" applyBorder="1" applyAlignment="1" applyProtection="1">
      <alignment horizontal="center" vertical="center"/>
      <protection locked="0"/>
    </xf>
    <xf numFmtId="0" fontId="18" fillId="0" borderId="61" xfId="0" applyFont="1" applyBorder="1" applyAlignment="1" applyProtection="1">
      <alignment horizontal="center" vertical="center"/>
      <protection locked="0"/>
    </xf>
    <xf numFmtId="0" fontId="36" fillId="0" borderId="22" xfId="0" applyFont="1" applyBorder="1" applyAlignment="1" applyProtection="1">
      <alignment horizontal="center" vertical="center"/>
      <protection locked="0"/>
    </xf>
    <xf numFmtId="0" fontId="36" fillId="0" borderId="27" xfId="0" applyFont="1" applyBorder="1" applyAlignment="1" applyProtection="1">
      <alignment horizontal="center" vertical="center"/>
      <protection locked="0"/>
    </xf>
    <xf numFmtId="0" fontId="36" fillId="0" borderId="61" xfId="0" applyFont="1" applyBorder="1" applyAlignment="1" applyProtection="1">
      <alignment horizontal="center" vertical="center"/>
      <protection locked="0"/>
    </xf>
    <xf numFmtId="0" fontId="36" fillId="0" borderId="42" xfId="0" applyFont="1" applyBorder="1" applyAlignment="1" applyProtection="1">
      <alignment horizontal="center" vertical="center"/>
      <protection locked="0"/>
    </xf>
    <xf numFmtId="0" fontId="37" fillId="0" borderId="45" xfId="0" applyFont="1" applyBorder="1" applyProtection="1">
      <protection locked="0"/>
    </xf>
    <xf numFmtId="0" fontId="36" fillId="0" borderId="89" xfId="0" applyFont="1" applyBorder="1" applyAlignment="1" applyProtection="1">
      <alignment horizontal="center" vertical="center"/>
      <protection locked="0"/>
    </xf>
    <xf numFmtId="0" fontId="36" fillId="0" borderId="90" xfId="0" applyFont="1" applyBorder="1" applyAlignment="1" applyProtection="1">
      <alignment horizontal="center" vertical="center"/>
      <protection locked="0"/>
    </xf>
    <xf numFmtId="0" fontId="11" fillId="8" borderId="89" xfId="0" applyFont="1" applyFill="1" applyBorder="1" applyAlignment="1" applyProtection="1">
      <alignment horizontal="center" vertical="center"/>
      <protection locked="0"/>
    </xf>
    <xf numFmtId="0" fontId="11" fillId="8" borderId="90" xfId="0" applyFont="1" applyFill="1" applyBorder="1" applyAlignment="1" applyProtection="1">
      <alignment horizontal="center" vertical="center"/>
      <protection locked="0"/>
    </xf>
    <xf numFmtId="0" fontId="11" fillId="8" borderId="91" xfId="0" applyFont="1" applyFill="1" applyBorder="1" applyAlignment="1" applyProtection="1">
      <alignment horizontal="center" vertical="center"/>
      <protection locked="0"/>
    </xf>
    <xf numFmtId="0" fontId="52" fillId="0" borderId="65" xfId="0" applyFont="1" applyBorder="1" applyAlignment="1" applyProtection="1">
      <alignment horizontal="center" vertical="center"/>
      <protection locked="0"/>
    </xf>
    <xf numFmtId="0" fontId="6" fillId="0" borderId="67" xfId="0" applyFont="1" applyBorder="1" applyProtection="1">
      <protection locked="0"/>
    </xf>
    <xf numFmtId="0" fontId="6" fillId="0" borderId="43" xfId="0" applyFont="1" applyBorder="1" applyProtection="1">
      <protection locked="0"/>
    </xf>
    <xf numFmtId="0" fontId="0" fillId="0" borderId="0" xfId="0" applyFont="1" applyAlignment="1" applyProtection="1">
      <protection locked="0"/>
    </xf>
    <xf numFmtId="0" fontId="6" fillId="0" borderId="44" xfId="0" applyFont="1" applyBorder="1" applyProtection="1">
      <protection locked="0"/>
    </xf>
    <xf numFmtId="0" fontId="31" fillId="0" borderId="93" xfId="0" applyFont="1" applyBorder="1" applyAlignment="1" applyProtection="1">
      <alignment horizontal="center" vertical="center"/>
      <protection locked="0"/>
    </xf>
    <xf numFmtId="0" fontId="31" fillId="0" borderId="94" xfId="0" applyFont="1" applyBorder="1" applyAlignment="1" applyProtection="1">
      <alignment horizontal="center" vertical="center"/>
      <protection locked="0"/>
    </xf>
    <xf numFmtId="0" fontId="45" fillId="0" borderId="0" xfId="0" applyFont="1" applyAlignment="1" applyProtection="1">
      <alignment horizontal="center" vertical="center"/>
      <protection locked="0"/>
    </xf>
    <xf numFmtId="0" fontId="10" fillId="0" borderId="0" xfId="0" applyFont="1" applyFill="1" applyAlignment="1" applyProtection="1">
      <alignment horizontal="center"/>
      <protection locked="0"/>
    </xf>
    <xf numFmtId="0" fontId="8" fillId="0" borderId="0" xfId="0" applyFont="1" applyFill="1" applyAlignment="1" applyProtection="1">
      <protection locked="0"/>
    </xf>
    <xf numFmtId="0" fontId="0" fillId="0" borderId="0" xfId="0" applyFont="1" applyFill="1" applyAlignment="1" applyProtection="1">
      <protection locked="0"/>
    </xf>
    <xf numFmtId="4" fontId="54" fillId="0" borderId="95" xfId="0" applyNumberFormat="1" applyFont="1" applyFill="1" applyBorder="1" applyAlignment="1" applyProtection="1">
      <alignment horizontal="right" vertical="center" wrapText="1"/>
      <protection locked="0"/>
    </xf>
    <xf numFmtId="3" fontId="49" fillId="0" borderId="95" xfId="0" applyNumberFormat="1" applyFont="1" applyFill="1" applyBorder="1" applyAlignment="1" applyProtection="1">
      <alignment horizontal="center" vertical="center" wrapText="1"/>
      <protection hidden="1"/>
    </xf>
    <xf numFmtId="4" fontId="28" fillId="0" borderId="95" xfId="0" applyNumberFormat="1" applyFont="1" applyFill="1" applyBorder="1" applyAlignment="1" applyProtection="1">
      <alignment horizontal="center" wrapText="1"/>
      <protection locked="0"/>
    </xf>
    <xf numFmtId="0" fontId="8" fillId="0" borderId="0" xfId="0" applyFont="1" applyFill="1" applyAlignment="1" applyProtection="1">
      <alignment horizontal="center"/>
      <protection locked="0"/>
    </xf>
    <xf numFmtId="0" fontId="39" fillId="0" borderId="98" xfId="0" applyFont="1" applyFill="1" applyBorder="1" applyAlignment="1" applyProtection="1">
      <alignment horizontal="center"/>
      <protection hidden="1"/>
    </xf>
    <xf numFmtId="0" fontId="10" fillId="0" borderId="68" xfId="0" applyFont="1" applyFill="1" applyBorder="1" applyAlignment="1" applyProtection="1">
      <alignment horizontal="center"/>
      <protection locked="0"/>
    </xf>
    <xf numFmtId="0" fontId="8" fillId="0" borderId="0" xfId="0" applyFont="1" applyFill="1" applyAlignment="1" applyProtection="1">
      <alignment horizontal="center" vertical="center"/>
      <protection locked="0"/>
    </xf>
    <xf numFmtId="0" fontId="10" fillId="0" borderId="36" xfId="0" applyFont="1" applyFill="1" applyBorder="1" applyAlignment="1" applyProtection="1">
      <alignment horizontal="left"/>
      <protection hidden="1"/>
    </xf>
    <xf numFmtId="0" fontId="40" fillId="0" borderId="95" xfId="0" applyFont="1" applyBorder="1" applyAlignment="1" applyProtection="1">
      <alignment horizontal="center" vertical="center"/>
      <protection locked="0"/>
    </xf>
    <xf numFmtId="0" fontId="10" fillId="0" borderId="9" xfId="0" applyFont="1" applyFill="1" applyBorder="1" applyAlignment="1" applyProtection="1">
      <alignment horizontal="left" wrapText="1"/>
      <protection locked="0"/>
    </xf>
    <xf numFmtId="0" fontId="10" fillId="0" borderId="57" xfId="0" applyFont="1" applyFill="1" applyBorder="1" applyAlignment="1" applyProtection="1">
      <alignment horizontal="left" wrapText="1"/>
      <protection locked="0"/>
    </xf>
    <xf numFmtId="0" fontId="6" fillId="0" borderId="9" xfId="0" applyFont="1" applyFill="1" applyBorder="1" applyAlignment="1" applyProtection="1">
      <alignment horizontal="left"/>
      <protection locked="0"/>
    </xf>
    <xf numFmtId="0" fontId="10" fillId="0" borderId="0" xfId="0" applyFont="1" applyFill="1" applyAlignment="1" applyProtection="1">
      <alignment wrapText="1"/>
      <protection locked="0"/>
    </xf>
    <xf numFmtId="0" fontId="44" fillId="0" borderId="68" xfId="0" applyFont="1" applyFill="1" applyBorder="1" applyAlignment="1" applyProtection="1">
      <alignment horizontal="center" vertical="center"/>
      <protection locked="0"/>
    </xf>
    <xf numFmtId="0" fontId="7" fillId="0" borderId="68" xfId="0" applyFont="1" applyFill="1" applyBorder="1" applyAlignment="1" applyProtection="1">
      <alignment horizontal="center" vertical="center"/>
      <protection locked="0"/>
    </xf>
    <xf numFmtId="0" fontId="10" fillId="0" borderId="95" xfId="0" applyFont="1" applyFill="1" applyBorder="1" applyAlignment="1" applyProtection="1">
      <alignment horizontal="center" vertical="center"/>
      <protection locked="0"/>
    </xf>
    <xf numFmtId="0" fontId="39" fillId="0" borderId="95" xfId="0" applyFont="1" applyFill="1" applyBorder="1" applyAlignment="1" applyProtection="1">
      <alignment horizontal="center" vertical="center"/>
      <protection locked="0"/>
    </xf>
    <xf numFmtId="4" fontId="41" fillId="0" borderId="99" xfId="0" applyNumberFormat="1" applyFont="1" applyBorder="1" applyAlignment="1" applyProtection="1">
      <alignment vertical="center" wrapText="1"/>
      <protection locked="0"/>
    </xf>
    <xf numFmtId="4" fontId="41" fillId="0" borderId="114" xfId="0" applyNumberFormat="1" applyFont="1" applyBorder="1" applyAlignment="1" applyProtection="1">
      <alignment vertical="center" wrapText="1"/>
      <protection locked="0"/>
    </xf>
    <xf numFmtId="4" fontId="41" fillId="0" borderId="108" xfId="0" applyNumberFormat="1" applyFont="1" applyBorder="1" applyAlignment="1" applyProtection="1">
      <alignment vertical="center" wrapText="1"/>
      <protection locked="0"/>
    </xf>
    <xf numFmtId="0" fontId="10" fillId="0" borderId="80" xfId="0" applyFont="1" applyFill="1" applyBorder="1" applyAlignment="1" applyProtection="1">
      <alignment horizontal="center" vertical="center"/>
      <protection locked="0"/>
    </xf>
    <xf numFmtId="0" fontId="6" fillId="0" borderId="81" xfId="0" applyFont="1" applyFill="1" applyBorder="1" applyProtection="1">
      <protection locked="0"/>
    </xf>
    <xf numFmtId="0" fontId="10" fillId="0" borderId="80" xfId="0" applyFont="1" applyFill="1" applyBorder="1" applyAlignment="1" applyProtection="1">
      <alignment horizontal="center" vertical="center"/>
      <protection hidden="1"/>
    </xf>
    <xf numFmtId="0" fontId="6" fillId="0" borderId="81" xfId="0" applyFont="1" applyFill="1" applyBorder="1" applyProtection="1">
      <protection hidden="1"/>
    </xf>
    <xf numFmtId="0" fontId="8" fillId="0" borderId="50" xfId="0" applyFont="1" applyFill="1" applyBorder="1" applyAlignment="1" applyProtection="1">
      <alignment horizontal="left" vertical="top"/>
      <protection locked="0"/>
    </xf>
    <xf numFmtId="0" fontId="6" fillId="0" borderId="66" xfId="0" applyFont="1" applyFill="1" applyBorder="1" applyProtection="1">
      <protection locked="0"/>
    </xf>
    <xf numFmtId="0" fontId="6" fillId="0" borderId="54" xfId="0" applyFont="1" applyFill="1" applyBorder="1" applyProtection="1">
      <protection locked="0"/>
    </xf>
    <xf numFmtId="0" fontId="6" fillId="0" borderId="82" xfId="0" applyFont="1" applyFill="1" applyBorder="1" applyProtection="1">
      <protection locked="0"/>
    </xf>
    <xf numFmtId="0" fontId="6" fillId="0" borderId="83" xfId="0" applyFont="1" applyFill="1" applyBorder="1" applyProtection="1">
      <protection locked="0"/>
    </xf>
    <xf numFmtId="0" fontId="6" fillId="0" borderId="8" xfId="0" applyFont="1" applyFill="1" applyBorder="1" applyProtection="1">
      <protection locked="0"/>
    </xf>
    <xf numFmtId="0" fontId="6" fillId="0" borderId="9" xfId="0" applyFont="1" applyFill="1" applyBorder="1" applyProtection="1">
      <protection locked="0"/>
    </xf>
    <xf numFmtId="0" fontId="6" fillId="0" borderId="58" xfId="0" applyFont="1" applyFill="1" applyBorder="1" applyProtection="1">
      <protection locked="0"/>
    </xf>
    <xf numFmtId="0" fontId="8" fillId="0" borderId="0" xfId="0" applyFont="1" applyFill="1" applyAlignment="1" applyProtection="1">
      <alignment horizontal="right"/>
      <protection locked="0"/>
    </xf>
    <xf numFmtId="0" fontId="40" fillId="0" borderId="68" xfId="0" applyFont="1" applyFill="1" applyBorder="1" applyAlignment="1" applyProtection="1">
      <alignment horizontal="center"/>
      <protection locked="0"/>
    </xf>
    <xf numFmtId="0" fontId="49" fillId="0" borderId="68" xfId="0" applyFont="1" applyFill="1" applyBorder="1" applyAlignment="1" applyProtection="1">
      <alignment horizontal="center"/>
      <protection hidden="1"/>
    </xf>
    <xf numFmtId="0" fontId="49" fillId="0" borderId="98" xfId="0" applyFont="1" applyFill="1" applyBorder="1" applyAlignment="1" applyProtection="1">
      <alignment horizontal="center"/>
      <protection hidden="1"/>
    </xf>
    <xf numFmtId="0" fontId="40" fillId="0" borderId="109" xfId="0" applyFont="1" applyFill="1" applyBorder="1" applyAlignment="1" applyProtection="1">
      <alignment horizontal="center" vertical="top"/>
      <protection locked="0"/>
    </xf>
    <xf numFmtId="0" fontId="10" fillId="0" borderId="109" xfId="0" applyFont="1" applyFill="1" applyBorder="1" applyAlignment="1" applyProtection="1">
      <alignment horizontal="center" vertical="top"/>
      <protection locked="0"/>
    </xf>
    <xf numFmtId="0" fontId="39" fillId="0" borderId="68" xfId="0" applyFont="1" applyFill="1" applyBorder="1" applyAlignment="1" applyProtection="1">
      <alignment horizontal="center" vertical="center"/>
      <protection locked="0"/>
    </xf>
    <xf numFmtId="0" fontId="6" fillId="0" borderId="68" xfId="0" applyFont="1" applyFill="1" applyBorder="1" applyProtection="1">
      <protection locked="0"/>
    </xf>
    <xf numFmtId="0" fontId="8" fillId="0" borderId="68" xfId="0" applyFont="1" applyFill="1" applyBorder="1" applyAlignment="1" applyProtection="1">
      <alignment horizontal="center" vertical="center"/>
      <protection locked="0"/>
    </xf>
    <xf numFmtId="0" fontId="0" fillId="0" borderId="68" xfId="0" applyFont="1" applyFill="1" applyBorder="1" applyAlignment="1" applyProtection="1">
      <protection locked="0"/>
    </xf>
    <xf numFmtId="0" fontId="39" fillId="0" borderId="80" xfId="0" applyFont="1" applyFill="1" applyBorder="1" applyAlignment="1" applyProtection="1">
      <alignment horizontal="center" vertical="center"/>
      <protection hidden="1"/>
    </xf>
    <xf numFmtId="0" fontId="48" fillId="0" borderId="81" xfId="0" applyFont="1" applyFill="1" applyBorder="1" applyProtection="1">
      <protection hidden="1"/>
    </xf>
    <xf numFmtId="0" fontId="8" fillId="0" borderId="80" xfId="0" applyFont="1" applyFill="1" applyBorder="1" applyAlignment="1" applyProtection="1">
      <alignment horizontal="center" vertical="center" wrapText="1"/>
      <protection locked="0"/>
    </xf>
    <xf numFmtId="0" fontId="39" fillId="0" borderId="95" xfId="0"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40" fillId="0" borderId="0" xfId="0" applyFont="1" applyFill="1" applyAlignment="1" applyProtection="1">
      <alignment horizontal="center"/>
      <protection locked="0"/>
    </xf>
    <xf numFmtId="4" fontId="42" fillId="0" borderId="95" xfId="0" applyNumberFormat="1" applyFont="1" applyFill="1" applyBorder="1" applyAlignment="1" applyProtection="1">
      <alignment horizontal="left" vertical="center" wrapText="1"/>
      <protection locked="0"/>
    </xf>
    <xf numFmtId="0" fontId="53" fillId="0" borderId="95" xfId="0" applyFont="1" applyFill="1" applyBorder="1" applyAlignment="1" applyProtection="1">
      <alignment vertical="center"/>
      <protection locked="0"/>
    </xf>
    <xf numFmtId="4" fontId="41" fillId="0" borderId="95" xfId="0" applyNumberFormat="1" applyFont="1" applyFill="1" applyBorder="1" applyAlignment="1" applyProtection="1">
      <alignment vertical="center" wrapText="1"/>
      <protection locked="0"/>
    </xf>
    <xf numFmtId="0" fontId="43" fillId="0" borderId="95" xfId="0" applyFont="1" applyFill="1" applyBorder="1" applyAlignment="1" applyProtection="1">
      <alignment vertical="center"/>
      <protection locked="0"/>
    </xf>
    <xf numFmtId="0" fontId="39" fillId="0" borderId="68" xfId="0" applyFont="1" applyFill="1" applyBorder="1" applyAlignment="1" applyProtection="1">
      <alignment horizontal="center"/>
      <protection locked="0"/>
    </xf>
    <xf numFmtId="0" fontId="40" fillId="0" borderId="99" xfId="0" applyFont="1" applyBorder="1" applyAlignment="1" applyProtection="1">
      <alignment vertical="center" wrapText="1"/>
      <protection locked="0"/>
    </xf>
    <xf numFmtId="0" fontId="40" fillId="0" borderId="114" xfId="0" applyFont="1" applyBorder="1" applyAlignment="1" applyProtection="1">
      <alignment vertical="center" wrapText="1"/>
      <protection locked="0"/>
    </xf>
    <xf numFmtId="0" fontId="40" fillId="0" borderId="108" xfId="0" applyFont="1" applyBorder="1" applyAlignment="1" applyProtection="1">
      <alignment vertical="center" wrapText="1"/>
      <protection locked="0"/>
    </xf>
    <xf numFmtId="0" fontId="17" fillId="0" borderId="70" xfId="0" applyFont="1" applyBorder="1" applyAlignment="1" applyProtection="1">
      <alignment horizontal="center" vertical="center"/>
      <protection hidden="1"/>
    </xf>
    <xf numFmtId="0" fontId="6" fillId="0" borderId="70" xfId="0" applyFont="1" applyBorder="1" applyAlignment="1" applyProtection="1">
      <alignment horizontal="center"/>
      <protection hidden="1"/>
    </xf>
    <xf numFmtId="0" fontId="24" fillId="0" borderId="110" xfId="0" applyFont="1" applyBorder="1" applyAlignment="1">
      <alignment horizontal="center" vertical="center"/>
    </xf>
    <xf numFmtId="0" fontId="6" fillId="0" borderId="45" xfId="0" applyFont="1" applyBorder="1"/>
    <xf numFmtId="0" fontId="17"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0" fillId="0" borderId="89" xfId="0" applyFont="1" applyBorder="1" applyAlignment="1" applyProtection="1">
      <alignment horizontal="center" vertical="center"/>
      <protection hidden="1"/>
    </xf>
    <xf numFmtId="0" fontId="37" fillId="0" borderId="91" xfId="0" applyFont="1" applyBorder="1" applyAlignment="1" applyProtection="1">
      <alignment horizontal="center"/>
      <protection hidden="1"/>
    </xf>
    <xf numFmtId="0" fontId="9" fillId="5" borderId="65" xfId="0" applyFont="1" applyFill="1" applyBorder="1" applyAlignment="1" applyProtection="1">
      <alignment horizontal="center" vertical="center"/>
      <protection hidden="1"/>
    </xf>
    <xf numFmtId="0" fontId="6" fillId="0" borderId="68" xfId="0" applyFont="1" applyBorder="1" applyAlignment="1" applyProtection="1">
      <alignment horizontal="center"/>
      <protection hidden="1"/>
    </xf>
    <xf numFmtId="0" fontId="6" fillId="0" borderId="67" xfId="0" applyFont="1" applyBorder="1" applyAlignment="1" applyProtection="1">
      <alignment horizontal="center"/>
      <protection hidden="1"/>
    </xf>
    <xf numFmtId="0" fontId="6" fillId="0" borderId="46" xfId="0" applyFont="1" applyBorder="1" applyAlignment="1" applyProtection="1">
      <alignment horizontal="center"/>
      <protection hidden="1"/>
    </xf>
    <xf numFmtId="0" fontId="6" fillId="0" borderId="47" xfId="0" applyFont="1" applyBorder="1" applyAlignment="1" applyProtection="1">
      <alignment horizontal="center"/>
      <protection hidden="1"/>
    </xf>
    <xf numFmtId="0" fontId="6" fillId="0" borderId="48" xfId="0" applyFont="1" applyBorder="1" applyAlignment="1" applyProtection="1">
      <alignment horizontal="center"/>
      <protection hidden="1"/>
    </xf>
    <xf numFmtId="0" fontId="23" fillId="0" borderId="65" xfId="0" applyFont="1" applyBorder="1" applyAlignment="1">
      <alignment horizontal="center" vertical="center"/>
    </xf>
    <xf numFmtId="0" fontId="6" fillId="0" borderId="67" xfId="0" applyFont="1" applyBorder="1"/>
    <xf numFmtId="0" fontId="6" fillId="0" borderId="43" xfId="0" applyFont="1" applyBorder="1"/>
    <xf numFmtId="0" fontId="6" fillId="0" borderId="44" xfId="0" applyFont="1" applyBorder="1"/>
    <xf numFmtId="0" fontId="6" fillId="0" borderId="46" xfId="0" applyFont="1" applyBorder="1"/>
    <xf numFmtId="0" fontId="6" fillId="0" borderId="47" xfId="0" applyFont="1" applyBorder="1"/>
    <xf numFmtId="0" fontId="6" fillId="0" borderId="48" xfId="0" applyFont="1" applyBorder="1"/>
    <xf numFmtId="0" fontId="22" fillId="0" borderId="68" xfId="0" applyFont="1" applyBorder="1" applyAlignment="1">
      <alignment horizontal="center" vertical="center"/>
    </xf>
    <xf numFmtId="0" fontId="50" fillId="0" borderId="68" xfId="0" applyFont="1" applyBorder="1" applyAlignment="1">
      <alignment horizontal="left" vertical="center"/>
    </xf>
    <xf numFmtId="0" fontId="50" fillId="0" borderId="90" xfId="0" applyFont="1" applyBorder="1" applyAlignment="1" applyProtection="1">
      <alignment horizontal="center" vertical="center"/>
      <protection hidden="1"/>
    </xf>
    <xf numFmtId="0" fontId="50" fillId="0" borderId="91" xfId="0" applyFont="1" applyBorder="1" applyAlignment="1" applyProtection="1">
      <alignment horizontal="center" vertical="center"/>
      <protection hidden="1"/>
    </xf>
    <xf numFmtId="0" fontId="37" fillId="0" borderId="68" xfId="0" applyFont="1" applyBorder="1" applyAlignment="1">
      <alignment horizontal="left"/>
    </xf>
    <xf numFmtId="0" fontId="50" fillId="0" borderId="68" xfId="0" applyFont="1" applyBorder="1" applyAlignment="1">
      <alignment horizontal="center" vertical="center"/>
    </xf>
    <xf numFmtId="0" fontId="36" fillId="0" borderId="68" xfId="0" applyFont="1" applyBorder="1" applyAlignment="1">
      <alignment horizontal="right" vertical="center"/>
    </xf>
    <xf numFmtId="0" fontId="16" fillId="0" borderId="68" xfId="0" applyFont="1" applyBorder="1" applyAlignment="1">
      <alignment horizontal="right" vertical="center"/>
    </xf>
    <xf numFmtId="0" fontId="37" fillId="0" borderId="89" xfId="0" applyFont="1" applyBorder="1" applyAlignment="1" applyProtection="1">
      <alignment horizontal="center"/>
      <protection hidden="1"/>
    </xf>
    <xf numFmtId="0" fontId="16" fillId="6" borderId="3" xfId="0" applyFont="1" applyFill="1" applyBorder="1" applyAlignment="1">
      <alignment horizontal="left" vertical="center"/>
    </xf>
    <xf numFmtId="0" fontId="11" fillId="0" borderId="9" xfId="0" applyFont="1" applyBorder="1" applyAlignment="1" applyProtection="1">
      <alignment horizontal="left" vertical="center"/>
      <protection hidden="1"/>
    </xf>
    <xf numFmtId="0" fontId="6" fillId="0" borderId="9" xfId="0" applyFont="1" applyBorder="1" applyProtection="1">
      <protection hidden="1"/>
    </xf>
    <xf numFmtId="0" fontId="6" fillId="0" borderId="10" xfId="0" applyFont="1" applyBorder="1" applyProtection="1">
      <protection hidden="1"/>
    </xf>
    <xf numFmtId="0" fontId="16" fillId="6" borderId="4" xfId="0" applyFont="1" applyFill="1" applyBorder="1" applyAlignment="1">
      <alignment horizontal="left" vertical="center"/>
    </xf>
    <xf numFmtId="0" fontId="11" fillId="0" borderId="0" xfId="0" applyFont="1" applyAlignment="1">
      <alignment horizontal="center" vertical="center"/>
    </xf>
    <xf numFmtId="0" fontId="11" fillId="0" borderId="23" xfId="0" applyFont="1" applyBorder="1" applyAlignment="1" applyProtection="1">
      <alignment horizontal="left" vertical="center"/>
      <protection hidden="1"/>
    </xf>
    <xf numFmtId="0" fontId="6" fillId="0" borderId="25" xfId="0" applyFont="1" applyBorder="1" applyProtection="1">
      <protection hidden="1"/>
    </xf>
    <xf numFmtId="0" fontId="6" fillId="0" borderId="26" xfId="0" applyFont="1" applyBorder="1" applyProtection="1">
      <protection hidden="1"/>
    </xf>
    <xf numFmtId="0" fontId="27" fillId="0" borderId="22" xfId="0" applyFont="1" applyBorder="1" applyAlignment="1">
      <alignment horizontal="center" vertical="center" wrapText="1"/>
    </xf>
    <xf numFmtId="0" fontId="4" fillId="0" borderId="120" xfId="0" applyFont="1" applyBorder="1" applyAlignment="1" applyProtection="1">
      <alignment horizontal="center" vertical="center"/>
      <protection hidden="1"/>
    </xf>
    <xf numFmtId="0" fontId="4" fillId="0" borderId="121" xfId="0" applyFont="1" applyBorder="1" applyAlignment="1" applyProtection="1">
      <alignment horizontal="center" vertical="center"/>
      <protection hidden="1"/>
    </xf>
    <xf numFmtId="0" fontId="4" fillId="0" borderId="122" xfId="0" applyFont="1" applyBorder="1" applyAlignment="1" applyProtection="1">
      <alignment horizontal="center" vertical="center"/>
      <protection hidden="1"/>
    </xf>
    <xf numFmtId="0" fontId="4" fillId="0" borderId="120" xfId="0" applyFont="1" applyBorder="1" applyAlignment="1" applyProtection="1">
      <alignment horizontal="center" vertical="center"/>
      <protection locked="0"/>
    </xf>
    <xf numFmtId="0" fontId="4" fillId="0" borderId="121" xfId="0" applyFont="1" applyBorder="1" applyAlignment="1" applyProtection="1">
      <alignment horizontal="center" vertical="center"/>
      <protection locked="0"/>
    </xf>
    <xf numFmtId="0" fontId="4" fillId="0" borderId="122" xfId="0" applyFont="1" applyBorder="1" applyAlignment="1" applyProtection="1">
      <alignment horizontal="center" vertical="center"/>
      <protection locked="0"/>
    </xf>
    <xf numFmtId="0" fontId="16" fillId="0" borderId="110" xfId="0" applyFont="1" applyBorder="1" applyAlignment="1" applyProtection="1">
      <alignment horizontal="center" vertical="center" wrapText="1"/>
      <protection locked="0"/>
    </xf>
    <xf numFmtId="0" fontId="36" fillId="0" borderId="45" xfId="0" applyFont="1" applyBorder="1" applyAlignment="1" applyProtection="1">
      <alignment horizontal="center" vertical="center" wrapText="1"/>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20</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20</xdr:col>
      <xdr:colOff>304800</xdr:colOff>
      <xdr:row>1</xdr:row>
      <xdr:rowOff>22860</xdr:rowOff>
    </xdr:from>
    <xdr:ext cx="1388974" cy="708660"/>
    <xdr:pic>
      <xdr:nvPicPr>
        <xdr:cNvPr id="2" name="image6.png" title="Image">
          <a:extLst>
            <a:ext uri="{FF2B5EF4-FFF2-40B4-BE49-F238E27FC236}">
              <a16:creationId xmlns:a16="http://schemas.microsoft.com/office/drawing/2014/main" id="{80E2A265-E584-4224-838E-011D5C43FE94}"/>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CABDF5F3-AED8-4792-859D-203FAAB7A620}"/>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20</xdr:col>
      <xdr:colOff>304800</xdr:colOff>
      <xdr:row>1</xdr:row>
      <xdr:rowOff>22860</xdr:rowOff>
    </xdr:from>
    <xdr:ext cx="1388974" cy="708660"/>
    <xdr:pic>
      <xdr:nvPicPr>
        <xdr:cNvPr id="2" name="image6.png" title="Image">
          <a:extLst>
            <a:ext uri="{FF2B5EF4-FFF2-40B4-BE49-F238E27FC236}">
              <a16:creationId xmlns:a16="http://schemas.microsoft.com/office/drawing/2014/main" id="{98EAB380-4572-48F4-8885-2C50AEF6BD83}"/>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5A456E40-94E5-4AFB-9856-CEDAEEAF0817}"/>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tabSelected="1"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6" activePane="bottomLeft" state="frozen"/>
      <selection pane="bottomLeft" activeCell="F28" sqref="F28:G28"/>
    </sheetView>
  </sheetViews>
  <sheetFormatPr defaultColWidth="12.6640625" defaultRowHeight="15.75" customHeight="1"/>
  <cols>
    <col min="1" max="2" width="3.88671875" customWidth="1"/>
    <col min="3" max="3" width="11.33203125" customWidth="1"/>
    <col min="4" max="4" width="10.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79" t="s">
        <v>0</v>
      </c>
      <c r="B1" s="280"/>
      <c r="C1" s="280"/>
      <c r="D1" s="280"/>
      <c r="E1" s="280"/>
      <c r="F1" s="280"/>
      <c r="G1" s="280"/>
      <c r="H1" s="280"/>
      <c r="I1" s="280"/>
      <c r="J1" s="280"/>
      <c r="K1" s="280"/>
      <c r="L1" s="280"/>
      <c r="M1" s="280"/>
      <c r="N1" s="280"/>
      <c r="O1" s="280"/>
      <c r="P1" s="280"/>
      <c r="Q1" s="280"/>
      <c r="R1" s="280"/>
      <c r="S1" s="280"/>
      <c r="T1" s="280"/>
      <c r="U1" s="281"/>
      <c r="V1" s="1"/>
      <c r="W1" s="1"/>
      <c r="X1" s="1"/>
      <c r="Y1" s="1"/>
      <c r="Z1" s="1"/>
      <c r="AA1" s="1"/>
      <c r="AB1" s="1"/>
      <c r="AC1" s="1"/>
      <c r="AD1" s="1"/>
    </row>
    <row r="2" spans="1:30" ht="13.8">
      <c r="A2" s="282"/>
      <c r="B2" s="283"/>
      <c r="C2" s="283"/>
      <c r="D2" s="283"/>
      <c r="E2" s="283"/>
      <c r="F2" s="283"/>
      <c r="G2" s="283"/>
      <c r="H2" s="283"/>
      <c r="I2" s="283"/>
      <c r="J2" s="283"/>
      <c r="K2" s="283"/>
      <c r="L2" s="283"/>
      <c r="M2" s="283"/>
      <c r="N2" s="283"/>
      <c r="O2" s="283"/>
      <c r="P2" s="283"/>
      <c r="Q2" s="283"/>
      <c r="R2" s="283"/>
      <c r="S2" s="283"/>
      <c r="T2" s="283"/>
      <c r="U2" s="284"/>
      <c r="V2" s="1"/>
      <c r="W2" s="1"/>
      <c r="X2" s="1"/>
      <c r="Y2" s="1"/>
      <c r="Z2" s="1"/>
      <c r="AA2" s="1"/>
      <c r="AB2" s="1"/>
      <c r="AC2" s="1"/>
      <c r="AD2" s="1"/>
    </row>
    <row r="3" spans="1:30" ht="13.8">
      <c r="A3" s="282"/>
      <c r="B3" s="283"/>
      <c r="C3" s="283"/>
      <c r="D3" s="283"/>
      <c r="E3" s="283"/>
      <c r="F3" s="283"/>
      <c r="G3" s="283"/>
      <c r="H3" s="283"/>
      <c r="I3" s="283"/>
      <c r="J3" s="283"/>
      <c r="K3" s="283"/>
      <c r="L3" s="283"/>
      <c r="M3" s="283"/>
      <c r="N3" s="283"/>
      <c r="O3" s="283"/>
      <c r="P3" s="283"/>
      <c r="Q3" s="283"/>
      <c r="R3" s="283"/>
      <c r="S3" s="283"/>
      <c r="T3" s="283"/>
      <c r="U3" s="284"/>
      <c r="V3" s="1"/>
      <c r="W3" s="1"/>
      <c r="X3" s="1"/>
      <c r="Y3" s="1"/>
      <c r="Z3" s="1"/>
      <c r="AA3" s="1"/>
      <c r="AB3" s="1"/>
      <c r="AC3" s="1"/>
      <c r="AD3" s="1"/>
    </row>
    <row r="4" spans="1:30" ht="13.8">
      <c r="A4" s="282"/>
      <c r="B4" s="283"/>
      <c r="C4" s="283"/>
      <c r="D4" s="283"/>
      <c r="E4" s="283"/>
      <c r="F4" s="283"/>
      <c r="G4" s="283"/>
      <c r="H4" s="283"/>
      <c r="I4" s="283"/>
      <c r="J4" s="283"/>
      <c r="K4" s="283"/>
      <c r="L4" s="283"/>
      <c r="M4" s="283"/>
      <c r="N4" s="283"/>
      <c r="O4" s="283"/>
      <c r="P4" s="283"/>
      <c r="Q4" s="283"/>
      <c r="R4" s="283"/>
      <c r="S4" s="283"/>
      <c r="T4" s="283"/>
      <c r="U4" s="284"/>
      <c r="V4" s="1"/>
      <c r="W4" s="1"/>
      <c r="X4" s="1"/>
      <c r="Y4" s="1"/>
      <c r="Z4" s="1"/>
      <c r="AA4" s="1"/>
      <c r="AB4" s="1"/>
      <c r="AC4" s="1"/>
      <c r="AD4" s="1"/>
    </row>
    <row r="5" spans="1:30" ht="13.8">
      <c r="A5" s="285"/>
      <c r="B5" s="286"/>
      <c r="C5" s="286"/>
      <c r="D5" s="286"/>
      <c r="E5" s="286"/>
      <c r="F5" s="286"/>
      <c r="G5" s="286"/>
      <c r="H5" s="286"/>
      <c r="I5" s="286"/>
      <c r="J5" s="286"/>
      <c r="K5" s="286"/>
      <c r="L5" s="286"/>
      <c r="M5" s="286"/>
      <c r="N5" s="286"/>
      <c r="O5" s="286"/>
      <c r="P5" s="286"/>
      <c r="Q5" s="286"/>
      <c r="R5" s="286"/>
      <c r="S5" s="286"/>
      <c r="T5" s="286"/>
      <c r="U5" s="287"/>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88" t="s">
        <v>112</v>
      </c>
      <c r="C7" s="289"/>
      <c r="D7" s="289"/>
      <c r="E7" s="289"/>
      <c r="F7" s="289"/>
      <c r="G7" s="289"/>
      <c r="H7" s="290"/>
      <c r="I7" s="1"/>
      <c r="J7" s="288" t="s">
        <v>5</v>
      </c>
      <c r="K7" s="289"/>
      <c r="L7" s="289"/>
      <c r="M7" s="289"/>
      <c r="N7" s="289"/>
      <c r="O7" s="289"/>
      <c r="P7" s="289"/>
      <c r="Q7" s="289"/>
      <c r="R7" s="289"/>
      <c r="S7" s="289"/>
      <c r="T7" s="290"/>
      <c r="U7" s="1"/>
      <c r="V7" s="1"/>
      <c r="W7" s="1"/>
      <c r="X7" s="1"/>
      <c r="Y7" s="1"/>
      <c r="Z7" s="1"/>
      <c r="AA7" s="1"/>
      <c r="AB7" s="1"/>
      <c r="AC7" s="1"/>
      <c r="AD7" s="1"/>
    </row>
    <row r="8" spans="1:30" ht="13.8">
      <c r="A8" s="1"/>
      <c r="B8" s="291"/>
      <c r="C8" s="292"/>
      <c r="D8" s="292"/>
      <c r="E8" s="292"/>
      <c r="F8" s="292"/>
      <c r="G8" s="292"/>
      <c r="H8" s="293"/>
      <c r="I8" s="1"/>
      <c r="J8" s="291"/>
      <c r="K8" s="292"/>
      <c r="L8" s="292"/>
      <c r="M8" s="292"/>
      <c r="N8" s="292"/>
      <c r="O8" s="292"/>
      <c r="P8" s="292"/>
      <c r="Q8" s="292"/>
      <c r="R8" s="292"/>
      <c r="S8" s="292"/>
      <c r="T8" s="293"/>
      <c r="U8" s="1"/>
      <c r="V8" s="1"/>
      <c r="W8" s="1"/>
      <c r="X8" s="1"/>
      <c r="Y8" s="1"/>
      <c r="Z8" s="1"/>
      <c r="AA8" s="1"/>
      <c r="AB8" s="1"/>
      <c r="AC8" s="1"/>
      <c r="AD8" s="1"/>
    </row>
    <row r="9" spans="1:30" ht="13.8">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ht="13.8">
      <c r="A10" s="1"/>
      <c r="B10" s="7"/>
      <c r="C10" s="294" t="s">
        <v>3</v>
      </c>
      <c r="D10" s="295"/>
      <c r="E10" s="13" t="s">
        <v>9</v>
      </c>
      <c r="F10" s="296"/>
      <c r="G10" s="297"/>
      <c r="H10" s="9"/>
      <c r="I10" s="1"/>
      <c r="J10" s="7"/>
      <c r="K10" s="15" t="s">
        <v>11</v>
      </c>
      <c r="L10" s="17"/>
      <c r="M10" s="19" t="s">
        <v>12</v>
      </c>
      <c r="N10" s="20" t="s">
        <v>13</v>
      </c>
      <c r="O10" s="8"/>
      <c r="P10" s="15" t="s">
        <v>14</v>
      </c>
      <c r="Q10" s="22"/>
      <c r="R10" s="19" t="s">
        <v>12</v>
      </c>
      <c r="S10" s="20" t="s">
        <v>13</v>
      </c>
      <c r="T10" s="9"/>
      <c r="U10" s="1"/>
      <c r="V10" s="1"/>
      <c r="W10" s="1"/>
      <c r="X10" s="1"/>
      <c r="Y10" s="1"/>
      <c r="Z10" s="1"/>
      <c r="AA10" s="1"/>
      <c r="AB10" s="1"/>
      <c r="AC10" s="1"/>
      <c r="AD10" s="1"/>
    </row>
    <row r="11" spans="1:30" ht="13.8">
      <c r="A11" s="1"/>
      <c r="B11" s="7"/>
      <c r="C11" s="294" t="s">
        <v>6</v>
      </c>
      <c r="D11" s="295"/>
      <c r="E11" s="13" t="s">
        <v>9</v>
      </c>
      <c r="F11" s="24"/>
      <c r="G11" s="25"/>
      <c r="H11" s="9"/>
      <c r="I11" s="1"/>
      <c r="J11" s="7"/>
      <c r="K11" s="82">
        <v>1</v>
      </c>
      <c r="L11" s="26"/>
      <c r="M11" s="145"/>
      <c r="N11" s="28"/>
      <c r="O11" s="8"/>
      <c r="P11" s="82">
        <v>1</v>
      </c>
      <c r="Q11" s="26"/>
      <c r="R11" s="145"/>
      <c r="S11" s="28"/>
      <c r="T11" s="9"/>
      <c r="U11" s="1"/>
      <c r="V11" s="1"/>
      <c r="W11" s="1"/>
      <c r="X11" s="1"/>
      <c r="Y11" s="1"/>
      <c r="Z11" s="1"/>
      <c r="AA11" s="1"/>
      <c r="AB11" s="1"/>
      <c r="AC11" s="1"/>
      <c r="AD11" s="1"/>
    </row>
    <row r="12" spans="1:30" ht="13.8">
      <c r="A12" s="1"/>
      <c r="B12" s="7"/>
      <c r="C12" s="294" t="s">
        <v>17</v>
      </c>
      <c r="D12" s="295"/>
      <c r="E12" s="13" t="s">
        <v>9</v>
      </c>
      <c r="F12" s="24"/>
      <c r="G12" s="25"/>
      <c r="H12" s="9"/>
      <c r="I12" s="1"/>
      <c r="J12" s="7"/>
      <c r="K12" s="82">
        <v>2</v>
      </c>
      <c r="L12" s="26"/>
      <c r="M12" s="145"/>
      <c r="N12" s="28"/>
      <c r="O12" s="8"/>
      <c r="P12" s="82">
        <v>2</v>
      </c>
      <c r="Q12" s="26"/>
      <c r="R12" s="145"/>
      <c r="S12" s="29"/>
      <c r="T12" s="9"/>
      <c r="U12" s="1"/>
      <c r="V12" s="1"/>
      <c r="W12" s="1"/>
      <c r="X12" s="1"/>
      <c r="Y12" s="1"/>
      <c r="Z12" s="1"/>
      <c r="AA12" s="1"/>
      <c r="AB12" s="1"/>
      <c r="AC12" s="1"/>
      <c r="AD12" s="1"/>
    </row>
    <row r="13" spans="1:30" ht="13.8">
      <c r="A13" s="1"/>
      <c r="B13" s="7"/>
      <c r="C13" s="294" t="s">
        <v>19</v>
      </c>
      <c r="D13" s="295"/>
      <c r="E13" s="13" t="s">
        <v>9</v>
      </c>
      <c r="F13" s="24"/>
      <c r="G13" s="25"/>
      <c r="H13" s="9"/>
      <c r="I13" s="1"/>
      <c r="J13" s="7"/>
      <c r="K13" s="82">
        <v>3</v>
      </c>
      <c r="L13" s="26"/>
      <c r="M13" s="145"/>
      <c r="N13" s="28"/>
      <c r="O13" s="8"/>
      <c r="P13" s="82">
        <v>3</v>
      </c>
      <c r="Q13" s="26"/>
      <c r="R13" s="145"/>
      <c r="S13" s="28"/>
      <c r="T13" s="9"/>
      <c r="U13" s="1"/>
      <c r="V13" s="1"/>
      <c r="W13" s="1"/>
      <c r="X13" s="1"/>
      <c r="Y13" s="1"/>
      <c r="Z13" s="1"/>
      <c r="AA13" s="1"/>
      <c r="AB13" s="1"/>
      <c r="AC13" s="1"/>
      <c r="AD13" s="1"/>
    </row>
    <row r="14" spans="1:30" ht="13.8">
      <c r="A14" s="1"/>
      <c r="B14" s="7"/>
      <c r="C14" s="8"/>
      <c r="D14" s="8"/>
      <c r="E14" s="8"/>
      <c r="F14" s="8"/>
      <c r="G14" s="8"/>
      <c r="H14" s="9"/>
      <c r="I14" s="1"/>
      <c r="J14" s="7"/>
      <c r="K14" s="82">
        <v>4</v>
      </c>
      <c r="L14" s="99"/>
      <c r="M14" s="145"/>
      <c r="N14" s="27"/>
      <c r="O14" s="8"/>
      <c r="P14" s="82">
        <v>4</v>
      </c>
      <c r="Q14" s="30"/>
      <c r="R14" s="146"/>
      <c r="S14" s="133"/>
      <c r="T14" s="9"/>
      <c r="U14" s="1"/>
      <c r="V14" s="1"/>
      <c r="W14" s="1"/>
      <c r="X14" s="1"/>
      <c r="Y14" s="1"/>
      <c r="Z14" s="1"/>
      <c r="AA14" s="1"/>
      <c r="AB14" s="1"/>
      <c r="AC14" s="1"/>
      <c r="AD14" s="1"/>
    </row>
    <row r="15" spans="1:30" ht="13.8">
      <c r="A15" s="1"/>
      <c r="B15" s="7"/>
      <c r="C15" s="294" t="s">
        <v>8</v>
      </c>
      <c r="D15" s="295"/>
      <c r="E15" s="13" t="s">
        <v>9</v>
      </c>
      <c r="F15" s="31"/>
      <c r="G15" s="87"/>
      <c r="H15" s="9"/>
      <c r="I15" s="1"/>
      <c r="J15" s="7"/>
      <c r="K15" s="82">
        <v>5</v>
      </c>
      <c r="L15" s="30"/>
      <c r="M15" s="145"/>
      <c r="N15" s="131"/>
      <c r="O15" s="8"/>
      <c r="P15" s="82">
        <v>5</v>
      </c>
      <c r="Q15" s="30"/>
      <c r="R15" s="146"/>
      <c r="S15" s="132"/>
      <c r="T15" s="9"/>
      <c r="U15" s="1"/>
      <c r="V15" s="1"/>
      <c r="W15" s="1"/>
      <c r="X15" s="1"/>
      <c r="Y15" s="1"/>
      <c r="Z15" s="1"/>
      <c r="AA15" s="1"/>
      <c r="AB15" s="1"/>
      <c r="AC15" s="1"/>
      <c r="AD15" s="1"/>
    </row>
    <row r="16" spans="1:30" ht="13.8">
      <c r="A16" s="1"/>
      <c r="B16" s="7"/>
      <c r="C16" s="309" t="s">
        <v>7</v>
      </c>
      <c r="D16" s="310"/>
      <c r="E16" s="313" t="s">
        <v>9</v>
      </c>
      <c r="F16" s="315"/>
      <c r="G16" s="316"/>
      <c r="H16" s="9"/>
      <c r="I16" s="1"/>
      <c r="J16" s="7"/>
      <c r="K16" s="82">
        <v>6</v>
      </c>
      <c r="L16" s="30"/>
      <c r="M16" s="146"/>
      <c r="N16" s="132"/>
      <c r="O16" s="8"/>
      <c r="P16" s="82">
        <v>6</v>
      </c>
      <c r="Q16" s="30"/>
      <c r="R16" s="146"/>
      <c r="S16" s="132"/>
      <c r="T16" s="9"/>
      <c r="U16" s="1"/>
      <c r="V16" s="1"/>
      <c r="W16" s="1"/>
      <c r="X16" s="1"/>
      <c r="Y16" s="1"/>
      <c r="Z16" s="1"/>
      <c r="AA16" s="1"/>
      <c r="AB16" s="1"/>
      <c r="AC16" s="1"/>
      <c r="AD16" s="1"/>
    </row>
    <row r="17" spans="1:30" ht="13.8">
      <c r="A17" s="1"/>
      <c r="B17" s="7"/>
      <c r="C17" s="311"/>
      <c r="D17" s="312"/>
      <c r="E17" s="314"/>
      <c r="F17" s="317"/>
      <c r="G17" s="318"/>
      <c r="H17" s="9"/>
      <c r="I17" s="1"/>
      <c r="J17" s="7"/>
      <c r="K17" s="82">
        <v>7</v>
      </c>
      <c r="L17" s="30"/>
      <c r="M17" s="146"/>
      <c r="N17" s="132"/>
      <c r="O17" s="8"/>
      <c r="P17" s="82">
        <v>7</v>
      </c>
      <c r="Q17" s="30"/>
      <c r="R17" s="146"/>
      <c r="S17" s="132"/>
      <c r="T17" s="9"/>
      <c r="U17" s="1"/>
      <c r="V17" s="1"/>
      <c r="W17" s="1"/>
      <c r="X17" s="1"/>
      <c r="Y17" s="1"/>
      <c r="Z17" s="1"/>
      <c r="AA17" s="1"/>
      <c r="AB17" s="1"/>
      <c r="AC17" s="1"/>
      <c r="AD17" s="1"/>
    </row>
    <row r="18" spans="1:30" ht="13.8">
      <c r="A18" s="1"/>
      <c r="B18" s="7"/>
      <c r="C18" s="294" t="s">
        <v>10</v>
      </c>
      <c r="D18" s="295"/>
      <c r="E18" s="13" t="s">
        <v>9</v>
      </c>
      <c r="F18" s="319"/>
      <c r="G18" s="297"/>
      <c r="H18" s="9"/>
      <c r="I18" s="1"/>
      <c r="J18" s="7"/>
      <c r="K18" s="82">
        <v>8</v>
      </c>
      <c r="L18" s="30"/>
      <c r="M18" s="146"/>
      <c r="N18" s="132"/>
      <c r="O18" s="8"/>
      <c r="P18" s="82">
        <v>8</v>
      </c>
      <c r="Q18" s="30"/>
      <c r="R18" s="146"/>
      <c r="S18" s="132"/>
      <c r="T18" s="9"/>
      <c r="U18" s="1"/>
      <c r="V18" s="1"/>
      <c r="W18" s="1"/>
      <c r="X18" s="1"/>
      <c r="Y18" s="1"/>
      <c r="Z18" s="1"/>
      <c r="AA18" s="1"/>
      <c r="AB18" s="1"/>
      <c r="AC18" s="1"/>
      <c r="AD18" s="1"/>
    </row>
    <row r="19" spans="1:30" ht="13.8">
      <c r="A19" s="1"/>
      <c r="B19" s="7"/>
      <c r="C19" s="294" t="s">
        <v>29</v>
      </c>
      <c r="D19" s="295"/>
      <c r="E19" s="13" t="s">
        <v>9</v>
      </c>
      <c r="F19" s="296"/>
      <c r="G19" s="297"/>
      <c r="H19" s="9"/>
      <c r="I19" s="1"/>
      <c r="J19" s="7"/>
      <c r="K19" s="82">
        <v>9</v>
      </c>
      <c r="L19" s="30"/>
      <c r="M19" s="146"/>
      <c r="N19" s="132"/>
      <c r="O19" s="8"/>
      <c r="P19" s="82">
        <v>9</v>
      </c>
      <c r="Q19" s="30"/>
      <c r="R19" s="146"/>
      <c r="S19" s="132"/>
      <c r="T19" s="9"/>
      <c r="U19" s="1"/>
      <c r="V19" s="1"/>
      <c r="W19" s="1"/>
      <c r="X19" s="1"/>
      <c r="Y19" s="1"/>
      <c r="Z19" s="1"/>
      <c r="AA19" s="1"/>
      <c r="AB19" s="1"/>
      <c r="AC19" s="1"/>
      <c r="AD19" s="1"/>
    </row>
    <row r="20" spans="1:30" ht="13.8">
      <c r="A20" s="1"/>
      <c r="B20" s="34"/>
      <c r="C20" s="35"/>
      <c r="D20" s="35"/>
      <c r="E20" s="35"/>
      <c r="F20" s="35"/>
      <c r="G20" s="35"/>
      <c r="H20" s="36"/>
      <c r="I20" s="1"/>
      <c r="J20" s="7"/>
      <c r="K20" s="82">
        <v>10</v>
      </c>
      <c r="L20" s="30"/>
      <c r="M20" s="146"/>
      <c r="N20" s="132"/>
      <c r="O20" s="8"/>
      <c r="P20" s="82">
        <v>10</v>
      </c>
      <c r="Q20" s="30"/>
      <c r="R20" s="146"/>
      <c r="S20" s="132"/>
      <c r="T20" s="9"/>
      <c r="U20" s="1"/>
      <c r="V20" s="1"/>
      <c r="W20" s="1"/>
      <c r="X20" s="1"/>
      <c r="Y20" s="1"/>
      <c r="Z20" s="1"/>
      <c r="AA20" s="1"/>
      <c r="AB20" s="1"/>
      <c r="AC20" s="1"/>
      <c r="AD20" s="1"/>
    </row>
    <row r="21" spans="1:30" ht="13.8">
      <c r="A21" s="37"/>
      <c r="B21" s="37"/>
      <c r="C21" s="37"/>
      <c r="D21" s="37"/>
      <c r="E21" s="37"/>
      <c r="F21" s="37"/>
      <c r="G21" s="37"/>
      <c r="H21" s="37"/>
      <c r="I21" s="1"/>
      <c r="J21" s="7"/>
      <c r="K21" s="82">
        <v>11</v>
      </c>
      <c r="L21" s="30"/>
      <c r="M21" s="146"/>
      <c r="N21" s="132"/>
      <c r="O21" s="8"/>
      <c r="P21" s="82">
        <v>11</v>
      </c>
      <c r="Q21" s="30"/>
      <c r="R21" s="146"/>
      <c r="S21" s="132"/>
      <c r="T21" s="9"/>
      <c r="U21" s="1"/>
      <c r="V21" s="1"/>
      <c r="W21" s="1"/>
      <c r="X21" s="1"/>
      <c r="Y21" s="1"/>
      <c r="Z21" s="1"/>
      <c r="AA21" s="1"/>
      <c r="AB21" s="1"/>
      <c r="AC21" s="1"/>
      <c r="AD21" s="1"/>
    </row>
    <row r="22" spans="1:30" ht="13.8">
      <c r="A22" s="37"/>
      <c r="B22" s="37"/>
      <c r="C22" s="37"/>
      <c r="D22" s="37"/>
      <c r="E22" s="37"/>
      <c r="F22" s="37"/>
      <c r="G22" s="37"/>
      <c r="H22" s="37"/>
      <c r="I22" s="1"/>
      <c r="J22" s="7"/>
      <c r="K22" s="82">
        <v>12</v>
      </c>
      <c r="L22" s="30"/>
      <c r="M22" s="146"/>
      <c r="N22" s="132"/>
      <c r="O22" s="8"/>
      <c r="P22" s="82">
        <v>12</v>
      </c>
      <c r="Q22" s="30"/>
      <c r="R22" s="146"/>
      <c r="S22" s="132"/>
      <c r="T22" s="9"/>
      <c r="U22" s="1"/>
      <c r="V22" s="1"/>
      <c r="W22" s="1"/>
      <c r="X22" s="1"/>
      <c r="Y22" s="1"/>
      <c r="Z22" s="1"/>
      <c r="AA22" s="1"/>
      <c r="AB22" s="1"/>
      <c r="AC22" s="1"/>
      <c r="AD22" s="1"/>
    </row>
    <row r="23" spans="1:30" ht="13.8">
      <c r="A23" s="1"/>
      <c r="B23" s="288" t="s">
        <v>113</v>
      </c>
      <c r="C23" s="289"/>
      <c r="D23" s="289"/>
      <c r="E23" s="289"/>
      <c r="F23" s="289"/>
      <c r="G23" s="289"/>
      <c r="H23" s="290"/>
      <c r="I23" s="1"/>
      <c r="J23" s="7"/>
      <c r="K23" s="82">
        <v>13</v>
      </c>
      <c r="L23" s="30"/>
      <c r="M23" s="146"/>
      <c r="N23" s="132"/>
      <c r="O23" s="8"/>
      <c r="P23" s="82">
        <v>13</v>
      </c>
      <c r="Q23" s="30"/>
      <c r="R23" s="146"/>
      <c r="S23" s="132"/>
      <c r="T23" s="9"/>
      <c r="U23" s="1"/>
      <c r="V23" s="1"/>
      <c r="W23" s="1"/>
      <c r="X23" s="1"/>
      <c r="Y23" s="1"/>
      <c r="Z23" s="1"/>
      <c r="AA23" s="1"/>
      <c r="AB23" s="1"/>
      <c r="AC23" s="1"/>
      <c r="AD23" s="1"/>
    </row>
    <row r="24" spans="1:30" ht="13.8">
      <c r="A24" s="1"/>
      <c r="B24" s="291"/>
      <c r="C24" s="292"/>
      <c r="D24" s="292"/>
      <c r="E24" s="292"/>
      <c r="F24" s="292"/>
      <c r="G24" s="292"/>
      <c r="H24" s="293"/>
      <c r="I24" s="1"/>
      <c r="J24" s="7"/>
      <c r="K24" s="82">
        <v>14</v>
      </c>
      <c r="L24" s="30"/>
      <c r="M24" s="146"/>
      <c r="N24" s="132"/>
      <c r="O24" s="8"/>
      <c r="P24" s="82">
        <v>14</v>
      </c>
      <c r="Q24" s="30"/>
      <c r="R24" s="146"/>
      <c r="S24" s="132"/>
      <c r="T24" s="9"/>
      <c r="U24" s="1"/>
      <c r="V24" s="1"/>
      <c r="W24" s="1"/>
      <c r="X24" s="1"/>
      <c r="Y24" s="1"/>
      <c r="Z24" s="1"/>
      <c r="AA24" s="1"/>
      <c r="AB24" s="1"/>
      <c r="AC24" s="1"/>
      <c r="AD24" s="1"/>
    </row>
    <row r="25" spans="1:30" ht="13.8">
      <c r="A25" s="1"/>
      <c r="B25" s="7"/>
      <c r="C25" s="38"/>
      <c r="D25" s="38"/>
      <c r="E25" s="38"/>
      <c r="F25" s="38"/>
      <c r="G25" s="38"/>
      <c r="H25" s="9"/>
      <c r="I25" s="1"/>
      <c r="J25" s="7"/>
      <c r="K25" s="82">
        <v>15</v>
      </c>
      <c r="L25" s="30"/>
      <c r="M25" s="146"/>
      <c r="N25" s="132"/>
      <c r="O25" s="8"/>
      <c r="P25" s="82">
        <v>15</v>
      </c>
      <c r="Q25" s="30"/>
      <c r="R25" s="146"/>
      <c r="S25" s="132"/>
      <c r="T25" s="9"/>
      <c r="U25" s="1"/>
      <c r="V25" s="1"/>
      <c r="W25" s="1"/>
      <c r="X25" s="1"/>
      <c r="Y25" s="1"/>
      <c r="Z25" s="1"/>
      <c r="AA25" s="1"/>
      <c r="AB25" s="1"/>
      <c r="AC25" s="1"/>
      <c r="AD25" s="1"/>
    </row>
    <row r="26" spans="1:30" ht="13.8">
      <c r="A26" s="1"/>
      <c r="B26" s="39"/>
      <c r="C26" s="104" t="s">
        <v>18</v>
      </c>
      <c r="D26" s="40"/>
      <c r="E26" s="41" t="s">
        <v>9</v>
      </c>
      <c r="F26" s="298"/>
      <c r="G26" s="297"/>
      <c r="H26" s="42"/>
      <c r="I26" s="1"/>
      <c r="J26" s="7"/>
      <c r="K26" s="82">
        <v>16</v>
      </c>
      <c r="L26" s="30"/>
      <c r="M26" s="146"/>
      <c r="N26" s="132"/>
      <c r="O26" s="8"/>
      <c r="P26" s="82">
        <v>16</v>
      </c>
      <c r="Q26" s="30"/>
      <c r="R26" s="146"/>
      <c r="S26" s="132"/>
      <c r="T26" s="9"/>
      <c r="U26" s="1"/>
      <c r="V26" s="1"/>
      <c r="W26" s="1"/>
      <c r="X26" s="1"/>
      <c r="Y26" s="1"/>
      <c r="Z26" s="1"/>
      <c r="AA26" s="1"/>
      <c r="AB26" s="1"/>
      <c r="AC26" s="1"/>
      <c r="AD26" s="1"/>
    </row>
    <row r="27" spans="1:30" ht="13.8">
      <c r="A27" s="1"/>
      <c r="B27" s="39"/>
      <c r="C27" s="294" t="s">
        <v>16</v>
      </c>
      <c r="D27" s="299"/>
      <c r="E27" s="43" t="s">
        <v>9</v>
      </c>
      <c r="F27" s="98"/>
      <c r="G27" s="144" t="s">
        <v>140</v>
      </c>
      <c r="H27" s="42"/>
      <c r="I27" s="1"/>
      <c r="J27" s="7"/>
      <c r="K27" s="82">
        <v>17</v>
      </c>
      <c r="L27" s="30"/>
      <c r="M27" s="146"/>
      <c r="N27" s="132"/>
      <c r="O27" s="8"/>
      <c r="P27" s="82">
        <v>17</v>
      </c>
      <c r="Q27" s="30"/>
      <c r="R27" s="146"/>
      <c r="S27" s="132"/>
      <c r="T27" s="9"/>
      <c r="U27" s="1"/>
      <c r="V27" s="1"/>
      <c r="W27" s="1"/>
      <c r="X27" s="1"/>
      <c r="Y27" s="1"/>
      <c r="Z27" s="1"/>
      <c r="AA27" s="1"/>
      <c r="AB27" s="1"/>
      <c r="AC27" s="1"/>
      <c r="AD27" s="1"/>
    </row>
    <row r="28" spans="1:30" ht="13.8">
      <c r="A28" s="1"/>
      <c r="B28" s="39"/>
      <c r="C28" s="44" t="s">
        <v>20</v>
      </c>
      <c r="D28" s="45"/>
      <c r="E28" s="46" t="s">
        <v>9</v>
      </c>
      <c r="F28" s="298"/>
      <c r="G28" s="297"/>
      <c r="H28" s="42"/>
      <c r="I28" s="1"/>
      <c r="J28" s="7"/>
      <c r="K28" s="82">
        <v>18</v>
      </c>
      <c r="L28" s="30"/>
      <c r="M28" s="146"/>
      <c r="N28" s="132"/>
      <c r="O28" s="8"/>
      <c r="P28" s="82">
        <v>18</v>
      </c>
      <c r="Q28" s="30"/>
      <c r="R28" s="146"/>
      <c r="S28" s="132"/>
      <c r="T28" s="9"/>
      <c r="U28" s="1"/>
      <c r="V28" s="1"/>
      <c r="W28" s="1"/>
      <c r="X28" s="1"/>
      <c r="Y28" s="1"/>
      <c r="Z28" s="1"/>
      <c r="AA28" s="1"/>
      <c r="AB28" s="1"/>
      <c r="AC28" s="1"/>
      <c r="AD28" s="1"/>
    </row>
    <row r="29" spans="1:30" ht="13.8">
      <c r="A29" s="1"/>
      <c r="B29" s="7"/>
      <c r="C29" s="47"/>
      <c r="D29" s="47"/>
      <c r="E29" s="47"/>
      <c r="F29" s="47"/>
      <c r="G29" s="47"/>
      <c r="H29" s="9"/>
      <c r="I29" s="1"/>
      <c r="J29" s="7"/>
      <c r="K29" s="82">
        <v>19</v>
      </c>
      <c r="L29" s="30"/>
      <c r="M29" s="146"/>
      <c r="N29" s="132"/>
      <c r="O29" s="8"/>
      <c r="P29" s="82">
        <v>19</v>
      </c>
      <c r="Q29" s="30"/>
      <c r="R29" s="146"/>
      <c r="S29" s="132"/>
      <c r="T29" s="9"/>
      <c r="U29" s="1"/>
      <c r="V29" s="1"/>
      <c r="W29" s="1"/>
      <c r="X29" s="1"/>
      <c r="Y29" s="1"/>
      <c r="Z29" s="1"/>
      <c r="AA29" s="1"/>
      <c r="AB29" s="1"/>
      <c r="AC29" s="1"/>
      <c r="AD29" s="1"/>
    </row>
    <row r="30" spans="1:30" ht="13.8">
      <c r="A30" s="1"/>
      <c r="B30" s="48"/>
      <c r="C30" s="300" t="s">
        <v>114</v>
      </c>
      <c r="D30" s="301"/>
      <c r="E30" s="301"/>
      <c r="F30" s="301"/>
      <c r="G30" s="302"/>
      <c r="H30" s="49"/>
      <c r="I30" s="1"/>
      <c r="J30" s="7"/>
      <c r="K30" s="82">
        <v>20</v>
      </c>
      <c r="L30" s="30"/>
      <c r="M30" s="146"/>
      <c r="N30" s="132"/>
      <c r="O30" s="8"/>
      <c r="P30" s="82">
        <v>20</v>
      </c>
      <c r="Q30" s="30"/>
      <c r="R30" s="146"/>
      <c r="S30" s="132"/>
      <c r="T30" s="9"/>
      <c r="U30" s="1"/>
      <c r="V30" s="1"/>
      <c r="W30" s="1"/>
      <c r="X30" s="1"/>
      <c r="Y30" s="1"/>
      <c r="Z30" s="1"/>
      <c r="AA30" s="1"/>
      <c r="AB30" s="1"/>
      <c r="AC30" s="1"/>
      <c r="AD30" s="1"/>
    </row>
    <row r="31" spans="1:30" ht="13.8">
      <c r="A31" s="1"/>
      <c r="B31" s="48"/>
      <c r="C31" s="303"/>
      <c r="D31" s="304"/>
      <c r="E31" s="304"/>
      <c r="F31" s="304"/>
      <c r="G31" s="305"/>
      <c r="H31" s="49"/>
      <c r="I31" s="1"/>
      <c r="J31" s="7"/>
      <c r="K31" s="82">
        <v>21</v>
      </c>
      <c r="L31" s="30"/>
      <c r="M31" s="146"/>
      <c r="N31" s="132"/>
      <c r="O31" s="8"/>
      <c r="P31" s="82">
        <v>21</v>
      </c>
      <c r="Q31" s="30"/>
      <c r="R31" s="146"/>
      <c r="S31" s="132"/>
      <c r="T31" s="9"/>
      <c r="U31" s="1"/>
      <c r="V31" s="1"/>
      <c r="W31" s="1"/>
      <c r="X31" s="1"/>
      <c r="Y31" s="1"/>
      <c r="Z31" s="1"/>
      <c r="AA31" s="1"/>
      <c r="AB31" s="1"/>
      <c r="AC31" s="1"/>
      <c r="AD31" s="1"/>
    </row>
    <row r="32" spans="1:30" ht="13.8">
      <c r="A32" s="1"/>
      <c r="B32" s="48"/>
      <c r="C32" s="306"/>
      <c r="D32" s="307"/>
      <c r="E32" s="307"/>
      <c r="F32" s="307"/>
      <c r="G32" s="308"/>
      <c r="H32" s="49"/>
      <c r="I32" s="1"/>
      <c r="J32" s="7"/>
      <c r="K32" s="82">
        <v>22</v>
      </c>
      <c r="L32" s="30"/>
      <c r="M32" s="146"/>
      <c r="N32" s="132"/>
      <c r="O32" s="8"/>
      <c r="P32" s="82">
        <v>22</v>
      </c>
      <c r="Q32" s="30"/>
      <c r="R32" s="146"/>
      <c r="S32" s="132"/>
      <c r="T32" s="9"/>
      <c r="U32" s="1"/>
      <c r="V32" s="1"/>
      <c r="W32" s="1"/>
      <c r="X32" s="1"/>
      <c r="Y32" s="1"/>
      <c r="Z32" s="1"/>
      <c r="AA32" s="1"/>
      <c r="AB32" s="1"/>
      <c r="AC32" s="1"/>
      <c r="AD32" s="1"/>
    </row>
    <row r="33" spans="1:30" ht="13.8">
      <c r="A33" s="1"/>
      <c r="B33" s="50"/>
      <c r="C33" s="51"/>
      <c r="D33" s="51"/>
      <c r="E33" s="51"/>
      <c r="F33" s="51"/>
      <c r="G33" s="51"/>
      <c r="H33" s="52"/>
      <c r="I33" s="1"/>
      <c r="J33" s="7"/>
      <c r="K33" s="82">
        <v>23</v>
      </c>
      <c r="L33" s="30"/>
      <c r="M33" s="146"/>
      <c r="N33" s="132"/>
      <c r="O33" s="8"/>
      <c r="P33" s="82">
        <v>23</v>
      </c>
      <c r="Q33" s="30"/>
      <c r="R33" s="146"/>
      <c r="S33" s="132"/>
      <c r="T33" s="9"/>
      <c r="U33" s="1"/>
      <c r="V33" s="1"/>
      <c r="W33" s="1"/>
      <c r="X33" s="1"/>
      <c r="Y33" s="1"/>
      <c r="Z33" s="1"/>
      <c r="AA33" s="1"/>
      <c r="AB33" s="1"/>
      <c r="AC33" s="1"/>
      <c r="AD33" s="1"/>
    </row>
    <row r="34" spans="1:30" ht="13.8">
      <c r="A34" s="1"/>
      <c r="B34" s="1"/>
      <c r="C34" s="1"/>
      <c r="D34" s="1"/>
      <c r="E34" s="1"/>
      <c r="F34" s="1"/>
      <c r="G34" s="1"/>
      <c r="H34" s="1"/>
      <c r="I34" s="1"/>
      <c r="J34" s="7"/>
      <c r="K34" s="82">
        <v>24</v>
      </c>
      <c r="L34" s="30"/>
      <c r="M34" s="146"/>
      <c r="N34" s="132"/>
      <c r="O34" s="8"/>
      <c r="P34" s="82">
        <v>24</v>
      </c>
      <c r="Q34" s="30"/>
      <c r="R34" s="146"/>
      <c r="S34" s="132"/>
      <c r="T34" s="9"/>
      <c r="U34" s="1"/>
      <c r="V34" s="1"/>
      <c r="W34" s="1"/>
      <c r="X34" s="1"/>
      <c r="Y34" s="1"/>
      <c r="Z34" s="1"/>
      <c r="AA34" s="1"/>
      <c r="AB34" s="1"/>
      <c r="AC34" s="1"/>
      <c r="AD34" s="1"/>
    </row>
    <row r="35" spans="1:30" ht="14.4" thickBot="1">
      <c r="A35" s="1"/>
      <c r="B35" s="1"/>
      <c r="C35" s="1"/>
      <c r="D35" s="1"/>
      <c r="E35" s="1"/>
      <c r="F35" s="1"/>
      <c r="G35" s="1"/>
      <c r="H35" s="1"/>
      <c r="I35" s="1"/>
      <c r="J35" s="7"/>
      <c r="K35" s="82">
        <v>25</v>
      </c>
      <c r="L35" s="30"/>
      <c r="M35" s="146"/>
      <c r="N35" s="132"/>
      <c r="O35" s="8"/>
      <c r="P35" s="82">
        <v>25</v>
      </c>
      <c r="Q35" s="30"/>
      <c r="R35" s="146"/>
      <c r="S35" s="132"/>
      <c r="T35" s="9"/>
      <c r="U35" s="1"/>
      <c r="V35" s="1"/>
      <c r="W35" s="1"/>
      <c r="X35" s="1"/>
      <c r="Y35" s="1"/>
      <c r="Z35" s="1"/>
      <c r="AA35" s="1"/>
      <c r="AB35" s="1"/>
      <c r="AC35" s="1"/>
      <c r="AD35" s="1"/>
    </row>
    <row r="36" spans="1:30" ht="13.8">
      <c r="A36" s="1"/>
      <c r="B36" s="270" t="s">
        <v>131</v>
      </c>
      <c r="C36" s="271"/>
      <c r="D36" s="271"/>
      <c r="E36" s="271"/>
      <c r="F36" s="271"/>
      <c r="G36" s="271"/>
      <c r="H36" s="272"/>
      <c r="I36" s="1"/>
      <c r="J36" s="7"/>
      <c r="K36" s="82">
        <v>26</v>
      </c>
      <c r="L36" s="30"/>
      <c r="M36" s="146"/>
      <c r="N36" s="132"/>
      <c r="O36" s="8"/>
      <c r="P36" s="82">
        <v>26</v>
      </c>
      <c r="Q36" s="30"/>
      <c r="R36" s="146"/>
      <c r="S36" s="132"/>
      <c r="T36" s="9"/>
      <c r="U36" s="1"/>
      <c r="V36" s="1"/>
      <c r="W36" s="1"/>
      <c r="X36" s="1"/>
      <c r="Y36" s="1"/>
      <c r="Z36" s="1"/>
      <c r="AA36" s="1"/>
      <c r="AB36" s="1"/>
      <c r="AC36" s="1"/>
      <c r="AD36" s="1"/>
    </row>
    <row r="37" spans="1:30" ht="13.8">
      <c r="A37" s="1"/>
      <c r="B37" s="273"/>
      <c r="C37" s="274"/>
      <c r="D37" s="274"/>
      <c r="E37" s="274"/>
      <c r="F37" s="274"/>
      <c r="G37" s="274"/>
      <c r="H37" s="275"/>
      <c r="I37" s="1"/>
      <c r="J37" s="7"/>
      <c r="K37" s="82">
        <v>27</v>
      </c>
      <c r="L37" s="30"/>
      <c r="M37" s="146"/>
      <c r="N37" s="132"/>
      <c r="O37" s="8"/>
      <c r="P37" s="82">
        <v>27</v>
      </c>
      <c r="Q37" s="30"/>
      <c r="R37" s="146"/>
      <c r="S37" s="132"/>
      <c r="T37" s="9"/>
      <c r="U37" s="1"/>
      <c r="V37" s="1"/>
      <c r="W37" s="1"/>
      <c r="X37" s="1"/>
      <c r="Y37" s="1"/>
      <c r="Z37" s="1"/>
      <c r="AA37" s="1"/>
      <c r="AB37" s="1"/>
      <c r="AC37" s="1"/>
      <c r="AD37" s="1"/>
    </row>
    <row r="38" spans="1:30" ht="14.4" thickBot="1">
      <c r="A38" s="1"/>
      <c r="B38" s="276"/>
      <c r="C38" s="277"/>
      <c r="D38" s="277"/>
      <c r="E38" s="277"/>
      <c r="F38" s="277"/>
      <c r="G38" s="277"/>
      <c r="H38" s="278"/>
      <c r="I38" s="1"/>
      <c r="J38" s="7"/>
      <c r="K38" s="82">
        <v>28</v>
      </c>
      <c r="L38" s="30"/>
      <c r="M38" s="146"/>
      <c r="N38" s="132"/>
      <c r="O38" s="8"/>
      <c r="P38" s="82">
        <v>28</v>
      </c>
      <c r="Q38" s="30"/>
      <c r="R38" s="146"/>
      <c r="S38" s="132"/>
      <c r="T38" s="9"/>
      <c r="U38" s="1"/>
      <c r="V38" s="1"/>
      <c r="W38" s="1"/>
      <c r="X38" s="1"/>
      <c r="Y38" s="1"/>
      <c r="Z38" s="1"/>
      <c r="AA38" s="1"/>
      <c r="AB38" s="1"/>
      <c r="AC38" s="1"/>
      <c r="AD38" s="1"/>
    </row>
    <row r="39" spans="1:30" ht="13.8">
      <c r="A39" s="1"/>
      <c r="B39" s="1"/>
      <c r="C39" s="1"/>
      <c r="D39" s="1"/>
      <c r="E39" s="1"/>
      <c r="F39" s="1"/>
      <c r="G39" s="1"/>
      <c r="H39" s="1"/>
      <c r="I39" s="1"/>
      <c r="J39" s="7"/>
      <c r="K39" s="82">
        <v>29</v>
      </c>
      <c r="L39" s="30"/>
      <c r="M39" s="146"/>
      <c r="N39" s="132"/>
      <c r="O39" s="8"/>
      <c r="P39" s="82">
        <v>29</v>
      </c>
      <c r="Q39" s="30"/>
      <c r="R39" s="146"/>
      <c r="S39" s="132"/>
      <c r="T39" s="9"/>
      <c r="U39" s="1"/>
      <c r="V39" s="1"/>
      <c r="W39" s="1"/>
      <c r="X39" s="1"/>
      <c r="Y39" s="1"/>
      <c r="Z39" s="1"/>
      <c r="AA39" s="1"/>
      <c r="AB39" s="1"/>
      <c r="AC39" s="1"/>
      <c r="AD39" s="1"/>
    </row>
    <row r="40" spans="1:30" ht="13.8">
      <c r="A40" s="1"/>
      <c r="B40" s="1"/>
      <c r="C40" s="1"/>
      <c r="D40" s="1"/>
      <c r="E40" s="1"/>
      <c r="F40" s="1"/>
      <c r="G40" s="1"/>
      <c r="H40" s="1"/>
      <c r="I40" s="1"/>
      <c r="J40" s="7"/>
      <c r="K40" s="82">
        <v>30</v>
      </c>
      <c r="L40" s="30"/>
      <c r="M40" s="146"/>
      <c r="N40" s="132"/>
      <c r="O40" s="8"/>
      <c r="P40" s="82">
        <v>30</v>
      </c>
      <c r="Q40" s="30"/>
      <c r="R40" s="146"/>
      <c r="S40" s="132"/>
      <c r="T40" s="9"/>
      <c r="U40" s="1"/>
      <c r="V40" s="1"/>
      <c r="W40" s="1"/>
      <c r="X40" s="1"/>
      <c r="Y40" s="1"/>
      <c r="Z40" s="1"/>
      <c r="AA40" s="1"/>
      <c r="AB40" s="1"/>
      <c r="AC40" s="1"/>
      <c r="AD40" s="1"/>
    </row>
    <row r="41" spans="1:30" ht="13.8">
      <c r="A41" s="1"/>
      <c r="B41" s="1"/>
      <c r="C41" s="1"/>
      <c r="D41" s="1"/>
      <c r="E41" s="1"/>
      <c r="F41" s="1"/>
      <c r="G41" s="1"/>
      <c r="H41" s="1"/>
      <c r="I41" s="1"/>
      <c r="J41" s="7"/>
      <c r="K41" s="82">
        <v>31</v>
      </c>
      <c r="L41" s="30"/>
      <c r="M41" s="146"/>
      <c r="N41" s="132"/>
      <c r="O41" s="8"/>
      <c r="P41" s="82">
        <v>31</v>
      </c>
      <c r="Q41" s="30"/>
      <c r="R41" s="146"/>
      <c r="S41" s="132"/>
      <c r="T41" s="9"/>
      <c r="U41" s="1"/>
      <c r="V41" s="1"/>
      <c r="W41" s="1"/>
      <c r="X41" s="1"/>
      <c r="Y41" s="1"/>
      <c r="Z41" s="1"/>
      <c r="AA41" s="1"/>
      <c r="AB41" s="1"/>
      <c r="AC41" s="1"/>
      <c r="AD41" s="1"/>
    </row>
    <row r="42" spans="1:30" ht="13.8">
      <c r="A42" s="1"/>
      <c r="B42" s="1"/>
      <c r="C42" s="1"/>
      <c r="D42" s="1"/>
      <c r="E42" s="1"/>
      <c r="F42" s="1"/>
      <c r="G42" s="1"/>
      <c r="H42" s="1"/>
      <c r="I42" s="1"/>
      <c r="J42" s="7"/>
      <c r="K42" s="82">
        <v>32</v>
      </c>
      <c r="L42" s="30"/>
      <c r="M42" s="146"/>
      <c r="N42" s="132"/>
      <c r="O42" s="8"/>
      <c r="P42" s="82">
        <v>32</v>
      </c>
      <c r="Q42" s="30"/>
      <c r="R42" s="146"/>
      <c r="S42" s="132"/>
      <c r="T42" s="9"/>
      <c r="U42" s="1"/>
      <c r="V42" s="1"/>
      <c r="W42" s="1"/>
      <c r="X42" s="1"/>
      <c r="Y42" s="1"/>
      <c r="Z42" s="1"/>
      <c r="AA42" s="1"/>
      <c r="AB42" s="1"/>
      <c r="AC42" s="1"/>
      <c r="AD42" s="1"/>
    </row>
    <row r="43" spans="1:30" ht="13.8">
      <c r="A43" s="1"/>
      <c r="B43" s="1"/>
      <c r="C43" s="1"/>
      <c r="D43" s="1"/>
      <c r="E43" s="1"/>
      <c r="F43" s="1"/>
      <c r="G43" s="1"/>
      <c r="H43" s="1"/>
      <c r="I43" s="1"/>
      <c r="J43" s="7"/>
      <c r="K43" s="82">
        <v>33</v>
      </c>
      <c r="L43" s="30"/>
      <c r="M43" s="146"/>
      <c r="N43" s="132"/>
      <c r="O43" s="8"/>
      <c r="P43" s="82">
        <v>33</v>
      </c>
      <c r="Q43" s="30"/>
      <c r="R43" s="146"/>
      <c r="S43" s="132"/>
      <c r="T43" s="9"/>
      <c r="U43" s="1"/>
      <c r="V43" s="1"/>
      <c r="W43" s="1"/>
      <c r="X43" s="1"/>
      <c r="Y43" s="1"/>
      <c r="Z43" s="1"/>
      <c r="AA43" s="1"/>
      <c r="AB43" s="1"/>
      <c r="AC43" s="1"/>
      <c r="AD43" s="1"/>
    </row>
    <row r="44" spans="1:30" ht="13.8">
      <c r="A44" s="1"/>
      <c r="B44" s="1"/>
      <c r="C44" s="1"/>
      <c r="D44" s="1"/>
      <c r="E44" s="1"/>
      <c r="F44" s="1"/>
      <c r="G44" s="1"/>
      <c r="H44" s="1"/>
      <c r="I44" s="1"/>
      <c r="J44" s="7"/>
      <c r="K44" s="82">
        <v>34</v>
      </c>
      <c r="L44" s="30"/>
      <c r="M44" s="146"/>
      <c r="N44" s="132"/>
      <c r="O44" s="8"/>
      <c r="P44" s="82">
        <v>34</v>
      </c>
      <c r="Q44" s="30"/>
      <c r="R44" s="146"/>
      <c r="S44" s="132"/>
      <c r="T44" s="9"/>
      <c r="U44" s="1"/>
      <c r="V44" s="1"/>
      <c r="W44" s="1"/>
      <c r="X44" s="1"/>
      <c r="Y44" s="1"/>
      <c r="Z44" s="1"/>
      <c r="AA44" s="1"/>
      <c r="AB44" s="1"/>
      <c r="AC44" s="1"/>
      <c r="AD44" s="1"/>
    </row>
    <row r="45" spans="1:30" ht="13.8">
      <c r="A45" s="1"/>
      <c r="B45" s="1"/>
      <c r="C45" s="1"/>
      <c r="D45" s="1"/>
      <c r="E45" s="1"/>
      <c r="F45" s="1"/>
      <c r="G45" s="1"/>
      <c r="H45" s="1"/>
      <c r="I45" s="1"/>
      <c r="J45" s="7"/>
      <c r="K45" s="82">
        <v>35</v>
      </c>
      <c r="L45" s="30"/>
      <c r="M45" s="146"/>
      <c r="N45" s="132"/>
      <c r="O45" s="8"/>
      <c r="P45" s="82">
        <v>35</v>
      </c>
      <c r="Q45" s="30"/>
      <c r="R45" s="146"/>
      <c r="S45" s="132"/>
      <c r="T45" s="9"/>
      <c r="U45" s="1"/>
      <c r="V45" s="1"/>
      <c r="W45" s="1"/>
      <c r="X45" s="1"/>
      <c r="Y45" s="1"/>
      <c r="Z45" s="1"/>
      <c r="AA45" s="1"/>
      <c r="AB45" s="1"/>
      <c r="AC45" s="1"/>
      <c r="AD45" s="1"/>
    </row>
    <row r="46" spans="1:30" ht="13.8">
      <c r="A46" s="1"/>
      <c r="B46" s="1"/>
      <c r="C46" s="1"/>
      <c r="D46" s="1"/>
      <c r="E46" s="1"/>
      <c r="F46" s="1"/>
      <c r="G46" s="1"/>
      <c r="H46" s="1"/>
      <c r="I46" s="1"/>
      <c r="J46" s="7"/>
      <c r="K46" s="82">
        <v>36</v>
      </c>
      <c r="L46" s="30"/>
      <c r="M46" s="146"/>
      <c r="N46" s="132"/>
      <c r="O46" s="8"/>
      <c r="P46" s="82">
        <v>36</v>
      </c>
      <c r="Q46" s="30"/>
      <c r="R46" s="146"/>
      <c r="S46" s="132"/>
      <c r="T46" s="9"/>
      <c r="U46" s="1"/>
      <c r="V46" s="1"/>
      <c r="W46" s="1"/>
      <c r="X46" s="1"/>
      <c r="Y46" s="1"/>
      <c r="Z46" s="1"/>
      <c r="AA46" s="1"/>
      <c r="AB46" s="1"/>
      <c r="AC46" s="1"/>
      <c r="AD46" s="1"/>
    </row>
    <row r="47" spans="1:30" ht="13.8">
      <c r="A47" s="1"/>
      <c r="B47" s="1"/>
      <c r="C47" s="1"/>
      <c r="D47" s="1"/>
      <c r="E47" s="1"/>
      <c r="F47" s="1"/>
      <c r="G47" s="1"/>
      <c r="H47" s="1"/>
      <c r="I47" s="1"/>
      <c r="J47" s="7"/>
      <c r="K47" s="82">
        <v>37</v>
      </c>
      <c r="L47" s="30"/>
      <c r="M47" s="146"/>
      <c r="N47" s="132"/>
      <c r="O47" s="8"/>
      <c r="P47" s="82">
        <v>37</v>
      </c>
      <c r="Q47" s="30"/>
      <c r="R47" s="146"/>
      <c r="S47" s="132"/>
      <c r="T47" s="9"/>
      <c r="U47" s="1"/>
      <c r="V47" s="1"/>
      <c r="W47" s="1"/>
      <c r="X47" s="1"/>
      <c r="Y47" s="1"/>
      <c r="Z47" s="1"/>
      <c r="AA47" s="1"/>
      <c r="AB47" s="1"/>
      <c r="AC47" s="1"/>
      <c r="AD47" s="1"/>
    </row>
    <row r="48" spans="1:30" ht="13.8">
      <c r="A48" s="1"/>
      <c r="B48" s="1"/>
      <c r="C48" s="1"/>
      <c r="D48" s="1"/>
      <c r="E48" s="1"/>
      <c r="F48" s="1"/>
      <c r="G48" s="1"/>
      <c r="H48" s="1"/>
      <c r="I48" s="1"/>
      <c r="J48" s="7"/>
      <c r="K48" s="82">
        <v>38</v>
      </c>
      <c r="L48" s="30"/>
      <c r="M48" s="146"/>
      <c r="N48" s="132"/>
      <c r="O48" s="8"/>
      <c r="P48" s="82">
        <v>38</v>
      </c>
      <c r="Q48" s="30"/>
      <c r="R48" s="146"/>
      <c r="S48" s="132"/>
      <c r="T48" s="9"/>
      <c r="U48" s="1"/>
      <c r="V48" s="1"/>
      <c r="W48" s="1"/>
      <c r="X48" s="1"/>
      <c r="Y48" s="1"/>
      <c r="Z48" s="1"/>
      <c r="AA48" s="1"/>
      <c r="AB48" s="1"/>
      <c r="AC48" s="1"/>
      <c r="AD48" s="1"/>
    </row>
    <row r="49" spans="1:30" ht="13.8">
      <c r="A49" s="1"/>
      <c r="B49" s="1"/>
      <c r="C49" s="1"/>
      <c r="D49" s="1"/>
      <c r="E49" s="1"/>
      <c r="F49" s="1"/>
      <c r="G49" s="1"/>
      <c r="H49" s="1"/>
      <c r="I49" s="1"/>
      <c r="J49" s="7"/>
      <c r="K49" s="82">
        <v>39</v>
      </c>
      <c r="L49" s="30"/>
      <c r="M49" s="146"/>
      <c r="N49" s="132"/>
      <c r="O49" s="8"/>
      <c r="P49" s="82">
        <v>39</v>
      </c>
      <c r="Q49" s="30"/>
      <c r="R49" s="146"/>
      <c r="S49" s="132"/>
      <c r="T49" s="9"/>
      <c r="U49" s="1"/>
      <c r="V49" s="1"/>
      <c r="W49" s="1"/>
      <c r="X49" s="1"/>
      <c r="Y49" s="1"/>
      <c r="Z49" s="1"/>
      <c r="AA49" s="1"/>
      <c r="AB49" s="1"/>
      <c r="AC49" s="1"/>
      <c r="AD49" s="1"/>
    </row>
    <row r="50" spans="1:30" ht="13.8">
      <c r="A50" s="1"/>
      <c r="B50" s="1"/>
      <c r="C50" s="1"/>
      <c r="D50" s="1"/>
      <c r="E50" s="1"/>
      <c r="F50" s="1"/>
      <c r="G50" s="1"/>
      <c r="H50" s="1"/>
      <c r="I50" s="1"/>
      <c r="J50" s="7"/>
      <c r="K50" s="82">
        <v>40</v>
      </c>
      <c r="L50" s="30"/>
      <c r="M50" s="146"/>
      <c r="N50" s="132"/>
      <c r="O50" s="8"/>
      <c r="P50" s="82">
        <v>40</v>
      </c>
      <c r="Q50" s="30"/>
      <c r="R50" s="146"/>
      <c r="S50" s="132"/>
      <c r="T50" s="9"/>
      <c r="U50" s="1"/>
      <c r="V50" s="1"/>
      <c r="W50" s="1"/>
      <c r="X50" s="1"/>
      <c r="Y50" s="1"/>
      <c r="Z50" s="1"/>
      <c r="AA50" s="1"/>
      <c r="AB50" s="1"/>
      <c r="AC50" s="1"/>
      <c r="AD50" s="1"/>
    </row>
    <row r="51" spans="1:30" ht="13.8">
      <c r="A51" s="1"/>
      <c r="B51" s="1"/>
      <c r="C51" s="1"/>
      <c r="D51" s="1"/>
      <c r="E51" s="1"/>
      <c r="F51" s="1"/>
      <c r="G51" s="1"/>
      <c r="H51" s="1"/>
      <c r="I51" s="1"/>
      <c r="J51" s="7"/>
      <c r="K51" s="82">
        <v>41</v>
      </c>
      <c r="L51" s="30"/>
      <c r="M51" s="146"/>
      <c r="N51" s="132"/>
      <c r="O51" s="8"/>
      <c r="P51" s="82">
        <v>41</v>
      </c>
      <c r="Q51" s="30"/>
      <c r="R51" s="146"/>
      <c r="S51" s="132"/>
      <c r="T51" s="9"/>
      <c r="U51" s="1"/>
      <c r="V51" s="1"/>
      <c r="W51" s="1"/>
      <c r="X51" s="1"/>
      <c r="Y51" s="1"/>
      <c r="Z51" s="1"/>
      <c r="AA51" s="1"/>
      <c r="AB51" s="1"/>
      <c r="AC51" s="1"/>
      <c r="AD51" s="1"/>
    </row>
    <row r="52" spans="1:30" ht="13.8">
      <c r="A52" s="1"/>
      <c r="B52" s="1"/>
      <c r="C52" s="1"/>
      <c r="D52" s="1"/>
      <c r="E52" s="1"/>
      <c r="F52" s="1"/>
      <c r="G52" s="1"/>
      <c r="H52" s="1"/>
      <c r="I52" s="1"/>
      <c r="J52" s="7"/>
      <c r="K52" s="82">
        <v>42</v>
      </c>
      <c r="L52" s="30"/>
      <c r="M52" s="146"/>
      <c r="N52" s="132"/>
      <c r="O52" s="8"/>
      <c r="P52" s="82">
        <v>42</v>
      </c>
      <c r="Q52" s="30"/>
      <c r="R52" s="146"/>
      <c r="S52" s="132"/>
      <c r="T52" s="9"/>
      <c r="U52" s="1"/>
      <c r="V52" s="1"/>
      <c r="W52" s="1"/>
      <c r="X52" s="1"/>
      <c r="Y52" s="1"/>
      <c r="Z52" s="1"/>
      <c r="AA52" s="1"/>
      <c r="AB52" s="1"/>
      <c r="AC52" s="1"/>
      <c r="AD52" s="1"/>
    </row>
    <row r="53" spans="1:30" ht="13.8">
      <c r="A53" s="1"/>
      <c r="B53" s="1"/>
      <c r="C53" s="1"/>
      <c r="D53" s="1"/>
      <c r="E53" s="1"/>
      <c r="F53" s="1"/>
      <c r="G53" s="1"/>
      <c r="H53" s="1"/>
      <c r="I53" s="1"/>
      <c r="J53" s="7"/>
      <c r="K53" s="82">
        <v>43</v>
      </c>
      <c r="L53" s="30"/>
      <c r="M53" s="146"/>
      <c r="N53" s="132"/>
      <c r="O53" s="8"/>
      <c r="P53" s="82">
        <v>43</v>
      </c>
      <c r="Q53" s="30"/>
      <c r="R53" s="146"/>
      <c r="S53" s="132"/>
      <c r="T53" s="9"/>
      <c r="U53" s="1"/>
      <c r="V53" s="1"/>
      <c r="W53" s="1"/>
      <c r="X53" s="1"/>
      <c r="Y53" s="1"/>
      <c r="Z53" s="1"/>
      <c r="AA53" s="1"/>
      <c r="AB53" s="1"/>
      <c r="AC53" s="1"/>
      <c r="AD53" s="1"/>
    </row>
    <row r="54" spans="1:30" ht="13.8">
      <c r="A54" s="1"/>
      <c r="B54" s="1"/>
      <c r="C54" s="1"/>
      <c r="D54" s="1"/>
      <c r="E54" s="1"/>
      <c r="F54" s="1"/>
      <c r="G54" s="1"/>
      <c r="H54" s="1"/>
      <c r="I54" s="1"/>
      <c r="J54" s="7"/>
      <c r="K54" s="82">
        <v>44</v>
      </c>
      <c r="L54" s="30"/>
      <c r="M54" s="146"/>
      <c r="N54" s="132"/>
      <c r="O54" s="8"/>
      <c r="P54" s="82">
        <v>44</v>
      </c>
      <c r="Q54" s="30"/>
      <c r="R54" s="146"/>
      <c r="S54" s="132"/>
      <c r="T54" s="9"/>
      <c r="U54" s="1"/>
      <c r="V54" s="1"/>
      <c r="W54" s="1"/>
      <c r="X54" s="1"/>
      <c r="Y54" s="1"/>
      <c r="Z54" s="1"/>
      <c r="AA54" s="1"/>
      <c r="AB54" s="1"/>
      <c r="AC54" s="1"/>
      <c r="AD54" s="1"/>
    </row>
    <row r="55" spans="1:30" ht="13.8">
      <c r="A55" s="1"/>
      <c r="B55" s="1"/>
      <c r="C55" s="1"/>
      <c r="D55" s="1"/>
      <c r="E55" s="1"/>
      <c r="F55" s="1"/>
      <c r="G55" s="1"/>
      <c r="H55" s="1"/>
      <c r="I55" s="1"/>
      <c r="J55" s="7"/>
      <c r="K55" s="82">
        <v>45</v>
      </c>
      <c r="L55" s="30"/>
      <c r="M55" s="146"/>
      <c r="N55" s="132"/>
      <c r="O55" s="8"/>
      <c r="P55" s="82">
        <v>45</v>
      </c>
      <c r="Q55" s="30"/>
      <c r="R55" s="146"/>
      <c r="S55" s="132"/>
      <c r="T55" s="9"/>
      <c r="U55" s="1"/>
      <c r="V55" s="1"/>
      <c r="W55" s="1"/>
      <c r="X55" s="1"/>
      <c r="Y55" s="1"/>
      <c r="Z55" s="1"/>
      <c r="AA55" s="1"/>
      <c r="AB55" s="1"/>
      <c r="AC55" s="1"/>
      <c r="AD55" s="1"/>
    </row>
    <row r="56" spans="1:30" ht="13.8">
      <c r="A56" s="1"/>
      <c r="B56" s="1"/>
      <c r="C56" s="1"/>
      <c r="D56" s="1"/>
      <c r="E56" s="1"/>
      <c r="F56" s="1"/>
      <c r="G56" s="1"/>
      <c r="H56" s="1"/>
      <c r="I56" s="1"/>
      <c r="J56" s="7"/>
      <c r="K56" s="82">
        <v>46</v>
      </c>
      <c r="L56" s="30"/>
      <c r="M56" s="146"/>
      <c r="N56" s="132"/>
      <c r="O56" s="8"/>
      <c r="P56" s="82">
        <v>46</v>
      </c>
      <c r="Q56" s="30"/>
      <c r="R56" s="146"/>
      <c r="S56" s="132"/>
      <c r="T56" s="9"/>
      <c r="U56" s="1"/>
      <c r="V56" s="1"/>
      <c r="W56" s="1"/>
      <c r="X56" s="1"/>
      <c r="Y56" s="1"/>
      <c r="Z56" s="1"/>
      <c r="AA56" s="1"/>
      <c r="AB56" s="1"/>
      <c r="AC56" s="1"/>
      <c r="AD56" s="1"/>
    </row>
    <row r="57" spans="1:30" ht="13.8">
      <c r="A57" s="1"/>
      <c r="B57" s="1"/>
      <c r="C57" s="1"/>
      <c r="D57" s="1"/>
      <c r="E57" s="1"/>
      <c r="F57" s="1"/>
      <c r="G57" s="1"/>
      <c r="H57" s="1"/>
      <c r="I57" s="1"/>
      <c r="J57" s="7"/>
      <c r="K57" s="82">
        <v>47</v>
      </c>
      <c r="L57" s="30"/>
      <c r="M57" s="146"/>
      <c r="N57" s="132"/>
      <c r="O57" s="8"/>
      <c r="P57" s="82">
        <v>47</v>
      </c>
      <c r="Q57" s="30"/>
      <c r="R57" s="146"/>
      <c r="S57" s="132"/>
      <c r="T57" s="9"/>
      <c r="U57" s="1"/>
      <c r="V57" s="1"/>
      <c r="W57" s="1"/>
      <c r="X57" s="1"/>
      <c r="Y57" s="1"/>
      <c r="Z57" s="1"/>
      <c r="AA57" s="1"/>
      <c r="AB57" s="1"/>
      <c r="AC57" s="1"/>
      <c r="AD57" s="1"/>
    </row>
    <row r="58" spans="1:30" ht="13.8">
      <c r="A58" s="1"/>
      <c r="B58" s="1"/>
      <c r="C58" s="1"/>
      <c r="D58" s="1"/>
      <c r="E58" s="1"/>
      <c r="F58" s="1"/>
      <c r="G58" s="1"/>
      <c r="H58" s="1"/>
      <c r="I58" s="1"/>
      <c r="J58" s="7"/>
      <c r="K58" s="82">
        <v>48</v>
      </c>
      <c r="L58" s="30"/>
      <c r="M58" s="146"/>
      <c r="N58" s="132"/>
      <c r="O58" s="8"/>
      <c r="P58" s="82">
        <v>48</v>
      </c>
      <c r="Q58" s="30"/>
      <c r="R58" s="146"/>
      <c r="S58" s="132"/>
      <c r="T58" s="9"/>
      <c r="U58" s="1"/>
      <c r="V58" s="1"/>
      <c r="W58" s="1"/>
      <c r="X58" s="1"/>
      <c r="Y58" s="1"/>
      <c r="Z58" s="1"/>
      <c r="AA58" s="1"/>
      <c r="AB58" s="1"/>
      <c r="AC58" s="1"/>
      <c r="AD58" s="1"/>
    </row>
    <row r="59" spans="1:30" ht="13.8">
      <c r="A59" s="1"/>
      <c r="B59" s="1"/>
      <c r="C59" s="1"/>
      <c r="D59" s="1"/>
      <c r="E59" s="1"/>
      <c r="F59" s="1"/>
      <c r="G59" s="1"/>
      <c r="H59" s="1"/>
      <c r="I59" s="1"/>
      <c r="J59" s="7"/>
      <c r="K59" s="82">
        <v>49</v>
      </c>
      <c r="L59" s="30"/>
      <c r="M59" s="146"/>
      <c r="N59" s="132"/>
      <c r="O59" s="8"/>
      <c r="P59" s="82">
        <v>49</v>
      </c>
      <c r="Q59" s="30"/>
      <c r="R59" s="146"/>
      <c r="S59" s="132"/>
      <c r="T59" s="9"/>
      <c r="U59" s="1"/>
      <c r="V59" s="1"/>
      <c r="W59" s="1"/>
      <c r="X59" s="1"/>
      <c r="Y59" s="1"/>
      <c r="Z59" s="1"/>
      <c r="AA59" s="1"/>
      <c r="AB59" s="1"/>
      <c r="AC59" s="1"/>
      <c r="AD59" s="1"/>
    </row>
    <row r="60" spans="1:30" ht="13.8">
      <c r="A60" s="1"/>
      <c r="B60" s="1"/>
      <c r="C60" s="1"/>
      <c r="D60" s="1"/>
      <c r="E60" s="1"/>
      <c r="F60" s="1"/>
      <c r="G60" s="1"/>
      <c r="H60" s="1"/>
      <c r="I60" s="1"/>
      <c r="J60" s="7"/>
      <c r="K60" s="82">
        <v>50</v>
      </c>
      <c r="L60" s="30"/>
      <c r="M60" s="146"/>
      <c r="N60" s="132"/>
      <c r="O60" s="8"/>
      <c r="P60" s="82">
        <v>50</v>
      </c>
      <c r="Q60" s="30"/>
      <c r="R60" s="146"/>
      <c r="S60" s="132"/>
      <c r="T60" s="9"/>
      <c r="U60" s="1"/>
      <c r="V60" s="1"/>
      <c r="W60" s="1"/>
      <c r="X60" s="1"/>
      <c r="Y60" s="1"/>
      <c r="Z60" s="1"/>
      <c r="AA60" s="1"/>
      <c r="AB60" s="1"/>
      <c r="AC60" s="1"/>
      <c r="AD60" s="1"/>
    </row>
    <row r="61" spans="1:30" ht="13.8">
      <c r="A61" s="1"/>
      <c r="B61" s="1"/>
      <c r="C61" s="1"/>
      <c r="D61" s="1"/>
      <c r="E61" s="1"/>
      <c r="F61" s="1"/>
      <c r="G61" s="1"/>
      <c r="H61" s="1"/>
      <c r="I61" s="1"/>
      <c r="J61" s="34"/>
      <c r="K61" s="35"/>
      <c r="L61" s="35"/>
      <c r="M61" s="35"/>
      <c r="N61" s="35"/>
      <c r="O61" s="35"/>
      <c r="P61" s="35"/>
      <c r="Q61" s="35"/>
      <c r="R61" s="53"/>
      <c r="S61" s="53"/>
      <c r="T61" s="36"/>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54" t="s">
        <v>30</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37"/>
      <c r="C986" s="37"/>
      <c r="D986" s="37"/>
      <c r="E986" s="37"/>
      <c r="F986" s="37"/>
      <c r="G986" s="37"/>
      <c r="H986" s="37"/>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37"/>
      <c r="C987" s="37"/>
      <c r="D987" s="37"/>
      <c r="E987" s="37"/>
      <c r="F987" s="37"/>
      <c r="G987" s="37"/>
      <c r="H987" s="37"/>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37"/>
      <c r="C988" s="37"/>
      <c r="D988" s="37"/>
      <c r="E988" s="37"/>
      <c r="F988" s="37"/>
      <c r="G988" s="37"/>
      <c r="H988" s="37"/>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37"/>
      <c r="C989" s="37"/>
      <c r="D989" s="37"/>
      <c r="E989" s="37"/>
      <c r="F989" s="37"/>
      <c r="G989" s="37"/>
      <c r="H989" s="37"/>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37"/>
      <c r="C990" s="37"/>
      <c r="D990" s="37"/>
      <c r="E990" s="37"/>
      <c r="F990" s="37"/>
      <c r="G990" s="37"/>
      <c r="H990" s="37"/>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37"/>
      <c r="C991" s="37"/>
      <c r="D991" s="37"/>
      <c r="E991" s="37"/>
      <c r="F991" s="37"/>
      <c r="G991" s="37"/>
      <c r="H991" s="37"/>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37"/>
      <c r="C992" s="37"/>
      <c r="D992" s="37"/>
      <c r="E992" s="37"/>
      <c r="F992" s="37"/>
      <c r="G992" s="37"/>
      <c r="H992" s="37"/>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37"/>
      <c r="I995" s="37"/>
      <c r="J995" s="1"/>
      <c r="K995" s="1"/>
      <c r="L995" s="1"/>
      <c r="M995" s="1"/>
      <c r="N995" s="1"/>
      <c r="O995" s="1"/>
      <c r="P995" s="1"/>
      <c r="Q995" s="1"/>
      <c r="R995" s="1"/>
      <c r="S995" s="1"/>
      <c r="T995" s="1"/>
      <c r="U995" s="1"/>
      <c r="V995" s="1"/>
      <c r="W995" s="1"/>
      <c r="X995" s="1"/>
      <c r="Y995" s="1"/>
      <c r="Z995" s="1"/>
      <c r="AA995" s="1"/>
      <c r="AB995" s="1"/>
      <c r="AC995" s="1"/>
      <c r="AD995" s="1"/>
    </row>
    <row r="996" spans="1:30" ht="13.8">
      <c r="A996" s="37"/>
      <c r="I996" s="37"/>
      <c r="J996" s="1"/>
      <c r="K996" s="1"/>
      <c r="L996" s="1"/>
      <c r="M996" s="1"/>
      <c r="N996" s="1"/>
      <c r="O996" s="1"/>
      <c r="P996" s="1"/>
      <c r="Q996" s="1"/>
      <c r="R996" s="1"/>
      <c r="S996" s="1"/>
      <c r="T996" s="1"/>
      <c r="U996" s="1"/>
      <c r="V996" s="1"/>
      <c r="W996" s="1"/>
      <c r="X996" s="1"/>
      <c r="Y996" s="1"/>
      <c r="Z996" s="1"/>
      <c r="AA996" s="1"/>
      <c r="AB996" s="1"/>
      <c r="AC996" s="1"/>
      <c r="AD996" s="1"/>
    </row>
    <row r="997" spans="1:30" ht="13.8">
      <c r="A997" s="37"/>
      <c r="I997" s="37"/>
      <c r="J997" s="1"/>
      <c r="K997" s="1"/>
      <c r="L997" s="1"/>
      <c r="M997" s="1"/>
      <c r="N997" s="1"/>
      <c r="O997" s="1"/>
      <c r="P997" s="1"/>
      <c r="Q997" s="1"/>
      <c r="R997" s="1"/>
      <c r="S997" s="1"/>
      <c r="T997" s="1"/>
      <c r="U997" s="1"/>
      <c r="V997" s="1"/>
      <c r="W997" s="1"/>
      <c r="X997" s="1"/>
      <c r="Y997" s="1"/>
      <c r="Z997" s="1"/>
      <c r="AA997" s="1"/>
      <c r="AB997" s="1"/>
      <c r="AC997" s="1"/>
      <c r="AD997" s="1"/>
    </row>
    <row r="998" spans="1:30" ht="13.8">
      <c r="A998" s="37"/>
      <c r="I998" s="37"/>
      <c r="J998" s="1"/>
      <c r="K998" s="1"/>
      <c r="L998" s="1"/>
      <c r="M998" s="1"/>
      <c r="N998" s="1"/>
      <c r="O998" s="1"/>
      <c r="P998" s="1"/>
      <c r="Q998" s="1"/>
      <c r="R998" s="1"/>
      <c r="S998" s="1"/>
      <c r="T998" s="1"/>
      <c r="U998" s="1"/>
      <c r="V998" s="1"/>
      <c r="W998" s="1"/>
      <c r="X998" s="1"/>
      <c r="Y998" s="1"/>
      <c r="Z998" s="1"/>
      <c r="AA998" s="1"/>
      <c r="AB998" s="1"/>
      <c r="AC998" s="1"/>
      <c r="AD998" s="1"/>
    </row>
    <row r="999" spans="1:30" ht="13.8">
      <c r="A999" s="37"/>
      <c r="I999" s="37"/>
      <c r="J999" s="1"/>
      <c r="K999" s="1"/>
      <c r="L999" s="1"/>
      <c r="M999" s="1"/>
      <c r="N999" s="1"/>
      <c r="O999" s="1"/>
      <c r="P999" s="1"/>
      <c r="Q999" s="1"/>
      <c r="R999" s="1"/>
      <c r="S999" s="1"/>
      <c r="T999" s="1"/>
      <c r="U999" s="1"/>
      <c r="V999" s="1"/>
      <c r="W999" s="1"/>
      <c r="X999" s="1"/>
      <c r="Y999" s="1"/>
      <c r="Z999" s="1"/>
      <c r="AA999" s="1"/>
      <c r="AB999" s="1"/>
      <c r="AC999" s="1"/>
      <c r="AD999" s="1"/>
    </row>
    <row r="1000" spans="1:30" ht="13.8">
      <c r="A1000" s="37"/>
      <c r="I1000" s="37"/>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37"/>
      <c r="I1001" s="37"/>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F19:G19"/>
    <mergeCell ref="C15:D15"/>
    <mergeCell ref="C16:D17"/>
    <mergeCell ref="E16:E17"/>
    <mergeCell ref="F16:G17"/>
    <mergeCell ref="F18:G18"/>
    <mergeCell ref="B36:H38"/>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"4,5,6,7,8,9,10"</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G126"/>
  <sheetViews>
    <sheetView showGridLines="0" zoomScale="85" zoomScaleNormal="85" workbookViewId="0">
      <selection activeCell="L20" sqref="L20"/>
    </sheetView>
  </sheetViews>
  <sheetFormatPr defaultColWidth="12.6640625" defaultRowHeight="15.75" customHeight="1"/>
  <cols>
    <col min="1" max="2" width="3.88671875" style="121" customWidth="1"/>
    <col min="3" max="3" width="13.109375" style="121" customWidth="1"/>
    <col min="4" max="5" width="12.6640625" style="121"/>
    <col min="6" max="6" width="15.33203125" style="121" customWidth="1"/>
    <col min="7" max="7" width="19.44140625" style="121" customWidth="1"/>
    <col min="8" max="8" width="12.6640625" style="121"/>
    <col min="9" max="10" width="5.109375" style="121" customWidth="1"/>
    <col min="11" max="11" width="9" style="121" customWidth="1"/>
    <col min="12" max="12" width="9.33203125" style="121" customWidth="1"/>
    <col min="13" max="13" width="12.77734375" style="121" customWidth="1"/>
    <col min="14" max="14" width="11.33203125" style="123" customWidth="1"/>
    <col min="15" max="15" width="9.44140625" style="121" customWidth="1"/>
    <col min="16" max="18" width="9.44140625" style="127" customWidth="1"/>
    <col min="19" max="19" width="11.88671875" style="121" customWidth="1"/>
    <col min="20" max="20" width="11.88671875" style="134" customWidth="1"/>
    <col min="21" max="22" width="12.6640625" style="121"/>
    <col min="23" max="23" width="3.88671875" style="121" customWidth="1"/>
    <col min="24" max="16384" width="12.6640625" style="121"/>
  </cols>
  <sheetData>
    <row r="1" spans="1:33" ht="13.2">
      <c r="A1" s="339" t="s">
        <v>132</v>
      </c>
      <c r="B1" s="283"/>
      <c r="C1" s="283"/>
      <c r="D1" s="283"/>
      <c r="E1" s="283"/>
      <c r="F1" s="283"/>
      <c r="G1" s="283"/>
      <c r="H1" s="283"/>
      <c r="I1" s="283"/>
      <c r="J1" s="283"/>
      <c r="K1" s="283"/>
      <c r="L1" s="283"/>
      <c r="M1" s="283"/>
      <c r="N1" s="283"/>
      <c r="O1" s="283"/>
      <c r="P1" s="283"/>
      <c r="Q1" s="283"/>
      <c r="R1" s="283"/>
      <c r="S1" s="283"/>
      <c r="T1" s="283"/>
      <c r="U1" s="283"/>
      <c r="V1" s="283"/>
      <c r="W1" s="283"/>
      <c r="X1" s="90"/>
      <c r="Y1" s="90"/>
      <c r="Z1" s="90"/>
      <c r="AA1" s="90"/>
      <c r="AB1" s="90"/>
      <c r="AC1" s="90"/>
      <c r="AD1" s="90"/>
      <c r="AE1" s="90"/>
      <c r="AF1" s="90"/>
      <c r="AG1" s="90"/>
    </row>
    <row r="2" spans="1:33" ht="13.2">
      <c r="A2" s="283"/>
      <c r="B2" s="283"/>
      <c r="C2" s="283"/>
      <c r="D2" s="283"/>
      <c r="E2" s="283"/>
      <c r="F2" s="283"/>
      <c r="G2" s="283"/>
      <c r="H2" s="283"/>
      <c r="I2" s="283"/>
      <c r="J2" s="283"/>
      <c r="K2" s="283"/>
      <c r="L2" s="283"/>
      <c r="M2" s="283"/>
      <c r="N2" s="283"/>
      <c r="O2" s="283"/>
      <c r="P2" s="283"/>
      <c r="Q2" s="283"/>
      <c r="R2" s="283"/>
      <c r="S2" s="283"/>
      <c r="T2" s="283"/>
      <c r="U2" s="283"/>
      <c r="V2" s="283"/>
      <c r="W2" s="283"/>
      <c r="X2" s="90"/>
      <c r="Y2" s="90"/>
      <c r="Z2" s="90"/>
      <c r="AA2" s="90"/>
      <c r="AB2" s="90"/>
      <c r="AC2" s="90"/>
      <c r="AD2" s="90"/>
      <c r="AE2" s="90"/>
      <c r="AF2" s="90"/>
      <c r="AG2" s="90"/>
    </row>
    <row r="3" spans="1:33" ht="13.2">
      <c r="A3" s="283"/>
      <c r="B3" s="283"/>
      <c r="C3" s="283"/>
      <c r="D3" s="283"/>
      <c r="E3" s="283"/>
      <c r="F3" s="283"/>
      <c r="G3" s="283"/>
      <c r="H3" s="283"/>
      <c r="I3" s="283"/>
      <c r="J3" s="283"/>
      <c r="K3" s="283"/>
      <c r="L3" s="283"/>
      <c r="M3" s="283"/>
      <c r="N3" s="283"/>
      <c r="O3" s="283"/>
      <c r="P3" s="283"/>
      <c r="Q3" s="283"/>
      <c r="R3" s="283"/>
      <c r="S3" s="283"/>
      <c r="T3" s="283"/>
      <c r="U3" s="283"/>
      <c r="V3" s="283"/>
      <c r="W3" s="283"/>
      <c r="X3" s="90"/>
      <c r="Y3" s="90"/>
      <c r="Z3" s="90"/>
      <c r="AA3" s="90"/>
      <c r="AB3" s="90"/>
      <c r="AC3" s="90"/>
      <c r="AD3" s="90"/>
      <c r="AE3" s="90"/>
      <c r="AF3" s="90"/>
      <c r="AG3" s="90"/>
    </row>
    <row r="4" spans="1:33" ht="13.8" thickBot="1">
      <c r="A4" s="283"/>
      <c r="B4" s="283"/>
      <c r="C4" s="283"/>
      <c r="D4" s="283"/>
      <c r="E4" s="283"/>
      <c r="F4" s="283"/>
      <c r="G4" s="283"/>
      <c r="H4" s="283"/>
      <c r="I4" s="283"/>
      <c r="J4" s="283"/>
      <c r="K4" s="283"/>
      <c r="L4" s="283"/>
      <c r="M4" s="283"/>
      <c r="N4" s="283"/>
      <c r="O4" s="283"/>
      <c r="P4" s="283"/>
      <c r="Q4" s="283"/>
      <c r="R4" s="283"/>
      <c r="S4" s="283"/>
      <c r="T4" s="283"/>
      <c r="U4" s="283"/>
      <c r="V4" s="283"/>
      <c r="W4" s="283"/>
      <c r="X4" s="122"/>
      <c r="Y4" s="122"/>
      <c r="Z4" s="122"/>
      <c r="AA4" s="122"/>
      <c r="AB4" s="122"/>
      <c r="AC4" s="122"/>
      <c r="AD4" s="122"/>
      <c r="AE4" s="122"/>
      <c r="AF4" s="122"/>
      <c r="AG4" s="122"/>
    </row>
    <row r="5" spans="1:33" ht="16.2" thickBot="1">
      <c r="A5" s="4"/>
      <c r="B5" s="5"/>
      <c r="C5" s="6"/>
      <c r="D5" s="12" t="s">
        <v>3</v>
      </c>
      <c r="E5" s="340" t="str">
        <f>IF('INPUT DATA'!F10="","",'INPUT DATA'!F10)</f>
        <v/>
      </c>
      <c r="F5" s="341"/>
      <c r="G5" s="342"/>
      <c r="H5" s="77"/>
      <c r="I5" s="12" t="s">
        <v>6</v>
      </c>
      <c r="J5" s="12"/>
      <c r="K5" s="352" t="str">
        <f>IF('INPUT DATA'!F11="","",'INPUT DATA'!F11)</f>
        <v/>
      </c>
      <c r="L5" s="353"/>
      <c r="M5" s="353"/>
      <c r="N5" s="353"/>
      <c r="O5" s="353"/>
      <c r="P5" s="354"/>
      <c r="Q5" s="77"/>
      <c r="R5" s="77"/>
      <c r="S5" s="77"/>
      <c r="T5" s="77"/>
      <c r="U5" s="77"/>
      <c r="V5" s="77"/>
      <c r="W5" s="4"/>
      <c r="X5" s="4"/>
      <c r="Y5" s="4"/>
      <c r="Z5" s="4"/>
      <c r="AA5" s="4"/>
      <c r="AB5" s="4"/>
      <c r="AC5" s="4"/>
      <c r="AD5" s="4"/>
      <c r="AE5" s="4"/>
      <c r="AF5" s="4"/>
      <c r="AG5" s="4"/>
    </row>
    <row r="6" spans="1:33" ht="16.2" thickBot="1">
      <c r="A6" s="4"/>
      <c r="B6" s="5"/>
      <c r="C6" s="10"/>
      <c r="D6" s="12" t="s">
        <v>7</v>
      </c>
      <c r="E6" s="340" t="str">
        <f>IF('INPUT DATA'!F16="","",'INPUT DATA'!F16)</f>
        <v/>
      </c>
      <c r="F6" s="341"/>
      <c r="G6" s="342"/>
      <c r="H6" s="77"/>
      <c r="I6" s="12" t="s">
        <v>8</v>
      </c>
      <c r="J6" s="12"/>
      <c r="K6" s="343" t="str">
        <f>IF('INPUT DATA'!F155="","",'INPUT DATA'!F15)</f>
        <v/>
      </c>
      <c r="L6" s="355"/>
      <c r="M6" s="355"/>
      <c r="N6" s="355"/>
      <c r="O6" s="355"/>
      <c r="P6" s="344"/>
      <c r="Q6" s="14"/>
      <c r="R6" s="14"/>
      <c r="S6" s="12" t="s">
        <v>10</v>
      </c>
      <c r="T6" s="12"/>
      <c r="U6" s="343" t="str">
        <f>IF('INPUT DATA'!F18="","",'INPUT DATA'!F18)</f>
        <v/>
      </c>
      <c r="V6" s="344"/>
      <c r="W6" s="4"/>
      <c r="X6" s="4"/>
      <c r="Y6" s="4"/>
      <c r="Z6" s="4"/>
      <c r="AA6" s="4"/>
      <c r="AB6" s="4"/>
      <c r="AC6" s="4"/>
      <c r="AD6" s="4"/>
      <c r="AE6" s="4"/>
      <c r="AF6" s="4"/>
      <c r="AG6" s="4"/>
    </row>
    <row r="7" spans="1:33" ht="13.8" thickBot="1">
      <c r="A7" s="122"/>
      <c r="B7" s="16"/>
      <c r="C7" s="23"/>
      <c r="D7" s="23"/>
      <c r="E7" s="122"/>
      <c r="F7" s="122"/>
      <c r="G7" s="21"/>
      <c r="I7" s="122"/>
      <c r="J7" s="122"/>
      <c r="K7" s="122"/>
      <c r="L7" s="23"/>
      <c r="M7" s="122"/>
      <c r="N7" s="124"/>
      <c r="O7" s="23"/>
      <c r="P7" s="23"/>
      <c r="Q7" s="23"/>
      <c r="R7" s="23"/>
      <c r="S7" s="122"/>
      <c r="T7" s="136"/>
      <c r="U7" s="23"/>
      <c r="V7" s="122"/>
      <c r="W7" s="122"/>
      <c r="X7" s="122"/>
      <c r="Y7" s="122"/>
      <c r="Z7" s="122"/>
      <c r="AA7" s="122"/>
      <c r="AB7" s="122"/>
      <c r="AC7" s="122"/>
      <c r="AD7" s="122"/>
      <c r="AE7" s="122"/>
      <c r="AF7" s="122"/>
      <c r="AG7" s="122"/>
    </row>
    <row r="8" spans="1:33" ht="13.8" thickBot="1">
      <c r="A8" s="122"/>
      <c r="B8" s="322"/>
      <c r="C8" s="323"/>
      <c r="D8" s="323"/>
      <c r="E8" s="323"/>
      <c r="F8" s="323"/>
      <c r="G8" s="323"/>
      <c r="H8" s="323"/>
      <c r="I8" s="323"/>
      <c r="J8" s="323"/>
      <c r="K8" s="323"/>
      <c r="L8" s="323"/>
      <c r="M8" s="323"/>
      <c r="N8" s="323"/>
      <c r="O8" s="323"/>
      <c r="P8" s="323"/>
      <c r="Q8" s="323"/>
      <c r="R8" s="323"/>
      <c r="S8" s="323"/>
      <c r="T8" s="323"/>
      <c r="U8" s="323"/>
      <c r="V8" s="324"/>
      <c r="W8" s="122"/>
      <c r="X8" s="122"/>
      <c r="Y8" s="122"/>
      <c r="Z8" s="122"/>
      <c r="AA8" s="122"/>
      <c r="AB8" s="122"/>
      <c r="AC8" s="122"/>
      <c r="AD8" s="122"/>
      <c r="AE8" s="122"/>
      <c r="AF8" s="122"/>
      <c r="AG8" s="122"/>
    </row>
    <row r="9" spans="1:33" ht="14.4" thickBot="1">
      <c r="A9" s="90"/>
      <c r="B9" s="325" t="s">
        <v>15</v>
      </c>
      <c r="C9" s="326"/>
      <c r="D9" s="326"/>
      <c r="E9" s="327"/>
      <c r="F9" s="95" t="s">
        <v>16</v>
      </c>
      <c r="G9" s="331" t="str">
        <f>IF('INPUT DATA'!F27="","",'INPUT DATA'!F27)</f>
        <v/>
      </c>
      <c r="H9" s="332"/>
      <c r="I9" s="332"/>
      <c r="J9" s="332"/>
      <c r="K9" s="333"/>
      <c r="L9" s="334" t="s">
        <v>18</v>
      </c>
      <c r="M9" s="335"/>
      <c r="N9" s="345" t="str">
        <f>IF('INPUT DATA'!F26="","",'INPUT DATA'!F26)</f>
        <v/>
      </c>
      <c r="O9" s="346"/>
      <c r="P9" s="346"/>
      <c r="Q9" s="346"/>
      <c r="R9" s="346"/>
      <c r="S9" s="346"/>
      <c r="T9" s="346"/>
      <c r="U9" s="346"/>
      <c r="V9" s="347"/>
      <c r="W9" s="90"/>
      <c r="X9" s="90"/>
      <c r="Y9" s="90"/>
      <c r="Z9" s="90"/>
      <c r="AA9" s="90"/>
      <c r="AB9" s="90"/>
      <c r="AC9" s="90"/>
      <c r="AD9" s="90"/>
      <c r="AE9" s="90"/>
      <c r="AF9" s="90"/>
      <c r="AG9" s="90"/>
    </row>
    <row r="10" spans="1:33" ht="14.4" thickBot="1">
      <c r="A10" s="90"/>
      <c r="B10" s="328"/>
      <c r="C10" s="329"/>
      <c r="D10" s="329"/>
      <c r="E10" s="330"/>
      <c r="F10" s="96" t="s">
        <v>20</v>
      </c>
      <c r="G10" s="336" t="str">
        <f>IF('INPUT DATA'!F28="","",'INPUT DATA'!F28)</f>
        <v/>
      </c>
      <c r="H10" s="337"/>
      <c r="I10" s="337"/>
      <c r="J10" s="337"/>
      <c r="K10" s="338"/>
      <c r="L10" s="334"/>
      <c r="M10" s="335"/>
      <c r="N10" s="348"/>
      <c r="O10" s="349"/>
      <c r="P10" s="349"/>
      <c r="Q10" s="349"/>
      <c r="R10" s="349"/>
      <c r="S10" s="349"/>
      <c r="T10" s="349"/>
      <c r="U10" s="350"/>
      <c r="V10" s="351"/>
      <c r="W10" s="90"/>
      <c r="X10" s="90"/>
      <c r="Y10" s="90"/>
      <c r="Z10" s="90"/>
      <c r="AA10" s="90"/>
      <c r="AB10" s="90"/>
      <c r="AC10" s="90"/>
      <c r="AD10" s="90"/>
      <c r="AE10" s="90"/>
      <c r="AF10" s="90"/>
      <c r="AG10" s="90"/>
    </row>
    <row r="11" spans="1:33" ht="14.4" customHeight="1" thickBot="1">
      <c r="A11" s="122"/>
      <c r="B11" s="376" t="s">
        <v>21</v>
      </c>
      <c r="C11" s="377"/>
      <c r="D11" s="377"/>
      <c r="E11" s="378"/>
      <c r="F11" s="385" t="s">
        <v>12</v>
      </c>
      <c r="G11" s="386"/>
      <c r="H11" s="388" t="s">
        <v>22</v>
      </c>
      <c r="I11" s="388" t="s">
        <v>23</v>
      </c>
      <c r="J11" s="385" t="s">
        <v>121</v>
      </c>
      <c r="K11" s="359" t="s">
        <v>24</v>
      </c>
      <c r="L11" s="360"/>
      <c r="M11" s="360"/>
      <c r="N11" s="360"/>
      <c r="O11" s="360"/>
      <c r="P11" s="360"/>
      <c r="Q11" s="360"/>
      <c r="R11" s="360"/>
      <c r="S11" s="360"/>
      <c r="T11" s="360"/>
      <c r="U11" s="366" t="s">
        <v>25</v>
      </c>
      <c r="V11" s="368" t="s">
        <v>26</v>
      </c>
      <c r="W11" s="32"/>
      <c r="X11" s="122"/>
      <c r="Y11" s="122"/>
      <c r="Z11" s="122"/>
      <c r="AA11" s="122"/>
      <c r="AB11" s="122"/>
      <c r="AC11" s="122"/>
      <c r="AD11" s="122"/>
      <c r="AE11" s="122"/>
      <c r="AF11" s="122"/>
      <c r="AG11" s="122"/>
    </row>
    <row r="12" spans="1:33" s="127" customFormat="1" ht="14.4" customHeight="1" thickBot="1">
      <c r="A12" s="128"/>
      <c r="B12" s="379"/>
      <c r="C12" s="380"/>
      <c r="D12" s="380"/>
      <c r="E12" s="381"/>
      <c r="F12" s="356"/>
      <c r="G12" s="368"/>
      <c r="H12" s="320"/>
      <c r="I12" s="320"/>
      <c r="J12" s="320"/>
      <c r="K12" s="320" t="s">
        <v>27</v>
      </c>
      <c r="L12" s="320" t="s">
        <v>28</v>
      </c>
      <c r="M12" s="391" t="s">
        <v>138</v>
      </c>
      <c r="N12" s="391" t="s">
        <v>139</v>
      </c>
      <c r="O12" s="320" t="s">
        <v>127</v>
      </c>
      <c r="P12" s="320" t="s">
        <v>128</v>
      </c>
      <c r="Q12" s="320" t="s">
        <v>123</v>
      </c>
      <c r="R12" s="356" t="s">
        <v>124</v>
      </c>
      <c r="S12" s="357"/>
      <c r="T12" s="358"/>
      <c r="U12" s="366"/>
      <c r="V12" s="368"/>
      <c r="W12" s="32"/>
      <c r="X12" s="128"/>
      <c r="Y12" s="128"/>
      <c r="Z12" s="128"/>
      <c r="AA12" s="128"/>
      <c r="AB12" s="128"/>
      <c r="AC12" s="128"/>
      <c r="AD12" s="128"/>
      <c r="AE12" s="128"/>
      <c r="AF12" s="128"/>
      <c r="AG12" s="128"/>
    </row>
    <row r="13" spans="1:33" ht="15.75" customHeight="1" thickBot="1">
      <c r="A13" s="122"/>
      <c r="B13" s="382"/>
      <c r="C13" s="383"/>
      <c r="D13" s="383"/>
      <c r="E13" s="384"/>
      <c r="F13" s="321"/>
      <c r="G13" s="387"/>
      <c r="H13" s="389"/>
      <c r="I13" s="390"/>
      <c r="J13" s="389"/>
      <c r="K13" s="389"/>
      <c r="L13" s="389"/>
      <c r="M13" s="392"/>
      <c r="N13" s="392"/>
      <c r="O13" s="389"/>
      <c r="P13" s="389"/>
      <c r="Q13" s="321"/>
      <c r="R13" s="139" t="s">
        <v>129</v>
      </c>
      <c r="S13" s="135" t="s">
        <v>130</v>
      </c>
      <c r="T13" s="140" t="s">
        <v>133</v>
      </c>
      <c r="U13" s="367"/>
      <c r="V13" s="369"/>
      <c r="W13" s="32"/>
      <c r="X13" s="122"/>
      <c r="Y13" s="122"/>
      <c r="Z13" s="122"/>
      <c r="AA13" s="122"/>
      <c r="AB13" s="122"/>
      <c r="AC13" s="122"/>
      <c r="AD13" s="122"/>
      <c r="AE13" s="122"/>
      <c r="AF13" s="122"/>
      <c r="AG13" s="122"/>
    </row>
    <row r="14" spans="1:33" ht="16.2" thickBot="1">
      <c r="A14" s="4"/>
      <c r="B14" s="370"/>
      <c r="C14" s="371"/>
      <c r="D14" s="371"/>
      <c r="E14" s="371"/>
      <c r="F14" s="371"/>
      <c r="G14" s="371"/>
      <c r="H14" s="371"/>
      <c r="I14" s="371"/>
      <c r="J14" s="372"/>
      <c r="K14" s="371"/>
      <c r="L14" s="371"/>
      <c r="M14" s="371"/>
      <c r="N14" s="371"/>
      <c r="O14" s="371"/>
      <c r="P14" s="371"/>
      <c r="Q14" s="371"/>
      <c r="R14" s="373"/>
      <c r="S14" s="373"/>
      <c r="T14" s="374"/>
      <c r="U14" s="374"/>
      <c r="V14" s="375"/>
      <c r="W14" s="4"/>
      <c r="X14" s="4"/>
      <c r="Y14" s="4"/>
      <c r="Z14" s="4"/>
      <c r="AA14" s="4"/>
      <c r="AB14" s="4"/>
      <c r="AC14" s="4"/>
      <c r="AD14" s="4"/>
      <c r="AE14" s="4"/>
      <c r="AF14" s="4"/>
      <c r="AG14" s="4"/>
    </row>
    <row r="15" spans="1:33" ht="15">
      <c r="A15" s="4"/>
      <c r="B15" s="83">
        <v>1</v>
      </c>
      <c r="C15" s="361" t="str">
        <f>IF('INPUT DATA'!L11="","",'INPUT DATA'!L11)</f>
        <v/>
      </c>
      <c r="D15" s="362"/>
      <c r="E15" s="363"/>
      <c r="F15" s="364" t="str">
        <f>IF('INPUT DATA'!M11="","",'INPUT DATA'!M11)</f>
        <v/>
      </c>
      <c r="G15" s="365"/>
      <c r="H15" s="92" t="str">
        <f>IF('INPUT DATA'!N11="","",'INPUT DATA'!N11)</f>
        <v/>
      </c>
      <c r="I15" s="113" t="str">
        <f ca="1">IF(H15="","",DATEDIF(H15,TODAY(),"Y"))</f>
        <v/>
      </c>
      <c r="J15" s="114"/>
      <c r="K15" s="171"/>
      <c r="L15" s="172"/>
      <c r="M15" s="172"/>
      <c r="N15" s="172"/>
      <c r="O15" s="172"/>
      <c r="P15" s="172"/>
      <c r="Q15" s="172"/>
      <c r="R15" s="172"/>
      <c r="S15" s="173"/>
      <c r="T15" s="557" t="str">
        <f>IF(COUNT($R15:$S15)=0,"",ROUND(AVERAGE(R15:S15),0))</f>
        <v/>
      </c>
      <c r="U15" s="198" t="str">
        <f>IF(COUNT(K15:Q15,T15)=0,"",ROUND(AVERAGE(K15:Q15,T15),0))</f>
        <v/>
      </c>
      <c r="V15" s="91" t="str">
        <f>IF(U15="","",_xlfn.RANK.AVG(U15,$U$15:$U$115))</f>
        <v/>
      </c>
      <c r="W15" s="4"/>
      <c r="X15" s="4"/>
      <c r="Y15" s="4"/>
      <c r="Z15" s="4"/>
      <c r="AA15" s="4"/>
      <c r="AB15" s="4"/>
      <c r="AC15" s="4"/>
      <c r="AD15" s="4"/>
      <c r="AE15" s="4"/>
      <c r="AF15" s="4"/>
      <c r="AG15" s="4"/>
    </row>
    <row r="16" spans="1:33" ht="15">
      <c r="A16" s="4"/>
      <c r="B16" s="84">
        <v>2</v>
      </c>
      <c r="C16" s="361" t="str">
        <f>IF('INPUT DATA'!L12="","",'INPUT DATA'!L12)</f>
        <v/>
      </c>
      <c r="D16" s="362"/>
      <c r="E16" s="363"/>
      <c r="F16" s="364" t="str">
        <f>IF('INPUT DATA'!M12="","",'INPUT DATA'!M12)</f>
        <v/>
      </c>
      <c r="G16" s="365"/>
      <c r="H16" s="93" t="str">
        <f>IF('INPUT DATA'!N12="","",'INPUT DATA'!N12)</f>
        <v/>
      </c>
      <c r="I16" s="137" t="str">
        <f ca="1">IF(H16="","",DATEDIF(H16,TODAY(),"Y"))</f>
        <v/>
      </c>
      <c r="J16" s="115"/>
      <c r="K16" s="177"/>
      <c r="L16" s="178"/>
      <c r="M16" s="178"/>
      <c r="N16" s="178"/>
      <c r="O16" s="178"/>
      <c r="P16" s="178"/>
      <c r="Q16" s="178"/>
      <c r="R16" s="178"/>
      <c r="S16" s="179"/>
      <c r="T16" s="558" t="str">
        <f t="shared" ref="T16:T64" si="0">IF(COUNT($R16:$S16)=0,"",ROUND(AVERAGE(R16:S16),0))</f>
        <v/>
      </c>
      <c r="U16" s="199" t="str">
        <f t="shared" ref="U16:U79" si="1">IF(COUNT(K16:Q16,T16)=0,"",ROUND(AVERAGE(K16:Q16,T16),0))</f>
        <v/>
      </c>
      <c r="V16" s="91" t="str">
        <f>IF(U16="","",_xlfn.RANK.AVG(U16,$U$15:$U$115))</f>
        <v/>
      </c>
      <c r="W16" s="4"/>
      <c r="X16" s="4"/>
      <c r="Y16" s="4"/>
      <c r="Z16" s="4"/>
      <c r="AA16" s="4"/>
      <c r="AB16" s="4"/>
      <c r="AC16" s="4"/>
      <c r="AD16" s="4"/>
      <c r="AE16" s="4"/>
      <c r="AF16" s="4"/>
      <c r="AG16" s="4"/>
    </row>
    <row r="17" spans="1:33" ht="15">
      <c r="A17" s="4"/>
      <c r="B17" s="84">
        <v>3</v>
      </c>
      <c r="C17" s="361" t="str">
        <f>IF('INPUT DATA'!L13="","",'INPUT DATA'!L13)</f>
        <v/>
      </c>
      <c r="D17" s="362"/>
      <c r="E17" s="363"/>
      <c r="F17" s="364" t="str">
        <f>IF('INPUT DATA'!M13="","",'INPUT DATA'!M13)</f>
        <v/>
      </c>
      <c r="G17" s="365"/>
      <c r="H17" s="93" t="str">
        <f>IF('INPUT DATA'!N13="","",'INPUT DATA'!N13)</f>
        <v/>
      </c>
      <c r="I17" s="137" t="str">
        <f t="shared" ref="I17:I64" ca="1" si="2">IF(H17="","",DATEDIF(H17,TODAY(),"Y"))</f>
        <v/>
      </c>
      <c r="J17" s="115"/>
      <c r="K17" s="177"/>
      <c r="L17" s="178"/>
      <c r="M17" s="178"/>
      <c r="N17" s="178"/>
      <c r="O17" s="178"/>
      <c r="P17" s="178"/>
      <c r="Q17" s="178"/>
      <c r="R17" s="178"/>
      <c r="S17" s="179"/>
      <c r="T17" s="558" t="str">
        <f t="shared" si="0"/>
        <v/>
      </c>
      <c r="U17" s="199" t="str">
        <f t="shared" si="1"/>
        <v/>
      </c>
      <c r="V17" s="91" t="str">
        <f t="shared" ref="V17:V64" si="3">IF(U17="","",_xlfn.RANK.AVG(U17,$U$15:$U$115))</f>
        <v/>
      </c>
      <c r="W17" s="4"/>
      <c r="X17" s="4"/>
      <c r="Y17" s="4"/>
      <c r="Z17" s="4"/>
      <c r="AA17" s="4"/>
      <c r="AB17" s="4"/>
      <c r="AC17" s="4"/>
      <c r="AD17" s="4"/>
      <c r="AE17" s="4"/>
      <c r="AF17" s="4"/>
      <c r="AG17" s="4"/>
    </row>
    <row r="18" spans="1:33" ht="15">
      <c r="A18" s="4"/>
      <c r="B18" s="84">
        <v>4</v>
      </c>
      <c r="C18" s="361" t="str">
        <f>IF('INPUT DATA'!L14="","",'INPUT DATA'!L14)</f>
        <v/>
      </c>
      <c r="D18" s="362"/>
      <c r="E18" s="363"/>
      <c r="F18" s="364" t="str">
        <f>IF('INPUT DATA'!M14="","",'INPUT DATA'!M14)</f>
        <v/>
      </c>
      <c r="G18" s="365"/>
      <c r="H18" s="93" t="str">
        <f>IF('INPUT DATA'!N14="","",'INPUT DATA'!N14)</f>
        <v/>
      </c>
      <c r="I18" s="137" t="str">
        <f t="shared" ca="1" si="2"/>
        <v/>
      </c>
      <c r="J18" s="115"/>
      <c r="K18" s="177"/>
      <c r="L18" s="178"/>
      <c r="M18" s="178"/>
      <c r="N18" s="178"/>
      <c r="O18" s="178"/>
      <c r="P18" s="178"/>
      <c r="Q18" s="178"/>
      <c r="R18" s="178"/>
      <c r="S18" s="179"/>
      <c r="T18" s="558" t="str">
        <f t="shared" si="0"/>
        <v/>
      </c>
      <c r="U18" s="199" t="str">
        <f t="shared" si="1"/>
        <v/>
      </c>
      <c r="V18" s="91" t="str">
        <f t="shared" si="3"/>
        <v/>
      </c>
      <c r="W18" s="4"/>
      <c r="X18" s="4"/>
      <c r="Y18" s="4"/>
      <c r="Z18" s="4"/>
      <c r="AA18" s="4"/>
      <c r="AB18" s="4"/>
      <c r="AC18" s="4"/>
      <c r="AD18" s="4"/>
      <c r="AE18" s="4"/>
      <c r="AF18" s="4"/>
      <c r="AG18" s="4"/>
    </row>
    <row r="19" spans="1:33" ht="15">
      <c r="A19" s="4"/>
      <c r="B19" s="84">
        <v>5</v>
      </c>
      <c r="C19" s="361" t="str">
        <f>IF('INPUT DATA'!L15="","",'INPUT DATA'!L15)</f>
        <v/>
      </c>
      <c r="D19" s="362"/>
      <c r="E19" s="363"/>
      <c r="F19" s="364" t="str">
        <f>IF('INPUT DATA'!M15="","",'INPUT DATA'!M15)</f>
        <v/>
      </c>
      <c r="G19" s="365"/>
      <c r="H19" s="93" t="str">
        <f>IF('INPUT DATA'!N15="","",'INPUT DATA'!N15)</f>
        <v/>
      </c>
      <c r="I19" s="137" t="str">
        <f t="shared" ca="1" si="2"/>
        <v/>
      </c>
      <c r="J19" s="115"/>
      <c r="K19" s="177"/>
      <c r="L19" s="178"/>
      <c r="M19" s="178"/>
      <c r="N19" s="178"/>
      <c r="O19" s="178"/>
      <c r="P19" s="178"/>
      <c r="Q19" s="178"/>
      <c r="R19" s="178"/>
      <c r="S19" s="179"/>
      <c r="T19" s="558" t="str">
        <f t="shared" si="0"/>
        <v/>
      </c>
      <c r="U19" s="199" t="str">
        <f t="shared" si="1"/>
        <v/>
      </c>
      <c r="V19" s="91" t="str">
        <f t="shared" si="3"/>
        <v/>
      </c>
      <c r="W19" s="4"/>
      <c r="X19" s="4"/>
      <c r="Y19" s="4"/>
      <c r="Z19" s="4"/>
      <c r="AA19" s="4"/>
      <c r="AB19" s="4"/>
      <c r="AC19" s="4"/>
      <c r="AD19" s="4"/>
      <c r="AE19" s="4"/>
      <c r="AF19" s="4"/>
      <c r="AG19" s="4"/>
    </row>
    <row r="20" spans="1:33" ht="15">
      <c r="A20" s="4"/>
      <c r="B20" s="84">
        <v>6</v>
      </c>
      <c r="C20" s="361" t="str">
        <f>IF('INPUT DATA'!L16="","",'INPUT DATA'!L16)</f>
        <v/>
      </c>
      <c r="D20" s="362"/>
      <c r="E20" s="363"/>
      <c r="F20" s="364" t="str">
        <f>IF('INPUT DATA'!M16="","",'INPUT DATA'!M16)</f>
        <v/>
      </c>
      <c r="G20" s="365"/>
      <c r="H20" s="93" t="str">
        <f>IF('INPUT DATA'!N16="","",'INPUT DATA'!N16)</f>
        <v/>
      </c>
      <c r="I20" s="137" t="str">
        <f t="shared" ca="1" si="2"/>
        <v/>
      </c>
      <c r="J20" s="115"/>
      <c r="K20" s="177"/>
      <c r="L20" s="178"/>
      <c r="M20" s="178"/>
      <c r="N20" s="178"/>
      <c r="O20" s="178"/>
      <c r="P20" s="178"/>
      <c r="Q20" s="178"/>
      <c r="R20" s="178"/>
      <c r="S20" s="179"/>
      <c r="T20" s="558" t="str">
        <f t="shared" si="0"/>
        <v/>
      </c>
      <c r="U20" s="199" t="str">
        <f t="shared" si="1"/>
        <v/>
      </c>
      <c r="V20" s="91" t="str">
        <f t="shared" si="3"/>
        <v/>
      </c>
      <c r="W20" s="4"/>
      <c r="X20" s="4"/>
      <c r="Y20" s="4"/>
      <c r="Z20" s="4"/>
      <c r="AA20" s="4"/>
      <c r="AB20" s="4"/>
      <c r="AC20" s="4"/>
      <c r="AD20" s="4"/>
      <c r="AE20" s="4"/>
      <c r="AF20" s="4"/>
      <c r="AG20" s="4"/>
    </row>
    <row r="21" spans="1:33" ht="15">
      <c r="A21" s="4"/>
      <c r="B21" s="84">
        <v>7</v>
      </c>
      <c r="C21" s="361" t="str">
        <f>IF('INPUT DATA'!L17="","",'INPUT DATA'!L17)</f>
        <v/>
      </c>
      <c r="D21" s="362"/>
      <c r="E21" s="363"/>
      <c r="F21" s="364" t="str">
        <f>IF('INPUT DATA'!M17="","",'INPUT DATA'!M17)</f>
        <v/>
      </c>
      <c r="G21" s="365"/>
      <c r="H21" s="93" t="str">
        <f>IF('INPUT DATA'!N17="","",'INPUT DATA'!N17)</f>
        <v/>
      </c>
      <c r="I21" s="137" t="str">
        <f t="shared" ca="1" si="2"/>
        <v/>
      </c>
      <c r="J21" s="115"/>
      <c r="K21" s="177"/>
      <c r="L21" s="178"/>
      <c r="M21" s="178"/>
      <c r="N21" s="178"/>
      <c r="O21" s="178"/>
      <c r="P21" s="178"/>
      <c r="Q21" s="178"/>
      <c r="R21" s="178"/>
      <c r="S21" s="179"/>
      <c r="T21" s="558" t="str">
        <f t="shared" si="0"/>
        <v/>
      </c>
      <c r="U21" s="199" t="str">
        <f t="shared" si="1"/>
        <v/>
      </c>
      <c r="V21" s="91" t="str">
        <f t="shared" si="3"/>
        <v/>
      </c>
      <c r="W21" s="4"/>
      <c r="X21" s="4"/>
      <c r="Y21" s="4"/>
      <c r="Z21" s="4"/>
      <c r="AA21" s="4"/>
      <c r="AB21" s="4"/>
      <c r="AC21" s="4"/>
      <c r="AD21" s="4"/>
      <c r="AE21" s="4"/>
      <c r="AF21" s="4"/>
      <c r="AG21" s="4"/>
    </row>
    <row r="22" spans="1:33" ht="15">
      <c r="A22" s="4"/>
      <c r="B22" s="84">
        <v>8</v>
      </c>
      <c r="C22" s="361" t="str">
        <f>IF('INPUT DATA'!L18="","",'INPUT DATA'!L18)</f>
        <v/>
      </c>
      <c r="D22" s="362"/>
      <c r="E22" s="363"/>
      <c r="F22" s="364" t="str">
        <f>IF('INPUT DATA'!M18="","",'INPUT DATA'!M18)</f>
        <v/>
      </c>
      <c r="G22" s="365"/>
      <c r="H22" s="93" t="str">
        <f>IF('INPUT DATA'!N18="","",'INPUT DATA'!N18)</f>
        <v/>
      </c>
      <c r="I22" s="137" t="str">
        <f t="shared" ca="1" si="2"/>
        <v/>
      </c>
      <c r="J22" s="115"/>
      <c r="K22" s="177"/>
      <c r="L22" s="178"/>
      <c r="M22" s="178"/>
      <c r="N22" s="178"/>
      <c r="O22" s="178"/>
      <c r="P22" s="178"/>
      <c r="Q22" s="178"/>
      <c r="R22" s="178"/>
      <c r="S22" s="179"/>
      <c r="T22" s="558" t="str">
        <f t="shared" si="0"/>
        <v/>
      </c>
      <c r="U22" s="199" t="str">
        <f t="shared" si="1"/>
        <v/>
      </c>
      <c r="V22" s="91" t="str">
        <f t="shared" si="3"/>
        <v/>
      </c>
      <c r="W22" s="4"/>
      <c r="X22" s="4"/>
      <c r="Y22" s="4"/>
      <c r="Z22" s="4"/>
      <c r="AA22" s="4"/>
      <c r="AB22" s="4"/>
      <c r="AC22" s="4"/>
      <c r="AD22" s="4"/>
      <c r="AE22" s="4"/>
      <c r="AF22" s="4"/>
      <c r="AG22" s="4"/>
    </row>
    <row r="23" spans="1:33" ht="15">
      <c r="A23" s="4"/>
      <c r="B23" s="84">
        <v>9</v>
      </c>
      <c r="C23" s="361" t="str">
        <f>IF('INPUT DATA'!L19="","",'INPUT DATA'!L19)</f>
        <v/>
      </c>
      <c r="D23" s="362"/>
      <c r="E23" s="363"/>
      <c r="F23" s="364" t="str">
        <f>IF('INPUT DATA'!M19="","",'INPUT DATA'!M19)</f>
        <v/>
      </c>
      <c r="G23" s="365"/>
      <c r="H23" s="93" t="str">
        <f>IF('INPUT DATA'!N19="","",'INPUT DATA'!N19)</f>
        <v/>
      </c>
      <c r="I23" s="137" t="str">
        <f t="shared" ca="1" si="2"/>
        <v/>
      </c>
      <c r="J23" s="115"/>
      <c r="K23" s="177"/>
      <c r="L23" s="178"/>
      <c r="M23" s="178"/>
      <c r="N23" s="178"/>
      <c r="O23" s="178"/>
      <c r="P23" s="178"/>
      <c r="Q23" s="178"/>
      <c r="R23" s="178"/>
      <c r="S23" s="179"/>
      <c r="T23" s="558" t="str">
        <f t="shared" si="0"/>
        <v/>
      </c>
      <c r="U23" s="199" t="str">
        <f t="shared" si="1"/>
        <v/>
      </c>
      <c r="V23" s="91" t="str">
        <f t="shared" si="3"/>
        <v/>
      </c>
      <c r="W23" s="4"/>
      <c r="X23" s="4"/>
      <c r="Y23" s="4"/>
      <c r="Z23" s="4"/>
      <c r="AA23" s="4"/>
      <c r="AB23" s="4"/>
      <c r="AC23" s="4"/>
      <c r="AD23" s="4"/>
      <c r="AE23" s="4"/>
      <c r="AF23" s="4"/>
      <c r="AG23" s="4"/>
    </row>
    <row r="24" spans="1:33" ht="15">
      <c r="A24" s="4"/>
      <c r="B24" s="84">
        <v>10</v>
      </c>
      <c r="C24" s="361" t="str">
        <f>IF('INPUT DATA'!L20="","",'INPUT DATA'!L20)</f>
        <v/>
      </c>
      <c r="D24" s="362"/>
      <c r="E24" s="363"/>
      <c r="F24" s="364" t="str">
        <f>IF('INPUT DATA'!M20="","",'INPUT DATA'!M20)</f>
        <v/>
      </c>
      <c r="G24" s="365"/>
      <c r="H24" s="93" t="str">
        <f>IF('INPUT DATA'!N20="","",'INPUT DATA'!N20)</f>
        <v/>
      </c>
      <c r="I24" s="137" t="str">
        <f t="shared" ca="1" si="2"/>
        <v/>
      </c>
      <c r="J24" s="115"/>
      <c r="K24" s="177"/>
      <c r="L24" s="178"/>
      <c r="M24" s="178"/>
      <c r="N24" s="178"/>
      <c r="O24" s="178"/>
      <c r="P24" s="178"/>
      <c r="Q24" s="178"/>
      <c r="R24" s="178"/>
      <c r="S24" s="179"/>
      <c r="T24" s="558" t="str">
        <f t="shared" si="0"/>
        <v/>
      </c>
      <c r="U24" s="199" t="str">
        <f t="shared" si="1"/>
        <v/>
      </c>
      <c r="V24" s="91" t="str">
        <f t="shared" si="3"/>
        <v/>
      </c>
      <c r="W24" s="4"/>
      <c r="X24" s="4"/>
      <c r="Y24" s="4"/>
      <c r="Z24" s="4"/>
      <c r="AA24" s="4"/>
      <c r="AB24" s="4"/>
      <c r="AC24" s="4"/>
      <c r="AD24" s="4"/>
      <c r="AE24" s="4"/>
      <c r="AF24" s="4"/>
      <c r="AG24" s="4"/>
    </row>
    <row r="25" spans="1:33" ht="15">
      <c r="A25" s="4"/>
      <c r="B25" s="84">
        <v>11</v>
      </c>
      <c r="C25" s="361" t="str">
        <f>IF('INPUT DATA'!L21="","",'INPUT DATA'!L21)</f>
        <v/>
      </c>
      <c r="D25" s="362"/>
      <c r="E25" s="363"/>
      <c r="F25" s="364" t="str">
        <f>IF('INPUT DATA'!M21="","",'INPUT DATA'!M21)</f>
        <v/>
      </c>
      <c r="G25" s="365"/>
      <c r="H25" s="93" t="str">
        <f>IF('INPUT DATA'!N21="","",'INPUT DATA'!N21)</f>
        <v/>
      </c>
      <c r="I25" s="137" t="str">
        <f t="shared" ca="1" si="2"/>
        <v/>
      </c>
      <c r="J25" s="115"/>
      <c r="K25" s="177"/>
      <c r="L25" s="178"/>
      <c r="M25" s="178"/>
      <c r="N25" s="178"/>
      <c r="O25" s="178"/>
      <c r="P25" s="178"/>
      <c r="Q25" s="178"/>
      <c r="R25" s="178"/>
      <c r="S25" s="179"/>
      <c r="T25" s="558" t="str">
        <f t="shared" si="0"/>
        <v/>
      </c>
      <c r="U25" s="199" t="str">
        <f t="shared" si="1"/>
        <v/>
      </c>
      <c r="V25" s="91" t="str">
        <f t="shared" si="3"/>
        <v/>
      </c>
      <c r="W25" s="4"/>
      <c r="X25" s="4"/>
      <c r="Y25" s="4"/>
      <c r="Z25" s="4"/>
      <c r="AA25" s="4"/>
      <c r="AB25" s="4"/>
      <c r="AC25" s="4"/>
      <c r="AD25" s="4"/>
      <c r="AE25" s="4"/>
      <c r="AF25" s="4"/>
      <c r="AG25" s="4"/>
    </row>
    <row r="26" spans="1:33" ht="15">
      <c r="A26" s="4"/>
      <c r="B26" s="84">
        <v>12</v>
      </c>
      <c r="C26" s="361" t="str">
        <f>IF('INPUT DATA'!L22="","",'INPUT DATA'!L22)</f>
        <v/>
      </c>
      <c r="D26" s="362"/>
      <c r="E26" s="363"/>
      <c r="F26" s="364" t="str">
        <f>IF('INPUT DATA'!M22="","",'INPUT DATA'!M22)</f>
        <v/>
      </c>
      <c r="G26" s="365"/>
      <c r="H26" s="93" t="str">
        <f>IF('INPUT DATA'!N22="","",'INPUT DATA'!N22)</f>
        <v/>
      </c>
      <c r="I26" s="137" t="str">
        <f t="shared" ca="1" si="2"/>
        <v/>
      </c>
      <c r="J26" s="115"/>
      <c r="K26" s="177"/>
      <c r="L26" s="178"/>
      <c r="M26" s="178"/>
      <c r="N26" s="178"/>
      <c r="O26" s="178"/>
      <c r="P26" s="178"/>
      <c r="Q26" s="178"/>
      <c r="R26" s="178"/>
      <c r="S26" s="179"/>
      <c r="T26" s="558" t="str">
        <f t="shared" si="0"/>
        <v/>
      </c>
      <c r="U26" s="199" t="str">
        <f t="shared" si="1"/>
        <v/>
      </c>
      <c r="V26" s="91" t="str">
        <f t="shared" si="3"/>
        <v/>
      </c>
      <c r="W26" s="4"/>
      <c r="X26" s="4"/>
      <c r="Y26" s="4"/>
      <c r="Z26" s="4"/>
      <c r="AA26" s="4"/>
      <c r="AB26" s="4"/>
      <c r="AC26" s="4"/>
      <c r="AD26" s="4"/>
      <c r="AE26" s="4"/>
      <c r="AF26" s="4"/>
      <c r="AG26" s="4"/>
    </row>
    <row r="27" spans="1:33" ht="15">
      <c r="A27" s="4"/>
      <c r="B27" s="84">
        <v>13</v>
      </c>
      <c r="C27" s="361" t="str">
        <f>IF('INPUT DATA'!L23="","",'INPUT DATA'!L23)</f>
        <v/>
      </c>
      <c r="D27" s="362"/>
      <c r="E27" s="363"/>
      <c r="F27" s="364" t="str">
        <f>IF('INPUT DATA'!M23="","",'INPUT DATA'!M23)</f>
        <v/>
      </c>
      <c r="G27" s="365"/>
      <c r="H27" s="93" t="str">
        <f>IF('INPUT DATA'!N23="","",'INPUT DATA'!N23)</f>
        <v/>
      </c>
      <c r="I27" s="137" t="str">
        <f t="shared" ca="1" si="2"/>
        <v/>
      </c>
      <c r="J27" s="115"/>
      <c r="K27" s="177"/>
      <c r="L27" s="178"/>
      <c r="M27" s="178"/>
      <c r="N27" s="178"/>
      <c r="O27" s="178"/>
      <c r="P27" s="178"/>
      <c r="Q27" s="178"/>
      <c r="R27" s="178"/>
      <c r="S27" s="179"/>
      <c r="T27" s="558" t="str">
        <f t="shared" si="0"/>
        <v/>
      </c>
      <c r="U27" s="199" t="str">
        <f t="shared" si="1"/>
        <v/>
      </c>
      <c r="V27" s="91" t="str">
        <f t="shared" si="3"/>
        <v/>
      </c>
      <c r="W27" s="4"/>
      <c r="X27" s="4"/>
      <c r="Y27" s="4"/>
      <c r="Z27" s="4"/>
      <c r="AA27" s="4"/>
      <c r="AB27" s="4"/>
      <c r="AC27" s="4"/>
      <c r="AD27" s="4"/>
      <c r="AE27" s="4"/>
      <c r="AF27" s="4"/>
      <c r="AG27" s="4"/>
    </row>
    <row r="28" spans="1:33" ht="15">
      <c r="A28" s="4"/>
      <c r="B28" s="84">
        <v>14</v>
      </c>
      <c r="C28" s="361" t="str">
        <f>IF('INPUT DATA'!L24="","",'INPUT DATA'!L24)</f>
        <v/>
      </c>
      <c r="D28" s="362"/>
      <c r="E28" s="363"/>
      <c r="F28" s="364" t="str">
        <f>IF('INPUT DATA'!M24="","",'INPUT DATA'!M24)</f>
        <v/>
      </c>
      <c r="G28" s="365"/>
      <c r="H28" s="93" t="str">
        <f>IF('INPUT DATA'!N24="","",'INPUT DATA'!N24)</f>
        <v/>
      </c>
      <c r="I28" s="137" t="str">
        <f t="shared" ca="1" si="2"/>
        <v/>
      </c>
      <c r="J28" s="115"/>
      <c r="K28" s="177"/>
      <c r="L28" s="178"/>
      <c r="M28" s="178"/>
      <c r="N28" s="178"/>
      <c r="O28" s="178"/>
      <c r="P28" s="178"/>
      <c r="Q28" s="178"/>
      <c r="R28" s="178"/>
      <c r="S28" s="179"/>
      <c r="T28" s="558" t="str">
        <f t="shared" si="0"/>
        <v/>
      </c>
      <c r="U28" s="199" t="str">
        <f t="shared" si="1"/>
        <v/>
      </c>
      <c r="V28" s="91" t="str">
        <f t="shared" si="3"/>
        <v/>
      </c>
      <c r="W28" s="4"/>
      <c r="X28" s="4"/>
      <c r="Y28" s="4"/>
      <c r="Z28" s="4"/>
      <c r="AA28" s="4"/>
      <c r="AB28" s="4"/>
      <c r="AC28" s="4"/>
      <c r="AD28" s="4"/>
      <c r="AE28" s="4"/>
      <c r="AF28" s="4"/>
      <c r="AG28" s="4"/>
    </row>
    <row r="29" spans="1:33" ht="15">
      <c r="A29" s="4"/>
      <c r="B29" s="84">
        <v>15</v>
      </c>
      <c r="C29" s="361" t="str">
        <f>IF('INPUT DATA'!L25="","",'INPUT DATA'!L25)</f>
        <v/>
      </c>
      <c r="D29" s="362"/>
      <c r="E29" s="363"/>
      <c r="F29" s="364" t="str">
        <f>IF('INPUT DATA'!M25="","",'INPUT DATA'!M25)</f>
        <v/>
      </c>
      <c r="G29" s="365"/>
      <c r="H29" s="93" t="str">
        <f>IF('INPUT DATA'!N25="","",'INPUT DATA'!N25)</f>
        <v/>
      </c>
      <c r="I29" s="137" t="str">
        <f t="shared" ca="1" si="2"/>
        <v/>
      </c>
      <c r="J29" s="115"/>
      <c r="K29" s="177"/>
      <c r="L29" s="178"/>
      <c r="M29" s="178"/>
      <c r="N29" s="178"/>
      <c r="O29" s="178"/>
      <c r="P29" s="178"/>
      <c r="Q29" s="178"/>
      <c r="R29" s="178"/>
      <c r="S29" s="179"/>
      <c r="T29" s="558" t="str">
        <f t="shared" si="0"/>
        <v/>
      </c>
      <c r="U29" s="199" t="str">
        <f t="shared" si="1"/>
        <v/>
      </c>
      <c r="V29" s="91" t="str">
        <f t="shared" si="3"/>
        <v/>
      </c>
      <c r="W29" s="4"/>
      <c r="X29" s="4"/>
      <c r="Y29" s="4"/>
      <c r="Z29" s="4"/>
      <c r="AA29" s="4"/>
      <c r="AB29" s="4"/>
      <c r="AC29" s="4"/>
      <c r="AD29" s="4"/>
      <c r="AE29" s="4"/>
      <c r="AF29" s="4"/>
      <c r="AG29" s="4"/>
    </row>
    <row r="30" spans="1:33" ht="15">
      <c r="A30" s="4"/>
      <c r="B30" s="84">
        <v>16</v>
      </c>
      <c r="C30" s="361" t="str">
        <f>IF('INPUT DATA'!L26="","",'INPUT DATA'!L26)</f>
        <v/>
      </c>
      <c r="D30" s="362"/>
      <c r="E30" s="363"/>
      <c r="F30" s="364" t="str">
        <f>IF('INPUT DATA'!M26="","",'INPUT DATA'!M26)</f>
        <v/>
      </c>
      <c r="G30" s="365"/>
      <c r="H30" s="93" t="str">
        <f>IF('INPUT DATA'!N26="","",'INPUT DATA'!N26)</f>
        <v/>
      </c>
      <c r="I30" s="137" t="str">
        <f t="shared" ca="1" si="2"/>
        <v/>
      </c>
      <c r="J30" s="115"/>
      <c r="K30" s="177"/>
      <c r="L30" s="178"/>
      <c r="M30" s="178"/>
      <c r="N30" s="178"/>
      <c r="O30" s="178"/>
      <c r="P30" s="178"/>
      <c r="Q30" s="178"/>
      <c r="R30" s="178"/>
      <c r="S30" s="179"/>
      <c r="T30" s="558" t="str">
        <f t="shared" si="0"/>
        <v/>
      </c>
      <c r="U30" s="199" t="str">
        <f t="shared" si="1"/>
        <v/>
      </c>
      <c r="V30" s="91" t="str">
        <f t="shared" si="3"/>
        <v/>
      </c>
      <c r="W30" s="4"/>
      <c r="X30" s="4"/>
      <c r="Y30" s="4"/>
      <c r="Z30" s="4"/>
      <c r="AA30" s="4"/>
      <c r="AB30" s="4"/>
      <c r="AC30" s="4"/>
      <c r="AD30" s="4"/>
      <c r="AE30" s="4"/>
      <c r="AF30" s="4"/>
      <c r="AG30" s="4"/>
    </row>
    <row r="31" spans="1:33" ht="15">
      <c r="A31" s="4"/>
      <c r="B31" s="84">
        <v>17</v>
      </c>
      <c r="C31" s="361" t="str">
        <f>IF('INPUT DATA'!L27="","",'INPUT DATA'!L27)</f>
        <v/>
      </c>
      <c r="D31" s="362"/>
      <c r="E31" s="363"/>
      <c r="F31" s="364" t="str">
        <f>IF('INPUT DATA'!M27="","",'INPUT DATA'!M27)</f>
        <v/>
      </c>
      <c r="G31" s="365"/>
      <c r="H31" s="93" t="str">
        <f>IF('INPUT DATA'!N27="","",'INPUT DATA'!N27)</f>
        <v/>
      </c>
      <c r="I31" s="137" t="str">
        <f t="shared" ca="1" si="2"/>
        <v/>
      </c>
      <c r="J31" s="115"/>
      <c r="K31" s="177"/>
      <c r="L31" s="178"/>
      <c r="M31" s="178"/>
      <c r="N31" s="178"/>
      <c r="O31" s="178"/>
      <c r="P31" s="178"/>
      <c r="Q31" s="178"/>
      <c r="R31" s="178"/>
      <c r="S31" s="179"/>
      <c r="T31" s="558" t="str">
        <f t="shared" si="0"/>
        <v/>
      </c>
      <c r="U31" s="199" t="str">
        <f t="shared" si="1"/>
        <v/>
      </c>
      <c r="V31" s="91" t="str">
        <f t="shared" si="3"/>
        <v/>
      </c>
      <c r="W31" s="4"/>
      <c r="X31" s="4"/>
      <c r="Y31" s="4"/>
      <c r="Z31" s="4"/>
      <c r="AA31" s="4"/>
      <c r="AB31" s="4"/>
      <c r="AC31" s="4"/>
      <c r="AD31" s="4"/>
      <c r="AE31" s="4"/>
      <c r="AF31" s="4"/>
      <c r="AG31" s="4"/>
    </row>
    <row r="32" spans="1:33" ht="15">
      <c r="A32" s="4"/>
      <c r="B32" s="84">
        <v>18</v>
      </c>
      <c r="C32" s="361" t="str">
        <f>IF('INPUT DATA'!L28="","",'INPUT DATA'!L28)</f>
        <v/>
      </c>
      <c r="D32" s="362"/>
      <c r="E32" s="363"/>
      <c r="F32" s="364" t="str">
        <f>IF('INPUT DATA'!M28="","",'INPUT DATA'!M28)</f>
        <v/>
      </c>
      <c r="G32" s="365"/>
      <c r="H32" s="93" t="str">
        <f>IF('INPUT DATA'!N28="","",'INPUT DATA'!N28)</f>
        <v/>
      </c>
      <c r="I32" s="137" t="str">
        <f t="shared" ca="1" si="2"/>
        <v/>
      </c>
      <c r="J32" s="115"/>
      <c r="K32" s="177"/>
      <c r="L32" s="178"/>
      <c r="M32" s="178"/>
      <c r="N32" s="178"/>
      <c r="O32" s="178"/>
      <c r="P32" s="178"/>
      <c r="Q32" s="178"/>
      <c r="R32" s="178"/>
      <c r="S32" s="179"/>
      <c r="T32" s="558" t="str">
        <f t="shared" si="0"/>
        <v/>
      </c>
      <c r="U32" s="199" t="str">
        <f t="shared" si="1"/>
        <v/>
      </c>
      <c r="V32" s="91" t="str">
        <f t="shared" si="3"/>
        <v/>
      </c>
      <c r="W32" s="4"/>
      <c r="X32" s="4"/>
      <c r="Y32" s="4"/>
      <c r="Z32" s="4"/>
      <c r="AA32" s="4"/>
      <c r="AB32" s="4"/>
      <c r="AC32" s="4"/>
      <c r="AD32" s="4"/>
      <c r="AE32" s="4"/>
      <c r="AF32" s="4"/>
      <c r="AG32" s="4"/>
    </row>
    <row r="33" spans="1:33" ht="15">
      <c r="A33" s="4"/>
      <c r="B33" s="84">
        <v>19</v>
      </c>
      <c r="C33" s="361" t="str">
        <f>IF('INPUT DATA'!L29="","",'INPUT DATA'!L29)</f>
        <v/>
      </c>
      <c r="D33" s="362"/>
      <c r="E33" s="363"/>
      <c r="F33" s="364" t="str">
        <f>IF('INPUT DATA'!M29="","",'INPUT DATA'!M29)</f>
        <v/>
      </c>
      <c r="G33" s="365"/>
      <c r="H33" s="93" t="str">
        <f>IF('INPUT DATA'!N29="","",'INPUT DATA'!N29)</f>
        <v/>
      </c>
      <c r="I33" s="137" t="str">
        <f t="shared" ca="1" si="2"/>
        <v/>
      </c>
      <c r="J33" s="115"/>
      <c r="K33" s="177"/>
      <c r="L33" s="178"/>
      <c r="M33" s="178"/>
      <c r="N33" s="178"/>
      <c r="O33" s="178"/>
      <c r="P33" s="178"/>
      <c r="Q33" s="178"/>
      <c r="R33" s="178"/>
      <c r="S33" s="179"/>
      <c r="T33" s="558" t="str">
        <f t="shared" si="0"/>
        <v/>
      </c>
      <c r="U33" s="199" t="str">
        <f t="shared" si="1"/>
        <v/>
      </c>
      <c r="V33" s="91" t="str">
        <f t="shared" si="3"/>
        <v/>
      </c>
      <c r="W33" s="4"/>
      <c r="X33" s="4"/>
      <c r="Y33" s="4"/>
      <c r="Z33" s="4"/>
      <c r="AA33" s="4"/>
      <c r="AB33" s="4"/>
      <c r="AC33" s="4"/>
      <c r="AD33" s="4"/>
      <c r="AE33" s="4"/>
      <c r="AF33" s="4"/>
      <c r="AG33" s="4"/>
    </row>
    <row r="34" spans="1:33" ht="15">
      <c r="A34" s="4"/>
      <c r="B34" s="85">
        <v>20</v>
      </c>
      <c r="C34" s="361" t="str">
        <f>IF('INPUT DATA'!L30="","",'INPUT DATA'!L30)</f>
        <v/>
      </c>
      <c r="D34" s="362"/>
      <c r="E34" s="363"/>
      <c r="F34" s="364" t="str">
        <f>IF('INPUT DATA'!M30="","",'INPUT DATA'!M30)</f>
        <v/>
      </c>
      <c r="G34" s="365"/>
      <c r="H34" s="93" t="str">
        <f>IF('INPUT DATA'!N30="","",'INPUT DATA'!N30)</f>
        <v/>
      </c>
      <c r="I34" s="137" t="str">
        <f t="shared" ca="1" si="2"/>
        <v/>
      </c>
      <c r="J34" s="115"/>
      <c r="K34" s="182"/>
      <c r="L34" s="183"/>
      <c r="M34" s="183"/>
      <c r="N34" s="183"/>
      <c r="O34" s="183"/>
      <c r="P34" s="183"/>
      <c r="Q34" s="183"/>
      <c r="R34" s="183"/>
      <c r="S34" s="184"/>
      <c r="T34" s="558" t="str">
        <f t="shared" si="0"/>
        <v/>
      </c>
      <c r="U34" s="199" t="str">
        <f t="shared" si="1"/>
        <v/>
      </c>
      <c r="V34" s="91" t="str">
        <f t="shared" si="3"/>
        <v/>
      </c>
      <c r="W34" s="4"/>
      <c r="X34" s="4"/>
      <c r="Y34" s="4"/>
      <c r="Z34" s="4"/>
      <c r="AA34" s="4"/>
      <c r="AB34" s="4"/>
      <c r="AC34" s="4"/>
      <c r="AD34" s="4"/>
      <c r="AE34" s="4"/>
      <c r="AF34" s="4"/>
      <c r="AG34" s="4"/>
    </row>
    <row r="35" spans="1:33" ht="15">
      <c r="A35" s="4"/>
      <c r="B35" s="85">
        <v>21</v>
      </c>
      <c r="C35" s="361" t="str">
        <f>IF('INPUT DATA'!L31="","",'INPUT DATA'!L31)</f>
        <v/>
      </c>
      <c r="D35" s="362"/>
      <c r="E35" s="363"/>
      <c r="F35" s="364" t="str">
        <f>IF('INPUT DATA'!M31="","",'INPUT DATA'!M31)</f>
        <v/>
      </c>
      <c r="G35" s="365"/>
      <c r="H35" s="93" t="str">
        <f>IF('INPUT DATA'!N31="","",'INPUT DATA'!N31)</f>
        <v/>
      </c>
      <c r="I35" s="137" t="str">
        <f t="shared" ca="1" si="2"/>
        <v/>
      </c>
      <c r="J35" s="115"/>
      <c r="K35" s="177"/>
      <c r="L35" s="178"/>
      <c r="M35" s="178"/>
      <c r="N35" s="178"/>
      <c r="O35" s="178"/>
      <c r="P35" s="178"/>
      <c r="Q35" s="178"/>
      <c r="R35" s="178"/>
      <c r="S35" s="179"/>
      <c r="T35" s="558" t="str">
        <f t="shared" si="0"/>
        <v/>
      </c>
      <c r="U35" s="199" t="str">
        <f t="shared" si="1"/>
        <v/>
      </c>
      <c r="V35" s="91" t="str">
        <f t="shared" si="3"/>
        <v/>
      </c>
      <c r="W35" s="4"/>
      <c r="X35" s="4"/>
      <c r="Y35" s="4"/>
      <c r="Z35" s="4"/>
      <c r="AA35" s="4"/>
      <c r="AB35" s="4"/>
      <c r="AC35" s="4"/>
      <c r="AD35" s="4"/>
      <c r="AE35" s="4"/>
      <c r="AF35" s="4"/>
      <c r="AG35" s="4"/>
    </row>
    <row r="36" spans="1:33" ht="15">
      <c r="A36" s="4"/>
      <c r="B36" s="85">
        <v>22</v>
      </c>
      <c r="C36" s="361" t="str">
        <f>IF('INPUT DATA'!L32="","",'INPUT DATA'!L32)</f>
        <v/>
      </c>
      <c r="D36" s="362"/>
      <c r="E36" s="363"/>
      <c r="F36" s="364" t="str">
        <f>IF('INPUT DATA'!M32="","",'INPUT DATA'!M32)</f>
        <v/>
      </c>
      <c r="G36" s="365"/>
      <c r="H36" s="93" t="str">
        <f>IF('INPUT DATA'!N32="","",'INPUT DATA'!N32)</f>
        <v/>
      </c>
      <c r="I36" s="137" t="str">
        <f t="shared" ca="1" si="2"/>
        <v/>
      </c>
      <c r="J36" s="115"/>
      <c r="K36" s="177"/>
      <c r="L36" s="178"/>
      <c r="M36" s="178"/>
      <c r="N36" s="178"/>
      <c r="O36" s="178"/>
      <c r="P36" s="178"/>
      <c r="Q36" s="178"/>
      <c r="R36" s="178"/>
      <c r="S36" s="179"/>
      <c r="T36" s="558" t="str">
        <f t="shared" si="0"/>
        <v/>
      </c>
      <c r="U36" s="199" t="str">
        <f t="shared" si="1"/>
        <v/>
      </c>
      <c r="V36" s="91" t="str">
        <f t="shared" si="3"/>
        <v/>
      </c>
      <c r="W36" s="4"/>
      <c r="X36" s="4"/>
      <c r="Y36" s="4"/>
      <c r="Z36" s="4"/>
      <c r="AA36" s="4"/>
      <c r="AB36" s="4"/>
      <c r="AC36" s="4"/>
      <c r="AD36" s="4"/>
      <c r="AE36" s="4"/>
      <c r="AF36" s="4"/>
      <c r="AG36" s="4"/>
    </row>
    <row r="37" spans="1:33" ht="15">
      <c r="A37" s="4"/>
      <c r="B37" s="85">
        <v>23</v>
      </c>
      <c r="C37" s="361" t="str">
        <f>IF('INPUT DATA'!L33="","",'INPUT DATA'!L33)</f>
        <v/>
      </c>
      <c r="D37" s="362"/>
      <c r="E37" s="363"/>
      <c r="F37" s="364" t="str">
        <f>IF('INPUT DATA'!M33="","",'INPUT DATA'!M33)</f>
        <v/>
      </c>
      <c r="G37" s="365"/>
      <c r="H37" s="93" t="str">
        <f>IF('INPUT DATA'!N33="","",'INPUT DATA'!N33)</f>
        <v/>
      </c>
      <c r="I37" s="137" t="str">
        <f t="shared" ca="1" si="2"/>
        <v/>
      </c>
      <c r="J37" s="115"/>
      <c r="K37" s="177"/>
      <c r="L37" s="178"/>
      <c r="M37" s="178"/>
      <c r="N37" s="178"/>
      <c r="O37" s="178"/>
      <c r="P37" s="178"/>
      <c r="Q37" s="178"/>
      <c r="R37" s="178"/>
      <c r="S37" s="179"/>
      <c r="T37" s="558" t="str">
        <f t="shared" si="0"/>
        <v/>
      </c>
      <c r="U37" s="199" t="str">
        <f t="shared" si="1"/>
        <v/>
      </c>
      <c r="V37" s="91" t="str">
        <f t="shared" si="3"/>
        <v/>
      </c>
      <c r="W37" s="4"/>
      <c r="X37" s="4"/>
      <c r="Y37" s="4"/>
      <c r="Z37" s="4"/>
      <c r="AA37" s="4"/>
      <c r="AB37" s="4"/>
      <c r="AC37" s="4"/>
      <c r="AD37" s="4"/>
      <c r="AE37" s="4"/>
      <c r="AF37" s="4"/>
      <c r="AG37" s="4"/>
    </row>
    <row r="38" spans="1:33" ht="15">
      <c r="A38" s="4"/>
      <c r="B38" s="85">
        <v>24</v>
      </c>
      <c r="C38" s="361" t="str">
        <f>IF('INPUT DATA'!L34="","",'INPUT DATA'!L34)</f>
        <v/>
      </c>
      <c r="D38" s="362"/>
      <c r="E38" s="363"/>
      <c r="F38" s="364" t="str">
        <f>IF('INPUT DATA'!M34="","",'INPUT DATA'!M34)</f>
        <v/>
      </c>
      <c r="G38" s="365"/>
      <c r="H38" s="93" t="str">
        <f>IF('INPUT DATA'!N34="","",'INPUT DATA'!N34)</f>
        <v/>
      </c>
      <c r="I38" s="137" t="str">
        <f t="shared" ca="1" si="2"/>
        <v/>
      </c>
      <c r="J38" s="115"/>
      <c r="K38" s="177"/>
      <c r="L38" s="178"/>
      <c r="M38" s="178"/>
      <c r="N38" s="178"/>
      <c r="O38" s="178"/>
      <c r="P38" s="178"/>
      <c r="Q38" s="178"/>
      <c r="R38" s="178"/>
      <c r="S38" s="179"/>
      <c r="T38" s="558" t="str">
        <f t="shared" si="0"/>
        <v/>
      </c>
      <c r="U38" s="199" t="str">
        <f t="shared" si="1"/>
        <v/>
      </c>
      <c r="V38" s="91" t="str">
        <f t="shared" si="3"/>
        <v/>
      </c>
      <c r="W38" s="4"/>
      <c r="X38" s="4"/>
      <c r="Y38" s="4"/>
      <c r="Z38" s="4"/>
      <c r="AA38" s="4"/>
      <c r="AB38" s="4"/>
      <c r="AC38" s="4"/>
      <c r="AD38" s="4"/>
      <c r="AE38" s="4"/>
      <c r="AF38" s="4"/>
      <c r="AG38" s="4"/>
    </row>
    <row r="39" spans="1:33" ht="15">
      <c r="A39" s="4"/>
      <c r="B39" s="85">
        <v>25</v>
      </c>
      <c r="C39" s="361" t="str">
        <f>IF('INPUT DATA'!L35="","",'INPUT DATA'!L35)</f>
        <v/>
      </c>
      <c r="D39" s="362"/>
      <c r="E39" s="363"/>
      <c r="F39" s="364" t="str">
        <f>IF('INPUT DATA'!M35="","",'INPUT DATA'!M35)</f>
        <v/>
      </c>
      <c r="G39" s="365"/>
      <c r="H39" s="93" t="str">
        <f>IF('INPUT DATA'!N35="","",'INPUT DATA'!N35)</f>
        <v/>
      </c>
      <c r="I39" s="137" t="str">
        <f t="shared" ca="1" si="2"/>
        <v/>
      </c>
      <c r="J39" s="115"/>
      <c r="K39" s="177"/>
      <c r="L39" s="178"/>
      <c r="M39" s="178"/>
      <c r="N39" s="178"/>
      <c r="O39" s="178"/>
      <c r="P39" s="178"/>
      <c r="Q39" s="178"/>
      <c r="R39" s="178"/>
      <c r="S39" s="179"/>
      <c r="T39" s="558" t="str">
        <f t="shared" si="0"/>
        <v/>
      </c>
      <c r="U39" s="199" t="str">
        <f t="shared" si="1"/>
        <v/>
      </c>
      <c r="V39" s="91" t="str">
        <f t="shared" si="3"/>
        <v/>
      </c>
      <c r="W39" s="4"/>
      <c r="X39" s="4"/>
      <c r="Y39" s="4"/>
      <c r="Z39" s="4"/>
      <c r="AA39" s="4"/>
      <c r="AB39" s="4"/>
      <c r="AC39" s="4"/>
      <c r="AD39" s="4"/>
      <c r="AE39" s="4"/>
      <c r="AF39" s="4"/>
      <c r="AG39" s="4"/>
    </row>
    <row r="40" spans="1:33" ht="15">
      <c r="A40" s="4"/>
      <c r="B40" s="85">
        <v>26</v>
      </c>
      <c r="C40" s="361" t="str">
        <f>IF('INPUT DATA'!L36="","",'INPUT DATA'!L36)</f>
        <v/>
      </c>
      <c r="D40" s="362"/>
      <c r="E40" s="363"/>
      <c r="F40" s="364" t="str">
        <f>IF('INPUT DATA'!M36="","",'INPUT DATA'!M36)</f>
        <v/>
      </c>
      <c r="G40" s="365"/>
      <c r="H40" s="93" t="str">
        <f>IF('INPUT DATA'!N36="","",'INPUT DATA'!N36)</f>
        <v/>
      </c>
      <c r="I40" s="137" t="str">
        <f t="shared" ca="1" si="2"/>
        <v/>
      </c>
      <c r="J40" s="115"/>
      <c r="K40" s="177"/>
      <c r="L40" s="178"/>
      <c r="M40" s="178"/>
      <c r="N40" s="178"/>
      <c r="O40" s="178"/>
      <c r="P40" s="178"/>
      <c r="Q40" s="178"/>
      <c r="R40" s="178"/>
      <c r="S40" s="179"/>
      <c r="T40" s="558" t="str">
        <f t="shared" si="0"/>
        <v/>
      </c>
      <c r="U40" s="199" t="str">
        <f t="shared" si="1"/>
        <v/>
      </c>
      <c r="V40" s="91" t="str">
        <f t="shared" si="3"/>
        <v/>
      </c>
      <c r="W40" s="4"/>
      <c r="X40" s="4"/>
      <c r="Y40" s="4"/>
      <c r="Z40" s="4"/>
      <c r="AA40" s="4"/>
      <c r="AB40" s="4"/>
      <c r="AC40" s="4"/>
      <c r="AD40" s="4"/>
      <c r="AE40" s="4"/>
      <c r="AF40" s="4"/>
      <c r="AG40" s="4"/>
    </row>
    <row r="41" spans="1:33" ht="15">
      <c r="A41" s="4"/>
      <c r="B41" s="85">
        <v>27</v>
      </c>
      <c r="C41" s="361" t="str">
        <f>IF('INPUT DATA'!L37="","",'INPUT DATA'!L37)</f>
        <v/>
      </c>
      <c r="D41" s="362"/>
      <c r="E41" s="363"/>
      <c r="F41" s="364" t="str">
        <f>IF('INPUT DATA'!M37="","",'INPUT DATA'!M37)</f>
        <v/>
      </c>
      <c r="G41" s="365"/>
      <c r="H41" s="93" t="str">
        <f>IF('INPUT DATA'!N37="","",'INPUT DATA'!N37)</f>
        <v/>
      </c>
      <c r="I41" s="137" t="str">
        <f t="shared" ca="1" si="2"/>
        <v/>
      </c>
      <c r="J41" s="115"/>
      <c r="K41" s="177"/>
      <c r="L41" s="178"/>
      <c r="M41" s="178"/>
      <c r="N41" s="178"/>
      <c r="O41" s="178"/>
      <c r="P41" s="178"/>
      <c r="Q41" s="178"/>
      <c r="R41" s="178"/>
      <c r="S41" s="179"/>
      <c r="T41" s="558" t="str">
        <f t="shared" si="0"/>
        <v/>
      </c>
      <c r="U41" s="199" t="str">
        <f t="shared" si="1"/>
        <v/>
      </c>
      <c r="V41" s="91" t="str">
        <f t="shared" si="3"/>
        <v/>
      </c>
      <c r="W41" s="4"/>
      <c r="X41" s="4"/>
      <c r="Y41" s="4"/>
      <c r="Z41" s="4"/>
      <c r="AA41" s="4"/>
      <c r="AB41" s="4"/>
      <c r="AC41" s="4"/>
      <c r="AD41" s="4"/>
      <c r="AE41" s="4"/>
      <c r="AF41" s="4"/>
      <c r="AG41" s="4"/>
    </row>
    <row r="42" spans="1:33" ht="15">
      <c r="A42" s="4"/>
      <c r="B42" s="85">
        <v>28</v>
      </c>
      <c r="C42" s="361" t="str">
        <f>IF('INPUT DATA'!L38="","",'INPUT DATA'!L38)</f>
        <v/>
      </c>
      <c r="D42" s="362"/>
      <c r="E42" s="363"/>
      <c r="F42" s="364" t="str">
        <f>IF('INPUT DATA'!M38="","",'INPUT DATA'!M38)</f>
        <v/>
      </c>
      <c r="G42" s="365"/>
      <c r="H42" s="93" t="str">
        <f>IF('INPUT DATA'!N38="","",'INPUT DATA'!N38)</f>
        <v/>
      </c>
      <c r="I42" s="137" t="str">
        <f t="shared" ca="1" si="2"/>
        <v/>
      </c>
      <c r="J42" s="115"/>
      <c r="K42" s="177"/>
      <c r="L42" s="178"/>
      <c r="M42" s="178"/>
      <c r="N42" s="178"/>
      <c r="O42" s="178"/>
      <c r="P42" s="178"/>
      <c r="Q42" s="178"/>
      <c r="R42" s="178"/>
      <c r="S42" s="179"/>
      <c r="T42" s="558" t="str">
        <f t="shared" si="0"/>
        <v/>
      </c>
      <c r="U42" s="199" t="str">
        <f t="shared" si="1"/>
        <v/>
      </c>
      <c r="V42" s="91" t="str">
        <f t="shared" si="3"/>
        <v/>
      </c>
      <c r="W42" s="4"/>
      <c r="X42" s="4"/>
      <c r="Y42" s="4"/>
      <c r="Z42" s="4"/>
      <c r="AA42" s="4"/>
      <c r="AB42" s="4"/>
      <c r="AC42" s="4"/>
      <c r="AD42" s="4"/>
      <c r="AE42" s="4"/>
      <c r="AF42" s="4"/>
      <c r="AG42" s="4"/>
    </row>
    <row r="43" spans="1:33" ht="15">
      <c r="A43" s="4"/>
      <c r="B43" s="85">
        <v>29</v>
      </c>
      <c r="C43" s="361" t="str">
        <f>IF('INPUT DATA'!L39="","",'INPUT DATA'!L39)</f>
        <v/>
      </c>
      <c r="D43" s="362"/>
      <c r="E43" s="363"/>
      <c r="F43" s="364" t="str">
        <f>IF('INPUT DATA'!M39="","",'INPUT DATA'!M39)</f>
        <v/>
      </c>
      <c r="G43" s="365"/>
      <c r="H43" s="93" t="str">
        <f>IF('INPUT DATA'!N39="","",'INPUT DATA'!N39)</f>
        <v/>
      </c>
      <c r="I43" s="137" t="str">
        <f t="shared" ca="1" si="2"/>
        <v/>
      </c>
      <c r="J43" s="115"/>
      <c r="K43" s="177"/>
      <c r="L43" s="178"/>
      <c r="M43" s="178"/>
      <c r="N43" s="178"/>
      <c r="O43" s="178"/>
      <c r="P43" s="178"/>
      <c r="Q43" s="178"/>
      <c r="R43" s="178"/>
      <c r="S43" s="179"/>
      <c r="T43" s="558" t="str">
        <f t="shared" si="0"/>
        <v/>
      </c>
      <c r="U43" s="199" t="str">
        <f t="shared" si="1"/>
        <v/>
      </c>
      <c r="V43" s="91" t="str">
        <f t="shared" si="3"/>
        <v/>
      </c>
      <c r="W43" s="4"/>
      <c r="X43" s="4"/>
      <c r="Y43" s="4"/>
      <c r="Z43" s="4"/>
      <c r="AA43" s="4"/>
      <c r="AB43" s="4"/>
      <c r="AC43" s="4"/>
      <c r="AD43" s="4"/>
      <c r="AE43" s="4"/>
      <c r="AF43" s="4"/>
      <c r="AG43" s="4"/>
    </row>
    <row r="44" spans="1:33" ht="15">
      <c r="A44" s="4"/>
      <c r="B44" s="85">
        <v>30</v>
      </c>
      <c r="C44" s="361" t="str">
        <f>IF('INPUT DATA'!L40="","",'INPUT DATA'!L40)</f>
        <v/>
      </c>
      <c r="D44" s="362"/>
      <c r="E44" s="363"/>
      <c r="F44" s="364" t="str">
        <f>IF('INPUT DATA'!M40="","",'INPUT DATA'!M40)</f>
        <v/>
      </c>
      <c r="G44" s="365"/>
      <c r="H44" s="93" t="str">
        <f>IF('INPUT DATA'!N40="","",'INPUT DATA'!N40)</f>
        <v/>
      </c>
      <c r="I44" s="137" t="str">
        <f t="shared" ca="1" si="2"/>
        <v/>
      </c>
      <c r="J44" s="115"/>
      <c r="K44" s="177"/>
      <c r="L44" s="178"/>
      <c r="M44" s="178"/>
      <c r="N44" s="178"/>
      <c r="O44" s="178"/>
      <c r="P44" s="178"/>
      <c r="Q44" s="178"/>
      <c r="R44" s="178"/>
      <c r="S44" s="179"/>
      <c r="T44" s="558" t="str">
        <f t="shared" si="0"/>
        <v/>
      </c>
      <c r="U44" s="199" t="str">
        <f t="shared" si="1"/>
        <v/>
      </c>
      <c r="V44" s="91" t="str">
        <f t="shared" si="3"/>
        <v/>
      </c>
      <c r="W44" s="4"/>
      <c r="X44" s="4"/>
      <c r="Y44" s="4"/>
      <c r="Z44" s="4"/>
      <c r="AA44" s="4"/>
      <c r="AB44" s="4"/>
      <c r="AC44" s="4"/>
      <c r="AD44" s="4"/>
      <c r="AE44" s="4"/>
      <c r="AF44" s="4"/>
      <c r="AG44" s="4"/>
    </row>
    <row r="45" spans="1:33" ht="15">
      <c r="A45" s="4"/>
      <c r="B45" s="85">
        <v>31</v>
      </c>
      <c r="C45" s="361" t="str">
        <f>IF('INPUT DATA'!L41="","",'INPUT DATA'!L41)</f>
        <v/>
      </c>
      <c r="D45" s="362"/>
      <c r="E45" s="363"/>
      <c r="F45" s="364" t="str">
        <f>IF('INPUT DATA'!M41="","",'INPUT DATA'!M41)</f>
        <v/>
      </c>
      <c r="G45" s="365"/>
      <c r="H45" s="93" t="str">
        <f>IF('INPUT DATA'!N41="","",'INPUT DATA'!N41)</f>
        <v/>
      </c>
      <c r="I45" s="137" t="str">
        <f t="shared" ca="1" si="2"/>
        <v/>
      </c>
      <c r="J45" s="115"/>
      <c r="K45" s="177"/>
      <c r="L45" s="178"/>
      <c r="M45" s="178"/>
      <c r="N45" s="178"/>
      <c r="O45" s="178"/>
      <c r="P45" s="178"/>
      <c r="Q45" s="178"/>
      <c r="R45" s="178"/>
      <c r="S45" s="179"/>
      <c r="T45" s="558" t="str">
        <f t="shared" si="0"/>
        <v/>
      </c>
      <c r="U45" s="199" t="str">
        <f t="shared" si="1"/>
        <v/>
      </c>
      <c r="V45" s="91" t="str">
        <f t="shared" si="3"/>
        <v/>
      </c>
      <c r="W45" s="4"/>
      <c r="X45" s="4"/>
      <c r="Y45" s="4"/>
      <c r="Z45" s="4"/>
      <c r="AA45" s="4"/>
      <c r="AB45" s="4"/>
      <c r="AC45" s="4"/>
      <c r="AD45" s="4"/>
      <c r="AE45" s="4"/>
      <c r="AF45" s="4"/>
      <c r="AG45" s="4"/>
    </row>
    <row r="46" spans="1:33" ht="15">
      <c r="A46" s="4"/>
      <c r="B46" s="85">
        <v>32</v>
      </c>
      <c r="C46" s="361" t="str">
        <f>IF('INPUT DATA'!L42="","",'INPUT DATA'!L42)</f>
        <v/>
      </c>
      <c r="D46" s="362"/>
      <c r="E46" s="363"/>
      <c r="F46" s="364" t="str">
        <f>IF('INPUT DATA'!M42="","",'INPUT DATA'!M42)</f>
        <v/>
      </c>
      <c r="G46" s="365"/>
      <c r="H46" s="93" t="str">
        <f>IF('INPUT DATA'!N42="","",'INPUT DATA'!N42)</f>
        <v/>
      </c>
      <c r="I46" s="137" t="str">
        <f t="shared" ca="1" si="2"/>
        <v/>
      </c>
      <c r="J46" s="115"/>
      <c r="K46" s="177"/>
      <c r="L46" s="178"/>
      <c r="M46" s="178"/>
      <c r="N46" s="178"/>
      <c r="O46" s="178"/>
      <c r="P46" s="178"/>
      <c r="Q46" s="178"/>
      <c r="R46" s="178"/>
      <c r="S46" s="179"/>
      <c r="T46" s="558" t="str">
        <f t="shared" si="0"/>
        <v/>
      </c>
      <c r="U46" s="199" t="str">
        <f t="shared" si="1"/>
        <v/>
      </c>
      <c r="V46" s="91" t="str">
        <f t="shared" si="3"/>
        <v/>
      </c>
      <c r="W46" s="4"/>
      <c r="X46" s="4"/>
      <c r="Y46" s="4"/>
      <c r="Z46" s="4"/>
      <c r="AA46" s="4"/>
      <c r="AB46" s="4"/>
      <c r="AC46" s="4"/>
      <c r="AD46" s="4"/>
      <c r="AE46" s="4"/>
      <c r="AF46" s="4"/>
      <c r="AG46" s="4"/>
    </row>
    <row r="47" spans="1:33" ht="15">
      <c r="A47" s="4"/>
      <c r="B47" s="85">
        <v>33</v>
      </c>
      <c r="C47" s="361" t="str">
        <f>IF('INPUT DATA'!L43="","",'INPUT DATA'!L43)</f>
        <v/>
      </c>
      <c r="D47" s="362"/>
      <c r="E47" s="363"/>
      <c r="F47" s="364" t="str">
        <f>IF('INPUT DATA'!M43="","",'INPUT DATA'!M43)</f>
        <v/>
      </c>
      <c r="G47" s="365"/>
      <c r="H47" s="93" t="str">
        <f>IF('INPUT DATA'!N43="","",'INPUT DATA'!N43)</f>
        <v/>
      </c>
      <c r="I47" s="137" t="str">
        <f t="shared" ca="1" si="2"/>
        <v/>
      </c>
      <c r="J47" s="115"/>
      <c r="K47" s="177"/>
      <c r="L47" s="178"/>
      <c r="M47" s="178"/>
      <c r="N47" s="178"/>
      <c r="O47" s="178"/>
      <c r="P47" s="178"/>
      <c r="Q47" s="178"/>
      <c r="R47" s="178"/>
      <c r="S47" s="179"/>
      <c r="T47" s="558" t="str">
        <f t="shared" si="0"/>
        <v/>
      </c>
      <c r="U47" s="199" t="str">
        <f t="shared" si="1"/>
        <v/>
      </c>
      <c r="V47" s="91" t="str">
        <f t="shared" si="3"/>
        <v/>
      </c>
      <c r="W47" s="4"/>
      <c r="X47" s="4"/>
      <c r="Y47" s="4"/>
      <c r="Z47" s="4"/>
      <c r="AA47" s="4"/>
      <c r="AB47" s="4"/>
      <c r="AC47" s="4"/>
      <c r="AD47" s="4"/>
      <c r="AE47" s="4"/>
      <c r="AF47" s="4"/>
      <c r="AG47" s="4"/>
    </row>
    <row r="48" spans="1:33" ht="15">
      <c r="A48" s="4"/>
      <c r="B48" s="85">
        <v>34</v>
      </c>
      <c r="C48" s="361" t="str">
        <f>IF('INPUT DATA'!L44="","",'INPUT DATA'!L44)</f>
        <v/>
      </c>
      <c r="D48" s="362"/>
      <c r="E48" s="363"/>
      <c r="F48" s="364" t="str">
        <f>IF('INPUT DATA'!M44="","",'INPUT DATA'!M44)</f>
        <v/>
      </c>
      <c r="G48" s="365"/>
      <c r="H48" s="93" t="str">
        <f>IF('INPUT DATA'!N44="","",'INPUT DATA'!N44)</f>
        <v/>
      </c>
      <c r="I48" s="137" t="str">
        <f t="shared" ca="1" si="2"/>
        <v/>
      </c>
      <c r="J48" s="115"/>
      <c r="K48" s="177"/>
      <c r="L48" s="178"/>
      <c r="M48" s="178"/>
      <c r="N48" s="178"/>
      <c r="O48" s="178"/>
      <c r="P48" s="178"/>
      <c r="Q48" s="178"/>
      <c r="R48" s="178"/>
      <c r="S48" s="179"/>
      <c r="T48" s="558" t="str">
        <f t="shared" si="0"/>
        <v/>
      </c>
      <c r="U48" s="199" t="str">
        <f t="shared" si="1"/>
        <v/>
      </c>
      <c r="V48" s="91" t="str">
        <f t="shared" si="3"/>
        <v/>
      </c>
      <c r="W48" s="4"/>
      <c r="X48" s="4"/>
      <c r="Y48" s="4"/>
      <c r="Z48" s="4"/>
      <c r="AA48" s="4"/>
      <c r="AB48" s="4"/>
      <c r="AC48" s="4"/>
      <c r="AD48" s="4"/>
      <c r="AE48" s="4"/>
      <c r="AF48" s="4"/>
      <c r="AG48" s="4"/>
    </row>
    <row r="49" spans="1:33" ht="15">
      <c r="A49" s="4"/>
      <c r="B49" s="85">
        <v>35</v>
      </c>
      <c r="C49" s="361" t="str">
        <f>IF('INPUT DATA'!L45="","",'INPUT DATA'!L45)</f>
        <v/>
      </c>
      <c r="D49" s="362"/>
      <c r="E49" s="363"/>
      <c r="F49" s="364" t="str">
        <f>IF('INPUT DATA'!M45="","",'INPUT DATA'!M45)</f>
        <v/>
      </c>
      <c r="G49" s="365"/>
      <c r="H49" s="93" t="str">
        <f>IF('INPUT DATA'!N45="","",'INPUT DATA'!N45)</f>
        <v/>
      </c>
      <c r="I49" s="137" t="str">
        <f t="shared" ca="1" si="2"/>
        <v/>
      </c>
      <c r="J49" s="115"/>
      <c r="K49" s="177"/>
      <c r="L49" s="178"/>
      <c r="M49" s="178"/>
      <c r="N49" s="178"/>
      <c r="O49" s="178"/>
      <c r="P49" s="178"/>
      <c r="Q49" s="178"/>
      <c r="R49" s="178"/>
      <c r="S49" s="179"/>
      <c r="T49" s="558" t="str">
        <f t="shared" si="0"/>
        <v/>
      </c>
      <c r="U49" s="199" t="str">
        <f t="shared" si="1"/>
        <v/>
      </c>
      <c r="V49" s="91" t="str">
        <f t="shared" si="3"/>
        <v/>
      </c>
      <c r="W49" s="4"/>
      <c r="X49" s="4"/>
      <c r="Y49" s="4"/>
      <c r="Z49" s="4"/>
      <c r="AA49" s="4"/>
      <c r="AB49" s="4"/>
      <c r="AC49" s="4"/>
      <c r="AD49" s="4"/>
      <c r="AE49" s="4"/>
      <c r="AF49" s="4"/>
      <c r="AG49" s="4"/>
    </row>
    <row r="50" spans="1:33" ht="15">
      <c r="A50" s="4"/>
      <c r="B50" s="85">
        <v>36</v>
      </c>
      <c r="C50" s="361" t="str">
        <f>IF('INPUT DATA'!L46="","",'INPUT DATA'!L46)</f>
        <v/>
      </c>
      <c r="D50" s="362"/>
      <c r="E50" s="363"/>
      <c r="F50" s="364" t="str">
        <f>IF('INPUT DATA'!M46="","",'INPUT DATA'!M46)</f>
        <v/>
      </c>
      <c r="G50" s="365"/>
      <c r="H50" s="93" t="str">
        <f>IF('INPUT DATA'!N46="","",'INPUT DATA'!N46)</f>
        <v/>
      </c>
      <c r="I50" s="137" t="str">
        <f t="shared" ca="1" si="2"/>
        <v/>
      </c>
      <c r="J50" s="115"/>
      <c r="K50" s="177"/>
      <c r="L50" s="178"/>
      <c r="M50" s="178"/>
      <c r="N50" s="178"/>
      <c r="O50" s="178"/>
      <c r="P50" s="178"/>
      <c r="Q50" s="178"/>
      <c r="R50" s="178"/>
      <c r="S50" s="179"/>
      <c r="T50" s="558" t="str">
        <f t="shared" si="0"/>
        <v/>
      </c>
      <c r="U50" s="199" t="str">
        <f t="shared" si="1"/>
        <v/>
      </c>
      <c r="V50" s="91" t="str">
        <f t="shared" si="3"/>
        <v/>
      </c>
      <c r="W50" s="4"/>
      <c r="X50" s="4"/>
      <c r="Y50" s="4"/>
      <c r="Z50" s="4"/>
      <c r="AA50" s="4"/>
      <c r="AB50" s="4"/>
      <c r="AC50" s="4"/>
      <c r="AD50" s="4"/>
      <c r="AE50" s="4"/>
      <c r="AF50" s="4"/>
      <c r="AG50" s="4"/>
    </row>
    <row r="51" spans="1:33" ht="15">
      <c r="A51" s="4"/>
      <c r="B51" s="85">
        <v>37</v>
      </c>
      <c r="C51" s="361" t="str">
        <f>IF('INPUT DATA'!L47="","",'INPUT DATA'!L47)</f>
        <v/>
      </c>
      <c r="D51" s="362"/>
      <c r="E51" s="363"/>
      <c r="F51" s="364" t="str">
        <f>IF('INPUT DATA'!M47="","",'INPUT DATA'!M47)</f>
        <v/>
      </c>
      <c r="G51" s="365"/>
      <c r="H51" s="93" t="str">
        <f>IF('INPUT DATA'!N47="","",'INPUT DATA'!N47)</f>
        <v/>
      </c>
      <c r="I51" s="137" t="str">
        <f t="shared" ca="1" si="2"/>
        <v/>
      </c>
      <c r="J51" s="115"/>
      <c r="K51" s="177"/>
      <c r="L51" s="178"/>
      <c r="M51" s="178"/>
      <c r="N51" s="178"/>
      <c r="O51" s="178"/>
      <c r="P51" s="178"/>
      <c r="Q51" s="178"/>
      <c r="R51" s="178"/>
      <c r="S51" s="179"/>
      <c r="T51" s="558" t="str">
        <f t="shared" si="0"/>
        <v/>
      </c>
      <c r="U51" s="199" t="str">
        <f t="shared" si="1"/>
        <v/>
      </c>
      <c r="V51" s="91" t="str">
        <f t="shared" si="3"/>
        <v/>
      </c>
      <c r="W51" s="4"/>
      <c r="X51" s="4"/>
      <c r="Y51" s="4"/>
      <c r="Z51" s="4"/>
      <c r="AA51" s="4"/>
      <c r="AB51" s="4"/>
      <c r="AC51" s="4"/>
      <c r="AD51" s="4"/>
      <c r="AE51" s="4"/>
      <c r="AF51" s="4"/>
      <c r="AG51" s="4"/>
    </row>
    <row r="52" spans="1:33" ht="15">
      <c r="A52" s="4"/>
      <c r="B52" s="85">
        <v>38</v>
      </c>
      <c r="C52" s="361" t="str">
        <f>IF('INPUT DATA'!L48="","",'INPUT DATA'!L48)</f>
        <v/>
      </c>
      <c r="D52" s="362"/>
      <c r="E52" s="363"/>
      <c r="F52" s="364" t="str">
        <f>IF('INPUT DATA'!M48="","",'INPUT DATA'!M48)</f>
        <v/>
      </c>
      <c r="G52" s="365"/>
      <c r="H52" s="93" t="str">
        <f>IF('INPUT DATA'!N48="","",'INPUT DATA'!N48)</f>
        <v/>
      </c>
      <c r="I52" s="137" t="str">
        <f t="shared" ca="1" si="2"/>
        <v/>
      </c>
      <c r="J52" s="115"/>
      <c r="K52" s="177"/>
      <c r="L52" s="178"/>
      <c r="M52" s="178"/>
      <c r="N52" s="178"/>
      <c r="O52" s="178"/>
      <c r="P52" s="178"/>
      <c r="Q52" s="178"/>
      <c r="R52" s="178"/>
      <c r="S52" s="179"/>
      <c r="T52" s="558" t="str">
        <f t="shared" si="0"/>
        <v/>
      </c>
      <c r="U52" s="199" t="str">
        <f t="shared" si="1"/>
        <v/>
      </c>
      <c r="V52" s="91" t="str">
        <f t="shared" si="3"/>
        <v/>
      </c>
      <c r="W52" s="4"/>
      <c r="X52" s="4"/>
      <c r="Y52" s="4"/>
      <c r="Z52" s="4"/>
      <c r="AA52" s="4"/>
      <c r="AB52" s="4"/>
      <c r="AC52" s="4"/>
      <c r="AD52" s="4"/>
      <c r="AE52" s="4"/>
      <c r="AF52" s="4"/>
      <c r="AG52" s="4"/>
    </row>
    <row r="53" spans="1:33" ht="15">
      <c r="A53" s="4"/>
      <c r="B53" s="85">
        <v>39</v>
      </c>
      <c r="C53" s="361" t="str">
        <f>IF('INPUT DATA'!L49="","",'INPUT DATA'!L49)</f>
        <v/>
      </c>
      <c r="D53" s="362"/>
      <c r="E53" s="363"/>
      <c r="F53" s="364" t="str">
        <f>IF('INPUT DATA'!M49="","",'INPUT DATA'!M49)</f>
        <v/>
      </c>
      <c r="G53" s="365"/>
      <c r="H53" s="93" t="str">
        <f>IF('INPUT DATA'!N49="","",'INPUT DATA'!N49)</f>
        <v/>
      </c>
      <c r="I53" s="137" t="str">
        <f t="shared" ca="1" si="2"/>
        <v/>
      </c>
      <c r="J53" s="115"/>
      <c r="K53" s="177"/>
      <c r="L53" s="178"/>
      <c r="M53" s="178"/>
      <c r="N53" s="178"/>
      <c r="O53" s="178"/>
      <c r="P53" s="178"/>
      <c r="Q53" s="178"/>
      <c r="R53" s="178"/>
      <c r="S53" s="179"/>
      <c r="T53" s="558" t="str">
        <f t="shared" si="0"/>
        <v/>
      </c>
      <c r="U53" s="199" t="str">
        <f t="shared" si="1"/>
        <v/>
      </c>
      <c r="V53" s="91" t="str">
        <f t="shared" si="3"/>
        <v/>
      </c>
      <c r="W53" s="4"/>
      <c r="X53" s="4"/>
      <c r="Y53" s="4"/>
      <c r="Z53" s="4"/>
      <c r="AA53" s="4"/>
      <c r="AB53" s="4"/>
      <c r="AC53" s="4"/>
      <c r="AD53" s="4"/>
      <c r="AE53" s="4"/>
      <c r="AF53" s="4"/>
      <c r="AG53" s="4"/>
    </row>
    <row r="54" spans="1:33" ht="15">
      <c r="A54" s="4"/>
      <c r="B54" s="85">
        <v>40</v>
      </c>
      <c r="C54" s="361" t="str">
        <f>IF('INPUT DATA'!L50="","",'INPUT DATA'!L50)</f>
        <v/>
      </c>
      <c r="D54" s="362"/>
      <c r="E54" s="363"/>
      <c r="F54" s="364" t="str">
        <f>IF('INPUT DATA'!M50="","",'INPUT DATA'!M50)</f>
        <v/>
      </c>
      <c r="G54" s="365"/>
      <c r="H54" s="93" t="str">
        <f>IF('INPUT DATA'!N50="","",'INPUT DATA'!N50)</f>
        <v/>
      </c>
      <c r="I54" s="137" t="str">
        <f t="shared" ca="1" si="2"/>
        <v/>
      </c>
      <c r="J54" s="115"/>
      <c r="K54" s="177"/>
      <c r="L54" s="178"/>
      <c r="M54" s="178"/>
      <c r="N54" s="178"/>
      <c r="O54" s="178"/>
      <c r="P54" s="178"/>
      <c r="Q54" s="178"/>
      <c r="R54" s="178"/>
      <c r="S54" s="179"/>
      <c r="T54" s="558" t="str">
        <f t="shared" si="0"/>
        <v/>
      </c>
      <c r="U54" s="199" t="str">
        <f t="shared" si="1"/>
        <v/>
      </c>
      <c r="V54" s="91" t="str">
        <f t="shared" si="3"/>
        <v/>
      </c>
      <c r="W54" s="4"/>
      <c r="X54" s="4"/>
      <c r="Y54" s="4"/>
      <c r="Z54" s="4"/>
      <c r="AA54" s="4"/>
      <c r="AB54" s="4"/>
      <c r="AC54" s="4"/>
      <c r="AD54" s="4"/>
      <c r="AE54" s="4"/>
      <c r="AF54" s="4"/>
      <c r="AG54" s="4"/>
    </row>
    <row r="55" spans="1:33" ht="15">
      <c r="A55" s="4"/>
      <c r="B55" s="85">
        <v>41</v>
      </c>
      <c r="C55" s="361" t="str">
        <f>IF('INPUT DATA'!L51="","",'INPUT DATA'!L51)</f>
        <v/>
      </c>
      <c r="D55" s="362"/>
      <c r="E55" s="363"/>
      <c r="F55" s="364" t="str">
        <f>IF('INPUT DATA'!M51="","",'INPUT DATA'!M51)</f>
        <v/>
      </c>
      <c r="G55" s="365"/>
      <c r="H55" s="93" t="str">
        <f>IF('INPUT DATA'!N51="","",'INPUT DATA'!N51)</f>
        <v/>
      </c>
      <c r="I55" s="137" t="str">
        <f t="shared" ca="1" si="2"/>
        <v/>
      </c>
      <c r="J55" s="115"/>
      <c r="K55" s="177"/>
      <c r="L55" s="178"/>
      <c r="M55" s="178"/>
      <c r="N55" s="178"/>
      <c r="O55" s="178"/>
      <c r="P55" s="178"/>
      <c r="Q55" s="178"/>
      <c r="R55" s="178"/>
      <c r="S55" s="179"/>
      <c r="T55" s="558" t="str">
        <f t="shared" si="0"/>
        <v/>
      </c>
      <c r="U55" s="199" t="str">
        <f t="shared" si="1"/>
        <v/>
      </c>
      <c r="V55" s="91" t="str">
        <f t="shared" si="3"/>
        <v/>
      </c>
      <c r="W55" s="4"/>
      <c r="X55" s="4"/>
      <c r="Y55" s="4"/>
      <c r="Z55" s="4"/>
      <c r="AA55" s="4"/>
      <c r="AB55" s="4"/>
      <c r="AC55" s="4"/>
      <c r="AD55" s="4"/>
      <c r="AE55" s="4"/>
      <c r="AF55" s="4"/>
      <c r="AG55" s="4"/>
    </row>
    <row r="56" spans="1:33" ht="15">
      <c r="A56" s="4"/>
      <c r="B56" s="85">
        <v>42</v>
      </c>
      <c r="C56" s="361" t="str">
        <f>IF('INPUT DATA'!L52="","",'INPUT DATA'!L52)</f>
        <v/>
      </c>
      <c r="D56" s="362"/>
      <c r="E56" s="363"/>
      <c r="F56" s="364" t="str">
        <f>IF('INPUT DATA'!M52="","",'INPUT DATA'!M52)</f>
        <v/>
      </c>
      <c r="G56" s="365"/>
      <c r="H56" s="93" t="str">
        <f>IF('INPUT DATA'!N52="","",'INPUT DATA'!N52)</f>
        <v/>
      </c>
      <c r="I56" s="137" t="str">
        <f t="shared" ca="1" si="2"/>
        <v/>
      </c>
      <c r="J56" s="115"/>
      <c r="K56" s="177"/>
      <c r="L56" s="178"/>
      <c r="M56" s="178"/>
      <c r="N56" s="178"/>
      <c r="O56" s="178"/>
      <c r="P56" s="178"/>
      <c r="Q56" s="178"/>
      <c r="R56" s="178"/>
      <c r="S56" s="179"/>
      <c r="T56" s="558" t="str">
        <f t="shared" si="0"/>
        <v/>
      </c>
      <c r="U56" s="199" t="str">
        <f t="shared" si="1"/>
        <v/>
      </c>
      <c r="V56" s="91" t="str">
        <f t="shared" si="3"/>
        <v/>
      </c>
      <c r="W56" s="4"/>
      <c r="X56" s="4"/>
      <c r="Y56" s="4"/>
      <c r="Z56" s="4"/>
      <c r="AA56" s="4"/>
      <c r="AB56" s="4"/>
      <c r="AC56" s="4"/>
      <c r="AD56" s="4"/>
      <c r="AE56" s="4"/>
      <c r="AF56" s="4"/>
      <c r="AG56" s="4"/>
    </row>
    <row r="57" spans="1:33" ht="15">
      <c r="A57" s="4"/>
      <c r="B57" s="85">
        <v>43</v>
      </c>
      <c r="C57" s="361" t="str">
        <f>IF('INPUT DATA'!L53="","",'INPUT DATA'!L53)</f>
        <v/>
      </c>
      <c r="D57" s="362"/>
      <c r="E57" s="363"/>
      <c r="F57" s="364" t="str">
        <f>IF('INPUT DATA'!M53="","",'INPUT DATA'!M53)</f>
        <v/>
      </c>
      <c r="G57" s="365"/>
      <c r="H57" s="93" t="str">
        <f>IF('INPUT DATA'!N53="","",'INPUT DATA'!N53)</f>
        <v/>
      </c>
      <c r="I57" s="137" t="str">
        <f t="shared" ca="1" si="2"/>
        <v/>
      </c>
      <c r="J57" s="115"/>
      <c r="K57" s="177"/>
      <c r="L57" s="178"/>
      <c r="M57" s="178"/>
      <c r="N57" s="178"/>
      <c r="O57" s="178"/>
      <c r="P57" s="178"/>
      <c r="Q57" s="178"/>
      <c r="R57" s="178"/>
      <c r="S57" s="179"/>
      <c r="T57" s="558" t="str">
        <f t="shared" si="0"/>
        <v/>
      </c>
      <c r="U57" s="199" t="str">
        <f t="shared" si="1"/>
        <v/>
      </c>
      <c r="V57" s="91" t="str">
        <f t="shared" si="3"/>
        <v/>
      </c>
      <c r="W57" s="4"/>
      <c r="X57" s="4"/>
      <c r="Y57" s="4"/>
      <c r="Z57" s="4"/>
      <c r="AA57" s="4"/>
      <c r="AB57" s="4"/>
      <c r="AC57" s="4"/>
      <c r="AD57" s="4"/>
      <c r="AE57" s="4"/>
      <c r="AF57" s="4"/>
      <c r="AG57" s="4"/>
    </row>
    <row r="58" spans="1:33" ht="15">
      <c r="A58" s="4"/>
      <c r="B58" s="85">
        <v>44</v>
      </c>
      <c r="C58" s="361" t="str">
        <f>IF('INPUT DATA'!L54="","",'INPUT DATA'!L54)</f>
        <v/>
      </c>
      <c r="D58" s="362"/>
      <c r="E58" s="363"/>
      <c r="F58" s="364" t="str">
        <f>IF('INPUT DATA'!M54="","",'INPUT DATA'!M54)</f>
        <v/>
      </c>
      <c r="G58" s="365"/>
      <c r="H58" s="93" t="str">
        <f>IF('INPUT DATA'!N54="","",'INPUT DATA'!N54)</f>
        <v/>
      </c>
      <c r="I58" s="137" t="str">
        <f t="shared" ca="1" si="2"/>
        <v/>
      </c>
      <c r="J58" s="115"/>
      <c r="K58" s="177"/>
      <c r="L58" s="178"/>
      <c r="M58" s="178"/>
      <c r="N58" s="178"/>
      <c r="O58" s="178"/>
      <c r="P58" s="178"/>
      <c r="Q58" s="178"/>
      <c r="R58" s="178"/>
      <c r="S58" s="179"/>
      <c r="T58" s="558" t="str">
        <f t="shared" si="0"/>
        <v/>
      </c>
      <c r="U58" s="199" t="str">
        <f t="shared" si="1"/>
        <v/>
      </c>
      <c r="V58" s="91" t="str">
        <f t="shared" si="3"/>
        <v/>
      </c>
      <c r="W58" s="4"/>
      <c r="X58" s="4"/>
      <c r="Y58" s="4"/>
      <c r="Z58" s="4"/>
      <c r="AA58" s="4"/>
      <c r="AB58" s="4"/>
      <c r="AC58" s="4"/>
      <c r="AD58" s="4"/>
      <c r="AE58" s="4"/>
      <c r="AF58" s="4"/>
      <c r="AG58" s="4"/>
    </row>
    <row r="59" spans="1:33" ht="15">
      <c r="A59" s="4"/>
      <c r="B59" s="85">
        <v>45</v>
      </c>
      <c r="C59" s="361" t="str">
        <f>IF('INPUT DATA'!L55="","",'INPUT DATA'!L55)</f>
        <v/>
      </c>
      <c r="D59" s="362"/>
      <c r="E59" s="363"/>
      <c r="F59" s="364" t="str">
        <f>IF('INPUT DATA'!M55="","",'INPUT DATA'!M55)</f>
        <v/>
      </c>
      <c r="G59" s="365"/>
      <c r="H59" s="93" t="str">
        <f>IF('INPUT DATA'!N55="","",'INPUT DATA'!N55)</f>
        <v/>
      </c>
      <c r="I59" s="137" t="str">
        <f t="shared" ca="1" si="2"/>
        <v/>
      </c>
      <c r="J59" s="115"/>
      <c r="K59" s="182"/>
      <c r="L59" s="183"/>
      <c r="M59" s="183"/>
      <c r="N59" s="183"/>
      <c r="O59" s="183"/>
      <c r="P59" s="183"/>
      <c r="Q59" s="183"/>
      <c r="R59" s="183"/>
      <c r="S59" s="184"/>
      <c r="T59" s="558" t="str">
        <f t="shared" si="0"/>
        <v/>
      </c>
      <c r="U59" s="199" t="str">
        <f t="shared" si="1"/>
        <v/>
      </c>
      <c r="V59" s="91" t="str">
        <f t="shared" si="3"/>
        <v/>
      </c>
      <c r="W59" s="4"/>
      <c r="X59" s="4"/>
      <c r="Y59" s="4"/>
      <c r="Z59" s="4"/>
      <c r="AA59" s="4"/>
      <c r="AB59" s="4"/>
      <c r="AC59" s="4"/>
      <c r="AD59" s="4"/>
      <c r="AE59" s="4"/>
      <c r="AF59" s="4"/>
      <c r="AG59" s="4"/>
    </row>
    <row r="60" spans="1:33" ht="15">
      <c r="A60" s="4"/>
      <c r="B60" s="85">
        <v>46</v>
      </c>
      <c r="C60" s="361" t="str">
        <f>IF('INPUT DATA'!L56="","",'INPUT DATA'!L56)</f>
        <v/>
      </c>
      <c r="D60" s="362"/>
      <c r="E60" s="363"/>
      <c r="F60" s="364" t="str">
        <f>IF('INPUT DATA'!M56="","",'INPUT DATA'!M56)</f>
        <v/>
      </c>
      <c r="G60" s="365"/>
      <c r="H60" s="93" t="str">
        <f>IF('INPUT DATA'!N56="","",'INPUT DATA'!N56)</f>
        <v/>
      </c>
      <c r="I60" s="137" t="str">
        <f t="shared" ca="1" si="2"/>
        <v/>
      </c>
      <c r="J60" s="115"/>
      <c r="K60" s="177"/>
      <c r="L60" s="178"/>
      <c r="M60" s="178"/>
      <c r="N60" s="178"/>
      <c r="O60" s="178"/>
      <c r="P60" s="178"/>
      <c r="Q60" s="178"/>
      <c r="R60" s="178"/>
      <c r="S60" s="179"/>
      <c r="T60" s="558" t="str">
        <f t="shared" si="0"/>
        <v/>
      </c>
      <c r="U60" s="199" t="str">
        <f t="shared" si="1"/>
        <v/>
      </c>
      <c r="V60" s="91" t="str">
        <f t="shared" si="3"/>
        <v/>
      </c>
      <c r="W60" s="4"/>
      <c r="X60" s="4"/>
      <c r="Y60" s="4"/>
      <c r="Z60" s="4"/>
      <c r="AA60" s="4"/>
      <c r="AB60" s="4"/>
      <c r="AC60" s="4"/>
      <c r="AD60" s="4"/>
      <c r="AE60" s="4"/>
      <c r="AF60" s="4"/>
      <c r="AG60" s="4"/>
    </row>
    <row r="61" spans="1:33" ht="15">
      <c r="A61" s="4"/>
      <c r="B61" s="85">
        <v>47</v>
      </c>
      <c r="C61" s="361" t="str">
        <f>IF('INPUT DATA'!L57="","",'INPUT DATA'!L57)</f>
        <v/>
      </c>
      <c r="D61" s="362"/>
      <c r="E61" s="363"/>
      <c r="F61" s="364" t="str">
        <f>IF('INPUT DATA'!M57="","",'INPUT DATA'!M57)</f>
        <v/>
      </c>
      <c r="G61" s="365"/>
      <c r="H61" s="93" t="str">
        <f>IF('INPUT DATA'!N57="","",'INPUT DATA'!N57)</f>
        <v/>
      </c>
      <c r="I61" s="137" t="str">
        <f t="shared" ca="1" si="2"/>
        <v/>
      </c>
      <c r="J61" s="115"/>
      <c r="K61" s="177"/>
      <c r="L61" s="178"/>
      <c r="M61" s="178"/>
      <c r="N61" s="178"/>
      <c r="O61" s="178"/>
      <c r="P61" s="178"/>
      <c r="Q61" s="178"/>
      <c r="R61" s="178"/>
      <c r="S61" s="179"/>
      <c r="T61" s="558" t="str">
        <f t="shared" si="0"/>
        <v/>
      </c>
      <c r="U61" s="199" t="str">
        <f t="shared" si="1"/>
        <v/>
      </c>
      <c r="V61" s="91" t="str">
        <f t="shared" si="3"/>
        <v/>
      </c>
      <c r="W61" s="4"/>
      <c r="X61" s="4"/>
      <c r="Y61" s="4"/>
      <c r="Z61" s="4"/>
      <c r="AA61" s="4"/>
      <c r="AB61" s="4"/>
      <c r="AC61" s="4"/>
      <c r="AD61" s="4"/>
      <c r="AE61" s="4"/>
      <c r="AF61" s="4"/>
      <c r="AG61" s="4"/>
    </row>
    <row r="62" spans="1:33" ht="15">
      <c r="A62" s="4"/>
      <c r="B62" s="85">
        <v>48</v>
      </c>
      <c r="C62" s="361" t="str">
        <f>IF('INPUT DATA'!L58="","",'INPUT DATA'!L58)</f>
        <v/>
      </c>
      <c r="D62" s="362"/>
      <c r="E62" s="363"/>
      <c r="F62" s="364" t="str">
        <f>IF('INPUT DATA'!M58="","",'INPUT DATA'!M58)</f>
        <v/>
      </c>
      <c r="G62" s="365"/>
      <c r="H62" s="93" t="str">
        <f>IF('INPUT DATA'!N58="","",'INPUT DATA'!N58)</f>
        <v/>
      </c>
      <c r="I62" s="137" t="str">
        <f t="shared" ca="1" si="2"/>
        <v/>
      </c>
      <c r="J62" s="115"/>
      <c r="K62" s="177"/>
      <c r="L62" s="178"/>
      <c r="M62" s="178"/>
      <c r="N62" s="178"/>
      <c r="O62" s="178"/>
      <c r="P62" s="178"/>
      <c r="Q62" s="178"/>
      <c r="R62" s="178"/>
      <c r="S62" s="179"/>
      <c r="T62" s="558" t="str">
        <f t="shared" si="0"/>
        <v/>
      </c>
      <c r="U62" s="199" t="str">
        <f t="shared" si="1"/>
        <v/>
      </c>
      <c r="V62" s="91" t="str">
        <f t="shared" si="3"/>
        <v/>
      </c>
      <c r="W62" s="4"/>
      <c r="X62" s="4"/>
      <c r="Y62" s="4"/>
      <c r="Z62" s="4"/>
      <c r="AA62" s="4"/>
      <c r="AB62" s="4"/>
      <c r="AC62" s="4"/>
      <c r="AD62" s="4"/>
      <c r="AE62" s="4"/>
      <c r="AF62" s="4"/>
      <c r="AG62" s="4"/>
    </row>
    <row r="63" spans="1:33" ht="15">
      <c r="A63" s="4"/>
      <c r="B63" s="85">
        <v>49</v>
      </c>
      <c r="C63" s="361" t="str">
        <f>IF('INPUT DATA'!L59="","",'INPUT DATA'!L59)</f>
        <v/>
      </c>
      <c r="D63" s="362"/>
      <c r="E63" s="363"/>
      <c r="F63" s="364" t="str">
        <f>IF('INPUT DATA'!M59="","",'INPUT DATA'!M59)</f>
        <v/>
      </c>
      <c r="G63" s="365"/>
      <c r="H63" s="93" t="str">
        <f>IF('INPUT DATA'!N59="","",'INPUT DATA'!N59)</f>
        <v/>
      </c>
      <c r="I63" s="137" t="str">
        <f t="shared" ca="1" si="2"/>
        <v/>
      </c>
      <c r="J63" s="115"/>
      <c r="K63" s="177"/>
      <c r="L63" s="178"/>
      <c r="M63" s="178"/>
      <c r="N63" s="178"/>
      <c r="O63" s="178"/>
      <c r="P63" s="178"/>
      <c r="Q63" s="178"/>
      <c r="R63" s="178"/>
      <c r="S63" s="179"/>
      <c r="T63" s="558" t="str">
        <f t="shared" si="0"/>
        <v/>
      </c>
      <c r="U63" s="199" t="str">
        <f t="shared" si="1"/>
        <v/>
      </c>
      <c r="V63" s="91" t="str">
        <f t="shared" si="3"/>
        <v/>
      </c>
      <c r="W63" s="4"/>
      <c r="X63" s="4"/>
      <c r="Y63" s="4"/>
      <c r="Z63" s="4"/>
      <c r="AA63" s="4"/>
      <c r="AB63" s="4"/>
      <c r="AC63" s="4"/>
      <c r="AD63" s="4"/>
      <c r="AE63" s="4"/>
      <c r="AF63" s="4"/>
      <c r="AG63" s="4"/>
    </row>
    <row r="64" spans="1:33" ht="15.6" thickBot="1">
      <c r="A64" s="4"/>
      <c r="B64" s="86">
        <v>50</v>
      </c>
      <c r="C64" s="401" t="str">
        <f>IF('INPUT DATA'!L60="","",'INPUT DATA'!L60)</f>
        <v/>
      </c>
      <c r="D64" s="402"/>
      <c r="E64" s="403"/>
      <c r="F64" s="404" t="str">
        <f>IF('INPUT DATA'!M60="","",'INPUT DATA'!M60)</f>
        <v/>
      </c>
      <c r="G64" s="405"/>
      <c r="H64" s="94" t="str">
        <f>IF('INPUT DATA'!N60="","",'INPUT DATA'!N60)</f>
        <v/>
      </c>
      <c r="I64" s="137" t="str">
        <f t="shared" ca="1" si="2"/>
        <v/>
      </c>
      <c r="J64" s="116"/>
      <c r="K64" s="187"/>
      <c r="L64" s="188"/>
      <c r="M64" s="188"/>
      <c r="N64" s="188"/>
      <c r="O64" s="188"/>
      <c r="P64" s="188"/>
      <c r="Q64" s="188"/>
      <c r="R64" s="188"/>
      <c r="S64" s="189"/>
      <c r="T64" s="559" t="str">
        <f t="shared" si="0"/>
        <v/>
      </c>
      <c r="U64" s="200" t="str">
        <f t="shared" si="1"/>
        <v/>
      </c>
      <c r="V64" s="91" t="str">
        <f t="shared" si="3"/>
        <v/>
      </c>
      <c r="W64" s="4"/>
      <c r="X64" s="4"/>
      <c r="Y64" s="4"/>
      <c r="Z64" s="4"/>
      <c r="AA64" s="4"/>
      <c r="AB64" s="4"/>
      <c r="AC64" s="4"/>
      <c r="AD64" s="4"/>
      <c r="AE64" s="4"/>
      <c r="AF64" s="4"/>
      <c r="AG64" s="4"/>
    </row>
    <row r="65" spans="1:33" ht="16.2" thickBot="1">
      <c r="A65" s="4"/>
      <c r="B65" s="88" t="s">
        <v>14</v>
      </c>
      <c r="C65" s="89"/>
      <c r="D65" s="89"/>
      <c r="E65" s="89"/>
      <c r="F65" s="117"/>
      <c r="G65" s="117"/>
      <c r="H65" s="89"/>
      <c r="I65" s="55"/>
      <c r="J65" s="117"/>
      <c r="K65" s="55"/>
      <c r="L65" s="55"/>
      <c r="M65" s="55"/>
      <c r="N65" s="55"/>
      <c r="O65" s="55"/>
      <c r="P65" s="55"/>
      <c r="Q65" s="55"/>
      <c r="R65" s="55"/>
      <c r="S65" s="55"/>
      <c r="T65" s="117"/>
      <c r="U65" s="117"/>
      <c r="V65" s="56"/>
      <c r="W65" s="4"/>
      <c r="X65" s="4"/>
      <c r="Y65" s="4"/>
      <c r="Z65" s="4"/>
      <c r="AA65" s="4"/>
      <c r="AB65" s="4"/>
      <c r="AC65" s="4"/>
      <c r="AD65" s="4"/>
      <c r="AE65" s="4"/>
      <c r="AF65" s="4"/>
      <c r="AG65" s="4"/>
    </row>
    <row r="66" spans="1:33" ht="15">
      <c r="A66" s="4"/>
      <c r="B66" s="83">
        <v>1</v>
      </c>
      <c r="C66" s="393" t="str">
        <f>IF('INPUT DATA'!Q11="","",'INPUT DATA'!Q11)</f>
        <v/>
      </c>
      <c r="D66" s="394"/>
      <c r="E66" s="394"/>
      <c r="F66" s="395" t="str">
        <f>IF('INPUT DATA'!R11="","",'INPUT DATA'!R11)</f>
        <v/>
      </c>
      <c r="G66" s="396"/>
      <c r="H66" s="147" t="str">
        <f>IF('INPUT DATA'!S11="","",'INPUT DATA'!S11)</f>
        <v/>
      </c>
      <c r="I66" s="113" t="str">
        <f ca="1">IF(H66="","",DATEDIF(H66,TODAY(),"Y"))</f>
        <v/>
      </c>
      <c r="J66" s="125"/>
      <c r="K66" s="171"/>
      <c r="L66" s="172"/>
      <c r="M66" s="172"/>
      <c r="N66" s="172"/>
      <c r="O66" s="172"/>
      <c r="P66" s="173"/>
      <c r="Q66" s="173"/>
      <c r="R66" s="173"/>
      <c r="S66" s="173"/>
      <c r="T66" s="141"/>
      <c r="U66" s="198" t="str">
        <f t="shared" si="1"/>
        <v/>
      </c>
      <c r="V66" s="91" t="str">
        <f>IF(U66="","",_xlfn.RANK.AVG(U66,$U$15:$U$115))</f>
        <v/>
      </c>
      <c r="W66" s="4"/>
      <c r="X66" s="4"/>
      <c r="Y66" s="4"/>
      <c r="Z66" s="4"/>
      <c r="AA66" s="4"/>
      <c r="AB66" s="4"/>
      <c r="AC66" s="4"/>
      <c r="AD66" s="4"/>
      <c r="AE66" s="4"/>
      <c r="AF66" s="4"/>
      <c r="AG66" s="4"/>
    </row>
    <row r="67" spans="1:33" ht="15">
      <c r="A67" s="4"/>
      <c r="B67" s="84">
        <v>2</v>
      </c>
      <c r="C67" s="397" t="str">
        <f>IF('INPUT DATA'!Q12="","",'INPUT DATA'!Q12)</f>
        <v/>
      </c>
      <c r="D67" s="398"/>
      <c r="E67" s="398"/>
      <c r="F67" s="399" t="str">
        <f>IF('INPUT DATA'!R12="","",'INPUT DATA'!R12)</f>
        <v/>
      </c>
      <c r="G67" s="400"/>
      <c r="H67" s="148" t="str">
        <f>IF('INPUT DATA'!S12="","",'INPUT DATA'!S12)</f>
        <v/>
      </c>
      <c r="I67" s="137" t="str">
        <f ca="1">IF(H67="","",DATEDIF(H67,TODAY(),"Y"))</f>
        <v/>
      </c>
      <c r="J67" s="126"/>
      <c r="K67" s="177"/>
      <c r="L67" s="178"/>
      <c r="M67" s="178"/>
      <c r="N67" s="178"/>
      <c r="O67" s="178"/>
      <c r="P67" s="179"/>
      <c r="Q67" s="179"/>
      <c r="R67" s="179"/>
      <c r="S67" s="179"/>
      <c r="T67" s="142"/>
      <c r="U67" s="199" t="str">
        <f t="shared" si="1"/>
        <v/>
      </c>
      <c r="V67" s="91" t="str">
        <f>IF(U67="","",_xlfn.RANK.AVG(U67,$U$15:$U$115))</f>
        <v/>
      </c>
      <c r="W67" s="4"/>
      <c r="X67" s="4"/>
      <c r="Y67" s="4"/>
      <c r="Z67" s="4"/>
      <c r="AA67" s="4"/>
      <c r="AB67" s="4"/>
      <c r="AC67" s="4"/>
      <c r="AD67" s="4"/>
      <c r="AE67" s="4"/>
      <c r="AF67" s="4"/>
      <c r="AG67" s="4"/>
    </row>
    <row r="68" spans="1:33" ht="15">
      <c r="A68" s="4"/>
      <c r="B68" s="84">
        <v>3</v>
      </c>
      <c r="C68" s="397" t="str">
        <f>IF('INPUT DATA'!Q13="","",'INPUT DATA'!Q13)</f>
        <v/>
      </c>
      <c r="D68" s="398"/>
      <c r="E68" s="398"/>
      <c r="F68" s="399" t="str">
        <f>IF('INPUT DATA'!R13="","",'INPUT DATA'!R13)</f>
        <v/>
      </c>
      <c r="G68" s="400"/>
      <c r="H68" s="148" t="str">
        <f>IF('INPUT DATA'!S13="","",'INPUT DATA'!S13)</f>
        <v/>
      </c>
      <c r="I68" s="137" t="str">
        <f t="shared" ref="I68:I115" ca="1" si="4">IF(H68="","",DATEDIF(H68,TODAY(),"Y"))</f>
        <v/>
      </c>
      <c r="J68" s="126"/>
      <c r="K68" s="177"/>
      <c r="L68" s="178"/>
      <c r="M68" s="178"/>
      <c r="N68" s="178"/>
      <c r="O68" s="178"/>
      <c r="P68" s="179"/>
      <c r="Q68" s="179"/>
      <c r="R68" s="179"/>
      <c r="S68" s="179"/>
      <c r="T68" s="142"/>
      <c r="U68" s="199" t="str">
        <f t="shared" si="1"/>
        <v/>
      </c>
      <c r="V68" s="91" t="str">
        <f t="shared" ref="V68:V115" si="5">IF(U68="","",_xlfn.RANK.AVG(U68,$U$15:$U$115))</f>
        <v/>
      </c>
      <c r="W68" s="4"/>
      <c r="X68" s="4"/>
      <c r="Y68" s="4"/>
      <c r="Z68" s="4"/>
      <c r="AA68" s="4"/>
      <c r="AB68" s="4"/>
      <c r="AC68" s="4"/>
      <c r="AD68" s="4"/>
      <c r="AE68" s="4"/>
      <c r="AF68" s="4"/>
      <c r="AG68" s="4"/>
    </row>
    <row r="69" spans="1:33" ht="15">
      <c r="A69" s="4"/>
      <c r="B69" s="84">
        <v>4</v>
      </c>
      <c r="C69" s="397" t="str">
        <f>IF('INPUT DATA'!Q14="","",'INPUT DATA'!Q14)</f>
        <v/>
      </c>
      <c r="D69" s="398"/>
      <c r="E69" s="398"/>
      <c r="F69" s="399" t="str">
        <f>IF('INPUT DATA'!R14="","",'INPUT DATA'!R14)</f>
        <v/>
      </c>
      <c r="G69" s="400"/>
      <c r="H69" s="148" t="str">
        <f>IF('INPUT DATA'!S14="","",'INPUT DATA'!S14)</f>
        <v/>
      </c>
      <c r="I69" s="137" t="str">
        <f t="shared" ca="1" si="4"/>
        <v/>
      </c>
      <c r="J69" s="115"/>
      <c r="K69" s="177"/>
      <c r="L69" s="178"/>
      <c r="M69" s="178"/>
      <c r="N69" s="178"/>
      <c r="O69" s="178"/>
      <c r="P69" s="179"/>
      <c r="Q69" s="179"/>
      <c r="R69" s="179"/>
      <c r="S69" s="179"/>
      <c r="T69" s="142"/>
      <c r="U69" s="199" t="str">
        <f t="shared" si="1"/>
        <v/>
      </c>
      <c r="V69" s="91" t="str">
        <f t="shared" si="5"/>
        <v/>
      </c>
      <c r="W69" s="4"/>
      <c r="X69" s="4"/>
      <c r="Y69" s="4"/>
      <c r="Z69" s="4"/>
      <c r="AA69" s="4"/>
      <c r="AB69" s="4"/>
      <c r="AC69" s="4"/>
      <c r="AD69" s="4"/>
      <c r="AE69" s="4"/>
      <c r="AF69" s="4"/>
      <c r="AG69" s="4"/>
    </row>
    <row r="70" spans="1:33" ht="15">
      <c r="A70" s="4"/>
      <c r="B70" s="84">
        <v>5</v>
      </c>
      <c r="C70" s="397" t="str">
        <f>IF('INPUT DATA'!Q15="","",'INPUT DATA'!Q15)</f>
        <v/>
      </c>
      <c r="D70" s="398"/>
      <c r="E70" s="398"/>
      <c r="F70" s="399" t="str">
        <f>IF('INPUT DATA'!R15="","",'INPUT DATA'!R15)</f>
        <v/>
      </c>
      <c r="G70" s="400"/>
      <c r="H70" s="148" t="str">
        <f>IF('INPUT DATA'!S15="","",'INPUT DATA'!S15)</f>
        <v/>
      </c>
      <c r="I70" s="137" t="str">
        <f t="shared" ca="1" si="4"/>
        <v/>
      </c>
      <c r="J70" s="115"/>
      <c r="K70" s="177"/>
      <c r="L70" s="178"/>
      <c r="M70" s="178"/>
      <c r="N70" s="178"/>
      <c r="O70" s="178"/>
      <c r="P70" s="179"/>
      <c r="Q70" s="179"/>
      <c r="R70" s="179"/>
      <c r="S70" s="179"/>
      <c r="T70" s="142"/>
      <c r="U70" s="199" t="str">
        <f t="shared" si="1"/>
        <v/>
      </c>
      <c r="V70" s="91" t="str">
        <f t="shared" si="5"/>
        <v/>
      </c>
      <c r="W70" s="4"/>
      <c r="X70" s="4"/>
      <c r="Y70" s="4"/>
      <c r="Z70" s="4"/>
      <c r="AA70" s="4"/>
      <c r="AB70" s="4"/>
      <c r="AC70" s="4"/>
      <c r="AD70" s="4"/>
      <c r="AE70" s="4"/>
      <c r="AF70" s="4"/>
      <c r="AG70" s="4"/>
    </row>
    <row r="71" spans="1:33" ht="15">
      <c r="A71" s="4"/>
      <c r="B71" s="84">
        <v>6</v>
      </c>
      <c r="C71" s="397" t="str">
        <f>IF('INPUT DATA'!Q16="","",'INPUT DATA'!Q16)</f>
        <v/>
      </c>
      <c r="D71" s="398"/>
      <c r="E71" s="398"/>
      <c r="F71" s="399" t="str">
        <f>IF('INPUT DATA'!R16="","",'INPUT DATA'!R16)</f>
        <v/>
      </c>
      <c r="G71" s="400"/>
      <c r="H71" s="148" t="str">
        <f>IF('INPUT DATA'!S16="","",'INPUT DATA'!S16)</f>
        <v/>
      </c>
      <c r="I71" s="137" t="str">
        <f t="shared" ca="1" si="4"/>
        <v/>
      </c>
      <c r="J71" s="115"/>
      <c r="K71" s="177"/>
      <c r="L71" s="178"/>
      <c r="M71" s="178"/>
      <c r="N71" s="178"/>
      <c r="O71" s="178"/>
      <c r="P71" s="179"/>
      <c r="Q71" s="179"/>
      <c r="R71" s="179"/>
      <c r="S71" s="179"/>
      <c r="T71" s="142"/>
      <c r="U71" s="199" t="str">
        <f t="shared" si="1"/>
        <v/>
      </c>
      <c r="V71" s="91" t="str">
        <f t="shared" si="5"/>
        <v/>
      </c>
      <c r="W71" s="4"/>
      <c r="X71" s="4"/>
      <c r="Y71" s="4"/>
      <c r="Z71" s="4"/>
      <c r="AA71" s="4"/>
      <c r="AB71" s="4"/>
      <c r="AC71" s="4"/>
      <c r="AD71" s="4"/>
      <c r="AE71" s="4"/>
      <c r="AF71" s="4"/>
      <c r="AG71" s="4"/>
    </row>
    <row r="72" spans="1:33" ht="15">
      <c r="A72" s="4"/>
      <c r="B72" s="84">
        <v>7</v>
      </c>
      <c r="C72" s="397" t="str">
        <f>IF('INPUT DATA'!Q17="","",'INPUT DATA'!Q17)</f>
        <v/>
      </c>
      <c r="D72" s="398"/>
      <c r="E72" s="398"/>
      <c r="F72" s="399" t="str">
        <f>IF('INPUT DATA'!R17="","",'INPUT DATA'!R17)</f>
        <v/>
      </c>
      <c r="G72" s="400"/>
      <c r="H72" s="148" t="str">
        <f>IF('INPUT DATA'!S17="","",'INPUT DATA'!S17)</f>
        <v/>
      </c>
      <c r="I72" s="137" t="str">
        <f t="shared" ca="1" si="4"/>
        <v/>
      </c>
      <c r="J72" s="115"/>
      <c r="K72" s="177"/>
      <c r="L72" s="178"/>
      <c r="M72" s="178"/>
      <c r="N72" s="178"/>
      <c r="O72" s="178"/>
      <c r="P72" s="179"/>
      <c r="Q72" s="179"/>
      <c r="R72" s="179"/>
      <c r="S72" s="179"/>
      <c r="T72" s="142"/>
      <c r="U72" s="199" t="str">
        <f t="shared" si="1"/>
        <v/>
      </c>
      <c r="V72" s="91" t="str">
        <f t="shared" si="5"/>
        <v/>
      </c>
      <c r="W72" s="4"/>
      <c r="X72" s="4"/>
      <c r="Y72" s="4"/>
      <c r="Z72" s="4"/>
      <c r="AA72" s="4"/>
      <c r="AB72" s="4"/>
      <c r="AC72" s="4"/>
      <c r="AD72" s="4"/>
      <c r="AE72" s="4"/>
      <c r="AF72" s="4"/>
      <c r="AG72" s="4"/>
    </row>
    <row r="73" spans="1:33" ht="15">
      <c r="A73" s="4"/>
      <c r="B73" s="84">
        <v>8</v>
      </c>
      <c r="C73" s="397" t="str">
        <f>IF('INPUT DATA'!Q18="","",'INPUT DATA'!Q18)</f>
        <v/>
      </c>
      <c r="D73" s="398"/>
      <c r="E73" s="398"/>
      <c r="F73" s="399" t="str">
        <f>IF('INPUT DATA'!R18="","",'INPUT DATA'!R18)</f>
        <v/>
      </c>
      <c r="G73" s="400"/>
      <c r="H73" s="148" t="str">
        <f>IF('INPUT DATA'!S18="","",'INPUT DATA'!S18)</f>
        <v/>
      </c>
      <c r="I73" s="137" t="str">
        <f t="shared" ca="1" si="4"/>
        <v/>
      </c>
      <c r="J73" s="115"/>
      <c r="K73" s="177"/>
      <c r="L73" s="178"/>
      <c r="M73" s="178"/>
      <c r="N73" s="178"/>
      <c r="O73" s="178"/>
      <c r="P73" s="179"/>
      <c r="Q73" s="179"/>
      <c r="R73" s="179"/>
      <c r="S73" s="179"/>
      <c r="T73" s="142"/>
      <c r="U73" s="199" t="str">
        <f t="shared" si="1"/>
        <v/>
      </c>
      <c r="V73" s="91" t="str">
        <f t="shared" si="5"/>
        <v/>
      </c>
      <c r="W73" s="4"/>
      <c r="X73" s="4"/>
      <c r="Y73" s="4"/>
      <c r="Z73" s="4"/>
      <c r="AA73" s="4"/>
      <c r="AB73" s="4"/>
      <c r="AC73" s="4"/>
      <c r="AD73" s="4"/>
      <c r="AE73" s="4"/>
      <c r="AF73" s="4"/>
      <c r="AG73" s="4"/>
    </row>
    <row r="74" spans="1:33" ht="15">
      <c r="A74" s="4"/>
      <c r="B74" s="84">
        <v>9</v>
      </c>
      <c r="C74" s="397" t="str">
        <f>IF('INPUT DATA'!Q19="","",'INPUT DATA'!Q19)</f>
        <v/>
      </c>
      <c r="D74" s="398"/>
      <c r="E74" s="398"/>
      <c r="F74" s="399" t="str">
        <f>IF('INPUT DATA'!R19="","",'INPUT DATA'!R19)</f>
        <v/>
      </c>
      <c r="G74" s="400"/>
      <c r="H74" s="148" t="str">
        <f>IF('INPUT DATA'!S19="","",'INPUT DATA'!S19)</f>
        <v/>
      </c>
      <c r="I74" s="137" t="str">
        <f t="shared" ca="1" si="4"/>
        <v/>
      </c>
      <c r="J74" s="115"/>
      <c r="K74" s="177"/>
      <c r="L74" s="178"/>
      <c r="M74" s="178"/>
      <c r="N74" s="178"/>
      <c r="O74" s="178"/>
      <c r="P74" s="179"/>
      <c r="Q74" s="179"/>
      <c r="R74" s="179"/>
      <c r="S74" s="179"/>
      <c r="T74" s="142"/>
      <c r="U74" s="199" t="str">
        <f t="shared" si="1"/>
        <v/>
      </c>
      <c r="V74" s="91" t="str">
        <f t="shared" si="5"/>
        <v/>
      </c>
      <c r="W74" s="4"/>
      <c r="X74" s="4"/>
      <c r="Y74" s="4"/>
      <c r="Z74" s="4"/>
      <c r="AA74" s="4"/>
      <c r="AB74" s="4"/>
      <c r="AC74" s="4"/>
      <c r="AD74" s="4"/>
      <c r="AE74" s="4"/>
      <c r="AF74" s="4"/>
      <c r="AG74" s="4"/>
    </row>
    <row r="75" spans="1:33" ht="15">
      <c r="A75" s="4"/>
      <c r="B75" s="84">
        <v>10</v>
      </c>
      <c r="C75" s="397" t="str">
        <f>IF('INPUT DATA'!Q20="","",'INPUT DATA'!Q20)</f>
        <v/>
      </c>
      <c r="D75" s="398"/>
      <c r="E75" s="398"/>
      <c r="F75" s="399" t="str">
        <f>IF('INPUT DATA'!R20="","",'INPUT DATA'!R20)</f>
        <v/>
      </c>
      <c r="G75" s="400"/>
      <c r="H75" s="148" t="str">
        <f>IF('INPUT DATA'!S20="","",'INPUT DATA'!S20)</f>
        <v/>
      </c>
      <c r="I75" s="137" t="str">
        <f t="shared" ca="1" si="4"/>
        <v/>
      </c>
      <c r="J75" s="115"/>
      <c r="K75" s="177"/>
      <c r="L75" s="178"/>
      <c r="M75" s="178"/>
      <c r="N75" s="178"/>
      <c r="O75" s="178"/>
      <c r="P75" s="179"/>
      <c r="Q75" s="179"/>
      <c r="R75" s="179"/>
      <c r="S75" s="179"/>
      <c r="T75" s="142"/>
      <c r="U75" s="199" t="str">
        <f t="shared" si="1"/>
        <v/>
      </c>
      <c r="V75" s="91" t="str">
        <f t="shared" si="5"/>
        <v/>
      </c>
      <c r="W75" s="4"/>
      <c r="X75" s="4"/>
      <c r="Y75" s="4"/>
      <c r="Z75" s="4"/>
      <c r="AA75" s="4"/>
      <c r="AB75" s="4"/>
      <c r="AC75" s="4"/>
      <c r="AD75" s="4"/>
      <c r="AE75" s="4"/>
      <c r="AF75" s="4"/>
      <c r="AG75" s="4"/>
    </row>
    <row r="76" spans="1:33" ht="15">
      <c r="A76" s="4"/>
      <c r="B76" s="84">
        <v>11</v>
      </c>
      <c r="C76" s="397" t="str">
        <f>IF('INPUT DATA'!Q21="","",'INPUT DATA'!Q21)</f>
        <v/>
      </c>
      <c r="D76" s="398"/>
      <c r="E76" s="398"/>
      <c r="F76" s="399" t="str">
        <f>IF('INPUT DATA'!R21="","",'INPUT DATA'!R21)</f>
        <v/>
      </c>
      <c r="G76" s="400"/>
      <c r="H76" s="148" t="str">
        <f>IF('INPUT DATA'!S21="","",'INPUT DATA'!S21)</f>
        <v/>
      </c>
      <c r="I76" s="137" t="str">
        <f t="shared" ca="1" si="4"/>
        <v/>
      </c>
      <c r="J76" s="115"/>
      <c r="K76" s="177"/>
      <c r="L76" s="178"/>
      <c r="M76" s="178"/>
      <c r="N76" s="178"/>
      <c r="O76" s="178"/>
      <c r="P76" s="179"/>
      <c r="Q76" s="179"/>
      <c r="R76" s="179"/>
      <c r="S76" s="179"/>
      <c r="T76" s="142"/>
      <c r="U76" s="199" t="str">
        <f t="shared" si="1"/>
        <v/>
      </c>
      <c r="V76" s="91" t="str">
        <f t="shared" si="5"/>
        <v/>
      </c>
      <c r="W76" s="4"/>
      <c r="X76" s="4"/>
      <c r="Y76" s="4"/>
      <c r="Z76" s="4"/>
      <c r="AA76" s="4"/>
      <c r="AB76" s="4"/>
      <c r="AC76" s="4"/>
      <c r="AD76" s="4"/>
      <c r="AE76" s="4"/>
      <c r="AF76" s="4"/>
      <c r="AG76" s="4"/>
    </row>
    <row r="77" spans="1:33" ht="15">
      <c r="A77" s="4"/>
      <c r="B77" s="84">
        <v>12</v>
      </c>
      <c r="C77" s="397" t="str">
        <f>IF('INPUT DATA'!Q22="","",'INPUT DATA'!Q22)</f>
        <v/>
      </c>
      <c r="D77" s="398"/>
      <c r="E77" s="398"/>
      <c r="F77" s="399" t="str">
        <f>IF('INPUT DATA'!R22="","",'INPUT DATA'!R22)</f>
        <v/>
      </c>
      <c r="G77" s="400"/>
      <c r="H77" s="148" t="str">
        <f>IF('INPUT DATA'!S22="","",'INPUT DATA'!S22)</f>
        <v/>
      </c>
      <c r="I77" s="137" t="str">
        <f t="shared" ca="1" si="4"/>
        <v/>
      </c>
      <c r="J77" s="115"/>
      <c r="K77" s="177"/>
      <c r="L77" s="178"/>
      <c r="M77" s="178"/>
      <c r="N77" s="178"/>
      <c r="O77" s="178"/>
      <c r="P77" s="179"/>
      <c r="Q77" s="179"/>
      <c r="R77" s="179"/>
      <c r="S77" s="179"/>
      <c r="T77" s="142"/>
      <c r="U77" s="199" t="str">
        <f t="shared" si="1"/>
        <v/>
      </c>
      <c r="V77" s="91" t="str">
        <f t="shared" si="5"/>
        <v/>
      </c>
      <c r="W77" s="4"/>
      <c r="X77" s="4"/>
      <c r="Y77" s="4"/>
      <c r="Z77" s="4"/>
      <c r="AA77" s="4"/>
      <c r="AB77" s="4"/>
      <c r="AC77" s="4"/>
      <c r="AD77" s="4"/>
      <c r="AE77" s="4"/>
      <c r="AF77" s="4"/>
      <c r="AG77" s="4"/>
    </row>
    <row r="78" spans="1:33" ht="15">
      <c r="A78" s="4"/>
      <c r="B78" s="84">
        <v>13</v>
      </c>
      <c r="C78" s="397" t="str">
        <f>IF('INPUT DATA'!Q23="","",'INPUT DATA'!Q23)</f>
        <v/>
      </c>
      <c r="D78" s="398"/>
      <c r="E78" s="398"/>
      <c r="F78" s="399" t="str">
        <f>IF('INPUT DATA'!R23="","",'INPUT DATA'!R23)</f>
        <v/>
      </c>
      <c r="G78" s="400"/>
      <c r="H78" s="148" t="str">
        <f>IF('INPUT DATA'!S23="","",'INPUT DATA'!S23)</f>
        <v/>
      </c>
      <c r="I78" s="137" t="str">
        <f t="shared" ca="1" si="4"/>
        <v/>
      </c>
      <c r="J78" s="115"/>
      <c r="K78" s="177"/>
      <c r="L78" s="178"/>
      <c r="M78" s="178"/>
      <c r="N78" s="178"/>
      <c r="O78" s="178"/>
      <c r="P78" s="179"/>
      <c r="Q78" s="179"/>
      <c r="R78" s="179"/>
      <c r="S78" s="179"/>
      <c r="T78" s="142"/>
      <c r="U78" s="199" t="str">
        <f t="shared" si="1"/>
        <v/>
      </c>
      <c r="V78" s="91" t="str">
        <f t="shared" si="5"/>
        <v/>
      </c>
      <c r="W78" s="4"/>
      <c r="X78" s="4"/>
      <c r="Y78" s="4"/>
      <c r="Z78" s="4"/>
      <c r="AA78" s="4"/>
      <c r="AB78" s="4"/>
      <c r="AC78" s="4"/>
      <c r="AD78" s="4"/>
      <c r="AE78" s="4"/>
      <c r="AF78" s="4"/>
      <c r="AG78" s="4"/>
    </row>
    <row r="79" spans="1:33" ht="15">
      <c r="A79" s="4"/>
      <c r="B79" s="84">
        <v>14</v>
      </c>
      <c r="C79" s="397" t="str">
        <f>IF('INPUT DATA'!Q24="","",'INPUT DATA'!Q24)</f>
        <v/>
      </c>
      <c r="D79" s="398"/>
      <c r="E79" s="398"/>
      <c r="F79" s="399" t="str">
        <f>IF('INPUT DATA'!R24="","",'INPUT DATA'!R24)</f>
        <v/>
      </c>
      <c r="G79" s="400"/>
      <c r="H79" s="148" t="str">
        <f>IF('INPUT DATA'!S24="","",'INPUT DATA'!S24)</f>
        <v/>
      </c>
      <c r="I79" s="137" t="str">
        <f t="shared" ca="1" si="4"/>
        <v/>
      </c>
      <c r="J79" s="115"/>
      <c r="K79" s="177"/>
      <c r="L79" s="178"/>
      <c r="M79" s="178"/>
      <c r="N79" s="178"/>
      <c r="O79" s="178"/>
      <c r="P79" s="179"/>
      <c r="Q79" s="179"/>
      <c r="R79" s="179"/>
      <c r="S79" s="179"/>
      <c r="T79" s="142"/>
      <c r="U79" s="199" t="str">
        <f t="shared" si="1"/>
        <v/>
      </c>
      <c r="V79" s="91" t="str">
        <f t="shared" si="5"/>
        <v/>
      </c>
      <c r="W79" s="4"/>
      <c r="X79" s="4"/>
      <c r="Y79" s="4"/>
      <c r="Z79" s="4"/>
      <c r="AA79" s="4"/>
      <c r="AB79" s="4"/>
      <c r="AC79" s="4"/>
      <c r="AD79" s="4"/>
      <c r="AE79" s="4"/>
      <c r="AF79" s="4"/>
      <c r="AG79" s="4"/>
    </row>
    <row r="80" spans="1:33" ht="15">
      <c r="A80" s="4"/>
      <c r="B80" s="84">
        <v>15</v>
      </c>
      <c r="C80" s="397" t="str">
        <f>IF('INPUT DATA'!Q25="","",'INPUT DATA'!Q25)</f>
        <v/>
      </c>
      <c r="D80" s="398"/>
      <c r="E80" s="398"/>
      <c r="F80" s="399" t="str">
        <f>IF('INPUT DATA'!R25="","",'INPUT DATA'!R25)</f>
        <v/>
      </c>
      <c r="G80" s="400"/>
      <c r="H80" s="148" t="str">
        <f>IF('INPUT DATA'!S25="","",'INPUT DATA'!S25)</f>
        <v/>
      </c>
      <c r="I80" s="137" t="str">
        <f t="shared" ca="1" si="4"/>
        <v/>
      </c>
      <c r="J80" s="115"/>
      <c r="K80" s="177"/>
      <c r="L80" s="178"/>
      <c r="M80" s="178"/>
      <c r="N80" s="178"/>
      <c r="O80" s="178"/>
      <c r="P80" s="179"/>
      <c r="Q80" s="179"/>
      <c r="R80" s="179"/>
      <c r="S80" s="179"/>
      <c r="T80" s="142"/>
      <c r="U80" s="199" t="str">
        <f t="shared" ref="U80:U115" si="6">IF(COUNT(K80:Q80,T80)=0,"",ROUND(AVERAGE(K80:Q80,T80),0))</f>
        <v/>
      </c>
      <c r="V80" s="91" t="str">
        <f t="shared" si="5"/>
        <v/>
      </c>
      <c r="W80" s="4"/>
      <c r="X80" s="4"/>
      <c r="Y80" s="4"/>
      <c r="Z80" s="4"/>
      <c r="AA80" s="4"/>
      <c r="AB80" s="4"/>
      <c r="AC80" s="4"/>
      <c r="AD80" s="4"/>
      <c r="AE80" s="4"/>
      <c r="AF80" s="4"/>
      <c r="AG80" s="4"/>
    </row>
    <row r="81" spans="1:33" ht="15">
      <c r="A81" s="4"/>
      <c r="B81" s="84">
        <v>16</v>
      </c>
      <c r="C81" s="397" t="str">
        <f>IF('INPUT DATA'!Q26="","",'INPUT DATA'!Q26)</f>
        <v/>
      </c>
      <c r="D81" s="398"/>
      <c r="E81" s="398"/>
      <c r="F81" s="399" t="str">
        <f>IF('INPUT DATA'!R26="","",'INPUT DATA'!R26)</f>
        <v/>
      </c>
      <c r="G81" s="400"/>
      <c r="H81" s="148" t="str">
        <f>IF('INPUT DATA'!S26="","",'INPUT DATA'!S26)</f>
        <v/>
      </c>
      <c r="I81" s="137" t="str">
        <f t="shared" ca="1" si="4"/>
        <v/>
      </c>
      <c r="J81" s="115"/>
      <c r="K81" s="177"/>
      <c r="L81" s="178"/>
      <c r="M81" s="178"/>
      <c r="N81" s="178"/>
      <c r="O81" s="178"/>
      <c r="P81" s="179"/>
      <c r="Q81" s="179"/>
      <c r="R81" s="179"/>
      <c r="S81" s="179"/>
      <c r="T81" s="142"/>
      <c r="U81" s="199" t="str">
        <f t="shared" si="6"/>
        <v/>
      </c>
      <c r="V81" s="91" t="str">
        <f t="shared" si="5"/>
        <v/>
      </c>
      <c r="W81" s="4"/>
      <c r="X81" s="4"/>
      <c r="Y81" s="4"/>
      <c r="Z81" s="4"/>
      <c r="AA81" s="4"/>
      <c r="AB81" s="4"/>
      <c r="AC81" s="4"/>
      <c r="AD81" s="4"/>
      <c r="AE81" s="4"/>
      <c r="AF81" s="4"/>
      <c r="AG81" s="4"/>
    </row>
    <row r="82" spans="1:33" ht="15">
      <c r="A82" s="4"/>
      <c r="B82" s="84">
        <v>17</v>
      </c>
      <c r="C82" s="397" t="str">
        <f>IF('INPUT DATA'!Q27="","",'INPUT DATA'!Q27)</f>
        <v/>
      </c>
      <c r="D82" s="398"/>
      <c r="E82" s="398"/>
      <c r="F82" s="399" t="str">
        <f>IF('INPUT DATA'!R27="","",'INPUT DATA'!R27)</f>
        <v/>
      </c>
      <c r="G82" s="400"/>
      <c r="H82" s="148" t="str">
        <f>IF('INPUT DATA'!S27="","",'INPUT DATA'!S27)</f>
        <v/>
      </c>
      <c r="I82" s="137" t="str">
        <f t="shared" ca="1" si="4"/>
        <v/>
      </c>
      <c r="J82" s="115"/>
      <c r="K82" s="177"/>
      <c r="L82" s="178"/>
      <c r="M82" s="178"/>
      <c r="N82" s="178"/>
      <c r="O82" s="178"/>
      <c r="P82" s="179"/>
      <c r="Q82" s="179"/>
      <c r="R82" s="179"/>
      <c r="S82" s="179"/>
      <c r="T82" s="142"/>
      <c r="U82" s="199" t="str">
        <f t="shared" si="6"/>
        <v/>
      </c>
      <c r="V82" s="91" t="str">
        <f t="shared" si="5"/>
        <v/>
      </c>
      <c r="W82" s="4"/>
      <c r="X82" s="4"/>
      <c r="Y82" s="4"/>
      <c r="Z82" s="4"/>
      <c r="AA82" s="4"/>
      <c r="AB82" s="4"/>
      <c r="AC82" s="4"/>
      <c r="AD82" s="4"/>
      <c r="AE82" s="4"/>
      <c r="AF82" s="4"/>
      <c r="AG82" s="4"/>
    </row>
    <row r="83" spans="1:33" ht="15">
      <c r="A83" s="4"/>
      <c r="B83" s="84">
        <v>18</v>
      </c>
      <c r="C83" s="397" t="str">
        <f>IF('INPUT DATA'!Q28="","",'INPUT DATA'!Q28)</f>
        <v/>
      </c>
      <c r="D83" s="398"/>
      <c r="E83" s="398"/>
      <c r="F83" s="399" t="str">
        <f>IF('INPUT DATA'!R28="","",'INPUT DATA'!R28)</f>
        <v/>
      </c>
      <c r="G83" s="400"/>
      <c r="H83" s="148" t="str">
        <f>IF('INPUT DATA'!S28="","",'INPUT DATA'!S28)</f>
        <v/>
      </c>
      <c r="I83" s="137" t="str">
        <f t="shared" ca="1" si="4"/>
        <v/>
      </c>
      <c r="J83" s="115"/>
      <c r="K83" s="177"/>
      <c r="L83" s="178"/>
      <c r="M83" s="178"/>
      <c r="N83" s="178"/>
      <c r="O83" s="178"/>
      <c r="P83" s="179"/>
      <c r="Q83" s="179"/>
      <c r="R83" s="179"/>
      <c r="S83" s="179"/>
      <c r="T83" s="142"/>
      <c r="U83" s="199" t="str">
        <f t="shared" si="6"/>
        <v/>
      </c>
      <c r="V83" s="91" t="str">
        <f t="shared" si="5"/>
        <v/>
      </c>
      <c r="W83" s="4"/>
      <c r="X83" s="4"/>
      <c r="Y83" s="4"/>
      <c r="Z83" s="4"/>
      <c r="AA83" s="4"/>
      <c r="AB83" s="4"/>
      <c r="AC83" s="4"/>
      <c r="AD83" s="4"/>
      <c r="AE83" s="4"/>
      <c r="AF83" s="4"/>
      <c r="AG83" s="4"/>
    </row>
    <row r="84" spans="1:33" ht="15">
      <c r="A84" s="4"/>
      <c r="B84" s="84">
        <v>19</v>
      </c>
      <c r="C84" s="397" t="str">
        <f>IF('INPUT DATA'!Q29="","",'INPUT DATA'!Q29)</f>
        <v/>
      </c>
      <c r="D84" s="398"/>
      <c r="E84" s="398"/>
      <c r="F84" s="399" t="str">
        <f>IF('INPUT DATA'!R29="","",'INPUT DATA'!R29)</f>
        <v/>
      </c>
      <c r="G84" s="400"/>
      <c r="H84" s="148" t="str">
        <f>IF('INPUT DATA'!S29="","",'INPUT DATA'!S29)</f>
        <v/>
      </c>
      <c r="I84" s="137" t="str">
        <f t="shared" ca="1" si="4"/>
        <v/>
      </c>
      <c r="J84" s="115"/>
      <c r="K84" s="177"/>
      <c r="L84" s="178"/>
      <c r="M84" s="178"/>
      <c r="N84" s="178"/>
      <c r="O84" s="178"/>
      <c r="P84" s="179"/>
      <c r="Q84" s="179"/>
      <c r="R84" s="179"/>
      <c r="S84" s="179"/>
      <c r="T84" s="142"/>
      <c r="U84" s="199" t="str">
        <f t="shared" si="6"/>
        <v/>
      </c>
      <c r="V84" s="91" t="str">
        <f t="shared" si="5"/>
        <v/>
      </c>
      <c r="W84" s="4"/>
      <c r="X84" s="4"/>
      <c r="Y84" s="4"/>
      <c r="Z84" s="4"/>
      <c r="AA84" s="4"/>
      <c r="AB84" s="4"/>
      <c r="AC84" s="4"/>
      <c r="AD84" s="4"/>
      <c r="AE84" s="4"/>
      <c r="AF84" s="4"/>
      <c r="AG84" s="4"/>
    </row>
    <row r="85" spans="1:33" ht="15">
      <c r="A85" s="4"/>
      <c r="B85" s="85">
        <v>20</v>
      </c>
      <c r="C85" s="397" t="str">
        <f>IF('INPUT DATA'!Q30="","",'INPUT DATA'!Q30)</f>
        <v/>
      </c>
      <c r="D85" s="398"/>
      <c r="E85" s="398"/>
      <c r="F85" s="399" t="str">
        <f>IF('INPUT DATA'!R30="","",'INPUT DATA'!R30)</f>
        <v/>
      </c>
      <c r="G85" s="400"/>
      <c r="H85" s="148" t="str">
        <f>IF('INPUT DATA'!S30="","",'INPUT DATA'!S30)</f>
        <v/>
      </c>
      <c r="I85" s="137" t="str">
        <f t="shared" ca="1" si="4"/>
        <v/>
      </c>
      <c r="J85" s="115"/>
      <c r="K85" s="182"/>
      <c r="L85" s="183"/>
      <c r="M85" s="183"/>
      <c r="N85" s="183"/>
      <c r="O85" s="183"/>
      <c r="P85" s="184"/>
      <c r="Q85" s="184"/>
      <c r="R85" s="184"/>
      <c r="S85" s="184"/>
      <c r="T85" s="142"/>
      <c r="U85" s="199" t="str">
        <f t="shared" si="6"/>
        <v/>
      </c>
      <c r="V85" s="91" t="str">
        <f t="shared" si="5"/>
        <v/>
      </c>
      <c r="W85" s="4"/>
      <c r="X85" s="4"/>
      <c r="Y85" s="4"/>
      <c r="Z85" s="4"/>
      <c r="AA85" s="4"/>
      <c r="AB85" s="4"/>
      <c r="AC85" s="4"/>
      <c r="AD85" s="4"/>
      <c r="AE85" s="4"/>
      <c r="AF85" s="4"/>
      <c r="AG85" s="4"/>
    </row>
    <row r="86" spans="1:33" ht="15">
      <c r="A86" s="4"/>
      <c r="B86" s="85">
        <v>21</v>
      </c>
      <c r="C86" s="397" t="str">
        <f>IF('INPUT DATA'!Q31="","",'INPUT DATA'!Q31)</f>
        <v/>
      </c>
      <c r="D86" s="398"/>
      <c r="E86" s="398"/>
      <c r="F86" s="399" t="str">
        <f>IF('INPUT DATA'!R31="","",'INPUT DATA'!R31)</f>
        <v/>
      </c>
      <c r="G86" s="400"/>
      <c r="H86" s="148" t="str">
        <f>IF('INPUT DATA'!S31="","",'INPUT DATA'!S31)</f>
        <v/>
      </c>
      <c r="I86" s="137" t="str">
        <f t="shared" ca="1" si="4"/>
        <v/>
      </c>
      <c r="J86" s="115"/>
      <c r="K86" s="177"/>
      <c r="L86" s="178"/>
      <c r="M86" s="178"/>
      <c r="N86" s="178"/>
      <c r="O86" s="178"/>
      <c r="P86" s="179"/>
      <c r="Q86" s="179"/>
      <c r="R86" s="179"/>
      <c r="S86" s="179"/>
      <c r="T86" s="142"/>
      <c r="U86" s="199" t="str">
        <f t="shared" si="6"/>
        <v/>
      </c>
      <c r="V86" s="91" t="str">
        <f t="shared" si="5"/>
        <v/>
      </c>
      <c r="W86" s="4"/>
      <c r="X86" s="4"/>
      <c r="Y86" s="4"/>
      <c r="Z86" s="4"/>
      <c r="AA86" s="4"/>
      <c r="AB86" s="4"/>
      <c r="AC86" s="4"/>
      <c r="AD86" s="4"/>
      <c r="AE86" s="4"/>
      <c r="AF86" s="4"/>
      <c r="AG86" s="4"/>
    </row>
    <row r="87" spans="1:33" ht="15">
      <c r="A87" s="4"/>
      <c r="B87" s="85">
        <v>22</v>
      </c>
      <c r="C87" s="397" t="str">
        <f>IF('INPUT DATA'!Q32="","",'INPUT DATA'!Q32)</f>
        <v/>
      </c>
      <c r="D87" s="398"/>
      <c r="E87" s="398"/>
      <c r="F87" s="399" t="str">
        <f>IF('INPUT DATA'!R32="","",'INPUT DATA'!R32)</f>
        <v/>
      </c>
      <c r="G87" s="400"/>
      <c r="H87" s="148" t="str">
        <f>IF('INPUT DATA'!S32="","",'INPUT DATA'!S32)</f>
        <v/>
      </c>
      <c r="I87" s="137" t="str">
        <f t="shared" ca="1" si="4"/>
        <v/>
      </c>
      <c r="J87" s="115"/>
      <c r="K87" s="177"/>
      <c r="L87" s="178"/>
      <c r="M87" s="178"/>
      <c r="N87" s="178"/>
      <c r="O87" s="178"/>
      <c r="P87" s="179"/>
      <c r="Q87" s="179"/>
      <c r="R87" s="179"/>
      <c r="S87" s="179"/>
      <c r="T87" s="142"/>
      <c r="U87" s="199" t="str">
        <f t="shared" si="6"/>
        <v/>
      </c>
      <c r="V87" s="91" t="str">
        <f t="shared" si="5"/>
        <v/>
      </c>
      <c r="W87" s="4"/>
      <c r="X87" s="4"/>
      <c r="Y87" s="4"/>
      <c r="Z87" s="4"/>
      <c r="AA87" s="4"/>
      <c r="AB87" s="4"/>
      <c r="AC87" s="4"/>
      <c r="AD87" s="4"/>
      <c r="AE87" s="4"/>
      <c r="AF87" s="4"/>
      <c r="AG87" s="4"/>
    </row>
    <row r="88" spans="1:33" ht="15">
      <c r="A88" s="4"/>
      <c r="B88" s="85">
        <v>23</v>
      </c>
      <c r="C88" s="397" t="str">
        <f>IF('INPUT DATA'!Q33="","",'INPUT DATA'!Q33)</f>
        <v/>
      </c>
      <c r="D88" s="398"/>
      <c r="E88" s="398"/>
      <c r="F88" s="399" t="str">
        <f>IF('INPUT DATA'!R33="","",'INPUT DATA'!R33)</f>
        <v/>
      </c>
      <c r="G88" s="400"/>
      <c r="H88" s="148" t="str">
        <f>IF('INPUT DATA'!S33="","",'INPUT DATA'!S33)</f>
        <v/>
      </c>
      <c r="I88" s="137" t="str">
        <f t="shared" ca="1" si="4"/>
        <v/>
      </c>
      <c r="J88" s="115"/>
      <c r="K88" s="177"/>
      <c r="L88" s="178"/>
      <c r="M88" s="178"/>
      <c r="N88" s="178"/>
      <c r="O88" s="178"/>
      <c r="P88" s="179"/>
      <c r="Q88" s="179"/>
      <c r="R88" s="179"/>
      <c r="S88" s="179"/>
      <c r="T88" s="142"/>
      <c r="U88" s="199" t="str">
        <f t="shared" si="6"/>
        <v/>
      </c>
      <c r="V88" s="91" t="str">
        <f t="shared" si="5"/>
        <v/>
      </c>
      <c r="W88" s="4"/>
      <c r="X88" s="4"/>
      <c r="Y88" s="4"/>
      <c r="Z88" s="4"/>
      <c r="AA88" s="4"/>
      <c r="AB88" s="4"/>
      <c r="AC88" s="4"/>
      <c r="AD88" s="4"/>
      <c r="AE88" s="4"/>
      <c r="AF88" s="4"/>
      <c r="AG88" s="4"/>
    </row>
    <row r="89" spans="1:33" ht="15">
      <c r="A89" s="4"/>
      <c r="B89" s="85">
        <v>24</v>
      </c>
      <c r="C89" s="397" t="str">
        <f>IF('INPUT DATA'!Q34="","",'INPUT DATA'!Q34)</f>
        <v/>
      </c>
      <c r="D89" s="398"/>
      <c r="E89" s="398"/>
      <c r="F89" s="399" t="str">
        <f>IF('INPUT DATA'!R34="","",'INPUT DATA'!R34)</f>
        <v/>
      </c>
      <c r="G89" s="400"/>
      <c r="H89" s="148" t="str">
        <f>IF('INPUT DATA'!S34="","",'INPUT DATA'!S34)</f>
        <v/>
      </c>
      <c r="I89" s="137" t="str">
        <f t="shared" ca="1" si="4"/>
        <v/>
      </c>
      <c r="J89" s="115"/>
      <c r="K89" s="177"/>
      <c r="L89" s="178"/>
      <c r="M89" s="178"/>
      <c r="N89" s="178"/>
      <c r="O89" s="178"/>
      <c r="P89" s="179"/>
      <c r="Q89" s="179"/>
      <c r="R89" s="179"/>
      <c r="S89" s="179"/>
      <c r="T89" s="142"/>
      <c r="U89" s="199" t="str">
        <f t="shared" si="6"/>
        <v/>
      </c>
      <c r="V89" s="91" t="str">
        <f t="shared" si="5"/>
        <v/>
      </c>
      <c r="W89" s="4"/>
      <c r="X89" s="4"/>
      <c r="Y89" s="4"/>
      <c r="Z89" s="4"/>
      <c r="AA89" s="4"/>
      <c r="AB89" s="4"/>
      <c r="AC89" s="4"/>
      <c r="AD89" s="4"/>
      <c r="AE89" s="4"/>
      <c r="AF89" s="4"/>
      <c r="AG89" s="4"/>
    </row>
    <row r="90" spans="1:33" ht="15">
      <c r="A90" s="4"/>
      <c r="B90" s="85">
        <v>25</v>
      </c>
      <c r="C90" s="397" t="str">
        <f>IF('INPUT DATA'!Q35="","",'INPUT DATA'!Q35)</f>
        <v/>
      </c>
      <c r="D90" s="398"/>
      <c r="E90" s="398"/>
      <c r="F90" s="399" t="str">
        <f>IF('INPUT DATA'!R35="","",'INPUT DATA'!R35)</f>
        <v/>
      </c>
      <c r="G90" s="400"/>
      <c r="H90" s="148" t="str">
        <f>IF('INPUT DATA'!S35="","",'INPUT DATA'!S35)</f>
        <v/>
      </c>
      <c r="I90" s="137" t="str">
        <f t="shared" ca="1" si="4"/>
        <v/>
      </c>
      <c r="J90" s="115"/>
      <c r="K90" s="177"/>
      <c r="L90" s="178"/>
      <c r="M90" s="178"/>
      <c r="N90" s="178"/>
      <c r="O90" s="178"/>
      <c r="P90" s="179"/>
      <c r="Q90" s="179"/>
      <c r="R90" s="179"/>
      <c r="S90" s="179"/>
      <c r="T90" s="142"/>
      <c r="U90" s="199" t="str">
        <f t="shared" si="6"/>
        <v/>
      </c>
      <c r="V90" s="91" t="str">
        <f t="shared" si="5"/>
        <v/>
      </c>
      <c r="W90" s="4"/>
      <c r="X90" s="4"/>
      <c r="Y90" s="4"/>
      <c r="Z90" s="4"/>
      <c r="AA90" s="4"/>
      <c r="AB90" s="4"/>
      <c r="AC90" s="4"/>
      <c r="AD90" s="4"/>
      <c r="AE90" s="4"/>
      <c r="AF90" s="4"/>
      <c r="AG90" s="4"/>
    </row>
    <row r="91" spans="1:33" ht="15">
      <c r="A91" s="4"/>
      <c r="B91" s="85">
        <v>26</v>
      </c>
      <c r="C91" s="397" t="str">
        <f>IF('INPUT DATA'!Q36="","",'INPUT DATA'!Q36)</f>
        <v/>
      </c>
      <c r="D91" s="398"/>
      <c r="E91" s="398"/>
      <c r="F91" s="399" t="str">
        <f>IF('INPUT DATA'!R36="","",'INPUT DATA'!R36)</f>
        <v/>
      </c>
      <c r="G91" s="400"/>
      <c r="H91" s="148" t="str">
        <f>IF('INPUT DATA'!S36="","",'INPUT DATA'!S36)</f>
        <v/>
      </c>
      <c r="I91" s="137" t="str">
        <f t="shared" ca="1" si="4"/>
        <v/>
      </c>
      <c r="J91" s="115"/>
      <c r="K91" s="177"/>
      <c r="L91" s="178"/>
      <c r="M91" s="178"/>
      <c r="N91" s="178"/>
      <c r="O91" s="178"/>
      <c r="P91" s="179"/>
      <c r="Q91" s="179"/>
      <c r="R91" s="179"/>
      <c r="S91" s="179"/>
      <c r="T91" s="142"/>
      <c r="U91" s="199" t="str">
        <f t="shared" si="6"/>
        <v/>
      </c>
      <c r="V91" s="91" t="str">
        <f t="shared" si="5"/>
        <v/>
      </c>
      <c r="W91" s="4"/>
      <c r="X91" s="4"/>
      <c r="Y91" s="4"/>
      <c r="Z91" s="4"/>
      <c r="AA91" s="4"/>
      <c r="AB91" s="4"/>
      <c r="AC91" s="4"/>
      <c r="AD91" s="4"/>
      <c r="AE91" s="4"/>
      <c r="AF91" s="4"/>
      <c r="AG91" s="4"/>
    </row>
    <row r="92" spans="1:33" ht="15">
      <c r="A92" s="4"/>
      <c r="B92" s="85">
        <v>27</v>
      </c>
      <c r="C92" s="397" t="str">
        <f>IF('INPUT DATA'!Q37="","",'INPUT DATA'!Q37)</f>
        <v/>
      </c>
      <c r="D92" s="398"/>
      <c r="E92" s="398"/>
      <c r="F92" s="399" t="str">
        <f>IF('INPUT DATA'!R37="","",'INPUT DATA'!R37)</f>
        <v/>
      </c>
      <c r="G92" s="400"/>
      <c r="H92" s="148" t="str">
        <f>IF('INPUT DATA'!S37="","",'INPUT DATA'!S37)</f>
        <v/>
      </c>
      <c r="I92" s="137" t="str">
        <f t="shared" ca="1" si="4"/>
        <v/>
      </c>
      <c r="J92" s="115"/>
      <c r="K92" s="177"/>
      <c r="L92" s="178"/>
      <c r="M92" s="178"/>
      <c r="N92" s="178"/>
      <c r="O92" s="178"/>
      <c r="P92" s="179"/>
      <c r="Q92" s="179"/>
      <c r="R92" s="179"/>
      <c r="S92" s="179"/>
      <c r="T92" s="142"/>
      <c r="U92" s="199" t="str">
        <f t="shared" si="6"/>
        <v/>
      </c>
      <c r="V92" s="91" t="str">
        <f t="shared" si="5"/>
        <v/>
      </c>
      <c r="W92" s="4"/>
      <c r="X92" s="4"/>
      <c r="Y92" s="4"/>
      <c r="Z92" s="4"/>
      <c r="AA92" s="4"/>
      <c r="AB92" s="4"/>
      <c r="AC92" s="4"/>
      <c r="AD92" s="4"/>
      <c r="AE92" s="4"/>
      <c r="AF92" s="4"/>
      <c r="AG92" s="4"/>
    </row>
    <row r="93" spans="1:33" ht="15">
      <c r="A93" s="4"/>
      <c r="B93" s="85">
        <v>28</v>
      </c>
      <c r="C93" s="397" t="str">
        <f>IF('INPUT DATA'!Q38="","",'INPUT DATA'!Q38)</f>
        <v/>
      </c>
      <c r="D93" s="398"/>
      <c r="E93" s="398"/>
      <c r="F93" s="399" t="str">
        <f>IF('INPUT DATA'!R38="","",'INPUT DATA'!R38)</f>
        <v/>
      </c>
      <c r="G93" s="400"/>
      <c r="H93" s="148" t="str">
        <f>IF('INPUT DATA'!S38="","",'INPUT DATA'!S38)</f>
        <v/>
      </c>
      <c r="I93" s="137" t="str">
        <f t="shared" ca="1" si="4"/>
        <v/>
      </c>
      <c r="J93" s="115"/>
      <c r="K93" s="177"/>
      <c r="L93" s="178"/>
      <c r="M93" s="178"/>
      <c r="N93" s="178"/>
      <c r="O93" s="178"/>
      <c r="P93" s="179"/>
      <c r="Q93" s="179"/>
      <c r="R93" s="179"/>
      <c r="S93" s="179"/>
      <c r="T93" s="142"/>
      <c r="U93" s="199" t="str">
        <f t="shared" si="6"/>
        <v/>
      </c>
      <c r="V93" s="91" t="str">
        <f t="shared" si="5"/>
        <v/>
      </c>
      <c r="W93" s="4"/>
      <c r="X93" s="4"/>
      <c r="Y93" s="4"/>
      <c r="Z93" s="4"/>
      <c r="AA93" s="4"/>
      <c r="AB93" s="4"/>
      <c r="AC93" s="4"/>
      <c r="AD93" s="4"/>
      <c r="AE93" s="4"/>
      <c r="AF93" s="4"/>
      <c r="AG93" s="4"/>
    </row>
    <row r="94" spans="1:33" ht="15">
      <c r="A94" s="4"/>
      <c r="B94" s="85">
        <v>29</v>
      </c>
      <c r="C94" s="397" t="str">
        <f>IF('INPUT DATA'!Q39="","",'INPUT DATA'!Q39)</f>
        <v/>
      </c>
      <c r="D94" s="398"/>
      <c r="E94" s="398"/>
      <c r="F94" s="399" t="str">
        <f>IF('INPUT DATA'!R39="","",'INPUT DATA'!R39)</f>
        <v/>
      </c>
      <c r="G94" s="400"/>
      <c r="H94" s="148" t="str">
        <f>IF('INPUT DATA'!S39="","",'INPUT DATA'!S39)</f>
        <v/>
      </c>
      <c r="I94" s="137" t="str">
        <f t="shared" ca="1" si="4"/>
        <v/>
      </c>
      <c r="J94" s="115"/>
      <c r="K94" s="177"/>
      <c r="L94" s="178"/>
      <c r="M94" s="178"/>
      <c r="N94" s="178"/>
      <c r="O94" s="178"/>
      <c r="P94" s="179"/>
      <c r="Q94" s="179"/>
      <c r="R94" s="179"/>
      <c r="S94" s="179"/>
      <c r="T94" s="142"/>
      <c r="U94" s="199" t="str">
        <f t="shared" si="6"/>
        <v/>
      </c>
      <c r="V94" s="91" t="str">
        <f t="shared" si="5"/>
        <v/>
      </c>
      <c r="W94" s="4"/>
      <c r="X94" s="4"/>
      <c r="Y94" s="4"/>
      <c r="Z94" s="4"/>
      <c r="AA94" s="4"/>
      <c r="AB94" s="4"/>
      <c r="AC94" s="4"/>
      <c r="AD94" s="4"/>
      <c r="AE94" s="4"/>
      <c r="AF94" s="4"/>
      <c r="AG94" s="4"/>
    </row>
    <row r="95" spans="1:33" ht="15">
      <c r="A95" s="4"/>
      <c r="B95" s="85">
        <v>30</v>
      </c>
      <c r="C95" s="397" t="str">
        <f>IF('INPUT DATA'!Q40="","",'INPUT DATA'!Q40)</f>
        <v/>
      </c>
      <c r="D95" s="398"/>
      <c r="E95" s="398"/>
      <c r="F95" s="399" t="str">
        <f>IF('INPUT DATA'!R40="","",'INPUT DATA'!R40)</f>
        <v/>
      </c>
      <c r="G95" s="400"/>
      <c r="H95" s="148" t="str">
        <f>IF('INPUT DATA'!S40="","",'INPUT DATA'!S40)</f>
        <v/>
      </c>
      <c r="I95" s="137" t="str">
        <f t="shared" ca="1" si="4"/>
        <v/>
      </c>
      <c r="J95" s="115"/>
      <c r="K95" s="177"/>
      <c r="L95" s="178"/>
      <c r="M95" s="178"/>
      <c r="N95" s="178"/>
      <c r="O95" s="178"/>
      <c r="P95" s="179"/>
      <c r="Q95" s="179"/>
      <c r="R95" s="179"/>
      <c r="S95" s="179"/>
      <c r="T95" s="142"/>
      <c r="U95" s="199" t="str">
        <f t="shared" si="6"/>
        <v/>
      </c>
      <c r="V95" s="91" t="str">
        <f t="shared" si="5"/>
        <v/>
      </c>
      <c r="W95" s="4"/>
      <c r="X95" s="4"/>
      <c r="Y95" s="4"/>
      <c r="Z95" s="4"/>
      <c r="AA95" s="4"/>
      <c r="AB95" s="4"/>
      <c r="AC95" s="4"/>
      <c r="AD95" s="4"/>
      <c r="AE95" s="4"/>
      <c r="AF95" s="4"/>
      <c r="AG95" s="4"/>
    </row>
    <row r="96" spans="1:33" ht="15">
      <c r="A96" s="4"/>
      <c r="B96" s="85">
        <v>31</v>
      </c>
      <c r="C96" s="397" t="str">
        <f>IF('INPUT DATA'!Q41="","",'INPUT DATA'!Q41)</f>
        <v/>
      </c>
      <c r="D96" s="398"/>
      <c r="E96" s="398"/>
      <c r="F96" s="399" t="str">
        <f>IF('INPUT DATA'!R41="","",'INPUT DATA'!R41)</f>
        <v/>
      </c>
      <c r="G96" s="400"/>
      <c r="H96" s="148" t="str">
        <f>IF('INPUT DATA'!S41="","",'INPUT DATA'!S41)</f>
        <v/>
      </c>
      <c r="I96" s="137" t="str">
        <f t="shared" ca="1" si="4"/>
        <v/>
      </c>
      <c r="J96" s="115"/>
      <c r="K96" s="177"/>
      <c r="L96" s="178"/>
      <c r="M96" s="178"/>
      <c r="N96" s="178"/>
      <c r="O96" s="178"/>
      <c r="P96" s="179"/>
      <c r="Q96" s="179"/>
      <c r="R96" s="179"/>
      <c r="S96" s="179"/>
      <c r="T96" s="142"/>
      <c r="U96" s="199" t="str">
        <f t="shared" si="6"/>
        <v/>
      </c>
      <c r="V96" s="91" t="str">
        <f t="shared" si="5"/>
        <v/>
      </c>
      <c r="W96" s="4"/>
      <c r="X96" s="4"/>
      <c r="Y96" s="4"/>
      <c r="Z96" s="4"/>
      <c r="AA96" s="4"/>
      <c r="AB96" s="4"/>
      <c r="AC96" s="4"/>
      <c r="AD96" s="4"/>
      <c r="AE96" s="4"/>
      <c r="AF96" s="4"/>
      <c r="AG96" s="4"/>
    </row>
    <row r="97" spans="1:33" ht="15">
      <c r="A97" s="4"/>
      <c r="B97" s="85">
        <v>32</v>
      </c>
      <c r="C97" s="397" t="str">
        <f>IF('INPUT DATA'!Q42="","",'INPUT DATA'!Q42)</f>
        <v/>
      </c>
      <c r="D97" s="398"/>
      <c r="E97" s="398"/>
      <c r="F97" s="399" t="str">
        <f>IF('INPUT DATA'!R42="","",'INPUT DATA'!R42)</f>
        <v/>
      </c>
      <c r="G97" s="400"/>
      <c r="H97" s="148" t="str">
        <f>IF('INPUT DATA'!S42="","",'INPUT DATA'!S42)</f>
        <v/>
      </c>
      <c r="I97" s="137" t="str">
        <f t="shared" ca="1" si="4"/>
        <v/>
      </c>
      <c r="J97" s="115"/>
      <c r="K97" s="177"/>
      <c r="L97" s="178"/>
      <c r="M97" s="178"/>
      <c r="N97" s="178"/>
      <c r="O97" s="178"/>
      <c r="P97" s="179"/>
      <c r="Q97" s="179"/>
      <c r="R97" s="179"/>
      <c r="S97" s="179"/>
      <c r="T97" s="142"/>
      <c r="U97" s="199" t="str">
        <f t="shared" si="6"/>
        <v/>
      </c>
      <c r="V97" s="91" t="str">
        <f t="shared" si="5"/>
        <v/>
      </c>
      <c r="W97" s="4"/>
      <c r="X97" s="4"/>
      <c r="Y97" s="4"/>
      <c r="Z97" s="4"/>
      <c r="AA97" s="4"/>
      <c r="AB97" s="4"/>
      <c r="AC97" s="4"/>
      <c r="AD97" s="4"/>
      <c r="AE97" s="4"/>
      <c r="AF97" s="4"/>
      <c r="AG97" s="4"/>
    </row>
    <row r="98" spans="1:33" ht="15">
      <c r="A98" s="4"/>
      <c r="B98" s="85">
        <v>33</v>
      </c>
      <c r="C98" s="397" t="str">
        <f>IF('INPUT DATA'!Q43="","",'INPUT DATA'!Q43)</f>
        <v/>
      </c>
      <c r="D98" s="398"/>
      <c r="E98" s="398"/>
      <c r="F98" s="399" t="str">
        <f>IF('INPUT DATA'!R43="","",'INPUT DATA'!R43)</f>
        <v/>
      </c>
      <c r="G98" s="400"/>
      <c r="H98" s="148" t="str">
        <f>IF('INPUT DATA'!S43="","",'INPUT DATA'!S43)</f>
        <v/>
      </c>
      <c r="I98" s="137" t="str">
        <f t="shared" ca="1" si="4"/>
        <v/>
      </c>
      <c r="J98" s="115"/>
      <c r="K98" s="177"/>
      <c r="L98" s="178"/>
      <c r="M98" s="178"/>
      <c r="N98" s="178"/>
      <c r="O98" s="178"/>
      <c r="P98" s="179"/>
      <c r="Q98" s="179"/>
      <c r="R98" s="179"/>
      <c r="S98" s="179"/>
      <c r="T98" s="142"/>
      <c r="U98" s="199" t="str">
        <f t="shared" si="6"/>
        <v/>
      </c>
      <c r="V98" s="91" t="str">
        <f t="shared" si="5"/>
        <v/>
      </c>
      <c r="W98" s="4"/>
      <c r="X98" s="4"/>
      <c r="Y98" s="4"/>
      <c r="Z98" s="4"/>
      <c r="AA98" s="4"/>
      <c r="AB98" s="4"/>
      <c r="AC98" s="4"/>
      <c r="AD98" s="4"/>
      <c r="AE98" s="4"/>
      <c r="AF98" s="4"/>
      <c r="AG98" s="4"/>
    </row>
    <row r="99" spans="1:33" ht="15">
      <c r="A99" s="4"/>
      <c r="B99" s="85">
        <v>34</v>
      </c>
      <c r="C99" s="397" t="str">
        <f>IF('INPUT DATA'!Q44="","",'INPUT DATA'!Q44)</f>
        <v/>
      </c>
      <c r="D99" s="398"/>
      <c r="E99" s="398"/>
      <c r="F99" s="399" t="str">
        <f>IF('INPUT DATA'!R44="","",'INPUT DATA'!R44)</f>
        <v/>
      </c>
      <c r="G99" s="400"/>
      <c r="H99" s="148" t="str">
        <f>IF('INPUT DATA'!S44="","",'INPUT DATA'!S44)</f>
        <v/>
      </c>
      <c r="I99" s="137" t="str">
        <f t="shared" ca="1" si="4"/>
        <v/>
      </c>
      <c r="J99" s="115"/>
      <c r="K99" s="177"/>
      <c r="L99" s="178"/>
      <c r="M99" s="178"/>
      <c r="N99" s="178"/>
      <c r="O99" s="178"/>
      <c r="P99" s="179"/>
      <c r="Q99" s="179"/>
      <c r="R99" s="179"/>
      <c r="S99" s="179"/>
      <c r="T99" s="142"/>
      <c r="U99" s="199" t="str">
        <f t="shared" si="6"/>
        <v/>
      </c>
      <c r="V99" s="91" t="str">
        <f t="shared" si="5"/>
        <v/>
      </c>
      <c r="W99" s="4"/>
      <c r="X99" s="4"/>
      <c r="Y99" s="4"/>
      <c r="Z99" s="4"/>
      <c r="AA99" s="4"/>
      <c r="AB99" s="4"/>
      <c r="AC99" s="4"/>
      <c r="AD99" s="4"/>
      <c r="AE99" s="4"/>
      <c r="AF99" s="4"/>
      <c r="AG99" s="4"/>
    </row>
    <row r="100" spans="1:33" ht="15">
      <c r="A100" s="4"/>
      <c r="B100" s="85">
        <v>35</v>
      </c>
      <c r="C100" s="397" t="str">
        <f>IF('INPUT DATA'!Q45="","",'INPUT DATA'!Q45)</f>
        <v/>
      </c>
      <c r="D100" s="398"/>
      <c r="E100" s="398"/>
      <c r="F100" s="399" t="str">
        <f>IF('INPUT DATA'!R45="","",'INPUT DATA'!R45)</f>
        <v/>
      </c>
      <c r="G100" s="400"/>
      <c r="H100" s="148" t="str">
        <f>IF('INPUT DATA'!S45="","",'INPUT DATA'!S45)</f>
        <v/>
      </c>
      <c r="I100" s="137" t="str">
        <f t="shared" ca="1" si="4"/>
        <v/>
      </c>
      <c r="J100" s="115"/>
      <c r="K100" s="177"/>
      <c r="L100" s="178"/>
      <c r="M100" s="178"/>
      <c r="N100" s="178"/>
      <c r="O100" s="178"/>
      <c r="P100" s="179"/>
      <c r="Q100" s="179"/>
      <c r="R100" s="179"/>
      <c r="S100" s="179"/>
      <c r="T100" s="142"/>
      <c r="U100" s="199" t="str">
        <f t="shared" si="6"/>
        <v/>
      </c>
      <c r="V100" s="91" t="str">
        <f t="shared" si="5"/>
        <v/>
      </c>
      <c r="W100" s="4"/>
      <c r="X100" s="4"/>
      <c r="Y100" s="4"/>
      <c r="Z100" s="4"/>
      <c r="AA100" s="4"/>
      <c r="AB100" s="4"/>
      <c r="AC100" s="4"/>
      <c r="AD100" s="4"/>
      <c r="AE100" s="4"/>
      <c r="AF100" s="4"/>
      <c r="AG100" s="4"/>
    </row>
    <row r="101" spans="1:33" ht="15">
      <c r="A101" s="4"/>
      <c r="B101" s="85">
        <v>36</v>
      </c>
      <c r="C101" s="397" t="str">
        <f>IF('INPUT DATA'!Q46="","",'INPUT DATA'!Q46)</f>
        <v/>
      </c>
      <c r="D101" s="398"/>
      <c r="E101" s="398"/>
      <c r="F101" s="399" t="str">
        <f>IF('INPUT DATA'!R46="","",'INPUT DATA'!R46)</f>
        <v/>
      </c>
      <c r="G101" s="400"/>
      <c r="H101" s="148" t="str">
        <f>IF('INPUT DATA'!S46="","",'INPUT DATA'!S46)</f>
        <v/>
      </c>
      <c r="I101" s="137" t="str">
        <f t="shared" ca="1" si="4"/>
        <v/>
      </c>
      <c r="J101" s="115"/>
      <c r="K101" s="177"/>
      <c r="L101" s="178"/>
      <c r="M101" s="178"/>
      <c r="N101" s="178"/>
      <c r="O101" s="178"/>
      <c r="P101" s="179"/>
      <c r="Q101" s="179"/>
      <c r="R101" s="179"/>
      <c r="S101" s="179"/>
      <c r="T101" s="142"/>
      <c r="U101" s="199" t="str">
        <f t="shared" si="6"/>
        <v/>
      </c>
      <c r="V101" s="91" t="str">
        <f t="shared" si="5"/>
        <v/>
      </c>
      <c r="W101" s="4"/>
      <c r="X101" s="4"/>
      <c r="Y101" s="4"/>
      <c r="Z101" s="4"/>
      <c r="AA101" s="4"/>
      <c r="AB101" s="4"/>
      <c r="AC101" s="4"/>
      <c r="AD101" s="4"/>
      <c r="AE101" s="4"/>
      <c r="AF101" s="4"/>
      <c r="AG101" s="4"/>
    </row>
    <row r="102" spans="1:33" ht="15">
      <c r="A102" s="4"/>
      <c r="B102" s="85">
        <v>37</v>
      </c>
      <c r="C102" s="397" t="str">
        <f>IF('INPUT DATA'!Q47="","",'INPUT DATA'!Q47)</f>
        <v/>
      </c>
      <c r="D102" s="398"/>
      <c r="E102" s="398"/>
      <c r="F102" s="399" t="str">
        <f>IF('INPUT DATA'!R47="","",'INPUT DATA'!R47)</f>
        <v/>
      </c>
      <c r="G102" s="400"/>
      <c r="H102" s="148" t="str">
        <f>IF('INPUT DATA'!S47="","",'INPUT DATA'!S47)</f>
        <v/>
      </c>
      <c r="I102" s="137" t="str">
        <f t="shared" ca="1" si="4"/>
        <v/>
      </c>
      <c r="J102" s="115"/>
      <c r="K102" s="177"/>
      <c r="L102" s="178"/>
      <c r="M102" s="178"/>
      <c r="N102" s="178"/>
      <c r="O102" s="178"/>
      <c r="P102" s="179"/>
      <c r="Q102" s="179"/>
      <c r="R102" s="179"/>
      <c r="S102" s="179"/>
      <c r="T102" s="142"/>
      <c r="U102" s="199" t="str">
        <f t="shared" si="6"/>
        <v/>
      </c>
      <c r="V102" s="91" t="str">
        <f t="shared" si="5"/>
        <v/>
      </c>
      <c r="W102" s="4"/>
      <c r="X102" s="4"/>
      <c r="Y102" s="4"/>
      <c r="Z102" s="4"/>
      <c r="AA102" s="4"/>
      <c r="AB102" s="4"/>
      <c r="AC102" s="4"/>
      <c r="AD102" s="4"/>
      <c r="AE102" s="4"/>
      <c r="AF102" s="4"/>
      <c r="AG102" s="4"/>
    </row>
    <row r="103" spans="1:33" ht="15">
      <c r="A103" s="4"/>
      <c r="B103" s="85">
        <v>38</v>
      </c>
      <c r="C103" s="397" t="str">
        <f>IF('INPUT DATA'!Q48="","",'INPUT DATA'!Q48)</f>
        <v/>
      </c>
      <c r="D103" s="398"/>
      <c r="E103" s="398"/>
      <c r="F103" s="399" t="str">
        <f>IF('INPUT DATA'!R48="","",'INPUT DATA'!R48)</f>
        <v/>
      </c>
      <c r="G103" s="400"/>
      <c r="H103" s="148" t="str">
        <f>IF('INPUT DATA'!S48="","",'INPUT DATA'!S48)</f>
        <v/>
      </c>
      <c r="I103" s="137" t="str">
        <f t="shared" ca="1" si="4"/>
        <v/>
      </c>
      <c r="J103" s="115"/>
      <c r="K103" s="177"/>
      <c r="L103" s="178"/>
      <c r="M103" s="178"/>
      <c r="N103" s="178"/>
      <c r="O103" s="178"/>
      <c r="P103" s="179"/>
      <c r="Q103" s="179"/>
      <c r="R103" s="179"/>
      <c r="S103" s="179"/>
      <c r="T103" s="142"/>
      <c r="U103" s="199" t="str">
        <f t="shared" si="6"/>
        <v/>
      </c>
      <c r="V103" s="91" t="str">
        <f t="shared" si="5"/>
        <v/>
      </c>
      <c r="W103" s="4"/>
      <c r="X103" s="4"/>
      <c r="Y103" s="4"/>
      <c r="Z103" s="4"/>
      <c r="AA103" s="4"/>
      <c r="AB103" s="4"/>
      <c r="AC103" s="4"/>
      <c r="AD103" s="4"/>
      <c r="AE103" s="4"/>
      <c r="AF103" s="4"/>
      <c r="AG103" s="4"/>
    </row>
    <row r="104" spans="1:33" ht="15">
      <c r="A104" s="4"/>
      <c r="B104" s="85">
        <v>39</v>
      </c>
      <c r="C104" s="397" t="str">
        <f>IF('INPUT DATA'!Q49="","",'INPUT DATA'!Q49)</f>
        <v/>
      </c>
      <c r="D104" s="398"/>
      <c r="E104" s="398"/>
      <c r="F104" s="399" t="str">
        <f>IF('INPUT DATA'!R49="","",'INPUT DATA'!R49)</f>
        <v/>
      </c>
      <c r="G104" s="400"/>
      <c r="H104" s="148" t="str">
        <f>IF('INPUT DATA'!S49="","",'INPUT DATA'!S49)</f>
        <v/>
      </c>
      <c r="I104" s="137" t="str">
        <f t="shared" ca="1" si="4"/>
        <v/>
      </c>
      <c r="J104" s="115"/>
      <c r="K104" s="177"/>
      <c r="L104" s="178"/>
      <c r="M104" s="178"/>
      <c r="N104" s="178"/>
      <c r="O104" s="178"/>
      <c r="P104" s="179"/>
      <c r="Q104" s="179"/>
      <c r="R104" s="179"/>
      <c r="S104" s="179"/>
      <c r="T104" s="142"/>
      <c r="U104" s="199" t="str">
        <f t="shared" si="6"/>
        <v/>
      </c>
      <c r="V104" s="91" t="str">
        <f t="shared" si="5"/>
        <v/>
      </c>
      <c r="W104" s="4"/>
      <c r="X104" s="4"/>
      <c r="Y104" s="4"/>
      <c r="Z104" s="4"/>
      <c r="AA104" s="4"/>
      <c r="AB104" s="4"/>
      <c r="AC104" s="4"/>
      <c r="AD104" s="4"/>
      <c r="AE104" s="4"/>
      <c r="AF104" s="4"/>
      <c r="AG104" s="4"/>
    </row>
    <row r="105" spans="1:33" ht="15">
      <c r="A105" s="4"/>
      <c r="B105" s="85">
        <v>40</v>
      </c>
      <c r="C105" s="397" t="str">
        <f>IF('INPUT DATA'!Q50="","",'INPUT DATA'!Q50)</f>
        <v/>
      </c>
      <c r="D105" s="398"/>
      <c r="E105" s="398"/>
      <c r="F105" s="399" t="str">
        <f>IF('INPUT DATA'!R50="","",'INPUT DATA'!R50)</f>
        <v/>
      </c>
      <c r="G105" s="400"/>
      <c r="H105" s="148" t="str">
        <f>IF('INPUT DATA'!S50="","",'INPUT DATA'!S50)</f>
        <v/>
      </c>
      <c r="I105" s="137" t="str">
        <f t="shared" ca="1" si="4"/>
        <v/>
      </c>
      <c r="J105" s="115"/>
      <c r="K105" s="177"/>
      <c r="L105" s="178"/>
      <c r="M105" s="178"/>
      <c r="N105" s="178"/>
      <c r="O105" s="178"/>
      <c r="P105" s="179"/>
      <c r="Q105" s="179"/>
      <c r="R105" s="179"/>
      <c r="S105" s="179"/>
      <c r="T105" s="142"/>
      <c r="U105" s="199" t="str">
        <f t="shared" si="6"/>
        <v/>
      </c>
      <c r="V105" s="91" t="str">
        <f t="shared" si="5"/>
        <v/>
      </c>
      <c r="W105" s="4"/>
      <c r="X105" s="4"/>
      <c r="Y105" s="4"/>
      <c r="Z105" s="4"/>
      <c r="AA105" s="4"/>
      <c r="AB105" s="4"/>
      <c r="AC105" s="4"/>
      <c r="AD105" s="4"/>
      <c r="AE105" s="4"/>
      <c r="AF105" s="4"/>
      <c r="AG105" s="4"/>
    </row>
    <row r="106" spans="1:33" ht="15">
      <c r="A106" s="4"/>
      <c r="B106" s="85">
        <v>41</v>
      </c>
      <c r="C106" s="397" t="str">
        <f>IF('INPUT DATA'!Q51="","",'INPUT DATA'!Q51)</f>
        <v/>
      </c>
      <c r="D106" s="398"/>
      <c r="E106" s="398"/>
      <c r="F106" s="399" t="str">
        <f>IF('INPUT DATA'!R51="","",'INPUT DATA'!R51)</f>
        <v/>
      </c>
      <c r="G106" s="400"/>
      <c r="H106" s="148" t="str">
        <f>IF('INPUT DATA'!S51="","",'INPUT DATA'!S51)</f>
        <v/>
      </c>
      <c r="I106" s="137" t="str">
        <f t="shared" ca="1" si="4"/>
        <v/>
      </c>
      <c r="J106" s="115"/>
      <c r="K106" s="177"/>
      <c r="L106" s="178"/>
      <c r="M106" s="178"/>
      <c r="N106" s="178"/>
      <c r="O106" s="178"/>
      <c r="P106" s="179"/>
      <c r="Q106" s="179"/>
      <c r="R106" s="179"/>
      <c r="S106" s="179"/>
      <c r="T106" s="142"/>
      <c r="U106" s="199" t="str">
        <f t="shared" si="6"/>
        <v/>
      </c>
      <c r="V106" s="91" t="str">
        <f t="shared" si="5"/>
        <v/>
      </c>
      <c r="W106" s="4"/>
      <c r="X106" s="4"/>
      <c r="Y106" s="4"/>
      <c r="Z106" s="4"/>
      <c r="AA106" s="4"/>
      <c r="AB106" s="4"/>
      <c r="AC106" s="4"/>
      <c r="AD106" s="4"/>
      <c r="AE106" s="4"/>
      <c r="AF106" s="4"/>
      <c r="AG106" s="4"/>
    </row>
    <row r="107" spans="1:33" ht="15">
      <c r="A107" s="4"/>
      <c r="B107" s="85">
        <v>42</v>
      </c>
      <c r="C107" s="397" t="str">
        <f>IF('INPUT DATA'!Q52="","",'INPUT DATA'!Q52)</f>
        <v/>
      </c>
      <c r="D107" s="398"/>
      <c r="E107" s="398"/>
      <c r="F107" s="399" t="str">
        <f>IF('INPUT DATA'!R52="","",'INPUT DATA'!R52)</f>
        <v/>
      </c>
      <c r="G107" s="400"/>
      <c r="H107" s="148" t="str">
        <f>IF('INPUT DATA'!S52="","",'INPUT DATA'!S52)</f>
        <v/>
      </c>
      <c r="I107" s="137" t="str">
        <f t="shared" ca="1" si="4"/>
        <v/>
      </c>
      <c r="J107" s="115"/>
      <c r="K107" s="177"/>
      <c r="L107" s="178"/>
      <c r="M107" s="178"/>
      <c r="N107" s="178"/>
      <c r="O107" s="178"/>
      <c r="P107" s="179"/>
      <c r="Q107" s="179"/>
      <c r="R107" s="179"/>
      <c r="S107" s="179"/>
      <c r="T107" s="142"/>
      <c r="U107" s="199" t="str">
        <f t="shared" si="6"/>
        <v/>
      </c>
      <c r="V107" s="91" t="str">
        <f t="shared" si="5"/>
        <v/>
      </c>
      <c r="W107" s="4"/>
      <c r="X107" s="4"/>
      <c r="Y107" s="4"/>
      <c r="Z107" s="4"/>
      <c r="AA107" s="4"/>
      <c r="AB107" s="4"/>
      <c r="AC107" s="4"/>
      <c r="AD107" s="4"/>
      <c r="AE107" s="4"/>
      <c r="AF107" s="4"/>
      <c r="AG107" s="4"/>
    </row>
    <row r="108" spans="1:33" ht="15">
      <c r="A108" s="4"/>
      <c r="B108" s="85">
        <v>43</v>
      </c>
      <c r="C108" s="397" t="str">
        <f>IF('INPUT DATA'!Q53="","",'INPUT DATA'!Q53)</f>
        <v/>
      </c>
      <c r="D108" s="398"/>
      <c r="E108" s="398"/>
      <c r="F108" s="399" t="str">
        <f>IF('INPUT DATA'!R53="","",'INPUT DATA'!R53)</f>
        <v/>
      </c>
      <c r="G108" s="400"/>
      <c r="H108" s="148" t="str">
        <f>IF('INPUT DATA'!S53="","",'INPUT DATA'!S53)</f>
        <v/>
      </c>
      <c r="I108" s="137" t="str">
        <f t="shared" ca="1" si="4"/>
        <v/>
      </c>
      <c r="J108" s="115"/>
      <c r="K108" s="177"/>
      <c r="L108" s="178"/>
      <c r="M108" s="178"/>
      <c r="N108" s="178"/>
      <c r="O108" s="178"/>
      <c r="P108" s="179"/>
      <c r="Q108" s="179"/>
      <c r="R108" s="179"/>
      <c r="S108" s="179"/>
      <c r="T108" s="142"/>
      <c r="U108" s="199" t="str">
        <f t="shared" si="6"/>
        <v/>
      </c>
      <c r="V108" s="91" t="str">
        <f t="shared" si="5"/>
        <v/>
      </c>
      <c r="W108" s="4"/>
      <c r="X108" s="4"/>
      <c r="Y108" s="4"/>
      <c r="Z108" s="4"/>
      <c r="AA108" s="4"/>
      <c r="AB108" s="4"/>
      <c r="AC108" s="4"/>
      <c r="AD108" s="4"/>
      <c r="AE108" s="4"/>
      <c r="AF108" s="4"/>
      <c r="AG108" s="4"/>
    </row>
    <row r="109" spans="1:33" ht="15">
      <c r="A109" s="4"/>
      <c r="B109" s="85">
        <v>44</v>
      </c>
      <c r="C109" s="397" t="str">
        <f>IF('INPUT DATA'!Q54="","",'INPUT DATA'!Q54)</f>
        <v/>
      </c>
      <c r="D109" s="398"/>
      <c r="E109" s="398"/>
      <c r="F109" s="399" t="str">
        <f>IF('INPUT DATA'!R54="","",'INPUT DATA'!R54)</f>
        <v/>
      </c>
      <c r="G109" s="400"/>
      <c r="H109" s="148" t="str">
        <f>IF('INPUT DATA'!S54="","",'INPUT DATA'!S54)</f>
        <v/>
      </c>
      <c r="I109" s="137" t="str">
        <f t="shared" ca="1" si="4"/>
        <v/>
      </c>
      <c r="J109" s="115"/>
      <c r="K109" s="177"/>
      <c r="L109" s="178"/>
      <c r="M109" s="178"/>
      <c r="N109" s="178"/>
      <c r="O109" s="178"/>
      <c r="P109" s="179"/>
      <c r="Q109" s="179"/>
      <c r="R109" s="179"/>
      <c r="S109" s="179"/>
      <c r="T109" s="142"/>
      <c r="U109" s="199" t="str">
        <f t="shared" si="6"/>
        <v/>
      </c>
      <c r="V109" s="91" t="str">
        <f t="shared" si="5"/>
        <v/>
      </c>
      <c r="W109" s="4"/>
      <c r="X109" s="4"/>
      <c r="Y109" s="4"/>
      <c r="Z109" s="4"/>
      <c r="AA109" s="4"/>
      <c r="AB109" s="4"/>
      <c r="AC109" s="4"/>
      <c r="AD109" s="4"/>
      <c r="AE109" s="4"/>
      <c r="AF109" s="4"/>
      <c r="AG109" s="4"/>
    </row>
    <row r="110" spans="1:33" ht="15">
      <c r="A110" s="4"/>
      <c r="B110" s="85">
        <v>45</v>
      </c>
      <c r="C110" s="397" t="str">
        <f>IF('INPUT DATA'!Q55="","",'INPUT DATA'!Q55)</f>
        <v/>
      </c>
      <c r="D110" s="398"/>
      <c r="E110" s="398"/>
      <c r="F110" s="399" t="str">
        <f>IF('INPUT DATA'!R55="","",'INPUT DATA'!R55)</f>
        <v/>
      </c>
      <c r="G110" s="400"/>
      <c r="H110" s="148" t="str">
        <f>IF('INPUT DATA'!S55="","",'INPUT DATA'!S55)</f>
        <v/>
      </c>
      <c r="I110" s="137" t="str">
        <f t="shared" ca="1" si="4"/>
        <v/>
      </c>
      <c r="J110" s="115"/>
      <c r="K110" s="182"/>
      <c r="L110" s="183"/>
      <c r="M110" s="183"/>
      <c r="N110" s="183"/>
      <c r="O110" s="183"/>
      <c r="P110" s="184"/>
      <c r="Q110" s="184"/>
      <c r="R110" s="184"/>
      <c r="S110" s="184"/>
      <c r="T110" s="142"/>
      <c r="U110" s="199" t="str">
        <f t="shared" si="6"/>
        <v/>
      </c>
      <c r="V110" s="91" t="str">
        <f t="shared" si="5"/>
        <v/>
      </c>
      <c r="W110" s="4"/>
      <c r="X110" s="4"/>
      <c r="Y110" s="4"/>
      <c r="Z110" s="4"/>
      <c r="AA110" s="4"/>
      <c r="AB110" s="4"/>
      <c r="AC110" s="4"/>
      <c r="AD110" s="4"/>
      <c r="AE110" s="4"/>
      <c r="AF110" s="4"/>
      <c r="AG110" s="4"/>
    </row>
    <row r="111" spans="1:33" ht="15">
      <c r="A111" s="4"/>
      <c r="B111" s="85">
        <v>46</v>
      </c>
      <c r="C111" s="397" t="str">
        <f>IF('INPUT DATA'!Q56="","",'INPUT DATA'!Q56)</f>
        <v/>
      </c>
      <c r="D111" s="398"/>
      <c r="E111" s="398"/>
      <c r="F111" s="399" t="str">
        <f>IF('INPUT DATA'!R56="","",'INPUT DATA'!R56)</f>
        <v/>
      </c>
      <c r="G111" s="400"/>
      <c r="H111" s="148" t="str">
        <f>IF('INPUT DATA'!S56="","",'INPUT DATA'!S56)</f>
        <v/>
      </c>
      <c r="I111" s="137" t="str">
        <f t="shared" ca="1" si="4"/>
        <v/>
      </c>
      <c r="J111" s="115"/>
      <c r="K111" s="177"/>
      <c r="L111" s="178"/>
      <c r="M111" s="178"/>
      <c r="N111" s="178"/>
      <c r="O111" s="178"/>
      <c r="P111" s="179"/>
      <c r="Q111" s="179"/>
      <c r="R111" s="179"/>
      <c r="S111" s="179"/>
      <c r="T111" s="142"/>
      <c r="U111" s="199" t="str">
        <f t="shared" si="6"/>
        <v/>
      </c>
      <c r="V111" s="91" t="str">
        <f t="shared" si="5"/>
        <v/>
      </c>
      <c r="W111" s="4"/>
      <c r="X111" s="4"/>
      <c r="Y111" s="4"/>
      <c r="Z111" s="4"/>
      <c r="AA111" s="4"/>
      <c r="AB111" s="4"/>
      <c r="AC111" s="4"/>
      <c r="AD111" s="4"/>
      <c r="AE111" s="4"/>
      <c r="AF111" s="4"/>
      <c r="AG111" s="4"/>
    </row>
    <row r="112" spans="1:33" ht="15">
      <c r="A112" s="4"/>
      <c r="B112" s="85">
        <v>47</v>
      </c>
      <c r="C112" s="397" t="str">
        <f>IF('INPUT DATA'!Q57="","",'INPUT DATA'!Q57)</f>
        <v/>
      </c>
      <c r="D112" s="398"/>
      <c r="E112" s="398"/>
      <c r="F112" s="399" t="str">
        <f>IF('INPUT DATA'!R57="","",'INPUT DATA'!R57)</f>
        <v/>
      </c>
      <c r="G112" s="400"/>
      <c r="H112" s="148" t="str">
        <f>IF('INPUT DATA'!S57="","",'INPUT DATA'!S57)</f>
        <v/>
      </c>
      <c r="I112" s="137" t="str">
        <f t="shared" ca="1" si="4"/>
        <v/>
      </c>
      <c r="J112" s="115"/>
      <c r="K112" s="177"/>
      <c r="L112" s="178"/>
      <c r="M112" s="178"/>
      <c r="N112" s="178"/>
      <c r="O112" s="178"/>
      <c r="P112" s="179"/>
      <c r="Q112" s="179"/>
      <c r="R112" s="179"/>
      <c r="S112" s="179"/>
      <c r="T112" s="142"/>
      <c r="U112" s="199" t="str">
        <f t="shared" si="6"/>
        <v/>
      </c>
      <c r="V112" s="91" t="str">
        <f t="shared" si="5"/>
        <v/>
      </c>
      <c r="W112" s="4"/>
      <c r="X112" s="4"/>
      <c r="Y112" s="4"/>
      <c r="Z112" s="4"/>
      <c r="AA112" s="4"/>
      <c r="AB112" s="4"/>
      <c r="AC112" s="4"/>
      <c r="AD112" s="4"/>
      <c r="AE112" s="4"/>
      <c r="AF112" s="4"/>
      <c r="AG112" s="4"/>
    </row>
    <row r="113" spans="1:33" ht="15">
      <c r="A113" s="4"/>
      <c r="B113" s="85">
        <v>48</v>
      </c>
      <c r="C113" s="397" t="str">
        <f>IF('INPUT DATA'!Q58="","",'INPUT DATA'!Q58)</f>
        <v/>
      </c>
      <c r="D113" s="398"/>
      <c r="E113" s="398"/>
      <c r="F113" s="399" t="str">
        <f>IF('INPUT DATA'!R58="","",'INPUT DATA'!R58)</f>
        <v/>
      </c>
      <c r="G113" s="400"/>
      <c r="H113" s="148" t="str">
        <f>IF('INPUT DATA'!S58="","",'INPUT DATA'!S58)</f>
        <v/>
      </c>
      <c r="I113" s="137" t="str">
        <f t="shared" ca="1" si="4"/>
        <v/>
      </c>
      <c r="J113" s="115"/>
      <c r="K113" s="177"/>
      <c r="L113" s="178"/>
      <c r="M113" s="178"/>
      <c r="N113" s="178"/>
      <c r="O113" s="178"/>
      <c r="P113" s="179"/>
      <c r="Q113" s="179"/>
      <c r="R113" s="179"/>
      <c r="S113" s="179"/>
      <c r="T113" s="142"/>
      <c r="U113" s="199" t="str">
        <f t="shared" si="6"/>
        <v/>
      </c>
      <c r="V113" s="91" t="str">
        <f t="shared" si="5"/>
        <v/>
      </c>
      <c r="W113" s="4"/>
      <c r="X113" s="4"/>
      <c r="Y113" s="4"/>
      <c r="Z113" s="4"/>
      <c r="AA113" s="4"/>
      <c r="AB113" s="4"/>
      <c r="AC113" s="4"/>
      <c r="AD113" s="4"/>
      <c r="AE113" s="4"/>
      <c r="AF113" s="4"/>
      <c r="AG113" s="4"/>
    </row>
    <row r="114" spans="1:33" ht="15">
      <c r="A114" s="4"/>
      <c r="B114" s="85">
        <v>49</v>
      </c>
      <c r="C114" s="397" t="str">
        <f>IF('INPUT DATA'!Q59="","",'INPUT DATA'!Q59)</f>
        <v/>
      </c>
      <c r="D114" s="398"/>
      <c r="E114" s="398"/>
      <c r="F114" s="399" t="str">
        <f>IF('INPUT DATA'!R59="","",'INPUT DATA'!R59)</f>
        <v/>
      </c>
      <c r="G114" s="400"/>
      <c r="H114" s="148" t="str">
        <f>IF('INPUT DATA'!S59="","",'INPUT DATA'!S59)</f>
        <v/>
      </c>
      <c r="I114" s="137" t="str">
        <f t="shared" ca="1" si="4"/>
        <v/>
      </c>
      <c r="J114" s="115"/>
      <c r="K114" s="177"/>
      <c r="L114" s="178"/>
      <c r="M114" s="178"/>
      <c r="N114" s="178"/>
      <c r="O114" s="178"/>
      <c r="P114" s="179"/>
      <c r="Q114" s="179"/>
      <c r="R114" s="179"/>
      <c r="S114" s="179"/>
      <c r="T114" s="142"/>
      <c r="U114" s="199" t="str">
        <f t="shared" si="6"/>
        <v/>
      </c>
      <c r="V114" s="91" t="str">
        <f t="shared" si="5"/>
        <v/>
      </c>
      <c r="W114" s="4"/>
      <c r="X114" s="4"/>
      <c r="Y114" s="4"/>
      <c r="Z114" s="4"/>
      <c r="AA114" s="4"/>
      <c r="AB114" s="4"/>
      <c r="AC114" s="4"/>
      <c r="AD114" s="4"/>
      <c r="AE114" s="4"/>
      <c r="AF114" s="4"/>
      <c r="AG114" s="4"/>
    </row>
    <row r="115" spans="1:33" ht="15.6" thickBot="1">
      <c r="A115" s="4"/>
      <c r="B115" s="86">
        <v>50</v>
      </c>
      <c r="C115" s="401" t="str">
        <f>IF('INPUT DATA'!Q60="","",'INPUT DATA'!Q60)</f>
        <v/>
      </c>
      <c r="D115" s="406"/>
      <c r="E115" s="406"/>
      <c r="F115" s="407" t="str">
        <f>IF('INPUT DATA'!R60="","",'INPUT DATA'!R60)</f>
        <v/>
      </c>
      <c r="G115" s="408"/>
      <c r="H115" s="149" t="str">
        <f>IF('INPUT DATA'!S60="","",'INPUT DATA'!S60)</f>
        <v/>
      </c>
      <c r="I115" s="138" t="str">
        <f t="shared" ca="1" si="4"/>
        <v/>
      </c>
      <c r="J115" s="116"/>
      <c r="K115" s="187"/>
      <c r="L115" s="188"/>
      <c r="M115" s="188"/>
      <c r="N115" s="188"/>
      <c r="O115" s="188"/>
      <c r="P115" s="189"/>
      <c r="Q115" s="189"/>
      <c r="R115" s="189"/>
      <c r="S115" s="189"/>
      <c r="T115" s="143"/>
      <c r="U115" s="200" t="str">
        <f t="shared" si="6"/>
        <v/>
      </c>
      <c r="V115" s="97" t="str">
        <f t="shared" si="5"/>
        <v/>
      </c>
      <c r="W115" s="4"/>
      <c r="X115" s="4"/>
      <c r="Y115" s="4"/>
      <c r="Z115" s="4"/>
      <c r="AA115" s="4"/>
      <c r="AB115" s="4"/>
      <c r="AC115" s="4"/>
      <c r="AD115" s="4"/>
      <c r="AE115" s="4"/>
      <c r="AF115" s="4"/>
      <c r="AG115" s="4"/>
    </row>
    <row r="116" spans="1:33" ht="13.2">
      <c r="A116" s="122"/>
      <c r="B116" s="122"/>
      <c r="C116" s="90"/>
      <c r="D116" s="122"/>
      <c r="E116" s="122"/>
      <c r="F116" s="122"/>
      <c r="G116" s="122"/>
      <c r="H116" s="122"/>
      <c r="I116" s="122"/>
      <c r="J116" s="122"/>
      <c r="K116" s="122"/>
      <c r="L116" s="122"/>
      <c r="M116" s="122"/>
      <c r="N116" s="124"/>
      <c r="O116" s="122"/>
      <c r="P116" s="128"/>
      <c r="Q116" s="128"/>
      <c r="R116" s="128"/>
      <c r="S116" s="122"/>
      <c r="T116" s="136"/>
      <c r="U116" s="122"/>
      <c r="V116" s="122"/>
      <c r="W116" s="122"/>
      <c r="X116" s="122"/>
      <c r="Y116" s="122"/>
      <c r="Z116" s="122"/>
      <c r="AA116" s="122"/>
      <c r="AB116" s="122"/>
      <c r="AC116" s="122"/>
      <c r="AD116" s="122"/>
      <c r="AE116" s="122"/>
      <c r="AF116" s="122"/>
      <c r="AG116" s="122"/>
    </row>
    <row r="117" spans="1:33" ht="13.2">
      <c r="A117" s="122"/>
      <c r="B117" s="122"/>
      <c r="C117" s="90"/>
      <c r="D117" s="122"/>
      <c r="E117" s="122"/>
      <c r="F117" s="122"/>
      <c r="G117" s="122"/>
      <c r="H117" s="122"/>
      <c r="I117" s="122"/>
      <c r="J117" s="122"/>
      <c r="K117" s="122"/>
      <c r="L117" s="122"/>
      <c r="M117" s="122"/>
      <c r="N117" s="124"/>
      <c r="O117" s="122"/>
      <c r="P117" s="128"/>
      <c r="Q117" s="128"/>
      <c r="R117" s="128"/>
      <c r="S117" s="122"/>
      <c r="T117" s="136"/>
      <c r="U117" s="122"/>
      <c r="V117" s="122"/>
      <c r="W117" s="122"/>
      <c r="X117" s="122"/>
      <c r="Y117" s="122"/>
      <c r="Z117" s="122"/>
      <c r="AA117" s="122"/>
      <c r="AB117" s="122"/>
      <c r="AC117" s="122"/>
      <c r="AD117" s="122"/>
      <c r="AE117" s="122"/>
      <c r="AF117" s="122"/>
      <c r="AG117" s="122"/>
    </row>
    <row r="118" spans="1:33" ht="13.2">
      <c r="A118" s="122"/>
      <c r="B118" s="122"/>
      <c r="C118" s="90"/>
      <c r="D118" s="122"/>
      <c r="E118" s="122"/>
      <c r="F118" s="122"/>
      <c r="G118" s="122"/>
      <c r="H118" s="122"/>
      <c r="I118" s="122"/>
      <c r="J118" s="122"/>
      <c r="K118" s="122"/>
      <c r="L118" s="122"/>
      <c r="M118" s="122"/>
      <c r="N118" s="124"/>
      <c r="O118" s="122"/>
      <c r="P118" s="128"/>
      <c r="Q118" s="128"/>
      <c r="R118" s="128"/>
      <c r="S118" s="122"/>
      <c r="T118" s="136"/>
      <c r="U118" s="122"/>
      <c r="V118" s="122"/>
      <c r="W118" s="122"/>
      <c r="X118" s="122"/>
      <c r="Y118" s="122"/>
      <c r="Z118" s="122"/>
      <c r="AA118" s="122"/>
      <c r="AB118" s="122"/>
      <c r="AC118" s="122"/>
      <c r="AD118" s="122"/>
      <c r="AE118" s="122"/>
      <c r="AF118" s="122"/>
      <c r="AG118" s="122"/>
    </row>
    <row r="119" spans="1:33" ht="13.2">
      <c r="A119" s="122"/>
      <c r="B119" s="122"/>
      <c r="C119" s="90"/>
      <c r="D119" s="122"/>
      <c r="E119" s="122"/>
      <c r="F119" s="122"/>
      <c r="G119" s="122"/>
      <c r="H119" s="122"/>
      <c r="I119" s="122"/>
      <c r="J119" s="122"/>
      <c r="K119" s="122"/>
      <c r="L119" s="122"/>
      <c r="M119" s="122"/>
      <c r="N119" s="124"/>
      <c r="O119" s="122"/>
      <c r="P119" s="128"/>
      <c r="Q119" s="128"/>
      <c r="R119" s="128"/>
      <c r="S119" s="122"/>
      <c r="T119" s="136"/>
      <c r="U119" s="122"/>
      <c r="V119" s="122"/>
      <c r="W119" s="122"/>
      <c r="X119" s="122"/>
      <c r="Y119" s="122"/>
      <c r="Z119" s="122"/>
      <c r="AA119" s="122"/>
      <c r="AB119" s="122"/>
      <c r="AC119" s="122"/>
      <c r="AD119" s="122"/>
      <c r="AE119" s="122"/>
      <c r="AF119" s="122"/>
      <c r="AG119" s="122"/>
    </row>
    <row r="120" spans="1:33" ht="13.2">
      <c r="A120" s="122"/>
      <c r="B120" s="122"/>
      <c r="C120" s="90"/>
      <c r="D120" s="122"/>
      <c r="E120" s="122"/>
      <c r="F120" s="122"/>
      <c r="G120" s="122"/>
      <c r="H120" s="122"/>
      <c r="I120" s="122"/>
      <c r="J120" s="122"/>
      <c r="K120" s="122"/>
      <c r="L120" s="122"/>
      <c r="M120" s="122"/>
      <c r="N120" s="124"/>
      <c r="O120" s="122"/>
      <c r="P120" s="128"/>
      <c r="Q120" s="128"/>
      <c r="R120" s="128"/>
      <c r="S120" s="122"/>
      <c r="T120" s="136"/>
      <c r="U120" s="122"/>
      <c r="V120" s="122"/>
      <c r="W120" s="122"/>
      <c r="X120" s="122"/>
      <c r="Y120" s="122"/>
      <c r="Z120" s="122"/>
      <c r="AA120" s="122"/>
      <c r="AB120" s="122"/>
      <c r="AC120" s="122"/>
      <c r="AD120" s="122"/>
      <c r="AE120" s="122"/>
      <c r="AF120" s="122"/>
      <c r="AG120" s="122"/>
    </row>
    <row r="121" spans="1:33" ht="13.2">
      <c r="A121" s="122"/>
      <c r="B121" s="122"/>
      <c r="C121" s="90"/>
      <c r="D121" s="122"/>
      <c r="E121" s="122"/>
      <c r="F121" s="122"/>
      <c r="G121" s="122"/>
      <c r="H121" s="122"/>
      <c r="I121" s="122"/>
      <c r="J121" s="122"/>
      <c r="K121" s="122"/>
      <c r="L121" s="122"/>
      <c r="M121" s="122"/>
      <c r="N121" s="124"/>
      <c r="O121" s="122"/>
      <c r="P121" s="128"/>
      <c r="Q121" s="128"/>
      <c r="R121" s="128"/>
      <c r="S121" s="122"/>
      <c r="T121" s="136"/>
      <c r="U121" s="122"/>
      <c r="V121" s="122"/>
      <c r="W121" s="122"/>
      <c r="X121" s="122"/>
      <c r="Y121" s="122"/>
      <c r="Z121" s="122"/>
      <c r="AA121" s="122"/>
      <c r="AB121" s="122"/>
      <c r="AC121" s="122"/>
      <c r="AD121" s="122"/>
      <c r="AE121" s="122"/>
      <c r="AF121" s="122"/>
      <c r="AG121" s="122"/>
    </row>
    <row r="122" spans="1:33" ht="13.2">
      <c r="A122" s="122"/>
      <c r="B122" s="122"/>
      <c r="C122" s="90"/>
      <c r="D122" s="122"/>
      <c r="E122" s="122"/>
      <c r="F122" s="122"/>
      <c r="G122" s="122"/>
      <c r="H122" s="122"/>
      <c r="I122" s="122"/>
      <c r="J122" s="122"/>
      <c r="K122" s="122"/>
      <c r="L122" s="122"/>
      <c r="M122" s="122"/>
      <c r="N122" s="124"/>
      <c r="O122" s="122"/>
      <c r="P122" s="128"/>
      <c r="Q122" s="128"/>
      <c r="R122" s="128"/>
      <c r="S122" s="122"/>
      <c r="T122" s="136"/>
      <c r="U122" s="122"/>
      <c r="V122" s="122"/>
      <c r="W122" s="122"/>
      <c r="X122" s="122"/>
      <c r="Y122" s="122"/>
      <c r="Z122" s="122"/>
      <c r="AA122" s="122"/>
      <c r="AB122" s="122"/>
      <c r="AC122" s="122"/>
      <c r="AD122" s="122"/>
      <c r="AE122" s="122"/>
      <c r="AF122" s="122"/>
      <c r="AG122" s="122"/>
    </row>
    <row r="123" spans="1:33" ht="13.2">
      <c r="A123" s="122"/>
      <c r="B123" s="122"/>
      <c r="C123" s="90"/>
      <c r="D123" s="122"/>
      <c r="E123" s="122"/>
      <c r="F123" s="122"/>
      <c r="G123" s="122"/>
      <c r="H123" s="122"/>
      <c r="I123" s="122"/>
      <c r="J123" s="122"/>
      <c r="K123" s="122"/>
      <c r="L123" s="122"/>
      <c r="M123" s="122"/>
      <c r="N123" s="124"/>
      <c r="O123" s="122"/>
      <c r="P123" s="128"/>
      <c r="Q123" s="128"/>
      <c r="R123" s="128"/>
      <c r="S123" s="122"/>
      <c r="T123" s="136"/>
      <c r="U123" s="122"/>
      <c r="V123" s="122"/>
      <c r="W123" s="122"/>
      <c r="X123" s="122"/>
      <c r="Y123" s="122"/>
      <c r="Z123" s="122"/>
      <c r="AA123" s="122"/>
      <c r="AB123" s="122"/>
      <c r="AC123" s="122"/>
      <c r="AD123" s="122"/>
      <c r="AE123" s="122"/>
      <c r="AF123" s="122"/>
      <c r="AG123" s="122"/>
    </row>
    <row r="124" spans="1:33" ht="13.2">
      <c r="A124" s="122"/>
      <c r="B124" s="122"/>
      <c r="C124" s="90"/>
      <c r="D124" s="122"/>
      <c r="E124" s="122"/>
      <c r="F124" s="122"/>
      <c r="G124" s="122"/>
      <c r="H124" s="122"/>
      <c r="I124" s="122"/>
      <c r="J124" s="122"/>
      <c r="K124" s="122"/>
      <c r="L124" s="122"/>
      <c r="M124" s="122"/>
      <c r="N124" s="124"/>
      <c r="O124" s="122"/>
      <c r="P124" s="128"/>
      <c r="Q124" s="128"/>
      <c r="R124" s="128"/>
      <c r="S124" s="122"/>
      <c r="T124" s="136"/>
      <c r="U124" s="122"/>
      <c r="V124" s="122"/>
      <c r="W124" s="122"/>
      <c r="X124" s="122"/>
      <c r="Y124" s="122"/>
      <c r="Z124" s="122"/>
      <c r="AA124" s="122"/>
      <c r="AB124" s="122"/>
      <c r="AC124" s="122"/>
      <c r="AD124" s="122"/>
      <c r="AE124" s="122"/>
      <c r="AF124" s="122"/>
      <c r="AG124" s="122"/>
    </row>
    <row r="125" spans="1:33" ht="13.2">
      <c r="A125" s="122"/>
      <c r="B125" s="122"/>
      <c r="C125" s="90"/>
      <c r="D125" s="122"/>
      <c r="E125" s="122"/>
      <c r="F125" s="122"/>
      <c r="G125" s="122"/>
      <c r="H125" s="122"/>
      <c r="I125" s="122"/>
      <c r="J125" s="122"/>
      <c r="K125" s="122"/>
      <c r="L125" s="122"/>
      <c r="M125" s="122"/>
      <c r="N125" s="124"/>
      <c r="O125" s="122"/>
      <c r="P125" s="128"/>
      <c r="Q125" s="128"/>
      <c r="R125" s="128"/>
      <c r="S125" s="122"/>
      <c r="T125" s="136"/>
      <c r="U125" s="122"/>
      <c r="V125" s="122"/>
      <c r="W125" s="122"/>
      <c r="X125" s="122"/>
      <c r="Y125" s="122"/>
      <c r="Z125" s="122"/>
      <c r="AA125" s="122"/>
      <c r="AB125" s="122"/>
      <c r="AC125" s="122"/>
      <c r="AD125" s="122"/>
      <c r="AE125" s="122"/>
      <c r="AF125" s="122"/>
      <c r="AG125" s="122"/>
    </row>
    <row r="126" spans="1:33" ht="13.2">
      <c r="A126" s="122"/>
      <c r="B126" s="122"/>
      <c r="C126" s="90"/>
      <c r="D126" s="122"/>
      <c r="E126" s="122"/>
      <c r="F126" s="122"/>
      <c r="G126" s="122"/>
      <c r="H126" s="122"/>
      <c r="I126" s="122"/>
      <c r="J126" s="122"/>
      <c r="K126" s="122"/>
      <c r="L126" s="122"/>
      <c r="M126" s="122"/>
      <c r="N126" s="124"/>
      <c r="O126" s="122"/>
      <c r="P126" s="128"/>
      <c r="Q126" s="128"/>
      <c r="R126" s="128"/>
      <c r="S126" s="122"/>
      <c r="T126" s="136"/>
      <c r="U126" s="122"/>
      <c r="V126" s="122"/>
      <c r="W126" s="122"/>
      <c r="X126" s="122"/>
      <c r="Y126" s="122"/>
      <c r="Z126" s="122"/>
      <c r="AA126" s="122"/>
      <c r="AB126" s="122"/>
      <c r="AC126" s="122"/>
      <c r="AD126" s="122"/>
      <c r="AE126" s="122"/>
      <c r="AF126" s="122"/>
      <c r="AG126" s="122"/>
    </row>
  </sheetData>
  <sheetProtection algorithmName="SHA-512" hashValue="dsEkLuP9D/7qqJQd8Tdgecfo/q6DMMGIKZpAjYCSKU3R3dlBR7rMOT1gbaLHASChZUyswYAffEINd4WoWbHrEA==" saltValue="9CnTyUIGR3X5F0UsCfSJZQ==" spinCount="100000" sheet="1" formatCells="0" formatColumns="0" formatRows="0"/>
  <mergeCells count="229">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7:E17"/>
    <mergeCell ref="F17:G17"/>
    <mergeCell ref="C18:E18"/>
    <mergeCell ref="F18:G18"/>
    <mergeCell ref="C19:E19"/>
    <mergeCell ref="F19:G19"/>
    <mergeCell ref="U11:U13"/>
    <mergeCell ref="V11:V13"/>
    <mergeCell ref="B14:V14"/>
    <mergeCell ref="C15:E15"/>
    <mergeCell ref="F15:G15"/>
    <mergeCell ref="C16:E16"/>
    <mergeCell ref="F16:G16"/>
    <mergeCell ref="B11:E13"/>
    <mergeCell ref="F11:G13"/>
    <mergeCell ref="H11:H13"/>
    <mergeCell ref="I11:I13"/>
    <mergeCell ref="J11:J13"/>
    <mergeCell ref="K12:K13"/>
    <mergeCell ref="L12:L13"/>
    <mergeCell ref="M12:M13"/>
    <mergeCell ref="N12:N13"/>
    <mergeCell ref="O12:O13"/>
    <mergeCell ref="P12:P13"/>
    <mergeCell ref="Q12:Q13"/>
    <mergeCell ref="B8:V8"/>
    <mergeCell ref="B9:E10"/>
    <mergeCell ref="G9:K9"/>
    <mergeCell ref="L9:M10"/>
    <mergeCell ref="G10:K10"/>
    <mergeCell ref="A1:W4"/>
    <mergeCell ref="E5:G5"/>
    <mergeCell ref="E6:G6"/>
    <mergeCell ref="U6:V6"/>
    <mergeCell ref="N9:V10"/>
    <mergeCell ref="K5:P5"/>
    <mergeCell ref="K6:P6"/>
    <mergeCell ref="R12:T12"/>
    <mergeCell ref="K11:T11"/>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95F2-8CD8-4876-9275-E13BAD5BA48E}">
  <sheetPr>
    <tabColor theme="6"/>
    <outlinePr summaryBelow="0" summaryRight="0"/>
    <pageSetUpPr fitToPage="1"/>
  </sheetPr>
  <dimension ref="A1:AG126"/>
  <sheetViews>
    <sheetView showGridLines="0" zoomScale="85" zoomScaleNormal="85" workbookViewId="0">
      <selection activeCell="N19" sqref="N19"/>
    </sheetView>
  </sheetViews>
  <sheetFormatPr defaultColWidth="12.6640625" defaultRowHeight="15.75" customHeight="1"/>
  <cols>
    <col min="1" max="2" width="3.88671875" style="134" customWidth="1"/>
    <col min="3" max="3" width="13.109375" style="134" customWidth="1"/>
    <col min="4" max="5" width="12.6640625" style="134"/>
    <col min="6" max="6" width="15.33203125" style="134" customWidth="1"/>
    <col min="7" max="7" width="19.44140625" style="134" customWidth="1"/>
    <col min="8" max="8" width="12.6640625" style="134"/>
    <col min="9" max="10" width="5.109375" style="134" customWidth="1"/>
    <col min="11" max="11" width="9" style="134" customWidth="1"/>
    <col min="12" max="12" width="9.33203125" style="134" customWidth="1"/>
    <col min="13" max="13" width="12.77734375" style="134" customWidth="1"/>
    <col min="14" max="14" width="11.33203125" style="134" customWidth="1"/>
    <col min="15" max="18" width="9.44140625" style="134" customWidth="1"/>
    <col min="19" max="20" width="11.88671875" style="134" customWidth="1"/>
    <col min="21" max="22" width="12.6640625" style="134"/>
    <col min="23" max="23" width="3.88671875" style="134" customWidth="1"/>
    <col min="24" max="16384" width="12.6640625" style="134"/>
  </cols>
  <sheetData>
    <row r="1" spans="1:33" ht="13.2">
      <c r="A1" s="339" t="s">
        <v>132</v>
      </c>
      <c r="B1" s="283"/>
      <c r="C1" s="283"/>
      <c r="D1" s="283"/>
      <c r="E1" s="283"/>
      <c r="F1" s="283"/>
      <c r="G1" s="283"/>
      <c r="H1" s="283"/>
      <c r="I1" s="283"/>
      <c r="J1" s="283"/>
      <c r="K1" s="283"/>
      <c r="L1" s="283"/>
      <c r="M1" s="283"/>
      <c r="N1" s="283"/>
      <c r="O1" s="283"/>
      <c r="P1" s="283"/>
      <c r="Q1" s="283"/>
      <c r="R1" s="283"/>
      <c r="S1" s="283"/>
      <c r="T1" s="283"/>
      <c r="U1" s="283"/>
      <c r="V1" s="283"/>
      <c r="W1" s="283"/>
      <c r="X1" s="90"/>
      <c r="Y1" s="90"/>
      <c r="Z1" s="90"/>
      <c r="AA1" s="90"/>
      <c r="AB1" s="90"/>
      <c r="AC1" s="90"/>
      <c r="AD1" s="90"/>
      <c r="AE1" s="90"/>
      <c r="AF1" s="90"/>
      <c r="AG1" s="90"/>
    </row>
    <row r="2" spans="1:33" ht="13.2">
      <c r="A2" s="283"/>
      <c r="B2" s="283"/>
      <c r="C2" s="283"/>
      <c r="D2" s="283"/>
      <c r="E2" s="283"/>
      <c r="F2" s="283"/>
      <c r="G2" s="283"/>
      <c r="H2" s="283"/>
      <c r="I2" s="283"/>
      <c r="J2" s="283"/>
      <c r="K2" s="283"/>
      <c r="L2" s="283"/>
      <c r="M2" s="283"/>
      <c r="N2" s="283"/>
      <c r="O2" s="283"/>
      <c r="P2" s="283"/>
      <c r="Q2" s="283"/>
      <c r="R2" s="283"/>
      <c r="S2" s="283"/>
      <c r="T2" s="283"/>
      <c r="U2" s="283"/>
      <c r="V2" s="283"/>
      <c r="W2" s="283"/>
      <c r="X2" s="90"/>
      <c r="Y2" s="90"/>
      <c r="Z2" s="90"/>
      <c r="AA2" s="90"/>
      <c r="AB2" s="90"/>
      <c r="AC2" s="90"/>
      <c r="AD2" s="90"/>
      <c r="AE2" s="90"/>
      <c r="AF2" s="90"/>
      <c r="AG2" s="90"/>
    </row>
    <row r="3" spans="1:33" ht="13.2">
      <c r="A3" s="283"/>
      <c r="B3" s="283"/>
      <c r="C3" s="283"/>
      <c r="D3" s="283"/>
      <c r="E3" s="283"/>
      <c r="F3" s="283"/>
      <c r="G3" s="283"/>
      <c r="H3" s="283"/>
      <c r="I3" s="283"/>
      <c r="J3" s="283"/>
      <c r="K3" s="283"/>
      <c r="L3" s="283"/>
      <c r="M3" s="283"/>
      <c r="N3" s="283"/>
      <c r="O3" s="283"/>
      <c r="P3" s="283"/>
      <c r="Q3" s="283"/>
      <c r="R3" s="283"/>
      <c r="S3" s="283"/>
      <c r="T3" s="283"/>
      <c r="U3" s="283"/>
      <c r="V3" s="283"/>
      <c r="W3" s="283"/>
      <c r="X3" s="90"/>
      <c r="Y3" s="90"/>
      <c r="Z3" s="90"/>
      <c r="AA3" s="90"/>
      <c r="AB3" s="90"/>
      <c r="AC3" s="90"/>
      <c r="AD3" s="90"/>
      <c r="AE3" s="90"/>
      <c r="AF3" s="90"/>
      <c r="AG3" s="90"/>
    </row>
    <row r="4" spans="1:33" ht="13.8" thickBot="1">
      <c r="A4" s="283"/>
      <c r="B4" s="283"/>
      <c r="C4" s="283"/>
      <c r="D4" s="283"/>
      <c r="E4" s="283"/>
      <c r="F4" s="283"/>
      <c r="G4" s="283"/>
      <c r="H4" s="283"/>
      <c r="I4" s="283"/>
      <c r="J4" s="283"/>
      <c r="K4" s="283"/>
      <c r="L4" s="283"/>
      <c r="M4" s="283"/>
      <c r="N4" s="283"/>
      <c r="O4" s="283"/>
      <c r="P4" s="283"/>
      <c r="Q4" s="283"/>
      <c r="R4" s="283"/>
      <c r="S4" s="283"/>
      <c r="T4" s="283"/>
      <c r="U4" s="283"/>
      <c r="V4" s="283"/>
      <c r="W4" s="283"/>
      <c r="X4" s="136"/>
      <c r="Y4" s="136"/>
      <c r="Z4" s="136"/>
      <c r="AA4" s="136"/>
      <c r="AB4" s="136"/>
      <c r="AC4" s="136"/>
      <c r="AD4" s="136"/>
      <c r="AE4" s="136"/>
      <c r="AF4" s="136"/>
      <c r="AG4" s="136"/>
    </row>
    <row r="5" spans="1:33" ht="16.2" thickBot="1">
      <c r="A5" s="4"/>
      <c r="B5" s="5"/>
      <c r="C5" s="6"/>
      <c r="D5" s="12" t="s">
        <v>3</v>
      </c>
      <c r="E5" s="340" t="str">
        <f>IF('INPUT DATA'!F10="","",'INPUT DATA'!F10)</f>
        <v/>
      </c>
      <c r="F5" s="341"/>
      <c r="G5" s="342"/>
      <c r="H5" s="77"/>
      <c r="I5" s="12" t="s">
        <v>6</v>
      </c>
      <c r="J5" s="12"/>
      <c r="K5" s="352" t="str">
        <f>IF('INPUT DATA'!F11="","",'INPUT DATA'!F11)</f>
        <v/>
      </c>
      <c r="L5" s="353"/>
      <c r="M5" s="353"/>
      <c r="N5" s="353"/>
      <c r="O5" s="353"/>
      <c r="P5" s="354"/>
      <c r="Q5" s="77"/>
      <c r="R5" s="77"/>
      <c r="S5" s="77"/>
      <c r="T5" s="77"/>
      <c r="U5" s="77"/>
      <c r="V5" s="77"/>
      <c r="W5" s="4"/>
      <c r="X5" s="4"/>
      <c r="Y5" s="4"/>
      <c r="Z5" s="4"/>
      <c r="AA5" s="4"/>
      <c r="AB5" s="4"/>
      <c r="AC5" s="4"/>
      <c r="AD5" s="4"/>
      <c r="AE5" s="4"/>
      <c r="AF5" s="4"/>
      <c r="AG5" s="4"/>
    </row>
    <row r="6" spans="1:33" ht="16.2" thickBot="1">
      <c r="A6" s="4"/>
      <c r="B6" s="5"/>
      <c r="C6" s="10"/>
      <c r="D6" s="12" t="s">
        <v>7</v>
      </c>
      <c r="E6" s="340" t="str">
        <f>IF('INPUT DATA'!F16="","",'INPUT DATA'!F16)</f>
        <v/>
      </c>
      <c r="F6" s="341"/>
      <c r="G6" s="342"/>
      <c r="H6" s="77"/>
      <c r="I6" s="12" t="s">
        <v>8</v>
      </c>
      <c r="J6" s="12"/>
      <c r="K6" s="343" t="str">
        <f>IF('INPUT DATA'!F155="","",'INPUT DATA'!F15)</f>
        <v/>
      </c>
      <c r="L6" s="355"/>
      <c r="M6" s="355"/>
      <c r="N6" s="355"/>
      <c r="O6" s="355"/>
      <c r="P6" s="344"/>
      <c r="Q6" s="14"/>
      <c r="R6" s="14"/>
      <c r="S6" s="12" t="s">
        <v>10</v>
      </c>
      <c r="T6" s="12"/>
      <c r="U6" s="343" t="str">
        <f>IF('INPUT DATA'!F18="","",'INPUT DATA'!F18)</f>
        <v/>
      </c>
      <c r="V6" s="344"/>
      <c r="W6" s="4"/>
      <c r="X6" s="4"/>
      <c r="Y6" s="4"/>
      <c r="Z6" s="4"/>
      <c r="AA6" s="4"/>
      <c r="AB6" s="4"/>
      <c r="AC6" s="4"/>
      <c r="AD6" s="4"/>
      <c r="AE6" s="4"/>
      <c r="AF6" s="4"/>
      <c r="AG6" s="4"/>
    </row>
    <row r="7" spans="1:33" ht="13.8" thickBot="1">
      <c r="A7" s="136"/>
      <c r="B7" s="16"/>
      <c r="C7" s="23"/>
      <c r="D7" s="23"/>
      <c r="E7" s="136"/>
      <c r="F7" s="136"/>
      <c r="G7" s="21"/>
      <c r="I7" s="136"/>
      <c r="J7" s="136"/>
      <c r="K7" s="136"/>
      <c r="L7" s="23"/>
      <c r="M7" s="136"/>
      <c r="N7" s="136"/>
      <c r="O7" s="23"/>
      <c r="P7" s="23"/>
      <c r="Q7" s="23"/>
      <c r="R7" s="23"/>
      <c r="S7" s="136"/>
      <c r="T7" s="136"/>
      <c r="U7" s="23"/>
      <c r="V7" s="136"/>
      <c r="W7" s="136"/>
      <c r="X7" s="136"/>
      <c r="Y7" s="136"/>
      <c r="Z7" s="136"/>
      <c r="AA7" s="136"/>
      <c r="AB7" s="136"/>
      <c r="AC7" s="136"/>
      <c r="AD7" s="136"/>
      <c r="AE7" s="136"/>
      <c r="AF7" s="136"/>
      <c r="AG7" s="136"/>
    </row>
    <row r="8" spans="1:33" ht="13.8" thickBot="1">
      <c r="A8" s="136"/>
      <c r="B8" s="322"/>
      <c r="C8" s="323"/>
      <c r="D8" s="323"/>
      <c r="E8" s="323"/>
      <c r="F8" s="323"/>
      <c r="G8" s="323"/>
      <c r="H8" s="323"/>
      <c r="I8" s="323"/>
      <c r="J8" s="323"/>
      <c r="K8" s="323"/>
      <c r="L8" s="323"/>
      <c r="M8" s="323"/>
      <c r="N8" s="323"/>
      <c r="O8" s="323"/>
      <c r="P8" s="323"/>
      <c r="Q8" s="323"/>
      <c r="R8" s="323"/>
      <c r="S8" s="323"/>
      <c r="T8" s="323"/>
      <c r="U8" s="323"/>
      <c r="V8" s="324"/>
      <c r="W8" s="136"/>
      <c r="X8" s="136"/>
      <c r="Y8" s="136"/>
      <c r="Z8" s="136"/>
      <c r="AA8" s="136"/>
      <c r="AB8" s="136"/>
      <c r="AC8" s="136"/>
      <c r="AD8" s="136"/>
      <c r="AE8" s="136"/>
      <c r="AF8" s="136"/>
      <c r="AG8" s="136"/>
    </row>
    <row r="9" spans="1:33" ht="14.4" thickBot="1">
      <c r="A9" s="90"/>
      <c r="B9" s="325" t="s">
        <v>119</v>
      </c>
      <c r="C9" s="326"/>
      <c r="D9" s="326"/>
      <c r="E9" s="327"/>
      <c r="F9" s="95" t="s">
        <v>16</v>
      </c>
      <c r="G9" s="331" t="str">
        <f>IF('INPUT DATA'!F27="","",'INPUT DATA'!F27)</f>
        <v/>
      </c>
      <c r="H9" s="332"/>
      <c r="I9" s="332"/>
      <c r="J9" s="332"/>
      <c r="K9" s="333"/>
      <c r="L9" s="334" t="s">
        <v>18</v>
      </c>
      <c r="M9" s="335"/>
      <c r="N9" s="345" t="str">
        <f>IF('INPUT DATA'!F26="","",'INPUT DATA'!F26)</f>
        <v/>
      </c>
      <c r="O9" s="346"/>
      <c r="P9" s="346"/>
      <c r="Q9" s="346"/>
      <c r="R9" s="346"/>
      <c r="S9" s="346"/>
      <c r="T9" s="346"/>
      <c r="U9" s="346"/>
      <c r="V9" s="347"/>
      <c r="W9" s="90"/>
      <c r="X9" s="90"/>
      <c r="Y9" s="90"/>
      <c r="Z9" s="90"/>
      <c r="AA9" s="90"/>
      <c r="AB9" s="90"/>
      <c r="AC9" s="90"/>
      <c r="AD9" s="90"/>
      <c r="AE9" s="90"/>
      <c r="AF9" s="90"/>
      <c r="AG9" s="90"/>
    </row>
    <row r="10" spans="1:33" ht="14.4" thickBot="1">
      <c r="A10" s="90"/>
      <c r="B10" s="328"/>
      <c r="C10" s="329"/>
      <c r="D10" s="329"/>
      <c r="E10" s="330"/>
      <c r="F10" s="96" t="s">
        <v>20</v>
      </c>
      <c r="G10" s="336" t="str">
        <f>IF('INPUT DATA'!F28="","",'INPUT DATA'!F28)</f>
        <v/>
      </c>
      <c r="H10" s="337"/>
      <c r="I10" s="337"/>
      <c r="J10" s="337"/>
      <c r="K10" s="338"/>
      <c r="L10" s="334"/>
      <c r="M10" s="335"/>
      <c r="N10" s="348"/>
      <c r="O10" s="349"/>
      <c r="P10" s="349"/>
      <c r="Q10" s="349"/>
      <c r="R10" s="349"/>
      <c r="S10" s="349"/>
      <c r="T10" s="349"/>
      <c r="U10" s="350"/>
      <c r="V10" s="351"/>
      <c r="W10" s="90"/>
      <c r="X10" s="90"/>
      <c r="Y10" s="90"/>
      <c r="Z10" s="90"/>
      <c r="AA10" s="90"/>
      <c r="AB10" s="90"/>
      <c r="AC10" s="90"/>
      <c r="AD10" s="90"/>
      <c r="AE10" s="90"/>
      <c r="AF10" s="90"/>
      <c r="AG10" s="90"/>
    </row>
    <row r="11" spans="1:33" ht="14.4" customHeight="1" thickBot="1">
      <c r="A11" s="136"/>
      <c r="B11" s="376" t="s">
        <v>21</v>
      </c>
      <c r="C11" s="377"/>
      <c r="D11" s="377"/>
      <c r="E11" s="378"/>
      <c r="F11" s="385" t="s">
        <v>12</v>
      </c>
      <c r="G11" s="386"/>
      <c r="H11" s="388" t="s">
        <v>22</v>
      </c>
      <c r="I11" s="388" t="s">
        <v>23</v>
      </c>
      <c r="J11" s="385" t="s">
        <v>121</v>
      </c>
      <c r="K11" s="359" t="s">
        <v>24</v>
      </c>
      <c r="L11" s="360"/>
      <c r="M11" s="360"/>
      <c r="N11" s="360"/>
      <c r="O11" s="360"/>
      <c r="P11" s="360"/>
      <c r="Q11" s="360"/>
      <c r="R11" s="360"/>
      <c r="S11" s="360"/>
      <c r="T11" s="360"/>
      <c r="U11" s="366" t="s">
        <v>25</v>
      </c>
      <c r="V11" s="368" t="s">
        <v>26</v>
      </c>
      <c r="W11" s="32"/>
      <c r="X11" s="136"/>
      <c r="Y11" s="136"/>
      <c r="Z11" s="136"/>
      <c r="AA11" s="136"/>
      <c r="AB11" s="136"/>
      <c r="AC11" s="136"/>
      <c r="AD11" s="136"/>
      <c r="AE11" s="136"/>
      <c r="AF11" s="136"/>
      <c r="AG11" s="136"/>
    </row>
    <row r="12" spans="1:33" ht="14.4" customHeight="1" thickBot="1">
      <c r="A12" s="136"/>
      <c r="B12" s="379"/>
      <c r="C12" s="380"/>
      <c r="D12" s="380"/>
      <c r="E12" s="381"/>
      <c r="F12" s="356"/>
      <c r="G12" s="368"/>
      <c r="H12" s="320"/>
      <c r="I12" s="320"/>
      <c r="J12" s="320"/>
      <c r="K12" s="320" t="s">
        <v>27</v>
      </c>
      <c r="L12" s="320" t="s">
        <v>28</v>
      </c>
      <c r="M12" s="391" t="s">
        <v>138</v>
      </c>
      <c r="N12" s="391" t="s">
        <v>139</v>
      </c>
      <c r="O12" s="320" t="s">
        <v>127</v>
      </c>
      <c r="P12" s="320" t="s">
        <v>128</v>
      </c>
      <c r="Q12" s="320" t="s">
        <v>123</v>
      </c>
      <c r="R12" s="356" t="s">
        <v>124</v>
      </c>
      <c r="S12" s="357"/>
      <c r="T12" s="358"/>
      <c r="U12" s="366"/>
      <c r="V12" s="368"/>
      <c r="W12" s="32"/>
      <c r="X12" s="136"/>
      <c r="Y12" s="136"/>
      <c r="Z12" s="136"/>
      <c r="AA12" s="136"/>
      <c r="AB12" s="136"/>
      <c r="AC12" s="136"/>
      <c r="AD12" s="136"/>
      <c r="AE12" s="136"/>
      <c r="AF12" s="136"/>
      <c r="AG12" s="136"/>
    </row>
    <row r="13" spans="1:33" ht="15.75" customHeight="1" thickBot="1">
      <c r="A13" s="136"/>
      <c r="B13" s="382"/>
      <c r="C13" s="383"/>
      <c r="D13" s="383"/>
      <c r="E13" s="384"/>
      <c r="F13" s="321"/>
      <c r="G13" s="387"/>
      <c r="H13" s="389"/>
      <c r="I13" s="390"/>
      <c r="J13" s="389"/>
      <c r="K13" s="389"/>
      <c r="L13" s="389"/>
      <c r="M13" s="392"/>
      <c r="N13" s="392"/>
      <c r="O13" s="389"/>
      <c r="P13" s="389"/>
      <c r="Q13" s="321"/>
      <c r="R13" s="139" t="s">
        <v>129</v>
      </c>
      <c r="S13" s="135" t="s">
        <v>130</v>
      </c>
      <c r="T13" s="140" t="s">
        <v>133</v>
      </c>
      <c r="U13" s="367"/>
      <c r="V13" s="369"/>
      <c r="W13" s="32"/>
      <c r="X13" s="136"/>
      <c r="Y13" s="136"/>
      <c r="Z13" s="136"/>
      <c r="AA13" s="136"/>
      <c r="AB13" s="136"/>
      <c r="AC13" s="136"/>
      <c r="AD13" s="136"/>
      <c r="AE13" s="136"/>
      <c r="AF13" s="136"/>
      <c r="AG13" s="136"/>
    </row>
    <row r="14" spans="1:33" ht="16.2" thickBot="1">
      <c r="A14" s="4"/>
      <c r="B14" s="409"/>
      <c r="C14" s="410"/>
      <c r="D14" s="410"/>
      <c r="E14" s="410"/>
      <c r="F14" s="410"/>
      <c r="G14" s="410"/>
      <c r="H14" s="410"/>
      <c r="I14" s="410"/>
      <c r="J14" s="411"/>
      <c r="K14" s="410"/>
      <c r="L14" s="410"/>
      <c r="M14" s="410"/>
      <c r="N14" s="410"/>
      <c r="O14" s="410"/>
      <c r="P14" s="410"/>
      <c r="Q14" s="410"/>
      <c r="R14" s="412"/>
      <c r="S14" s="412"/>
      <c r="T14" s="413"/>
      <c r="U14" s="413"/>
      <c r="V14" s="414"/>
      <c r="W14" s="4"/>
      <c r="X14" s="4"/>
      <c r="Y14" s="4"/>
      <c r="Z14" s="4"/>
      <c r="AA14" s="4"/>
      <c r="AB14" s="4"/>
      <c r="AC14" s="4"/>
      <c r="AD14" s="4"/>
      <c r="AE14" s="4"/>
      <c r="AF14" s="4"/>
      <c r="AG14" s="4"/>
    </row>
    <row r="15" spans="1:33" ht="15">
      <c r="A15" s="4"/>
      <c r="B15" s="83">
        <v>1</v>
      </c>
      <c r="C15" s="361" t="str">
        <f>IF('INPUT DATA'!L11="","",'INPUT DATA'!L11)</f>
        <v/>
      </c>
      <c r="D15" s="362"/>
      <c r="E15" s="363"/>
      <c r="F15" s="364" t="str">
        <f>IF('INPUT DATA'!M11="","",'INPUT DATA'!M11)</f>
        <v/>
      </c>
      <c r="G15" s="365"/>
      <c r="H15" s="92" t="str">
        <f>IF('INPUT DATA'!N11="","",'INPUT DATA'!N11)</f>
        <v/>
      </c>
      <c r="I15" s="113" t="str">
        <f ca="1">IF(H15="","",DATEDIF(H15,TODAY(),"Y"))</f>
        <v/>
      </c>
      <c r="J15" s="114"/>
      <c r="K15" s="171"/>
      <c r="L15" s="172"/>
      <c r="M15" s="172"/>
      <c r="N15" s="172"/>
      <c r="O15" s="172"/>
      <c r="P15" s="172"/>
      <c r="Q15" s="172"/>
      <c r="R15" s="172"/>
      <c r="S15" s="173"/>
      <c r="T15" s="557" t="str">
        <f>IF(COUNT($R15:$S15)=0,"",ROUND(AVERAGE(R15:S15),0))</f>
        <v/>
      </c>
      <c r="U15" s="198" t="str">
        <f>IF(COUNT(K15:Q15,T15)=0,"",ROUND(AVERAGE(K15:Q15,T15),0))</f>
        <v/>
      </c>
      <c r="V15" s="91" t="str">
        <f>IF(U15="","",_xlfn.RANK.AVG(U15,$U$15:$U$115))</f>
        <v/>
      </c>
      <c r="W15" s="4"/>
      <c r="X15" s="4"/>
      <c r="Y15" s="4"/>
      <c r="Z15" s="4"/>
      <c r="AA15" s="4"/>
      <c r="AB15" s="4"/>
      <c r="AC15" s="4"/>
      <c r="AD15" s="4"/>
      <c r="AE15" s="4"/>
      <c r="AF15" s="4"/>
      <c r="AG15" s="4"/>
    </row>
    <row r="16" spans="1:33" ht="15">
      <c r="A16" s="4"/>
      <c r="B16" s="84">
        <v>2</v>
      </c>
      <c r="C16" s="361" t="str">
        <f>IF('INPUT DATA'!L12="","",'INPUT DATA'!L12)</f>
        <v/>
      </c>
      <c r="D16" s="362"/>
      <c r="E16" s="363"/>
      <c r="F16" s="364" t="str">
        <f>IF('INPUT DATA'!M12="","",'INPUT DATA'!M12)</f>
        <v/>
      </c>
      <c r="G16" s="365"/>
      <c r="H16" s="93" t="str">
        <f>IF('INPUT DATA'!N12="","",'INPUT DATA'!N12)</f>
        <v/>
      </c>
      <c r="I16" s="137" t="str">
        <f ca="1">IF(H16="","",DATEDIF(H16,TODAY(),"Y"))</f>
        <v/>
      </c>
      <c r="J16" s="115"/>
      <c r="K16" s="177"/>
      <c r="L16" s="178"/>
      <c r="M16" s="178"/>
      <c r="N16" s="178"/>
      <c r="O16" s="178"/>
      <c r="P16" s="178"/>
      <c r="Q16" s="178"/>
      <c r="R16" s="178"/>
      <c r="S16" s="179"/>
      <c r="T16" s="558" t="str">
        <f t="shared" ref="T16:T64" si="0">IF(COUNT($R16:$S16)=0,"",ROUND(AVERAGE(R16:S16),0))</f>
        <v/>
      </c>
      <c r="U16" s="199" t="str">
        <f t="shared" ref="U16:U79" si="1">IF(COUNT(K16:Q16,T16)=0,"",ROUND(AVERAGE(K16:Q16,T16),0))</f>
        <v/>
      </c>
      <c r="V16" s="91" t="str">
        <f>IF(U16="","",_xlfn.RANK.AVG(U16,$U$15:$U$115))</f>
        <v/>
      </c>
      <c r="W16" s="4"/>
      <c r="X16" s="4"/>
      <c r="Y16" s="4"/>
      <c r="Z16" s="4"/>
      <c r="AA16" s="4"/>
      <c r="AB16" s="4"/>
      <c r="AC16" s="4"/>
      <c r="AD16" s="4"/>
      <c r="AE16" s="4"/>
      <c r="AF16" s="4"/>
      <c r="AG16" s="4"/>
    </row>
    <row r="17" spans="1:33" ht="15">
      <c r="A17" s="4"/>
      <c r="B17" s="84">
        <v>3</v>
      </c>
      <c r="C17" s="361" t="str">
        <f>IF('INPUT DATA'!L13="","",'INPUT DATA'!L13)</f>
        <v/>
      </c>
      <c r="D17" s="362"/>
      <c r="E17" s="363"/>
      <c r="F17" s="364" t="str">
        <f>IF('INPUT DATA'!M13="","",'INPUT DATA'!M13)</f>
        <v/>
      </c>
      <c r="G17" s="365"/>
      <c r="H17" s="93" t="str">
        <f>IF('INPUT DATA'!N13="","",'INPUT DATA'!N13)</f>
        <v/>
      </c>
      <c r="I17" s="137" t="str">
        <f t="shared" ref="I17:I64" ca="1" si="2">IF(H17="","",DATEDIF(H17,TODAY(),"Y"))</f>
        <v/>
      </c>
      <c r="J17" s="115"/>
      <c r="K17" s="177"/>
      <c r="L17" s="178"/>
      <c r="M17" s="178"/>
      <c r="N17" s="178"/>
      <c r="O17" s="178"/>
      <c r="P17" s="178"/>
      <c r="Q17" s="178"/>
      <c r="R17" s="178"/>
      <c r="S17" s="179"/>
      <c r="T17" s="558" t="str">
        <f t="shared" si="0"/>
        <v/>
      </c>
      <c r="U17" s="199" t="str">
        <f t="shared" si="1"/>
        <v/>
      </c>
      <c r="V17" s="91" t="str">
        <f t="shared" ref="V17:V64" si="3">IF(U17="","",_xlfn.RANK.AVG(U17,$U$15:$U$115))</f>
        <v/>
      </c>
      <c r="W17" s="4"/>
      <c r="X17" s="4"/>
      <c r="Y17" s="4"/>
      <c r="Z17" s="4"/>
      <c r="AA17" s="4"/>
      <c r="AB17" s="4"/>
      <c r="AC17" s="4"/>
      <c r="AD17" s="4"/>
      <c r="AE17" s="4"/>
      <c r="AF17" s="4"/>
      <c r="AG17" s="4"/>
    </row>
    <row r="18" spans="1:33" ht="15">
      <c r="A18" s="4"/>
      <c r="B18" s="84">
        <v>4</v>
      </c>
      <c r="C18" s="361" t="str">
        <f>IF('INPUT DATA'!L14="","",'INPUT DATA'!L14)</f>
        <v/>
      </c>
      <c r="D18" s="362"/>
      <c r="E18" s="363"/>
      <c r="F18" s="364" t="str">
        <f>IF('INPUT DATA'!M14="","",'INPUT DATA'!M14)</f>
        <v/>
      </c>
      <c r="G18" s="365"/>
      <c r="H18" s="93" t="str">
        <f>IF('INPUT DATA'!N14="","",'INPUT DATA'!N14)</f>
        <v/>
      </c>
      <c r="I18" s="137" t="str">
        <f t="shared" ca="1" si="2"/>
        <v/>
      </c>
      <c r="J18" s="115"/>
      <c r="K18" s="177"/>
      <c r="L18" s="178"/>
      <c r="M18" s="178"/>
      <c r="N18" s="178"/>
      <c r="O18" s="178"/>
      <c r="P18" s="178"/>
      <c r="Q18" s="178"/>
      <c r="R18" s="178"/>
      <c r="S18" s="179"/>
      <c r="T18" s="558" t="str">
        <f t="shared" si="0"/>
        <v/>
      </c>
      <c r="U18" s="199" t="str">
        <f t="shared" si="1"/>
        <v/>
      </c>
      <c r="V18" s="91" t="str">
        <f t="shared" si="3"/>
        <v/>
      </c>
      <c r="W18" s="4"/>
      <c r="X18" s="4"/>
      <c r="Y18" s="4"/>
      <c r="Z18" s="4"/>
      <c r="AA18" s="4"/>
      <c r="AB18" s="4"/>
      <c r="AC18" s="4"/>
      <c r="AD18" s="4"/>
      <c r="AE18" s="4"/>
      <c r="AF18" s="4"/>
      <c r="AG18" s="4"/>
    </row>
    <row r="19" spans="1:33" ht="15">
      <c r="A19" s="4"/>
      <c r="B19" s="84">
        <v>5</v>
      </c>
      <c r="C19" s="361" t="str">
        <f>IF('INPUT DATA'!L15="","",'INPUT DATA'!L15)</f>
        <v/>
      </c>
      <c r="D19" s="362"/>
      <c r="E19" s="363"/>
      <c r="F19" s="364" t="str">
        <f>IF('INPUT DATA'!M15="","",'INPUT DATA'!M15)</f>
        <v/>
      </c>
      <c r="G19" s="365"/>
      <c r="H19" s="93" t="str">
        <f>IF('INPUT DATA'!N15="","",'INPUT DATA'!N15)</f>
        <v/>
      </c>
      <c r="I19" s="137" t="str">
        <f t="shared" ca="1" si="2"/>
        <v/>
      </c>
      <c r="J19" s="115"/>
      <c r="K19" s="177"/>
      <c r="L19" s="178"/>
      <c r="M19" s="178"/>
      <c r="N19" s="178"/>
      <c r="O19" s="178"/>
      <c r="P19" s="178"/>
      <c r="Q19" s="178"/>
      <c r="R19" s="178"/>
      <c r="S19" s="179"/>
      <c r="T19" s="558" t="str">
        <f t="shared" si="0"/>
        <v/>
      </c>
      <c r="U19" s="199" t="str">
        <f t="shared" si="1"/>
        <v/>
      </c>
      <c r="V19" s="91" t="str">
        <f t="shared" si="3"/>
        <v/>
      </c>
      <c r="W19" s="4"/>
      <c r="X19" s="4"/>
      <c r="Y19" s="4"/>
      <c r="Z19" s="4"/>
      <c r="AA19" s="4"/>
      <c r="AB19" s="4"/>
      <c r="AC19" s="4"/>
      <c r="AD19" s="4"/>
      <c r="AE19" s="4"/>
      <c r="AF19" s="4"/>
      <c r="AG19" s="4"/>
    </row>
    <row r="20" spans="1:33" ht="15">
      <c r="A20" s="4"/>
      <c r="B20" s="84">
        <v>6</v>
      </c>
      <c r="C20" s="361" t="str">
        <f>IF('INPUT DATA'!L16="","",'INPUT DATA'!L16)</f>
        <v/>
      </c>
      <c r="D20" s="362"/>
      <c r="E20" s="363"/>
      <c r="F20" s="364" t="str">
        <f>IF('INPUT DATA'!M16="","",'INPUT DATA'!M16)</f>
        <v/>
      </c>
      <c r="G20" s="365"/>
      <c r="H20" s="93" t="str">
        <f>IF('INPUT DATA'!N16="","",'INPUT DATA'!N16)</f>
        <v/>
      </c>
      <c r="I20" s="137" t="str">
        <f t="shared" ca="1" si="2"/>
        <v/>
      </c>
      <c r="J20" s="115"/>
      <c r="K20" s="177"/>
      <c r="L20" s="178"/>
      <c r="M20" s="178"/>
      <c r="N20" s="178"/>
      <c r="O20" s="178"/>
      <c r="P20" s="178"/>
      <c r="Q20" s="178"/>
      <c r="R20" s="178"/>
      <c r="S20" s="179"/>
      <c r="T20" s="558" t="str">
        <f t="shared" si="0"/>
        <v/>
      </c>
      <c r="U20" s="199" t="str">
        <f t="shared" si="1"/>
        <v/>
      </c>
      <c r="V20" s="91" t="str">
        <f t="shared" si="3"/>
        <v/>
      </c>
      <c r="W20" s="4"/>
      <c r="X20" s="4"/>
      <c r="Y20" s="4"/>
      <c r="Z20" s="4"/>
      <c r="AA20" s="4"/>
      <c r="AB20" s="4"/>
      <c r="AC20" s="4"/>
      <c r="AD20" s="4"/>
      <c r="AE20" s="4"/>
      <c r="AF20" s="4"/>
      <c r="AG20" s="4"/>
    </row>
    <row r="21" spans="1:33" ht="15">
      <c r="A21" s="4"/>
      <c r="B21" s="84">
        <v>7</v>
      </c>
      <c r="C21" s="361" t="str">
        <f>IF('INPUT DATA'!L17="","",'INPUT DATA'!L17)</f>
        <v/>
      </c>
      <c r="D21" s="362"/>
      <c r="E21" s="363"/>
      <c r="F21" s="364" t="str">
        <f>IF('INPUT DATA'!M17="","",'INPUT DATA'!M17)</f>
        <v/>
      </c>
      <c r="G21" s="365"/>
      <c r="H21" s="93" t="str">
        <f>IF('INPUT DATA'!N17="","",'INPUT DATA'!N17)</f>
        <v/>
      </c>
      <c r="I21" s="137" t="str">
        <f t="shared" ca="1" si="2"/>
        <v/>
      </c>
      <c r="J21" s="115"/>
      <c r="K21" s="177"/>
      <c r="L21" s="178"/>
      <c r="M21" s="178"/>
      <c r="N21" s="178"/>
      <c r="O21" s="178"/>
      <c r="P21" s="178"/>
      <c r="Q21" s="178"/>
      <c r="R21" s="178"/>
      <c r="S21" s="179"/>
      <c r="T21" s="558" t="str">
        <f t="shared" si="0"/>
        <v/>
      </c>
      <c r="U21" s="199" t="str">
        <f t="shared" si="1"/>
        <v/>
      </c>
      <c r="V21" s="91" t="str">
        <f t="shared" si="3"/>
        <v/>
      </c>
      <c r="W21" s="4"/>
      <c r="X21" s="4"/>
      <c r="Y21" s="4"/>
      <c r="Z21" s="4"/>
      <c r="AA21" s="4"/>
      <c r="AB21" s="4"/>
      <c r="AC21" s="4"/>
      <c r="AD21" s="4"/>
      <c r="AE21" s="4"/>
      <c r="AF21" s="4"/>
      <c r="AG21" s="4"/>
    </row>
    <row r="22" spans="1:33" ht="15">
      <c r="A22" s="4"/>
      <c r="B22" s="84">
        <v>8</v>
      </c>
      <c r="C22" s="361" t="str">
        <f>IF('INPUT DATA'!L18="","",'INPUT DATA'!L18)</f>
        <v/>
      </c>
      <c r="D22" s="362"/>
      <c r="E22" s="363"/>
      <c r="F22" s="364" t="str">
        <f>IF('INPUT DATA'!M18="","",'INPUT DATA'!M18)</f>
        <v/>
      </c>
      <c r="G22" s="365"/>
      <c r="H22" s="93" t="str">
        <f>IF('INPUT DATA'!N18="","",'INPUT DATA'!N18)</f>
        <v/>
      </c>
      <c r="I22" s="137" t="str">
        <f t="shared" ca="1" si="2"/>
        <v/>
      </c>
      <c r="J22" s="115"/>
      <c r="K22" s="177"/>
      <c r="L22" s="178"/>
      <c r="M22" s="178"/>
      <c r="N22" s="178"/>
      <c r="O22" s="178"/>
      <c r="P22" s="178"/>
      <c r="Q22" s="178"/>
      <c r="R22" s="178"/>
      <c r="S22" s="179"/>
      <c r="T22" s="558" t="str">
        <f t="shared" si="0"/>
        <v/>
      </c>
      <c r="U22" s="199" t="str">
        <f t="shared" si="1"/>
        <v/>
      </c>
      <c r="V22" s="91" t="str">
        <f t="shared" si="3"/>
        <v/>
      </c>
      <c r="W22" s="4"/>
      <c r="X22" s="4"/>
      <c r="Y22" s="4"/>
      <c r="Z22" s="4"/>
      <c r="AA22" s="4"/>
      <c r="AB22" s="4"/>
      <c r="AC22" s="4"/>
      <c r="AD22" s="4"/>
      <c r="AE22" s="4"/>
      <c r="AF22" s="4"/>
      <c r="AG22" s="4"/>
    </row>
    <row r="23" spans="1:33" ht="15">
      <c r="A23" s="4"/>
      <c r="B23" s="84">
        <v>9</v>
      </c>
      <c r="C23" s="361" t="str">
        <f>IF('INPUT DATA'!L19="","",'INPUT DATA'!L19)</f>
        <v/>
      </c>
      <c r="D23" s="362"/>
      <c r="E23" s="363"/>
      <c r="F23" s="364" t="str">
        <f>IF('INPUT DATA'!M19="","",'INPUT DATA'!M19)</f>
        <v/>
      </c>
      <c r="G23" s="365"/>
      <c r="H23" s="93" t="str">
        <f>IF('INPUT DATA'!N19="","",'INPUT DATA'!N19)</f>
        <v/>
      </c>
      <c r="I23" s="137" t="str">
        <f t="shared" ca="1" si="2"/>
        <v/>
      </c>
      <c r="J23" s="115"/>
      <c r="K23" s="177"/>
      <c r="L23" s="178"/>
      <c r="M23" s="178"/>
      <c r="N23" s="178"/>
      <c r="O23" s="178"/>
      <c r="P23" s="178"/>
      <c r="Q23" s="178"/>
      <c r="R23" s="178"/>
      <c r="S23" s="179"/>
      <c r="T23" s="558" t="str">
        <f t="shared" si="0"/>
        <v/>
      </c>
      <c r="U23" s="199" t="str">
        <f t="shared" si="1"/>
        <v/>
      </c>
      <c r="V23" s="91" t="str">
        <f t="shared" si="3"/>
        <v/>
      </c>
      <c r="W23" s="4"/>
      <c r="X23" s="4"/>
      <c r="Y23" s="4"/>
      <c r="Z23" s="4"/>
      <c r="AA23" s="4"/>
      <c r="AB23" s="4"/>
      <c r="AC23" s="4"/>
      <c r="AD23" s="4"/>
      <c r="AE23" s="4"/>
      <c r="AF23" s="4"/>
      <c r="AG23" s="4"/>
    </row>
    <row r="24" spans="1:33" ht="15">
      <c r="A24" s="4"/>
      <c r="B24" s="84">
        <v>10</v>
      </c>
      <c r="C24" s="361" t="str">
        <f>IF('INPUT DATA'!L20="","",'INPUT DATA'!L20)</f>
        <v/>
      </c>
      <c r="D24" s="362"/>
      <c r="E24" s="363"/>
      <c r="F24" s="364" t="str">
        <f>IF('INPUT DATA'!M20="","",'INPUT DATA'!M20)</f>
        <v/>
      </c>
      <c r="G24" s="365"/>
      <c r="H24" s="93" t="str">
        <f>IF('INPUT DATA'!N20="","",'INPUT DATA'!N20)</f>
        <v/>
      </c>
      <c r="I24" s="137" t="str">
        <f t="shared" ca="1" si="2"/>
        <v/>
      </c>
      <c r="J24" s="115"/>
      <c r="K24" s="177"/>
      <c r="L24" s="178"/>
      <c r="M24" s="178"/>
      <c r="N24" s="178"/>
      <c r="O24" s="178"/>
      <c r="P24" s="178"/>
      <c r="Q24" s="178"/>
      <c r="R24" s="178"/>
      <c r="S24" s="179"/>
      <c r="T24" s="558" t="str">
        <f t="shared" si="0"/>
        <v/>
      </c>
      <c r="U24" s="199" t="str">
        <f t="shared" si="1"/>
        <v/>
      </c>
      <c r="V24" s="91" t="str">
        <f t="shared" si="3"/>
        <v/>
      </c>
      <c r="W24" s="4"/>
      <c r="X24" s="4"/>
      <c r="Y24" s="4"/>
      <c r="Z24" s="4"/>
      <c r="AA24" s="4"/>
      <c r="AB24" s="4"/>
      <c r="AC24" s="4"/>
      <c r="AD24" s="4"/>
      <c r="AE24" s="4"/>
      <c r="AF24" s="4"/>
      <c r="AG24" s="4"/>
    </row>
    <row r="25" spans="1:33" ht="15">
      <c r="A25" s="4"/>
      <c r="B25" s="84">
        <v>11</v>
      </c>
      <c r="C25" s="361" t="str">
        <f>IF('INPUT DATA'!L21="","",'INPUT DATA'!L21)</f>
        <v/>
      </c>
      <c r="D25" s="362"/>
      <c r="E25" s="363"/>
      <c r="F25" s="364" t="str">
        <f>IF('INPUT DATA'!M21="","",'INPUT DATA'!M21)</f>
        <v/>
      </c>
      <c r="G25" s="365"/>
      <c r="H25" s="93" t="str">
        <f>IF('INPUT DATA'!N21="","",'INPUT DATA'!N21)</f>
        <v/>
      </c>
      <c r="I25" s="137" t="str">
        <f t="shared" ca="1" si="2"/>
        <v/>
      </c>
      <c r="J25" s="115"/>
      <c r="K25" s="177"/>
      <c r="L25" s="178"/>
      <c r="M25" s="178"/>
      <c r="N25" s="178"/>
      <c r="O25" s="178"/>
      <c r="P25" s="178"/>
      <c r="Q25" s="178"/>
      <c r="R25" s="178"/>
      <c r="S25" s="179"/>
      <c r="T25" s="558" t="str">
        <f t="shared" si="0"/>
        <v/>
      </c>
      <c r="U25" s="199" t="str">
        <f t="shared" si="1"/>
        <v/>
      </c>
      <c r="V25" s="91" t="str">
        <f t="shared" si="3"/>
        <v/>
      </c>
      <c r="W25" s="4"/>
      <c r="X25" s="4"/>
      <c r="Y25" s="4"/>
      <c r="Z25" s="4"/>
      <c r="AA25" s="4"/>
      <c r="AB25" s="4"/>
      <c r="AC25" s="4"/>
      <c r="AD25" s="4"/>
      <c r="AE25" s="4"/>
      <c r="AF25" s="4"/>
      <c r="AG25" s="4"/>
    </row>
    <row r="26" spans="1:33" ht="15">
      <c r="A26" s="4"/>
      <c r="B26" s="84">
        <v>12</v>
      </c>
      <c r="C26" s="361" t="str">
        <f>IF('INPUT DATA'!L22="","",'INPUT DATA'!L22)</f>
        <v/>
      </c>
      <c r="D26" s="362"/>
      <c r="E26" s="363"/>
      <c r="F26" s="364" t="str">
        <f>IF('INPUT DATA'!M22="","",'INPUT DATA'!M22)</f>
        <v/>
      </c>
      <c r="G26" s="365"/>
      <c r="H26" s="93" t="str">
        <f>IF('INPUT DATA'!N22="","",'INPUT DATA'!N22)</f>
        <v/>
      </c>
      <c r="I26" s="137" t="str">
        <f t="shared" ca="1" si="2"/>
        <v/>
      </c>
      <c r="J26" s="115"/>
      <c r="K26" s="177"/>
      <c r="L26" s="178"/>
      <c r="M26" s="178"/>
      <c r="N26" s="178"/>
      <c r="O26" s="178"/>
      <c r="P26" s="178"/>
      <c r="Q26" s="178"/>
      <c r="R26" s="178"/>
      <c r="S26" s="179"/>
      <c r="T26" s="558" t="str">
        <f t="shared" si="0"/>
        <v/>
      </c>
      <c r="U26" s="199" t="str">
        <f t="shared" si="1"/>
        <v/>
      </c>
      <c r="V26" s="91" t="str">
        <f t="shared" si="3"/>
        <v/>
      </c>
      <c r="W26" s="4"/>
      <c r="X26" s="4"/>
      <c r="Y26" s="4"/>
      <c r="Z26" s="4"/>
      <c r="AA26" s="4"/>
      <c r="AB26" s="4"/>
      <c r="AC26" s="4"/>
      <c r="AD26" s="4"/>
      <c r="AE26" s="4"/>
      <c r="AF26" s="4"/>
      <c r="AG26" s="4"/>
    </row>
    <row r="27" spans="1:33" ht="15">
      <c r="A27" s="4"/>
      <c r="B27" s="84">
        <v>13</v>
      </c>
      <c r="C27" s="361" t="str">
        <f>IF('INPUT DATA'!L23="","",'INPUT DATA'!L23)</f>
        <v/>
      </c>
      <c r="D27" s="362"/>
      <c r="E27" s="363"/>
      <c r="F27" s="364" t="str">
        <f>IF('INPUT DATA'!M23="","",'INPUT DATA'!M23)</f>
        <v/>
      </c>
      <c r="G27" s="365"/>
      <c r="H27" s="93" t="str">
        <f>IF('INPUT DATA'!N23="","",'INPUT DATA'!N23)</f>
        <v/>
      </c>
      <c r="I27" s="137" t="str">
        <f t="shared" ca="1" si="2"/>
        <v/>
      </c>
      <c r="J27" s="115"/>
      <c r="K27" s="177"/>
      <c r="L27" s="178"/>
      <c r="M27" s="178"/>
      <c r="N27" s="178"/>
      <c r="O27" s="178"/>
      <c r="P27" s="178"/>
      <c r="Q27" s="178"/>
      <c r="R27" s="178"/>
      <c r="S27" s="179"/>
      <c r="T27" s="558" t="str">
        <f t="shared" si="0"/>
        <v/>
      </c>
      <c r="U27" s="199" t="str">
        <f t="shared" si="1"/>
        <v/>
      </c>
      <c r="V27" s="91" t="str">
        <f t="shared" si="3"/>
        <v/>
      </c>
      <c r="W27" s="4"/>
      <c r="X27" s="4"/>
      <c r="Y27" s="4"/>
      <c r="Z27" s="4"/>
      <c r="AA27" s="4"/>
      <c r="AB27" s="4"/>
      <c r="AC27" s="4"/>
      <c r="AD27" s="4"/>
      <c r="AE27" s="4"/>
      <c r="AF27" s="4"/>
      <c r="AG27" s="4"/>
    </row>
    <row r="28" spans="1:33" ht="15">
      <c r="A28" s="4"/>
      <c r="B28" s="84">
        <v>14</v>
      </c>
      <c r="C28" s="361" t="str">
        <f>IF('INPUT DATA'!L24="","",'INPUT DATA'!L24)</f>
        <v/>
      </c>
      <c r="D28" s="362"/>
      <c r="E28" s="363"/>
      <c r="F28" s="364" t="str">
        <f>IF('INPUT DATA'!M24="","",'INPUT DATA'!M24)</f>
        <v/>
      </c>
      <c r="G28" s="365"/>
      <c r="H28" s="93" t="str">
        <f>IF('INPUT DATA'!N24="","",'INPUT DATA'!N24)</f>
        <v/>
      </c>
      <c r="I28" s="137" t="str">
        <f t="shared" ca="1" si="2"/>
        <v/>
      </c>
      <c r="J28" s="115"/>
      <c r="K28" s="177"/>
      <c r="L28" s="178"/>
      <c r="M28" s="178"/>
      <c r="N28" s="178"/>
      <c r="O28" s="178"/>
      <c r="P28" s="178"/>
      <c r="Q28" s="178"/>
      <c r="R28" s="178"/>
      <c r="S28" s="179"/>
      <c r="T28" s="558" t="str">
        <f t="shared" si="0"/>
        <v/>
      </c>
      <c r="U28" s="199" t="str">
        <f t="shared" si="1"/>
        <v/>
      </c>
      <c r="V28" s="91" t="str">
        <f t="shared" si="3"/>
        <v/>
      </c>
      <c r="W28" s="4"/>
      <c r="X28" s="4"/>
      <c r="Y28" s="4"/>
      <c r="Z28" s="4"/>
      <c r="AA28" s="4"/>
      <c r="AB28" s="4"/>
      <c r="AC28" s="4"/>
      <c r="AD28" s="4"/>
      <c r="AE28" s="4"/>
      <c r="AF28" s="4"/>
      <c r="AG28" s="4"/>
    </row>
    <row r="29" spans="1:33" ht="15">
      <c r="A29" s="4"/>
      <c r="B29" s="84">
        <v>15</v>
      </c>
      <c r="C29" s="361" t="str">
        <f>IF('INPUT DATA'!L25="","",'INPUT DATA'!L25)</f>
        <v/>
      </c>
      <c r="D29" s="362"/>
      <c r="E29" s="363"/>
      <c r="F29" s="364" t="str">
        <f>IF('INPUT DATA'!M25="","",'INPUT DATA'!M25)</f>
        <v/>
      </c>
      <c r="G29" s="365"/>
      <c r="H29" s="93" t="str">
        <f>IF('INPUT DATA'!N25="","",'INPUT DATA'!N25)</f>
        <v/>
      </c>
      <c r="I29" s="137" t="str">
        <f t="shared" ca="1" si="2"/>
        <v/>
      </c>
      <c r="J29" s="115"/>
      <c r="K29" s="177"/>
      <c r="L29" s="178"/>
      <c r="M29" s="178"/>
      <c r="N29" s="178"/>
      <c r="O29" s="178"/>
      <c r="P29" s="178"/>
      <c r="Q29" s="178"/>
      <c r="R29" s="178"/>
      <c r="S29" s="179"/>
      <c r="T29" s="558" t="str">
        <f t="shared" si="0"/>
        <v/>
      </c>
      <c r="U29" s="199" t="str">
        <f t="shared" si="1"/>
        <v/>
      </c>
      <c r="V29" s="91" t="str">
        <f t="shared" si="3"/>
        <v/>
      </c>
      <c r="W29" s="4"/>
      <c r="X29" s="4"/>
      <c r="Y29" s="4"/>
      <c r="Z29" s="4"/>
      <c r="AA29" s="4"/>
      <c r="AB29" s="4"/>
      <c r="AC29" s="4"/>
      <c r="AD29" s="4"/>
      <c r="AE29" s="4"/>
      <c r="AF29" s="4"/>
      <c r="AG29" s="4"/>
    </row>
    <row r="30" spans="1:33" ht="15">
      <c r="A30" s="4"/>
      <c r="B30" s="84">
        <v>16</v>
      </c>
      <c r="C30" s="361" t="str">
        <f>IF('INPUT DATA'!L26="","",'INPUT DATA'!L26)</f>
        <v/>
      </c>
      <c r="D30" s="362"/>
      <c r="E30" s="363"/>
      <c r="F30" s="364" t="str">
        <f>IF('INPUT DATA'!M26="","",'INPUT DATA'!M26)</f>
        <v/>
      </c>
      <c r="G30" s="365"/>
      <c r="H30" s="93" t="str">
        <f>IF('INPUT DATA'!N26="","",'INPUT DATA'!N26)</f>
        <v/>
      </c>
      <c r="I30" s="137" t="str">
        <f t="shared" ca="1" si="2"/>
        <v/>
      </c>
      <c r="J30" s="115"/>
      <c r="K30" s="177"/>
      <c r="L30" s="178"/>
      <c r="M30" s="178"/>
      <c r="N30" s="178"/>
      <c r="O30" s="178"/>
      <c r="P30" s="178"/>
      <c r="Q30" s="178"/>
      <c r="R30" s="178"/>
      <c r="S30" s="179"/>
      <c r="T30" s="558" t="str">
        <f t="shared" si="0"/>
        <v/>
      </c>
      <c r="U30" s="199" t="str">
        <f t="shared" si="1"/>
        <v/>
      </c>
      <c r="V30" s="91" t="str">
        <f t="shared" si="3"/>
        <v/>
      </c>
      <c r="W30" s="4"/>
      <c r="X30" s="4"/>
      <c r="Y30" s="4"/>
      <c r="Z30" s="4"/>
      <c r="AA30" s="4"/>
      <c r="AB30" s="4"/>
      <c r="AC30" s="4"/>
      <c r="AD30" s="4"/>
      <c r="AE30" s="4"/>
      <c r="AF30" s="4"/>
      <c r="AG30" s="4"/>
    </row>
    <row r="31" spans="1:33" ht="15">
      <c r="A31" s="4"/>
      <c r="B31" s="84">
        <v>17</v>
      </c>
      <c r="C31" s="361" t="str">
        <f>IF('INPUT DATA'!L27="","",'INPUT DATA'!L27)</f>
        <v/>
      </c>
      <c r="D31" s="362"/>
      <c r="E31" s="363"/>
      <c r="F31" s="364" t="str">
        <f>IF('INPUT DATA'!M27="","",'INPUT DATA'!M27)</f>
        <v/>
      </c>
      <c r="G31" s="365"/>
      <c r="H31" s="93" t="str">
        <f>IF('INPUT DATA'!N27="","",'INPUT DATA'!N27)</f>
        <v/>
      </c>
      <c r="I31" s="137" t="str">
        <f t="shared" ca="1" si="2"/>
        <v/>
      </c>
      <c r="J31" s="115"/>
      <c r="K31" s="177"/>
      <c r="L31" s="178"/>
      <c r="M31" s="178"/>
      <c r="N31" s="178"/>
      <c r="O31" s="178"/>
      <c r="P31" s="178"/>
      <c r="Q31" s="178"/>
      <c r="R31" s="178"/>
      <c r="S31" s="179"/>
      <c r="T31" s="558" t="str">
        <f t="shared" si="0"/>
        <v/>
      </c>
      <c r="U31" s="199" t="str">
        <f t="shared" si="1"/>
        <v/>
      </c>
      <c r="V31" s="91" t="str">
        <f t="shared" si="3"/>
        <v/>
      </c>
      <c r="W31" s="4"/>
      <c r="X31" s="4"/>
      <c r="Y31" s="4"/>
      <c r="Z31" s="4"/>
      <c r="AA31" s="4"/>
      <c r="AB31" s="4"/>
      <c r="AC31" s="4"/>
      <c r="AD31" s="4"/>
      <c r="AE31" s="4"/>
      <c r="AF31" s="4"/>
      <c r="AG31" s="4"/>
    </row>
    <row r="32" spans="1:33" ht="15">
      <c r="A32" s="4"/>
      <c r="B32" s="84">
        <v>18</v>
      </c>
      <c r="C32" s="361" t="str">
        <f>IF('INPUT DATA'!L28="","",'INPUT DATA'!L28)</f>
        <v/>
      </c>
      <c r="D32" s="362"/>
      <c r="E32" s="363"/>
      <c r="F32" s="364" t="str">
        <f>IF('INPUT DATA'!M28="","",'INPUT DATA'!M28)</f>
        <v/>
      </c>
      <c r="G32" s="365"/>
      <c r="H32" s="93" t="str">
        <f>IF('INPUT DATA'!N28="","",'INPUT DATA'!N28)</f>
        <v/>
      </c>
      <c r="I32" s="137" t="str">
        <f t="shared" ca="1" si="2"/>
        <v/>
      </c>
      <c r="J32" s="115"/>
      <c r="K32" s="177"/>
      <c r="L32" s="178"/>
      <c r="M32" s="178"/>
      <c r="N32" s="178"/>
      <c r="O32" s="178"/>
      <c r="P32" s="178"/>
      <c r="Q32" s="178"/>
      <c r="R32" s="178"/>
      <c r="S32" s="179"/>
      <c r="T32" s="558" t="str">
        <f t="shared" si="0"/>
        <v/>
      </c>
      <c r="U32" s="199" t="str">
        <f t="shared" si="1"/>
        <v/>
      </c>
      <c r="V32" s="91" t="str">
        <f t="shared" si="3"/>
        <v/>
      </c>
      <c r="W32" s="4"/>
      <c r="X32" s="4"/>
      <c r="Y32" s="4"/>
      <c r="Z32" s="4"/>
      <c r="AA32" s="4"/>
      <c r="AB32" s="4"/>
      <c r="AC32" s="4"/>
      <c r="AD32" s="4"/>
      <c r="AE32" s="4"/>
      <c r="AF32" s="4"/>
      <c r="AG32" s="4"/>
    </row>
    <row r="33" spans="1:33" ht="15">
      <c r="A33" s="4"/>
      <c r="B33" s="84">
        <v>19</v>
      </c>
      <c r="C33" s="361" t="str">
        <f>IF('INPUT DATA'!L29="","",'INPUT DATA'!L29)</f>
        <v/>
      </c>
      <c r="D33" s="362"/>
      <c r="E33" s="363"/>
      <c r="F33" s="364" t="str">
        <f>IF('INPUT DATA'!M29="","",'INPUT DATA'!M29)</f>
        <v/>
      </c>
      <c r="G33" s="365"/>
      <c r="H33" s="93" t="str">
        <f>IF('INPUT DATA'!N29="","",'INPUT DATA'!N29)</f>
        <v/>
      </c>
      <c r="I33" s="137" t="str">
        <f t="shared" ca="1" si="2"/>
        <v/>
      </c>
      <c r="J33" s="115"/>
      <c r="K33" s="177"/>
      <c r="L33" s="178"/>
      <c r="M33" s="178"/>
      <c r="N33" s="178"/>
      <c r="O33" s="178"/>
      <c r="P33" s="178"/>
      <c r="Q33" s="178"/>
      <c r="R33" s="178"/>
      <c r="S33" s="179"/>
      <c r="T33" s="558" t="str">
        <f t="shared" si="0"/>
        <v/>
      </c>
      <c r="U33" s="199" t="str">
        <f t="shared" si="1"/>
        <v/>
      </c>
      <c r="V33" s="91" t="str">
        <f t="shared" si="3"/>
        <v/>
      </c>
      <c r="W33" s="4"/>
      <c r="X33" s="4"/>
      <c r="Y33" s="4"/>
      <c r="Z33" s="4"/>
      <c r="AA33" s="4"/>
      <c r="AB33" s="4"/>
      <c r="AC33" s="4"/>
      <c r="AD33" s="4"/>
      <c r="AE33" s="4"/>
      <c r="AF33" s="4"/>
      <c r="AG33" s="4"/>
    </row>
    <row r="34" spans="1:33" ht="15">
      <c r="A34" s="4"/>
      <c r="B34" s="85">
        <v>20</v>
      </c>
      <c r="C34" s="361" t="str">
        <f>IF('INPUT DATA'!L30="","",'INPUT DATA'!L30)</f>
        <v/>
      </c>
      <c r="D34" s="362"/>
      <c r="E34" s="363"/>
      <c r="F34" s="364" t="str">
        <f>IF('INPUT DATA'!M30="","",'INPUT DATA'!M30)</f>
        <v/>
      </c>
      <c r="G34" s="365"/>
      <c r="H34" s="93" t="str">
        <f>IF('INPUT DATA'!N30="","",'INPUT DATA'!N30)</f>
        <v/>
      </c>
      <c r="I34" s="137" t="str">
        <f t="shared" ca="1" si="2"/>
        <v/>
      </c>
      <c r="J34" s="115"/>
      <c r="K34" s="182"/>
      <c r="L34" s="183"/>
      <c r="M34" s="183"/>
      <c r="N34" s="183"/>
      <c r="O34" s="183"/>
      <c r="P34" s="183"/>
      <c r="Q34" s="183"/>
      <c r="R34" s="183"/>
      <c r="S34" s="184"/>
      <c r="T34" s="558" t="str">
        <f t="shared" si="0"/>
        <v/>
      </c>
      <c r="U34" s="199" t="str">
        <f t="shared" si="1"/>
        <v/>
      </c>
      <c r="V34" s="91" t="str">
        <f t="shared" si="3"/>
        <v/>
      </c>
      <c r="W34" s="4"/>
      <c r="X34" s="4"/>
      <c r="Y34" s="4"/>
      <c r="Z34" s="4"/>
      <c r="AA34" s="4"/>
      <c r="AB34" s="4"/>
      <c r="AC34" s="4"/>
      <c r="AD34" s="4"/>
      <c r="AE34" s="4"/>
      <c r="AF34" s="4"/>
      <c r="AG34" s="4"/>
    </row>
    <row r="35" spans="1:33" ht="15">
      <c r="A35" s="4"/>
      <c r="B35" s="85">
        <v>21</v>
      </c>
      <c r="C35" s="361" t="str">
        <f>IF('INPUT DATA'!L31="","",'INPUT DATA'!L31)</f>
        <v/>
      </c>
      <c r="D35" s="362"/>
      <c r="E35" s="363"/>
      <c r="F35" s="364" t="str">
        <f>IF('INPUT DATA'!M31="","",'INPUT DATA'!M31)</f>
        <v/>
      </c>
      <c r="G35" s="365"/>
      <c r="H35" s="93" t="str">
        <f>IF('INPUT DATA'!N31="","",'INPUT DATA'!N31)</f>
        <v/>
      </c>
      <c r="I35" s="137" t="str">
        <f t="shared" ca="1" si="2"/>
        <v/>
      </c>
      <c r="J35" s="115"/>
      <c r="K35" s="177"/>
      <c r="L35" s="178"/>
      <c r="M35" s="178"/>
      <c r="N35" s="178"/>
      <c r="O35" s="178"/>
      <c r="P35" s="178"/>
      <c r="Q35" s="178"/>
      <c r="R35" s="178"/>
      <c r="S35" s="179"/>
      <c r="T35" s="558" t="str">
        <f t="shared" si="0"/>
        <v/>
      </c>
      <c r="U35" s="199" t="str">
        <f t="shared" si="1"/>
        <v/>
      </c>
      <c r="V35" s="91" t="str">
        <f t="shared" si="3"/>
        <v/>
      </c>
      <c r="W35" s="4"/>
      <c r="X35" s="4"/>
      <c r="Y35" s="4"/>
      <c r="Z35" s="4"/>
      <c r="AA35" s="4"/>
      <c r="AB35" s="4"/>
      <c r="AC35" s="4"/>
      <c r="AD35" s="4"/>
      <c r="AE35" s="4"/>
      <c r="AF35" s="4"/>
      <c r="AG35" s="4"/>
    </row>
    <row r="36" spans="1:33" ht="15">
      <c r="A36" s="4"/>
      <c r="B36" s="85">
        <v>22</v>
      </c>
      <c r="C36" s="361" t="str">
        <f>IF('INPUT DATA'!L32="","",'INPUT DATA'!L32)</f>
        <v/>
      </c>
      <c r="D36" s="362"/>
      <c r="E36" s="363"/>
      <c r="F36" s="364" t="str">
        <f>IF('INPUT DATA'!M32="","",'INPUT DATA'!M32)</f>
        <v/>
      </c>
      <c r="G36" s="365"/>
      <c r="H36" s="93" t="str">
        <f>IF('INPUT DATA'!N32="","",'INPUT DATA'!N32)</f>
        <v/>
      </c>
      <c r="I36" s="137" t="str">
        <f t="shared" ca="1" si="2"/>
        <v/>
      </c>
      <c r="J36" s="115"/>
      <c r="K36" s="177"/>
      <c r="L36" s="178"/>
      <c r="M36" s="178"/>
      <c r="N36" s="178"/>
      <c r="O36" s="178"/>
      <c r="P36" s="178"/>
      <c r="Q36" s="178"/>
      <c r="R36" s="178"/>
      <c r="S36" s="179"/>
      <c r="T36" s="558" t="str">
        <f t="shared" si="0"/>
        <v/>
      </c>
      <c r="U36" s="199" t="str">
        <f t="shared" si="1"/>
        <v/>
      </c>
      <c r="V36" s="91" t="str">
        <f t="shared" si="3"/>
        <v/>
      </c>
      <c r="W36" s="4"/>
      <c r="X36" s="4"/>
      <c r="Y36" s="4"/>
      <c r="Z36" s="4"/>
      <c r="AA36" s="4"/>
      <c r="AB36" s="4"/>
      <c r="AC36" s="4"/>
      <c r="AD36" s="4"/>
      <c r="AE36" s="4"/>
      <c r="AF36" s="4"/>
      <c r="AG36" s="4"/>
    </row>
    <row r="37" spans="1:33" ht="15">
      <c r="A37" s="4"/>
      <c r="B37" s="85">
        <v>23</v>
      </c>
      <c r="C37" s="361" t="str">
        <f>IF('INPUT DATA'!L33="","",'INPUT DATA'!L33)</f>
        <v/>
      </c>
      <c r="D37" s="362"/>
      <c r="E37" s="363"/>
      <c r="F37" s="364" t="str">
        <f>IF('INPUT DATA'!M33="","",'INPUT DATA'!M33)</f>
        <v/>
      </c>
      <c r="G37" s="365"/>
      <c r="H37" s="93" t="str">
        <f>IF('INPUT DATA'!N33="","",'INPUT DATA'!N33)</f>
        <v/>
      </c>
      <c r="I37" s="137" t="str">
        <f t="shared" ca="1" si="2"/>
        <v/>
      </c>
      <c r="J37" s="115"/>
      <c r="K37" s="177"/>
      <c r="L37" s="178"/>
      <c r="M37" s="178"/>
      <c r="N37" s="178"/>
      <c r="O37" s="178"/>
      <c r="P37" s="178"/>
      <c r="Q37" s="178"/>
      <c r="R37" s="178"/>
      <c r="S37" s="179"/>
      <c r="T37" s="558" t="str">
        <f t="shared" si="0"/>
        <v/>
      </c>
      <c r="U37" s="199" t="str">
        <f t="shared" si="1"/>
        <v/>
      </c>
      <c r="V37" s="91" t="str">
        <f t="shared" si="3"/>
        <v/>
      </c>
      <c r="W37" s="4"/>
      <c r="X37" s="4"/>
      <c r="Y37" s="4"/>
      <c r="Z37" s="4"/>
      <c r="AA37" s="4"/>
      <c r="AB37" s="4"/>
      <c r="AC37" s="4"/>
      <c r="AD37" s="4"/>
      <c r="AE37" s="4"/>
      <c r="AF37" s="4"/>
      <c r="AG37" s="4"/>
    </row>
    <row r="38" spans="1:33" ht="15">
      <c r="A38" s="4"/>
      <c r="B38" s="85">
        <v>24</v>
      </c>
      <c r="C38" s="361" t="str">
        <f>IF('INPUT DATA'!L34="","",'INPUT DATA'!L34)</f>
        <v/>
      </c>
      <c r="D38" s="362"/>
      <c r="E38" s="363"/>
      <c r="F38" s="364" t="str">
        <f>IF('INPUT DATA'!M34="","",'INPUT DATA'!M34)</f>
        <v/>
      </c>
      <c r="G38" s="365"/>
      <c r="H38" s="93" t="str">
        <f>IF('INPUT DATA'!N34="","",'INPUT DATA'!N34)</f>
        <v/>
      </c>
      <c r="I38" s="137" t="str">
        <f t="shared" ca="1" si="2"/>
        <v/>
      </c>
      <c r="J38" s="115"/>
      <c r="K38" s="177"/>
      <c r="L38" s="178"/>
      <c r="M38" s="178"/>
      <c r="N38" s="178"/>
      <c r="O38" s="178"/>
      <c r="P38" s="178"/>
      <c r="Q38" s="178"/>
      <c r="R38" s="178"/>
      <c r="S38" s="179"/>
      <c r="T38" s="558" t="str">
        <f t="shared" si="0"/>
        <v/>
      </c>
      <c r="U38" s="199" t="str">
        <f t="shared" si="1"/>
        <v/>
      </c>
      <c r="V38" s="91" t="str">
        <f t="shared" si="3"/>
        <v/>
      </c>
      <c r="W38" s="4"/>
      <c r="X38" s="4"/>
      <c r="Y38" s="4"/>
      <c r="Z38" s="4"/>
      <c r="AA38" s="4"/>
      <c r="AB38" s="4"/>
      <c r="AC38" s="4"/>
      <c r="AD38" s="4"/>
      <c r="AE38" s="4"/>
      <c r="AF38" s="4"/>
      <c r="AG38" s="4"/>
    </row>
    <row r="39" spans="1:33" ht="15">
      <c r="A39" s="4"/>
      <c r="B39" s="85">
        <v>25</v>
      </c>
      <c r="C39" s="361" t="str">
        <f>IF('INPUT DATA'!L35="","",'INPUT DATA'!L35)</f>
        <v/>
      </c>
      <c r="D39" s="362"/>
      <c r="E39" s="363"/>
      <c r="F39" s="364" t="str">
        <f>IF('INPUT DATA'!M35="","",'INPUT DATA'!M35)</f>
        <v/>
      </c>
      <c r="G39" s="365"/>
      <c r="H39" s="93" t="str">
        <f>IF('INPUT DATA'!N35="","",'INPUT DATA'!N35)</f>
        <v/>
      </c>
      <c r="I39" s="137" t="str">
        <f t="shared" ca="1" si="2"/>
        <v/>
      </c>
      <c r="J39" s="115"/>
      <c r="K39" s="177"/>
      <c r="L39" s="178"/>
      <c r="M39" s="178"/>
      <c r="N39" s="178"/>
      <c r="O39" s="178"/>
      <c r="P39" s="178"/>
      <c r="Q39" s="178"/>
      <c r="R39" s="178"/>
      <c r="S39" s="179"/>
      <c r="T39" s="558" t="str">
        <f t="shared" si="0"/>
        <v/>
      </c>
      <c r="U39" s="199" t="str">
        <f t="shared" si="1"/>
        <v/>
      </c>
      <c r="V39" s="91" t="str">
        <f t="shared" si="3"/>
        <v/>
      </c>
      <c r="W39" s="4"/>
      <c r="X39" s="4"/>
      <c r="Y39" s="4"/>
      <c r="Z39" s="4"/>
      <c r="AA39" s="4"/>
      <c r="AB39" s="4"/>
      <c r="AC39" s="4"/>
      <c r="AD39" s="4"/>
      <c r="AE39" s="4"/>
      <c r="AF39" s="4"/>
      <c r="AG39" s="4"/>
    </row>
    <row r="40" spans="1:33" ht="15">
      <c r="A40" s="4"/>
      <c r="B40" s="85">
        <v>26</v>
      </c>
      <c r="C40" s="361" t="str">
        <f>IF('INPUT DATA'!L36="","",'INPUT DATA'!L36)</f>
        <v/>
      </c>
      <c r="D40" s="362"/>
      <c r="E40" s="363"/>
      <c r="F40" s="364" t="str">
        <f>IF('INPUT DATA'!M36="","",'INPUT DATA'!M36)</f>
        <v/>
      </c>
      <c r="G40" s="365"/>
      <c r="H40" s="93" t="str">
        <f>IF('INPUT DATA'!N36="","",'INPUT DATA'!N36)</f>
        <v/>
      </c>
      <c r="I40" s="137" t="str">
        <f t="shared" ca="1" si="2"/>
        <v/>
      </c>
      <c r="J40" s="115"/>
      <c r="K40" s="177"/>
      <c r="L40" s="178"/>
      <c r="M40" s="178"/>
      <c r="N40" s="178"/>
      <c r="O40" s="178"/>
      <c r="P40" s="178"/>
      <c r="Q40" s="178"/>
      <c r="R40" s="178"/>
      <c r="S40" s="179"/>
      <c r="T40" s="558" t="str">
        <f t="shared" si="0"/>
        <v/>
      </c>
      <c r="U40" s="199" t="str">
        <f t="shared" si="1"/>
        <v/>
      </c>
      <c r="V40" s="91" t="str">
        <f t="shared" si="3"/>
        <v/>
      </c>
      <c r="W40" s="4"/>
      <c r="X40" s="4"/>
      <c r="Y40" s="4"/>
      <c r="Z40" s="4"/>
      <c r="AA40" s="4"/>
      <c r="AB40" s="4"/>
      <c r="AC40" s="4"/>
      <c r="AD40" s="4"/>
      <c r="AE40" s="4"/>
      <c r="AF40" s="4"/>
      <c r="AG40" s="4"/>
    </row>
    <row r="41" spans="1:33" ht="15">
      <c r="A41" s="4"/>
      <c r="B41" s="85">
        <v>27</v>
      </c>
      <c r="C41" s="361" t="str">
        <f>IF('INPUT DATA'!L37="","",'INPUT DATA'!L37)</f>
        <v/>
      </c>
      <c r="D41" s="362"/>
      <c r="E41" s="363"/>
      <c r="F41" s="364" t="str">
        <f>IF('INPUT DATA'!M37="","",'INPUT DATA'!M37)</f>
        <v/>
      </c>
      <c r="G41" s="365"/>
      <c r="H41" s="93" t="str">
        <f>IF('INPUT DATA'!N37="","",'INPUT DATA'!N37)</f>
        <v/>
      </c>
      <c r="I41" s="137" t="str">
        <f t="shared" ca="1" si="2"/>
        <v/>
      </c>
      <c r="J41" s="115"/>
      <c r="K41" s="177"/>
      <c r="L41" s="178"/>
      <c r="M41" s="178"/>
      <c r="N41" s="178"/>
      <c r="O41" s="178"/>
      <c r="P41" s="178"/>
      <c r="Q41" s="178"/>
      <c r="R41" s="178"/>
      <c r="S41" s="179"/>
      <c r="T41" s="558" t="str">
        <f t="shared" si="0"/>
        <v/>
      </c>
      <c r="U41" s="199" t="str">
        <f t="shared" si="1"/>
        <v/>
      </c>
      <c r="V41" s="91" t="str">
        <f t="shared" si="3"/>
        <v/>
      </c>
      <c r="W41" s="4"/>
      <c r="X41" s="4"/>
      <c r="Y41" s="4"/>
      <c r="Z41" s="4"/>
      <c r="AA41" s="4"/>
      <c r="AB41" s="4"/>
      <c r="AC41" s="4"/>
      <c r="AD41" s="4"/>
      <c r="AE41" s="4"/>
      <c r="AF41" s="4"/>
      <c r="AG41" s="4"/>
    </row>
    <row r="42" spans="1:33" ht="15">
      <c r="A42" s="4"/>
      <c r="B42" s="85">
        <v>28</v>
      </c>
      <c r="C42" s="361" t="str">
        <f>IF('INPUT DATA'!L38="","",'INPUT DATA'!L38)</f>
        <v/>
      </c>
      <c r="D42" s="362"/>
      <c r="E42" s="363"/>
      <c r="F42" s="364" t="str">
        <f>IF('INPUT DATA'!M38="","",'INPUT DATA'!M38)</f>
        <v/>
      </c>
      <c r="G42" s="365"/>
      <c r="H42" s="93" t="str">
        <f>IF('INPUT DATA'!N38="","",'INPUT DATA'!N38)</f>
        <v/>
      </c>
      <c r="I42" s="137" t="str">
        <f t="shared" ca="1" si="2"/>
        <v/>
      </c>
      <c r="J42" s="115"/>
      <c r="K42" s="177"/>
      <c r="L42" s="178"/>
      <c r="M42" s="178"/>
      <c r="N42" s="178"/>
      <c r="O42" s="178"/>
      <c r="P42" s="178"/>
      <c r="Q42" s="178"/>
      <c r="R42" s="178"/>
      <c r="S42" s="179"/>
      <c r="T42" s="558" t="str">
        <f t="shared" si="0"/>
        <v/>
      </c>
      <c r="U42" s="199" t="str">
        <f t="shared" si="1"/>
        <v/>
      </c>
      <c r="V42" s="91" t="str">
        <f t="shared" si="3"/>
        <v/>
      </c>
      <c r="W42" s="4"/>
      <c r="X42" s="4"/>
      <c r="Y42" s="4"/>
      <c r="Z42" s="4"/>
      <c r="AA42" s="4"/>
      <c r="AB42" s="4"/>
      <c r="AC42" s="4"/>
      <c r="AD42" s="4"/>
      <c r="AE42" s="4"/>
      <c r="AF42" s="4"/>
      <c r="AG42" s="4"/>
    </row>
    <row r="43" spans="1:33" ht="15">
      <c r="A43" s="4"/>
      <c r="B43" s="85">
        <v>29</v>
      </c>
      <c r="C43" s="361" t="str">
        <f>IF('INPUT DATA'!L39="","",'INPUT DATA'!L39)</f>
        <v/>
      </c>
      <c r="D43" s="362"/>
      <c r="E43" s="363"/>
      <c r="F43" s="364" t="str">
        <f>IF('INPUT DATA'!M39="","",'INPUT DATA'!M39)</f>
        <v/>
      </c>
      <c r="G43" s="365"/>
      <c r="H43" s="93" t="str">
        <f>IF('INPUT DATA'!N39="","",'INPUT DATA'!N39)</f>
        <v/>
      </c>
      <c r="I43" s="137" t="str">
        <f t="shared" ca="1" si="2"/>
        <v/>
      </c>
      <c r="J43" s="115"/>
      <c r="K43" s="177"/>
      <c r="L43" s="178"/>
      <c r="M43" s="178"/>
      <c r="N43" s="178"/>
      <c r="O43" s="178"/>
      <c r="P43" s="178"/>
      <c r="Q43" s="178"/>
      <c r="R43" s="178"/>
      <c r="S43" s="179"/>
      <c r="T43" s="558" t="str">
        <f t="shared" si="0"/>
        <v/>
      </c>
      <c r="U43" s="199" t="str">
        <f t="shared" si="1"/>
        <v/>
      </c>
      <c r="V43" s="91" t="str">
        <f t="shared" si="3"/>
        <v/>
      </c>
      <c r="W43" s="4"/>
      <c r="X43" s="4"/>
      <c r="Y43" s="4"/>
      <c r="Z43" s="4"/>
      <c r="AA43" s="4"/>
      <c r="AB43" s="4"/>
      <c r="AC43" s="4"/>
      <c r="AD43" s="4"/>
      <c r="AE43" s="4"/>
      <c r="AF43" s="4"/>
      <c r="AG43" s="4"/>
    </row>
    <row r="44" spans="1:33" ht="15">
      <c r="A44" s="4"/>
      <c r="B44" s="85">
        <v>30</v>
      </c>
      <c r="C44" s="361" t="str">
        <f>IF('INPUT DATA'!L40="","",'INPUT DATA'!L40)</f>
        <v/>
      </c>
      <c r="D44" s="362"/>
      <c r="E44" s="363"/>
      <c r="F44" s="364" t="str">
        <f>IF('INPUT DATA'!M40="","",'INPUT DATA'!M40)</f>
        <v/>
      </c>
      <c r="G44" s="365"/>
      <c r="H44" s="93" t="str">
        <f>IF('INPUT DATA'!N40="","",'INPUT DATA'!N40)</f>
        <v/>
      </c>
      <c r="I44" s="137" t="str">
        <f t="shared" ca="1" si="2"/>
        <v/>
      </c>
      <c r="J44" s="115"/>
      <c r="K44" s="177"/>
      <c r="L44" s="178"/>
      <c r="M44" s="178"/>
      <c r="N44" s="178"/>
      <c r="O44" s="178"/>
      <c r="P44" s="178"/>
      <c r="Q44" s="178"/>
      <c r="R44" s="178"/>
      <c r="S44" s="179"/>
      <c r="T44" s="558" t="str">
        <f t="shared" si="0"/>
        <v/>
      </c>
      <c r="U44" s="199" t="str">
        <f t="shared" si="1"/>
        <v/>
      </c>
      <c r="V44" s="91" t="str">
        <f t="shared" si="3"/>
        <v/>
      </c>
      <c r="W44" s="4"/>
      <c r="X44" s="4"/>
      <c r="Y44" s="4"/>
      <c r="Z44" s="4"/>
      <c r="AA44" s="4"/>
      <c r="AB44" s="4"/>
      <c r="AC44" s="4"/>
      <c r="AD44" s="4"/>
      <c r="AE44" s="4"/>
      <c r="AF44" s="4"/>
      <c r="AG44" s="4"/>
    </row>
    <row r="45" spans="1:33" ht="15">
      <c r="A45" s="4"/>
      <c r="B45" s="85">
        <v>31</v>
      </c>
      <c r="C45" s="361" t="str">
        <f>IF('INPUT DATA'!L41="","",'INPUT DATA'!L41)</f>
        <v/>
      </c>
      <c r="D45" s="362"/>
      <c r="E45" s="363"/>
      <c r="F45" s="364" t="str">
        <f>IF('INPUT DATA'!M41="","",'INPUT DATA'!M41)</f>
        <v/>
      </c>
      <c r="G45" s="365"/>
      <c r="H45" s="93" t="str">
        <f>IF('INPUT DATA'!N41="","",'INPUT DATA'!N41)</f>
        <v/>
      </c>
      <c r="I45" s="137" t="str">
        <f t="shared" ca="1" si="2"/>
        <v/>
      </c>
      <c r="J45" s="115"/>
      <c r="K45" s="177"/>
      <c r="L45" s="178"/>
      <c r="M45" s="178"/>
      <c r="N45" s="178"/>
      <c r="O45" s="178"/>
      <c r="P45" s="178"/>
      <c r="Q45" s="178"/>
      <c r="R45" s="178"/>
      <c r="S45" s="179"/>
      <c r="T45" s="558" t="str">
        <f t="shared" si="0"/>
        <v/>
      </c>
      <c r="U45" s="199" t="str">
        <f t="shared" si="1"/>
        <v/>
      </c>
      <c r="V45" s="91" t="str">
        <f t="shared" si="3"/>
        <v/>
      </c>
      <c r="W45" s="4"/>
      <c r="X45" s="4"/>
      <c r="Y45" s="4"/>
      <c r="Z45" s="4"/>
      <c r="AA45" s="4"/>
      <c r="AB45" s="4"/>
      <c r="AC45" s="4"/>
      <c r="AD45" s="4"/>
      <c r="AE45" s="4"/>
      <c r="AF45" s="4"/>
      <c r="AG45" s="4"/>
    </row>
    <row r="46" spans="1:33" ht="15">
      <c r="A46" s="4"/>
      <c r="B46" s="85">
        <v>32</v>
      </c>
      <c r="C46" s="361" t="str">
        <f>IF('INPUT DATA'!L42="","",'INPUT DATA'!L42)</f>
        <v/>
      </c>
      <c r="D46" s="362"/>
      <c r="E46" s="363"/>
      <c r="F46" s="364" t="str">
        <f>IF('INPUT DATA'!M42="","",'INPUT DATA'!M42)</f>
        <v/>
      </c>
      <c r="G46" s="365"/>
      <c r="H46" s="93" t="str">
        <f>IF('INPUT DATA'!N42="","",'INPUT DATA'!N42)</f>
        <v/>
      </c>
      <c r="I46" s="137" t="str">
        <f t="shared" ca="1" si="2"/>
        <v/>
      </c>
      <c r="J46" s="115"/>
      <c r="K46" s="177"/>
      <c r="L46" s="178"/>
      <c r="M46" s="178"/>
      <c r="N46" s="178"/>
      <c r="O46" s="178"/>
      <c r="P46" s="178"/>
      <c r="Q46" s="178"/>
      <c r="R46" s="178"/>
      <c r="S46" s="179"/>
      <c r="T46" s="558" t="str">
        <f t="shared" si="0"/>
        <v/>
      </c>
      <c r="U46" s="199" t="str">
        <f t="shared" si="1"/>
        <v/>
      </c>
      <c r="V46" s="91" t="str">
        <f t="shared" si="3"/>
        <v/>
      </c>
      <c r="W46" s="4"/>
      <c r="X46" s="4"/>
      <c r="Y46" s="4"/>
      <c r="Z46" s="4"/>
      <c r="AA46" s="4"/>
      <c r="AB46" s="4"/>
      <c r="AC46" s="4"/>
      <c r="AD46" s="4"/>
      <c r="AE46" s="4"/>
      <c r="AF46" s="4"/>
      <c r="AG46" s="4"/>
    </row>
    <row r="47" spans="1:33" ht="15">
      <c r="A47" s="4"/>
      <c r="B47" s="85">
        <v>33</v>
      </c>
      <c r="C47" s="361" t="str">
        <f>IF('INPUT DATA'!L43="","",'INPUT DATA'!L43)</f>
        <v/>
      </c>
      <c r="D47" s="362"/>
      <c r="E47" s="363"/>
      <c r="F47" s="364" t="str">
        <f>IF('INPUT DATA'!M43="","",'INPUT DATA'!M43)</f>
        <v/>
      </c>
      <c r="G47" s="365"/>
      <c r="H47" s="93" t="str">
        <f>IF('INPUT DATA'!N43="","",'INPUT DATA'!N43)</f>
        <v/>
      </c>
      <c r="I47" s="137" t="str">
        <f t="shared" ca="1" si="2"/>
        <v/>
      </c>
      <c r="J47" s="115"/>
      <c r="K47" s="177"/>
      <c r="L47" s="178"/>
      <c r="M47" s="178"/>
      <c r="N47" s="178"/>
      <c r="O47" s="178"/>
      <c r="P47" s="178"/>
      <c r="Q47" s="178"/>
      <c r="R47" s="178"/>
      <c r="S47" s="179"/>
      <c r="T47" s="558" t="str">
        <f t="shared" si="0"/>
        <v/>
      </c>
      <c r="U47" s="199" t="str">
        <f t="shared" si="1"/>
        <v/>
      </c>
      <c r="V47" s="91" t="str">
        <f t="shared" si="3"/>
        <v/>
      </c>
      <c r="W47" s="4"/>
      <c r="X47" s="4"/>
      <c r="Y47" s="4"/>
      <c r="Z47" s="4"/>
      <c r="AA47" s="4"/>
      <c r="AB47" s="4"/>
      <c r="AC47" s="4"/>
      <c r="AD47" s="4"/>
      <c r="AE47" s="4"/>
      <c r="AF47" s="4"/>
      <c r="AG47" s="4"/>
    </row>
    <row r="48" spans="1:33" ht="15">
      <c r="A48" s="4"/>
      <c r="B48" s="85">
        <v>34</v>
      </c>
      <c r="C48" s="361" t="str">
        <f>IF('INPUT DATA'!L44="","",'INPUT DATA'!L44)</f>
        <v/>
      </c>
      <c r="D48" s="362"/>
      <c r="E48" s="363"/>
      <c r="F48" s="364" t="str">
        <f>IF('INPUT DATA'!M44="","",'INPUT DATA'!M44)</f>
        <v/>
      </c>
      <c r="G48" s="365"/>
      <c r="H48" s="93" t="str">
        <f>IF('INPUT DATA'!N44="","",'INPUT DATA'!N44)</f>
        <v/>
      </c>
      <c r="I48" s="137" t="str">
        <f t="shared" ca="1" si="2"/>
        <v/>
      </c>
      <c r="J48" s="115"/>
      <c r="K48" s="177"/>
      <c r="L48" s="178"/>
      <c r="M48" s="178"/>
      <c r="N48" s="178"/>
      <c r="O48" s="178"/>
      <c r="P48" s="178"/>
      <c r="Q48" s="178"/>
      <c r="R48" s="178"/>
      <c r="S48" s="179"/>
      <c r="T48" s="558" t="str">
        <f t="shared" si="0"/>
        <v/>
      </c>
      <c r="U48" s="199" t="str">
        <f t="shared" si="1"/>
        <v/>
      </c>
      <c r="V48" s="91" t="str">
        <f t="shared" si="3"/>
        <v/>
      </c>
      <c r="W48" s="4"/>
      <c r="X48" s="4"/>
      <c r="Y48" s="4"/>
      <c r="Z48" s="4"/>
      <c r="AA48" s="4"/>
      <c r="AB48" s="4"/>
      <c r="AC48" s="4"/>
      <c r="AD48" s="4"/>
      <c r="AE48" s="4"/>
      <c r="AF48" s="4"/>
      <c r="AG48" s="4"/>
    </row>
    <row r="49" spans="1:33" ht="15">
      <c r="A49" s="4"/>
      <c r="B49" s="85">
        <v>35</v>
      </c>
      <c r="C49" s="361" t="str">
        <f>IF('INPUT DATA'!L45="","",'INPUT DATA'!L45)</f>
        <v/>
      </c>
      <c r="D49" s="362"/>
      <c r="E49" s="363"/>
      <c r="F49" s="364" t="str">
        <f>IF('INPUT DATA'!M45="","",'INPUT DATA'!M45)</f>
        <v/>
      </c>
      <c r="G49" s="365"/>
      <c r="H49" s="93" t="str">
        <f>IF('INPUT DATA'!N45="","",'INPUT DATA'!N45)</f>
        <v/>
      </c>
      <c r="I49" s="137" t="str">
        <f t="shared" ca="1" si="2"/>
        <v/>
      </c>
      <c r="J49" s="115"/>
      <c r="K49" s="177"/>
      <c r="L49" s="178"/>
      <c r="M49" s="178"/>
      <c r="N49" s="178"/>
      <c r="O49" s="178"/>
      <c r="P49" s="178"/>
      <c r="Q49" s="178"/>
      <c r="R49" s="178"/>
      <c r="S49" s="179"/>
      <c r="T49" s="558" t="str">
        <f t="shared" si="0"/>
        <v/>
      </c>
      <c r="U49" s="199" t="str">
        <f t="shared" si="1"/>
        <v/>
      </c>
      <c r="V49" s="91" t="str">
        <f t="shared" si="3"/>
        <v/>
      </c>
      <c r="W49" s="4"/>
      <c r="X49" s="4"/>
      <c r="Y49" s="4"/>
      <c r="Z49" s="4"/>
      <c r="AA49" s="4"/>
      <c r="AB49" s="4"/>
      <c r="AC49" s="4"/>
      <c r="AD49" s="4"/>
      <c r="AE49" s="4"/>
      <c r="AF49" s="4"/>
      <c r="AG49" s="4"/>
    </row>
    <row r="50" spans="1:33" ht="15">
      <c r="A50" s="4"/>
      <c r="B50" s="85">
        <v>36</v>
      </c>
      <c r="C50" s="361" t="str">
        <f>IF('INPUT DATA'!L46="","",'INPUT DATA'!L46)</f>
        <v/>
      </c>
      <c r="D50" s="362"/>
      <c r="E50" s="363"/>
      <c r="F50" s="364" t="str">
        <f>IF('INPUT DATA'!M46="","",'INPUT DATA'!M46)</f>
        <v/>
      </c>
      <c r="G50" s="365"/>
      <c r="H50" s="93" t="str">
        <f>IF('INPUT DATA'!N46="","",'INPUT DATA'!N46)</f>
        <v/>
      </c>
      <c r="I50" s="137" t="str">
        <f t="shared" ca="1" si="2"/>
        <v/>
      </c>
      <c r="J50" s="115"/>
      <c r="K50" s="177"/>
      <c r="L50" s="178"/>
      <c r="M50" s="178"/>
      <c r="N50" s="178"/>
      <c r="O50" s="178"/>
      <c r="P50" s="178"/>
      <c r="Q50" s="178"/>
      <c r="R50" s="178"/>
      <c r="S50" s="179"/>
      <c r="T50" s="558" t="str">
        <f t="shared" si="0"/>
        <v/>
      </c>
      <c r="U50" s="199" t="str">
        <f t="shared" si="1"/>
        <v/>
      </c>
      <c r="V50" s="91" t="str">
        <f t="shared" si="3"/>
        <v/>
      </c>
      <c r="W50" s="4"/>
      <c r="X50" s="4"/>
      <c r="Y50" s="4"/>
      <c r="Z50" s="4"/>
      <c r="AA50" s="4"/>
      <c r="AB50" s="4"/>
      <c r="AC50" s="4"/>
      <c r="AD50" s="4"/>
      <c r="AE50" s="4"/>
      <c r="AF50" s="4"/>
      <c r="AG50" s="4"/>
    </row>
    <row r="51" spans="1:33" ht="15">
      <c r="A51" s="4"/>
      <c r="B51" s="85">
        <v>37</v>
      </c>
      <c r="C51" s="361" t="str">
        <f>IF('INPUT DATA'!L47="","",'INPUT DATA'!L47)</f>
        <v/>
      </c>
      <c r="D51" s="362"/>
      <c r="E51" s="363"/>
      <c r="F51" s="364" t="str">
        <f>IF('INPUT DATA'!M47="","",'INPUT DATA'!M47)</f>
        <v/>
      </c>
      <c r="G51" s="365"/>
      <c r="H51" s="93" t="str">
        <f>IF('INPUT DATA'!N47="","",'INPUT DATA'!N47)</f>
        <v/>
      </c>
      <c r="I51" s="137" t="str">
        <f t="shared" ca="1" si="2"/>
        <v/>
      </c>
      <c r="J51" s="115"/>
      <c r="K51" s="177"/>
      <c r="L51" s="178"/>
      <c r="M51" s="178"/>
      <c r="N51" s="178"/>
      <c r="O51" s="178"/>
      <c r="P51" s="178"/>
      <c r="Q51" s="178"/>
      <c r="R51" s="178"/>
      <c r="S51" s="179"/>
      <c r="T51" s="558" t="str">
        <f t="shared" si="0"/>
        <v/>
      </c>
      <c r="U51" s="199" t="str">
        <f t="shared" si="1"/>
        <v/>
      </c>
      <c r="V51" s="91" t="str">
        <f t="shared" si="3"/>
        <v/>
      </c>
      <c r="W51" s="4"/>
      <c r="X51" s="4"/>
      <c r="Y51" s="4"/>
      <c r="Z51" s="4"/>
      <c r="AA51" s="4"/>
      <c r="AB51" s="4"/>
      <c r="AC51" s="4"/>
      <c r="AD51" s="4"/>
      <c r="AE51" s="4"/>
      <c r="AF51" s="4"/>
      <c r="AG51" s="4"/>
    </row>
    <row r="52" spans="1:33" ht="15">
      <c r="A52" s="4"/>
      <c r="B52" s="85">
        <v>38</v>
      </c>
      <c r="C52" s="361" t="str">
        <f>IF('INPUT DATA'!L48="","",'INPUT DATA'!L48)</f>
        <v/>
      </c>
      <c r="D52" s="362"/>
      <c r="E52" s="363"/>
      <c r="F52" s="364" t="str">
        <f>IF('INPUT DATA'!M48="","",'INPUT DATA'!M48)</f>
        <v/>
      </c>
      <c r="G52" s="365"/>
      <c r="H52" s="93" t="str">
        <f>IF('INPUT DATA'!N48="","",'INPUT DATA'!N48)</f>
        <v/>
      </c>
      <c r="I52" s="137" t="str">
        <f t="shared" ca="1" si="2"/>
        <v/>
      </c>
      <c r="J52" s="115"/>
      <c r="K52" s="177"/>
      <c r="L52" s="178"/>
      <c r="M52" s="178"/>
      <c r="N52" s="178"/>
      <c r="O52" s="178"/>
      <c r="P52" s="178"/>
      <c r="Q52" s="178"/>
      <c r="R52" s="178"/>
      <c r="S52" s="179"/>
      <c r="T52" s="558" t="str">
        <f t="shared" si="0"/>
        <v/>
      </c>
      <c r="U52" s="199" t="str">
        <f t="shared" si="1"/>
        <v/>
      </c>
      <c r="V52" s="91" t="str">
        <f t="shared" si="3"/>
        <v/>
      </c>
      <c r="W52" s="4"/>
      <c r="X52" s="4"/>
      <c r="Y52" s="4"/>
      <c r="Z52" s="4"/>
      <c r="AA52" s="4"/>
      <c r="AB52" s="4"/>
      <c r="AC52" s="4"/>
      <c r="AD52" s="4"/>
      <c r="AE52" s="4"/>
      <c r="AF52" s="4"/>
      <c r="AG52" s="4"/>
    </row>
    <row r="53" spans="1:33" ht="15">
      <c r="A53" s="4"/>
      <c r="B53" s="85">
        <v>39</v>
      </c>
      <c r="C53" s="361" t="str">
        <f>IF('INPUT DATA'!L49="","",'INPUT DATA'!L49)</f>
        <v/>
      </c>
      <c r="D53" s="362"/>
      <c r="E53" s="363"/>
      <c r="F53" s="364" t="str">
        <f>IF('INPUT DATA'!M49="","",'INPUT DATA'!M49)</f>
        <v/>
      </c>
      <c r="G53" s="365"/>
      <c r="H53" s="93" t="str">
        <f>IF('INPUT DATA'!N49="","",'INPUT DATA'!N49)</f>
        <v/>
      </c>
      <c r="I53" s="137" t="str">
        <f t="shared" ca="1" si="2"/>
        <v/>
      </c>
      <c r="J53" s="115"/>
      <c r="K53" s="177"/>
      <c r="L53" s="178"/>
      <c r="M53" s="178"/>
      <c r="N53" s="178"/>
      <c r="O53" s="178"/>
      <c r="P53" s="178"/>
      <c r="Q53" s="178"/>
      <c r="R53" s="178"/>
      <c r="S53" s="179"/>
      <c r="T53" s="558" t="str">
        <f t="shared" si="0"/>
        <v/>
      </c>
      <c r="U53" s="199" t="str">
        <f t="shared" si="1"/>
        <v/>
      </c>
      <c r="V53" s="91" t="str">
        <f t="shared" si="3"/>
        <v/>
      </c>
      <c r="W53" s="4"/>
      <c r="X53" s="4"/>
      <c r="Y53" s="4"/>
      <c r="Z53" s="4"/>
      <c r="AA53" s="4"/>
      <c r="AB53" s="4"/>
      <c r="AC53" s="4"/>
      <c r="AD53" s="4"/>
      <c r="AE53" s="4"/>
      <c r="AF53" s="4"/>
      <c r="AG53" s="4"/>
    </row>
    <row r="54" spans="1:33" ht="15">
      <c r="A54" s="4"/>
      <c r="B54" s="85">
        <v>40</v>
      </c>
      <c r="C54" s="361" t="str">
        <f>IF('INPUT DATA'!L50="","",'INPUT DATA'!L50)</f>
        <v/>
      </c>
      <c r="D54" s="362"/>
      <c r="E54" s="363"/>
      <c r="F54" s="364" t="str">
        <f>IF('INPUT DATA'!M50="","",'INPUT DATA'!M50)</f>
        <v/>
      </c>
      <c r="G54" s="365"/>
      <c r="H54" s="93" t="str">
        <f>IF('INPUT DATA'!N50="","",'INPUT DATA'!N50)</f>
        <v/>
      </c>
      <c r="I54" s="137" t="str">
        <f t="shared" ca="1" si="2"/>
        <v/>
      </c>
      <c r="J54" s="115"/>
      <c r="K54" s="177"/>
      <c r="L54" s="178"/>
      <c r="M54" s="178"/>
      <c r="N54" s="178"/>
      <c r="O54" s="178"/>
      <c r="P54" s="178"/>
      <c r="Q54" s="178"/>
      <c r="R54" s="178"/>
      <c r="S54" s="179"/>
      <c r="T54" s="558" t="str">
        <f t="shared" si="0"/>
        <v/>
      </c>
      <c r="U54" s="199" t="str">
        <f t="shared" si="1"/>
        <v/>
      </c>
      <c r="V54" s="91" t="str">
        <f t="shared" si="3"/>
        <v/>
      </c>
      <c r="W54" s="4"/>
      <c r="X54" s="4"/>
      <c r="Y54" s="4"/>
      <c r="Z54" s="4"/>
      <c r="AA54" s="4"/>
      <c r="AB54" s="4"/>
      <c r="AC54" s="4"/>
      <c r="AD54" s="4"/>
      <c r="AE54" s="4"/>
      <c r="AF54" s="4"/>
      <c r="AG54" s="4"/>
    </row>
    <row r="55" spans="1:33" ht="15">
      <c r="A55" s="4"/>
      <c r="B55" s="85">
        <v>41</v>
      </c>
      <c r="C55" s="361" t="str">
        <f>IF('INPUT DATA'!L51="","",'INPUT DATA'!L51)</f>
        <v/>
      </c>
      <c r="D55" s="362"/>
      <c r="E55" s="363"/>
      <c r="F55" s="364" t="str">
        <f>IF('INPUT DATA'!M51="","",'INPUT DATA'!M51)</f>
        <v/>
      </c>
      <c r="G55" s="365"/>
      <c r="H55" s="93" t="str">
        <f>IF('INPUT DATA'!N51="","",'INPUT DATA'!N51)</f>
        <v/>
      </c>
      <c r="I55" s="137" t="str">
        <f t="shared" ca="1" si="2"/>
        <v/>
      </c>
      <c r="J55" s="115"/>
      <c r="K55" s="177"/>
      <c r="L55" s="178"/>
      <c r="M55" s="178"/>
      <c r="N55" s="178"/>
      <c r="O55" s="178"/>
      <c r="P55" s="178"/>
      <c r="Q55" s="178"/>
      <c r="R55" s="178"/>
      <c r="S55" s="179"/>
      <c r="T55" s="558" t="str">
        <f t="shared" si="0"/>
        <v/>
      </c>
      <c r="U55" s="199" t="str">
        <f t="shared" si="1"/>
        <v/>
      </c>
      <c r="V55" s="91" t="str">
        <f t="shared" si="3"/>
        <v/>
      </c>
      <c r="W55" s="4"/>
      <c r="X55" s="4"/>
      <c r="Y55" s="4"/>
      <c r="Z55" s="4"/>
      <c r="AA55" s="4"/>
      <c r="AB55" s="4"/>
      <c r="AC55" s="4"/>
      <c r="AD55" s="4"/>
      <c r="AE55" s="4"/>
      <c r="AF55" s="4"/>
      <c r="AG55" s="4"/>
    </row>
    <row r="56" spans="1:33" ht="15">
      <c r="A56" s="4"/>
      <c r="B56" s="85">
        <v>42</v>
      </c>
      <c r="C56" s="361" t="str">
        <f>IF('INPUT DATA'!L52="","",'INPUT DATA'!L52)</f>
        <v/>
      </c>
      <c r="D56" s="362"/>
      <c r="E56" s="363"/>
      <c r="F56" s="364" t="str">
        <f>IF('INPUT DATA'!M52="","",'INPUT DATA'!M52)</f>
        <v/>
      </c>
      <c r="G56" s="365"/>
      <c r="H56" s="93" t="str">
        <f>IF('INPUT DATA'!N52="","",'INPUT DATA'!N52)</f>
        <v/>
      </c>
      <c r="I56" s="137" t="str">
        <f t="shared" ca="1" si="2"/>
        <v/>
      </c>
      <c r="J56" s="115"/>
      <c r="K56" s="177"/>
      <c r="L56" s="178"/>
      <c r="M56" s="178"/>
      <c r="N56" s="178"/>
      <c r="O56" s="178"/>
      <c r="P56" s="178"/>
      <c r="Q56" s="178"/>
      <c r="R56" s="178"/>
      <c r="S56" s="179"/>
      <c r="T56" s="558" t="str">
        <f t="shared" si="0"/>
        <v/>
      </c>
      <c r="U56" s="199" t="str">
        <f t="shared" si="1"/>
        <v/>
      </c>
      <c r="V56" s="91" t="str">
        <f t="shared" si="3"/>
        <v/>
      </c>
      <c r="W56" s="4"/>
      <c r="X56" s="4"/>
      <c r="Y56" s="4"/>
      <c r="Z56" s="4"/>
      <c r="AA56" s="4"/>
      <c r="AB56" s="4"/>
      <c r="AC56" s="4"/>
      <c r="AD56" s="4"/>
      <c r="AE56" s="4"/>
      <c r="AF56" s="4"/>
      <c r="AG56" s="4"/>
    </row>
    <row r="57" spans="1:33" ht="15">
      <c r="A57" s="4"/>
      <c r="B57" s="85">
        <v>43</v>
      </c>
      <c r="C57" s="361" t="str">
        <f>IF('INPUT DATA'!L53="","",'INPUT DATA'!L53)</f>
        <v/>
      </c>
      <c r="D57" s="362"/>
      <c r="E57" s="363"/>
      <c r="F57" s="364" t="str">
        <f>IF('INPUT DATA'!M53="","",'INPUT DATA'!M53)</f>
        <v/>
      </c>
      <c r="G57" s="365"/>
      <c r="H57" s="93" t="str">
        <f>IF('INPUT DATA'!N53="","",'INPUT DATA'!N53)</f>
        <v/>
      </c>
      <c r="I57" s="137" t="str">
        <f t="shared" ca="1" si="2"/>
        <v/>
      </c>
      <c r="J57" s="115"/>
      <c r="K57" s="177"/>
      <c r="L57" s="178"/>
      <c r="M57" s="178"/>
      <c r="N57" s="178"/>
      <c r="O57" s="178"/>
      <c r="P57" s="178"/>
      <c r="Q57" s="178"/>
      <c r="R57" s="178"/>
      <c r="S57" s="179"/>
      <c r="T57" s="558" t="str">
        <f t="shared" si="0"/>
        <v/>
      </c>
      <c r="U57" s="199" t="str">
        <f t="shared" si="1"/>
        <v/>
      </c>
      <c r="V57" s="91" t="str">
        <f t="shared" si="3"/>
        <v/>
      </c>
      <c r="W57" s="4"/>
      <c r="X57" s="4"/>
      <c r="Y57" s="4"/>
      <c r="Z57" s="4"/>
      <c r="AA57" s="4"/>
      <c r="AB57" s="4"/>
      <c r="AC57" s="4"/>
      <c r="AD57" s="4"/>
      <c r="AE57" s="4"/>
      <c r="AF57" s="4"/>
      <c r="AG57" s="4"/>
    </row>
    <row r="58" spans="1:33" ht="15">
      <c r="A58" s="4"/>
      <c r="B58" s="85">
        <v>44</v>
      </c>
      <c r="C58" s="361" t="str">
        <f>IF('INPUT DATA'!L54="","",'INPUT DATA'!L54)</f>
        <v/>
      </c>
      <c r="D58" s="362"/>
      <c r="E58" s="363"/>
      <c r="F58" s="364" t="str">
        <f>IF('INPUT DATA'!M54="","",'INPUT DATA'!M54)</f>
        <v/>
      </c>
      <c r="G58" s="365"/>
      <c r="H58" s="93" t="str">
        <f>IF('INPUT DATA'!N54="","",'INPUT DATA'!N54)</f>
        <v/>
      </c>
      <c r="I58" s="137" t="str">
        <f t="shared" ca="1" si="2"/>
        <v/>
      </c>
      <c r="J58" s="115"/>
      <c r="K58" s="177"/>
      <c r="L58" s="178"/>
      <c r="M58" s="178"/>
      <c r="N58" s="178"/>
      <c r="O58" s="178"/>
      <c r="P58" s="178"/>
      <c r="Q58" s="178"/>
      <c r="R58" s="178"/>
      <c r="S58" s="179"/>
      <c r="T58" s="558" t="str">
        <f t="shared" si="0"/>
        <v/>
      </c>
      <c r="U58" s="199" t="str">
        <f t="shared" si="1"/>
        <v/>
      </c>
      <c r="V58" s="91" t="str">
        <f t="shared" si="3"/>
        <v/>
      </c>
      <c r="W58" s="4"/>
      <c r="X58" s="4"/>
      <c r="Y58" s="4"/>
      <c r="Z58" s="4"/>
      <c r="AA58" s="4"/>
      <c r="AB58" s="4"/>
      <c r="AC58" s="4"/>
      <c r="AD58" s="4"/>
      <c r="AE58" s="4"/>
      <c r="AF58" s="4"/>
      <c r="AG58" s="4"/>
    </row>
    <row r="59" spans="1:33" ht="15">
      <c r="A59" s="4"/>
      <c r="B59" s="85">
        <v>45</v>
      </c>
      <c r="C59" s="361" t="str">
        <f>IF('INPUT DATA'!L55="","",'INPUT DATA'!L55)</f>
        <v/>
      </c>
      <c r="D59" s="362"/>
      <c r="E59" s="363"/>
      <c r="F59" s="364" t="str">
        <f>IF('INPUT DATA'!M55="","",'INPUT DATA'!M55)</f>
        <v/>
      </c>
      <c r="G59" s="365"/>
      <c r="H59" s="93" t="str">
        <f>IF('INPUT DATA'!N55="","",'INPUT DATA'!N55)</f>
        <v/>
      </c>
      <c r="I59" s="137" t="str">
        <f t="shared" ca="1" si="2"/>
        <v/>
      </c>
      <c r="J59" s="115"/>
      <c r="K59" s="182"/>
      <c r="L59" s="183"/>
      <c r="M59" s="183"/>
      <c r="N59" s="183"/>
      <c r="O59" s="183"/>
      <c r="P59" s="183"/>
      <c r="Q59" s="183"/>
      <c r="R59" s="183"/>
      <c r="S59" s="184"/>
      <c r="T59" s="558" t="str">
        <f t="shared" si="0"/>
        <v/>
      </c>
      <c r="U59" s="199" t="str">
        <f t="shared" si="1"/>
        <v/>
      </c>
      <c r="V59" s="91" t="str">
        <f t="shared" si="3"/>
        <v/>
      </c>
      <c r="W59" s="4"/>
      <c r="X59" s="4"/>
      <c r="Y59" s="4"/>
      <c r="Z59" s="4"/>
      <c r="AA59" s="4"/>
      <c r="AB59" s="4"/>
      <c r="AC59" s="4"/>
      <c r="AD59" s="4"/>
      <c r="AE59" s="4"/>
      <c r="AF59" s="4"/>
      <c r="AG59" s="4"/>
    </row>
    <row r="60" spans="1:33" ht="15">
      <c r="A60" s="4"/>
      <c r="B60" s="85">
        <v>46</v>
      </c>
      <c r="C60" s="361" t="str">
        <f>IF('INPUT DATA'!L56="","",'INPUT DATA'!L56)</f>
        <v/>
      </c>
      <c r="D60" s="362"/>
      <c r="E60" s="363"/>
      <c r="F60" s="364" t="str">
        <f>IF('INPUT DATA'!M56="","",'INPUT DATA'!M56)</f>
        <v/>
      </c>
      <c r="G60" s="365"/>
      <c r="H60" s="93" t="str">
        <f>IF('INPUT DATA'!N56="","",'INPUT DATA'!N56)</f>
        <v/>
      </c>
      <c r="I60" s="137" t="str">
        <f t="shared" ca="1" si="2"/>
        <v/>
      </c>
      <c r="J60" s="115"/>
      <c r="K60" s="177"/>
      <c r="L60" s="178"/>
      <c r="M60" s="178"/>
      <c r="N60" s="178"/>
      <c r="O60" s="178"/>
      <c r="P60" s="178"/>
      <c r="Q60" s="178"/>
      <c r="R60" s="178"/>
      <c r="S60" s="179"/>
      <c r="T60" s="558" t="str">
        <f t="shared" si="0"/>
        <v/>
      </c>
      <c r="U60" s="199" t="str">
        <f t="shared" si="1"/>
        <v/>
      </c>
      <c r="V60" s="91" t="str">
        <f t="shared" si="3"/>
        <v/>
      </c>
      <c r="W60" s="4"/>
      <c r="X60" s="4"/>
      <c r="Y60" s="4"/>
      <c r="Z60" s="4"/>
      <c r="AA60" s="4"/>
      <c r="AB60" s="4"/>
      <c r="AC60" s="4"/>
      <c r="AD60" s="4"/>
      <c r="AE60" s="4"/>
      <c r="AF60" s="4"/>
      <c r="AG60" s="4"/>
    </row>
    <row r="61" spans="1:33" ht="15">
      <c r="A61" s="4"/>
      <c r="B61" s="85">
        <v>47</v>
      </c>
      <c r="C61" s="361" t="str">
        <f>IF('INPUT DATA'!L57="","",'INPUT DATA'!L57)</f>
        <v/>
      </c>
      <c r="D61" s="362"/>
      <c r="E61" s="363"/>
      <c r="F61" s="364" t="str">
        <f>IF('INPUT DATA'!M57="","",'INPUT DATA'!M57)</f>
        <v/>
      </c>
      <c r="G61" s="365"/>
      <c r="H61" s="93" t="str">
        <f>IF('INPUT DATA'!N57="","",'INPUT DATA'!N57)</f>
        <v/>
      </c>
      <c r="I61" s="137" t="str">
        <f t="shared" ca="1" si="2"/>
        <v/>
      </c>
      <c r="J61" s="115"/>
      <c r="K61" s="177"/>
      <c r="L61" s="178"/>
      <c r="M61" s="178"/>
      <c r="N61" s="178"/>
      <c r="O61" s="178"/>
      <c r="P61" s="178"/>
      <c r="Q61" s="178"/>
      <c r="R61" s="178"/>
      <c r="S61" s="179"/>
      <c r="T61" s="558" t="str">
        <f t="shared" si="0"/>
        <v/>
      </c>
      <c r="U61" s="199" t="str">
        <f t="shared" si="1"/>
        <v/>
      </c>
      <c r="V61" s="91" t="str">
        <f t="shared" si="3"/>
        <v/>
      </c>
      <c r="W61" s="4"/>
      <c r="X61" s="4"/>
      <c r="Y61" s="4"/>
      <c r="Z61" s="4"/>
      <c r="AA61" s="4"/>
      <c r="AB61" s="4"/>
      <c r="AC61" s="4"/>
      <c r="AD61" s="4"/>
      <c r="AE61" s="4"/>
      <c r="AF61" s="4"/>
      <c r="AG61" s="4"/>
    </row>
    <row r="62" spans="1:33" ht="15">
      <c r="A62" s="4"/>
      <c r="B62" s="85">
        <v>48</v>
      </c>
      <c r="C62" s="361" t="str">
        <f>IF('INPUT DATA'!L58="","",'INPUT DATA'!L58)</f>
        <v/>
      </c>
      <c r="D62" s="362"/>
      <c r="E62" s="363"/>
      <c r="F62" s="364" t="str">
        <f>IF('INPUT DATA'!M58="","",'INPUT DATA'!M58)</f>
        <v/>
      </c>
      <c r="G62" s="365"/>
      <c r="H62" s="93" t="str">
        <f>IF('INPUT DATA'!N58="","",'INPUT DATA'!N58)</f>
        <v/>
      </c>
      <c r="I62" s="137" t="str">
        <f t="shared" ca="1" si="2"/>
        <v/>
      </c>
      <c r="J62" s="115"/>
      <c r="K62" s="177"/>
      <c r="L62" s="178"/>
      <c r="M62" s="178"/>
      <c r="N62" s="178"/>
      <c r="O62" s="178"/>
      <c r="P62" s="178"/>
      <c r="Q62" s="178"/>
      <c r="R62" s="178"/>
      <c r="S62" s="179"/>
      <c r="T62" s="558" t="str">
        <f t="shared" si="0"/>
        <v/>
      </c>
      <c r="U62" s="199" t="str">
        <f t="shared" si="1"/>
        <v/>
      </c>
      <c r="V62" s="91" t="str">
        <f t="shared" si="3"/>
        <v/>
      </c>
      <c r="W62" s="4"/>
      <c r="X62" s="4"/>
      <c r="Y62" s="4"/>
      <c r="Z62" s="4"/>
      <c r="AA62" s="4"/>
      <c r="AB62" s="4"/>
      <c r="AC62" s="4"/>
      <c r="AD62" s="4"/>
      <c r="AE62" s="4"/>
      <c r="AF62" s="4"/>
      <c r="AG62" s="4"/>
    </row>
    <row r="63" spans="1:33" ht="15">
      <c r="A63" s="4"/>
      <c r="B63" s="85">
        <v>49</v>
      </c>
      <c r="C63" s="361" t="str">
        <f>IF('INPUT DATA'!L59="","",'INPUT DATA'!L59)</f>
        <v/>
      </c>
      <c r="D63" s="362"/>
      <c r="E63" s="363"/>
      <c r="F63" s="364" t="str">
        <f>IF('INPUT DATA'!M59="","",'INPUT DATA'!M59)</f>
        <v/>
      </c>
      <c r="G63" s="365"/>
      <c r="H63" s="93" t="str">
        <f>IF('INPUT DATA'!N59="","",'INPUT DATA'!N59)</f>
        <v/>
      </c>
      <c r="I63" s="137" t="str">
        <f t="shared" ca="1" si="2"/>
        <v/>
      </c>
      <c r="J63" s="115"/>
      <c r="K63" s="177"/>
      <c r="L63" s="178"/>
      <c r="M63" s="178"/>
      <c r="N63" s="178"/>
      <c r="O63" s="178"/>
      <c r="P63" s="178"/>
      <c r="Q63" s="178"/>
      <c r="R63" s="178"/>
      <c r="S63" s="179"/>
      <c r="T63" s="558" t="str">
        <f t="shared" si="0"/>
        <v/>
      </c>
      <c r="U63" s="199" t="str">
        <f t="shared" si="1"/>
        <v/>
      </c>
      <c r="V63" s="91" t="str">
        <f t="shared" si="3"/>
        <v/>
      </c>
      <c r="W63" s="4"/>
      <c r="X63" s="4"/>
      <c r="Y63" s="4"/>
      <c r="Z63" s="4"/>
      <c r="AA63" s="4"/>
      <c r="AB63" s="4"/>
      <c r="AC63" s="4"/>
      <c r="AD63" s="4"/>
      <c r="AE63" s="4"/>
      <c r="AF63" s="4"/>
      <c r="AG63" s="4"/>
    </row>
    <row r="64" spans="1:33" ht="15.6" thickBot="1">
      <c r="A64" s="4"/>
      <c r="B64" s="86">
        <v>50</v>
      </c>
      <c r="C64" s="401" t="str">
        <f>IF('INPUT DATA'!L60="","",'INPUT DATA'!L60)</f>
        <v/>
      </c>
      <c r="D64" s="402"/>
      <c r="E64" s="403"/>
      <c r="F64" s="404" t="str">
        <f>IF('INPUT DATA'!M60="","",'INPUT DATA'!M60)</f>
        <v/>
      </c>
      <c r="G64" s="405"/>
      <c r="H64" s="94" t="str">
        <f>IF('INPUT DATA'!N60="","",'INPUT DATA'!N60)</f>
        <v/>
      </c>
      <c r="I64" s="137" t="str">
        <f t="shared" ca="1" si="2"/>
        <v/>
      </c>
      <c r="J64" s="116"/>
      <c r="K64" s="187"/>
      <c r="L64" s="188"/>
      <c r="M64" s="188"/>
      <c r="N64" s="188"/>
      <c r="O64" s="188"/>
      <c r="P64" s="188"/>
      <c r="Q64" s="188"/>
      <c r="R64" s="188"/>
      <c r="S64" s="189"/>
      <c r="T64" s="559" t="str">
        <f t="shared" si="0"/>
        <v/>
      </c>
      <c r="U64" s="200" t="str">
        <f t="shared" si="1"/>
        <v/>
      </c>
      <c r="V64" s="91" t="str">
        <f t="shared" si="3"/>
        <v/>
      </c>
      <c r="W64" s="4"/>
      <c r="X64" s="4"/>
      <c r="Y64" s="4"/>
      <c r="Z64" s="4"/>
      <c r="AA64" s="4"/>
      <c r="AB64" s="4"/>
      <c r="AC64" s="4"/>
      <c r="AD64" s="4"/>
      <c r="AE64" s="4"/>
      <c r="AF64" s="4"/>
      <c r="AG64" s="4"/>
    </row>
    <row r="65" spans="1:33" ht="16.2" thickBot="1">
      <c r="A65" s="4"/>
      <c r="B65" s="88" t="s">
        <v>14</v>
      </c>
      <c r="C65" s="89"/>
      <c r="D65" s="89"/>
      <c r="E65" s="89"/>
      <c r="F65" s="117"/>
      <c r="G65" s="117"/>
      <c r="H65" s="89"/>
      <c r="I65" s="55"/>
      <c r="J65" s="117"/>
      <c r="K65" s="55"/>
      <c r="L65" s="55"/>
      <c r="M65" s="55"/>
      <c r="N65" s="55"/>
      <c r="O65" s="55"/>
      <c r="P65" s="55"/>
      <c r="Q65" s="55"/>
      <c r="R65" s="55"/>
      <c r="S65" s="55"/>
      <c r="T65" s="117"/>
      <c r="U65" s="117"/>
      <c r="V65" s="56"/>
      <c r="W65" s="4"/>
      <c r="X65" s="4"/>
      <c r="Y65" s="4"/>
      <c r="Z65" s="4"/>
      <c r="AA65" s="4"/>
      <c r="AB65" s="4"/>
      <c r="AC65" s="4"/>
      <c r="AD65" s="4"/>
      <c r="AE65" s="4"/>
      <c r="AF65" s="4"/>
      <c r="AG65" s="4"/>
    </row>
    <row r="66" spans="1:33" ht="15">
      <c r="A66" s="4"/>
      <c r="B66" s="83">
        <v>1</v>
      </c>
      <c r="C66" s="393" t="str">
        <f>IF('INPUT DATA'!Q11="","",'INPUT DATA'!Q11)</f>
        <v/>
      </c>
      <c r="D66" s="394"/>
      <c r="E66" s="394"/>
      <c r="F66" s="395" t="str">
        <f>IF('INPUT DATA'!R11="","",'INPUT DATA'!R11)</f>
        <v/>
      </c>
      <c r="G66" s="396"/>
      <c r="H66" s="147" t="str">
        <f>IF('INPUT DATA'!S11="","",'INPUT DATA'!S11)</f>
        <v/>
      </c>
      <c r="I66" s="113" t="str">
        <f ca="1">IF(H66="","",DATEDIF(H66,TODAY(),"Y"))</f>
        <v/>
      </c>
      <c r="J66" s="125"/>
      <c r="K66" s="171"/>
      <c r="L66" s="172"/>
      <c r="M66" s="172"/>
      <c r="N66" s="172"/>
      <c r="O66" s="172"/>
      <c r="P66" s="173"/>
      <c r="Q66" s="173"/>
      <c r="R66" s="173"/>
      <c r="S66" s="173"/>
      <c r="T66" s="174"/>
      <c r="U66" s="198" t="str">
        <f t="shared" si="1"/>
        <v/>
      </c>
      <c r="V66" s="91" t="str">
        <f>IF(U66="","",_xlfn.RANK.AVG(U66,$U$15:$U$115))</f>
        <v/>
      </c>
      <c r="W66" s="4"/>
      <c r="X66" s="4"/>
      <c r="Y66" s="4"/>
      <c r="Z66" s="4"/>
      <c r="AA66" s="4"/>
      <c r="AB66" s="4"/>
      <c r="AC66" s="4"/>
      <c r="AD66" s="4"/>
      <c r="AE66" s="4"/>
      <c r="AF66" s="4"/>
      <c r="AG66" s="4"/>
    </row>
    <row r="67" spans="1:33" ht="15">
      <c r="A67" s="4"/>
      <c r="B67" s="84">
        <v>2</v>
      </c>
      <c r="C67" s="397" t="str">
        <f>IF('INPUT DATA'!Q12="","",'INPUT DATA'!Q12)</f>
        <v/>
      </c>
      <c r="D67" s="398"/>
      <c r="E67" s="398"/>
      <c r="F67" s="399" t="str">
        <f>IF('INPUT DATA'!R12="","",'INPUT DATA'!R12)</f>
        <v/>
      </c>
      <c r="G67" s="400"/>
      <c r="H67" s="148" t="str">
        <f>IF('INPUT DATA'!S12="","",'INPUT DATA'!S12)</f>
        <v/>
      </c>
      <c r="I67" s="137" t="str">
        <f ca="1">IF(H67="","",DATEDIF(H67,TODAY(),"Y"))</f>
        <v/>
      </c>
      <c r="J67" s="126"/>
      <c r="K67" s="177"/>
      <c r="L67" s="178"/>
      <c r="M67" s="178"/>
      <c r="N67" s="178"/>
      <c r="O67" s="178"/>
      <c r="P67" s="179"/>
      <c r="Q67" s="179"/>
      <c r="R67" s="179"/>
      <c r="S67" s="179"/>
      <c r="T67" s="180"/>
      <c r="U67" s="199" t="str">
        <f t="shared" si="1"/>
        <v/>
      </c>
      <c r="V67" s="91" t="str">
        <f>IF(U67="","",_xlfn.RANK.AVG(U67,$U$15:$U$115))</f>
        <v/>
      </c>
      <c r="W67" s="4"/>
      <c r="X67" s="4"/>
      <c r="Y67" s="4"/>
      <c r="Z67" s="4"/>
      <c r="AA67" s="4"/>
      <c r="AB67" s="4"/>
      <c r="AC67" s="4"/>
      <c r="AD67" s="4"/>
      <c r="AE67" s="4"/>
      <c r="AF67" s="4"/>
      <c r="AG67" s="4"/>
    </row>
    <row r="68" spans="1:33" ht="15">
      <c r="A68" s="4"/>
      <c r="B68" s="84">
        <v>3</v>
      </c>
      <c r="C68" s="397" t="str">
        <f>IF('INPUT DATA'!Q13="","",'INPUT DATA'!Q13)</f>
        <v/>
      </c>
      <c r="D68" s="398"/>
      <c r="E68" s="398"/>
      <c r="F68" s="399" t="str">
        <f>IF('INPUT DATA'!R13="","",'INPUT DATA'!R13)</f>
        <v/>
      </c>
      <c r="G68" s="400"/>
      <c r="H68" s="148" t="str">
        <f>IF('INPUT DATA'!S13="","",'INPUT DATA'!S13)</f>
        <v/>
      </c>
      <c r="I68" s="137" t="str">
        <f t="shared" ref="I68:I115" ca="1" si="4">IF(H68="","",DATEDIF(H68,TODAY(),"Y"))</f>
        <v/>
      </c>
      <c r="J68" s="126"/>
      <c r="K68" s="177"/>
      <c r="L68" s="178"/>
      <c r="M68" s="178"/>
      <c r="N68" s="178"/>
      <c r="O68" s="178"/>
      <c r="P68" s="179"/>
      <c r="Q68" s="179"/>
      <c r="R68" s="179"/>
      <c r="S68" s="179"/>
      <c r="T68" s="180"/>
      <c r="U68" s="199" t="str">
        <f t="shared" si="1"/>
        <v/>
      </c>
      <c r="V68" s="91" t="str">
        <f t="shared" ref="V68:V115" si="5">IF(U68="","",_xlfn.RANK.AVG(U68,$U$15:$U$115))</f>
        <v/>
      </c>
      <c r="W68" s="4"/>
      <c r="X68" s="4"/>
      <c r="Y68" s="4"/>
      <c r="Z68" s="4"/>
      <c r="AA68" s="4"/>
      <c r="AB68" s="4"/>
      <c r="AC68" s="4"/>
      <c r="AD68" s="4"/>
      <c r="AE68" s="4"/>
      <c r="AF68" s="4"/>
      <c r="AG68" s="4"/>
    </row>
    <row r="69" spans="1:33" ht="15">
      <c r="A69" s="4"/>
      <c r="B69" s="84">
        <v>4</v>
      </c>
      <c r="C69" s="397" t="str">
        <f>IF('INPUT DATA'!Q14="","",'INPUT DATA'!Q14)</f>
        <v/>
      </c>
      <c r="D69" s="398"/>
      <c r="E69" s="398"/>
      <c r="F69" s="399" t="str">
        <f>IF('INPUT DATA'!R14="","",'INPUT DATA'!R14)</f>
        <v/>
      </c>
      <c r="G69" s="400"/>
      <c r="H69" s="148" t="str">
        <f>IF('INPUT DATA'!S14="","",'INPUT DATA'!S14)</f>
        <v/>
      </c>
      <c r="I69" s="137" t="str">
        <f t="shared" ca="1" si="4"/>
        <v/>
      </c>
      <c r="J69" s="115"/>
      <c r="K69" s="177"/>
      <c r="L69" s="178"/>
      <c r="M69" s="178"/>
      <c r="N69" s="178"/>
      <c r="O69" s="178"/>
      <c r="P69" s="179"/>
      <c r="Q69" s="179"/>
      <c r="R69" s="179"/>
      <c r="S69" s="179"/>
      <c r="T69" s="180"/>
      <c r="U69" s="199" t="str">
        <f t="shared" si="1"/>
        <v/>
      </c>
      <c r="V69" s="91" t="str">
        <f t="shared" si="5"/>
        <v/>
      </c>
      <c r="W69" s="4"/>
      <c r="X69" s="4"/>
      <c r="Y69" s="4"/>
      <c r="Z69" s="4"/>
      <c r="AA69" s="4"/>
      <c r="AB69" s="4"/>
      <c r="AC69" s="4"/>
      <c r="AD69" s="4"/>
      <c r="AE69" s="4"/>
      <c r="AF69" s="4"/>
      <c r="AG69" s="4"/>
    </row>
    <row r="70" spans="1:33" ht="15">
      <c r="A70" s="4"/>
      <c r="B70" s="84">
        <v>5</v>
      </c>
      <c r="C70" s="397" t="str">
        <f>IF('INPUT DATA'!Q15="","",'INPUT DATA'!Q15)</f>
        <v/>
      </c>
      <c r="D70" s="398"/>
      <c r="E70" s="398"/>
      <c r="F70" s="399" t="str">
        <f>IF('INPUT DATA'!R15="","",'INPUT DATA'!R15)</f>
        <v/>
      </c>
      <c r="G70" s="400"/>
      <c r="H70" s="148" t="str">
        <f>IF('INPUT DATA'!S15="","",'INPUT DATA'!S15)</f>
        <v/>
      </c>
      <c r="I70" s="137" t="str">
        <f t="shared" ca="1" si="4"/>
        <v/>
      </c>
      <c r="J70" s="115"/>
      <c r="K70" s="177"/>
      <c r="L70" s="178"/>
      <c r="M70" s="178"/>
      <c r="N70" s="178"/>
      <c r="O70" s="178"/>
      <c r="P70" s="179"/>
      <c r="Q70" s="179"/>
      <c r="R70" s="179"/>
      <c r="S70" s="179"/>
      <c r="T70" s="180"/>
      <c r="U70" s="199" t="str">
        <f t="shared" si="1"/>
        <v/>
      </c>
      <c r="V70" s="91" t="str">
        <f t="shared" si="5"/>
        <v/>
      </c>
      <c r="W70" s="4"/>
      <c r="X70" s="4"/>
      <c r="Y70" s="4"/>
      <c r="Z70" s="4"/>
      <c r="AA70" s="4"/>
      <c r="AB70" s="4"/>
      <c r="AC70" s="4"/>
      <c r="AD70" s="4"/>
      <c r="AE70" s="4"/>
      <c r="AF70" s="4"/>
      <c r="AG70" s="4"/>
    </row>
    <row r="71" spans="1:33" ht="15">
      <c r="A71" s="4"/>
      <c r="B71" s="84">
        <v>6</v>
      </c>
      <c r="C71" s="397" t="str">
        <f>IF('INPUT DATA'!Q16="","",'INPUT DATA'!Q16)</f>
        <v/>
      </c>
      <c r="D71" s="398"/>
      <c r="E71" s="398"/>
      <c r="F71" s="399" t="str">
        <f>IF('INPUT DATA'!R16="","",'INPUT DATA'!R16)</f>
        <v/>
      </c>
      <c r="G71" s="400"/>
      <c r="H71" s="148" t="str">
        <f>IF('INPUT DATA'!S16="","",'INPUT DATA'!S16)</f>
        <v/>
      </c>
      <c r="I71" s="137" t="str">
        <f t="shared" ca="1" si="4"/>
        <v/>
      </c>
      <c r="J71" s="115"/>
      <c r="K71" s="177"/>
      <c r="L71" s="178"/>
      <c r="M71" s="178"/>
      <c r="N71" s="178"/>
      <c r="O71" s="178"/>
      <c r="P71" s="179"/>
      <c r="Q71" s="179"/>
      <c r="R71" s="179"/>
      <c r="S71" s="179"/>
      <c r="T71" s="180"/>
      <c r="U71" s="199" t="str">
        <f t="shared" si="1"/>
        <v/>
      </c>
      <c r="V71" s="91" t="str">
        <f t="shared" si="5"/>
        <v/>
      </c>
      <c r="W71" s="4"/>
      <c r="X71" s="4"/>
      <c r="Y71" s="4"/>
      <c r="Z71" s="4"/>
      <c r="AA71" s="4"/>
      <c r="AB71" s="4"/>
      <c r="AC71" s="4"/>
      <c r="AD71" s="4"/>
      <c r="AE71" s="4"/>
      <c r="AF71" s="4"/>
      <c r="AG71" s="4"/>
    </row>
    <row r="72" spans="1:33" ht="15">
      <c r="A72" s="4"/>
      <c r="B72" s="84">
        <v>7</v>
      </c>
      <c r="C72" s="397" t="str">
        <f>IF('INPUT DATA'!Q17="","",'INPUT DATA'!Q17)</f>
        <v/>
      </c>
      <c r="D72" s="398"/>
      <c r="E72" s="398"/>
      <c r="F72" s="399" t="str">
        <f>IF('INPUT DATA'!R17="","",'INPUT DATA'!R17)</f>
        <v/>
      </c>
      <c r="G72" s="400"/>
      <c r="H72" s="148" t="str">
        <f>IF('INPUT DATA'!S17="","",'INPUT DATA'!S17)</f>
        <v/>
      </c>
      <c r="I72" s="137" t="str">
        <f t="shared" ca="1" si="4"/>
        <v/>
      </c>
      <c r="J72" s="115"/>
      <c r="K72" s="177"/>
      <c r="L72" s="178"/>
      <c r="M72" s="178"/>
      <c r="N72" s="178"/>
      <c r="O72" s="178"/>
      <c r="P72" s="179"/>
      <c r="Q72" s="179"/>
      <c r="R72" s="179"/>
      <c r="S72" s="179"/>
      <c r="T72" s="180"/>
      <c r="U72" s="199" t="str">
        <f t="shared" si="1"/>
        <v/>
      </c>
      <c r="V72" s="91" t="str">
        <f t="shared" si="5"/>
        <v/>
      </c>
      <c r="W72" s="4"/>
      <c r="X72" s="4"/>
      <c r="Y72" s="4"/>
      <c r="Z72" s="4"/>
      <c r="AA72" s="4"/>
      <c r="AB72" s="4"/>
      <c r="AC72" s="4"/>
      <c r="AD72" s="4"/>
      <c r="AE72" s="4"/>
      <c r="AF72" s="4"/>
      <c r="AG72" s="4"/>
    </row>
    <row r="73" spans="1:33" ht="15">
      <c r="A73" s="4"/>
      <c r="B73" s="84">
        <v>8</v>
      </c>
      <c r="C73" s="397" t="str">
        <f>IF('INPUT DATA'!Q18="","",'INPUT DATA'!Q18)</f>
        <v/>
      </c>
      <c r="D73" s="398"/>
      <c r="E73" s="398"/>
      <c r="F73" s="399" t="str">
        <f>IF('INPUT DATA'!R18="","",'INPUT DATA'!R18)</f>
        <v/>
      </c>
      <c r="G73" s="400"/>
      <c r="H73" s="148" t="str">
        <f>IF('INPUT DATA'!S18="","",'INPUT DATA'!S18)</f>
        <v/>
      </c>
      <c r="I73" s="137" t="str">
        <f t="shared" ca="1" si="4"/>
        <v/>
      </c>
      <c r="J73" s="115"/>
      <c r="K73" s="177"/>
      <c r="L73" s="178"/>
      <c r="M73" s="178"/>
      <c r="N73" s="178"/>
      <c r="O73" s="178"/>
      <c r="P73" s="179"/>
      <c r="Q73" s="179"/>
      <c r="R73" s="179"/>
      <c r="S73" s="179"/>
      <c r="T73" s="180"/>
      <c r="U73" s="199" t="str">
        <f t="shared" si="1"/>
        <v/>
      </c>
      <c r="V73" s="91" t="str">
        <f t="shared" si="5"/>
        <v/>
      </c>
      <c r="W73" s="4"/>
      <c r="X73" s="4"/>
      <c r="Y73" s="4"/>
      <c r="Z73" s="4"/>
      <c r="AA73" s="4"/>
      <c r="AB73" s="4"/>
      <c r="AC73" s="4"/>
      <c r="AD73" s="4"/>
      <c r="AE73" s="4"/>
      <c r="AF73" s="4"/>
      <c r="AG73" s="4"/>
    </row>
    <row r="74" spans="1:33" ht="15">
      <c r="A74" s="4"/>
      <c r="B74" s="84">
        <v>9</v>
      </c>
      <c r="C74" s="397" t="str">
        <f>IF('INPUT DATA'!Q19="","",'INPUT DATA'!Q19)</f>
        <v/>
      </c>
      <c r="D74" s="398"/>
      <c r="E74" s="398"/>
      <c r="F74" s="399" t="str">
        <f>IF('INPUT DATA'!R19="","",'INPUT DATA'!R19)</f>
        <v/>
      </c>
      <c r="G74" s="400"/>
      <c r="H74" s="148" t="str">
        <f>IF('INPUT DATA'!S19="","",'INPUT DATA'!S19)</f>
        <v/>
      </c>
      <c r="I74" s="137" t="str">
        <f t="shared" ca="1" si="4"/>
        <v/>
      </c>
      <c r="J74" s="115"/>
      <c r="K74" s="177"/>
      <c r="L74" s="178"/>
      <c r="M74" s="178"/>
      <c r="N74" s="178"/>
      <c r="O74" s="178"/>
      <c r="P74" s="179"/>
      <c r="Q74" s="179"/>
      <c r="R74" s="179"/>
      <c r="S74" s="179"/>
      <c r="T74" s="180"/>
      <c r="U74" s="199" t="str">
        <f t="shared" si="1"/>
        <v/>
      </c>
      <c r="V74" s="91" t="str">
        <f t="shared" si="5"/>
        <v/>
      </c>
      <c r="W74" s="4"/>
      <c r="X74" s="4"/>
      <c r="Y74" s="4"/>
      <c r="Z74" s="4"/>
      <c r="AA74" s="4"/>
      <c r="AB74" s="4"/>
      <c r="AC74" s="4"/>
      <c r="AD74" s="4"/>
      <c r="AE74" s="4"/>
      <c r="AF74" s="4"/>
      <c r="AG74" s="4"/>
    </row>
    <row r="75" spans="1:33" ht="15">
      <c r="A75" s="4"/>
      <c r="B75" s="84">
        <v>10</v>
      </c>
      <c r="C75" s="397" t="str">
        <f>IF('INPUT DATA'!Q20="","",'INPUT DATA'!Q20)</f>
        <v/>
      </c>
      <c r="D75" s="398"/>
      <c r="E75" s="398"/>
      <c r="F75" s="399" t="str">
        <f>IF('INPUT DATA'!R20="","",'INPUT DATA'!R20)</f>
        <v/>
      </c>
      <c r="G75" s="400"/>
      <c r="H75" s="148" t="str">
        <f>IF('INPUT DATA'!S20="","",'INPUT DATA'!S20)</f>
        <v/>
      </c>
      <c r="I75" s="137" t="str">
        <f t="shared" ca="1" si="4"/>
        <v/>
      </c>
      <c r="J75" s="115"/>
      <c r="K75" s="177"/>
      <c r="L75" s="178"/>
      <c r="M75" s="178"/>
      <c r="N75" s="178"/>
      <c r="O75" s="178"/>
      <c r="P75" s="179"/>
      <c r="Q75" s="179"/>
      <c r="R75" s="179"/>
      <c r="S75" s="179"/>
      <c r="T75" s="180"/>
      <c r="U75" s="199" t="str">
        <f t="shared" si="1"/>
        <v/>
      </c>
      <c r="V75" s="91" t="str">
        <f t="shared" si="5"/>
        <v/>
      </c>
      <c r="W75" s="4"/>
      <c r="X75" s="4"/>
      <c r="Y75" s="4"/>
      <c r="Z75" s="4"/>
      <c r="AA75" s="4"/>
      <c r="AB75" s="4"/>
      <c r="AC75" s="4"/>
      <c r="AD75" s="4"/>
      <c r="AE75" s="4"/>
      <c r="AF75" s="4"/>
      <c r="AG75" s="4"/>
    </row>
    <row r="76" spans="1:33" ht="15">
      <c r="A76" s="4"/>
      <c r="B76" s="84">
        <v>11</v>
      </c>
      <c r="C76" s="397" t="str">
        <f>IF('INPUT DATA'!Q21="","",'INPUT DATA'!Q21)</f>
        <v/>
      </c>
      <c r="D76" s="398"/>
      <c r="E76" s="398"/>
      <c r="F76" s="399" t="str">
        <f>IF('INPUT DATA'!R21="","",'INPUT DATA'!R21)</f>
        <v/>
      </c>
      <c r="G76" s="400"/>
      <c r="H76" s="148" t="str">
        <f>IF('INPUT DATA'!S21="","",'INPUT DATA'!S21)</f>
        <v/>
      </c>
      <c r="I76" s="137" t="str">
        <f t="shared" ca="1" si="4"/>
        <v/>
      </c>
      <c r="J76" s="115"/>
      <c r="K76" s="177"/>
      <c r="L76" s="178"/>
      <c r="M76" s="178"/>
      <c r="N76" s="178"/>
      <c r="O76" s="178"/>
      <c r="P76" s="179"/>
      <c r="Q76" s="179"/>
      <c r="R76" s="179"/>
      <c r="S76" s="179"/>
      <c r="T76" s="180"/>
      <c r="U76" s="199" t="str">
        <f t="shared" si="1"/>
        <v/>
      </c>
      <c r="V76" s="91" t="str">
        <f t="shared" si="5"/>
        <v/>
      </c>
      <c r="W76" s="4"/>
      <c r="X76" s="4"/>
      <c r="Y76" s="4"/>
      <c r="Z76" s="4"/>
      <c r="AA76" s="4"/>
      <c r="AB76" s="4"/>
      <c r="AC76" s="4"/>
      <c r="AD76" s="4"/>
      <c r="AE76" s="4"/>
      <c r="AF76" s="4"/>
      <c r="AG76" s="4"/>
    </row>
    <row r="77" spans="1:33" ht="15">
      <c r="A77" s="4"/>
      <c r="B77" s="84">
        <v>12</v>
      </c>
      <c r="C77" s="397" t="str">
        <f>IF('INPUT DATA'!Q22="","",'INPUT DATA'!Q22)</f>
        <v/>
      </c>
      <c r="D77" s="398"/>
      <c r="E77" s="398"/>
      <c r="F77" s="399" t="str">
        <f>IF('INPUT DATA'!R22="","",'INPUT DATA'!R22)</f>
        <v/>
      </c>
      <c r="G77" s="400"/>
      <c r="H77" s="148" t="str">
        <f>IF('INPUT DATA'!S22="","",'INPUT DATA'!S22)</f>
        <v/>
      </c>
      <c r="I77" s="137" t="str">
        <f t="shared" ca="1" si="4"/>
        <v/>
      </c>
      <c r="J77" s="115"/>
      <c r="K77" s="177"/>
      <c r="L77" s="178"/>
      <c r="M77" s="178"/>
      <c r="N77" s="178"/>
      <c r="O77" s="178"/>
      <c r="P77" s="179"/>
      <c r="Q77" s="179"/>
      <c r="R77" s="179"/>
      <c r="S77" s="179"/>
      <c r="T77" s="180"/>
      <c r="U77" s="199" t="str">
        <f t="shared" si="1"/>
        <v/>
      </c>
      <c r="V77" s="91" t="str">
        <f t="shared" si="5"/>
        <v/>
      </c>
      <c r="W77" s="4"/>
      <c r="X77" s="4"/>
      <c r="Y77" s="4"/>
      <c r="Z77" s="4"/>
      <c r="AA77" s="4"/>
      <c r="AB77" s="4"/>
      <c r="AC77" s="4"/>
      <c r="AD77" s="4"/>
      <c r="AE77" s="4"/>
      <c r="AF77" s="4"/>
      <c r="AG77" s="4"/>
    </row>
    <row r="78" spans="1:33" ht="15">
      <c r="A78" s="4"/>
      <c r="B78" s="84">
        <v>13</v>
      </c>
      <c r="C78" s="397" t="str">
        <f>IF('INPUT DATA'!Q23="","",'INPUT DATA'!Q23)</f>
        <v/>
      </c>
      <c r="D78" s="398"/>
      <c r="E78" s="398"/>
      <c r="F78" s="399" t="str">
        <f>IF('INPUT DATA'!R23="","",'INPUT DATA'!R23)</f>
        <v/>
      </c>
      <c r="G78" s="400"/>
      <c r="H78" s="148" t="str">
        <f>IF('INPUT DATA'!S23="","",'INPUT DATA'!S23)</f>
        <v/>
      </c>
      <c r="I78" s="137" t="str">
        <f t="shared" ca="1" si="4"/>
        <v/>
      </c>
      <c r="J78" s="115"/>
      <c r="K78" s="177"/>
      <c r="L78" s="178"/>
      <c r="M78" s="178"/>
      <c r="N78" s="178"/>
      <c r="O78" s="178"/>
      <c r="P78" s="179"/>
      <c r="Q78" s="179"/>
      <c r="R78" s="179"/>
      <c r="S78" s="179"/>
      <c r="T78" s="180"/>
      <c r="U78" s="199" t="str">
        <f t="shared" si="1"/>
        <v/>
      </c>
      <c r="V78" s="91" t="str">
        <f t="shared" si="5"/>
        <v/>
      </c>
      <c r="W78" s="4"/>
      <c r="X78" s="4"/>
      <c r="Y78" s="4"/>
      <c r="Z78" s="4"/>
      <c r="AA78" s="4"/>
      <c r="AB78" s="4"/>
      <c r="AC78" s="4"/>
      <c r="AD78" s="4"/>
      <c r="AE78" s="4"/>
      <c r="AF78" s="4"/>
      <c r="AG78" s="4"/>
    </row>
    <row r="79" spans="1:33" ht="15">
      <c r="A79" s="4"/>
      <c r="B79" s="84">
        <v>14</v>
      </c>
      <c r="C79" s="397" t="str">
        <f>IF('INPUT DATA'!Q24="","",'INPUT DATA'!Q24)</f>
        <v/>
      </c>
      <c r="D79" s="398"/>
      <c r="E79" s="398"/>
      <c r="F79" s="399" t="str">
        <f>IF('INPUT DATA'!R24="","",'INPUT DATA'!R24)</f>
        <v/>
      </c>
      <c r="G79" s="400"/>
      <c r="H79" s="148" t="str">
        <f>IF('INPUT DATA'!S24="","",'INPUT DATA'!S24)</f>
        <v/>
      </c>
      <c r="I79" s="137" t="str">
        <f t="shared" ca="1" si="4"/>
        <v/>
      </c>
      <c r="J79" s="115"/>
      <c r="K79" s="177"/>
      <c r="L79" s="178"/>
      <c r="M79" s="178"/>
      <c r="N79" s="178"/>
      <c r="O79" s="178"/>
      <c r="P79" s="179"/>
      <c r="Q79" s="179"/>
      <c r="R79" s="179"/>
      <c r="S79" s="179"/>
      <c r="T79" s="180"/>
      <c r="U79" s="199" t="str">
        <f t="shared" si="1"/>
        <v/>
      </c>
      <c r="V79" s="91" t="str">
        <f t="shared" si="5"/>
        <v/>
      </c>
      <c r="W79" s="4"/>
      <c r="X79" s="4"/>
      <c r="Y79" s="4"/>
      <c r="Z79" s="4"/>
      <c r="AA79" s="4"/>
      <c r="AB79" s="4"/>
      <c r="AC79" s="4"/>
      <c r="AD79" s="4"/>
      <c r="AE79" s="4"/>
      <c r="AF79" s="4"/>
      <c r="AG79" s="4"/>
    </row>
    <row r="80" spans="1:33" ht="15">
      <c r="A80" s="4"/>
      <c r="B80" s="84">
        <v>15</v>
      </c>
      <c r="C80" s="397" t="str">
        <f>IF('INPUT DATA'!Q25="","",'INPUT DATA'!Q25)</f>
        <v/>
      </c>
      <c r="D80" s="398"/>
      <c r="E80" s="398"/>
      <c r="F80" s="399" t="str">
        <f>IF('INPUT DATA'!R25="","",'INPUT DATA'!R25)</f>
        <v/>
      </c>
      <c r="G80" s="400"/>
      <c r="H80" s="148" t="str">
        <f>IF('INPUT DATA'!S25="","",'INPUT DATA'!S25)</f>
        <v/>
      </c>
      <c r="I80" s="137" t="str">
        <f t="shared" ca="1" si="4"/>
        <v/>
      </c>
      <c r="J80" s="115"/>
      <c r="K80" s="177"/>
      <c r="L80" s="178"/>
      <c r="M80" s="178"/>
      <c r="N80" s="178"/>
      <c r="O80" s="178"/>
      <c r="P80" s="179"/>
      <c r="Q80" s="179"/>
      <c r="R80" s="179"/>
      <c r="S80" s="179"/>
      <c r="T80" s="180"/>
      <c r="U80" s="199" t="str">
        <f t="shared" ref="U80:U115" si="6">IF(COUNT(K80:Q80,T80)=0,"",ROUND(AVERAGE(K80:Q80,T80),0))</f>
        <v/>
      </c>
      <c r="V80" s="91" t="str">
        <f t="shared" si="5"/>
        <v/>
      </c>
      <c r="W80" s="4"/>
      <c r="X80" s="4"/>
      <c r="Y80" s="4"/>
      <c r="Z80" s="4"/>
      <c r="AA80" s="4"/>
      <c r="AB80" s="4"/>
      <c r="AC80" s="4"/>
      <c r="AD80" s="4"/>
      <c r="AE80" s="4"/>
      <c r="AF80" s="4"/>
      <c r="AG80" s="4"/>
    </row>
    <row r="81" spans="1:33" ht="15">
      <c r="A81" s="4"/>
      <c r="B81" s="84">
        <v>16</v>
      </c>
      <c r="C81" s="397" t="str">
        <f>IF('INPUT DATA'!Q26="","",'INPUT DATA'!Q26)</f>
        <v/>
      </c>
      <c r="D81" s="398"/>
      <c r="E81" s="398"/>
      <c r="F81" s="399" t="str">
        <f>IF('INPUT DATA'!R26="","",'INPUT DATA'!R26)</f>
        <v/>
      </c>
      <c r="G81" s="400"/>
      <c r="H81" s="148" t="str">
        <f>IF('INPUT DATA'!S26="","",'INPUT DATA'!S26)</f>
        <v/>
      </c>
      <c r="I81" s="137" t="str">
        <f t="shared" ca="1" si="4"/>
        <v/>
      </c>
      <c r="J81" s="115"/>
      <c r="K81" s="177"/>
      <c r="L81" s="178"/>
      <c r="M81" s="178"/>
      <c r="N81" s="178"/>
      <c r="O81" s="178"/>
      <c r="P81" s="179"/>
      <c r="Q81" s="179"/>
      <c r="R81" s="179"/>
      <c r="S81" s="179"/>
      <c r="T81" s="180"/>
      <c r="U81" s="199" t="str">
        <f t="shared" si="6"/>
        <v/>
      </c>
      <c r="V81" s="91" t="str">
        <f t="shared" si="5"/>
        <v/>
      </c>
      <c r="W81" s="4"/>
      <c r="X81" s="4"/>
      <c r="Y81" s="4"/>
      <c r="Z81" s="4"/>
      <c r="AA81" s="4"/>
      <c r="AB81" s="4"/>
      <c r="AC81" s="4"/>
      <c r="AD81" s="4"/>
      <c r="AE81" s="4"/>
      <c r="AF81" s="4"/>
      <c r="AG81" s="4"/>
    </row>
    <row r="82" spans="1:33" ht="15">
      <c r="A82" s="4"/>
      <c r="B82" s="84">
        <v>17</v>
      </c>
      <c r="C82" s="397" t="str">
        <f>IF('INPUT DATA'!Q27="","",'INPUT DATA'!Q27)</f>
        <v/>
      </c>
      <c r="D82" s="398"/>
      <c r="E82" s="398"/>
      <c r="F82" s="399" t="str">
        <f>IF('INPUT DATA'!R27="","",'INPUT DATA'!R27)</f>
        <v/>
      </c>
      <c r="G82" s="400"/>
      <c r="H82" s="148" t="str">
        <f>IF('INPUT DATA'!S27="","",'INPUT DATA'!S27)</f>
        <v/>
      </c>
      <c r="I82" s="137" t="str">
        <f t="shared" ca="1" si="4"/>
        <v/>
      </c>
      <c r="J82" s="115"/>
      <c r="K82" s="177"/>
      <c r="L82" s="178"/>
      <c r="M82" s="178"/>
      <c r="N82" s="178"/>
      <c r="O82" s="178"/>
      <c r="P82" s="179"/>
      <c r="Q82" s="179"/>
      <c r="R82" s="179"/>
      <c r="S82" s="179"/>
      <c r="T82" s="180"/>
      <c r="U82" s="199" t="str">
        <f t="shared" si="6"/>
        <v/>
      </c>
      <c r="V82" s="91" t="str">
        <f t="shared" si="5"/>
        <v/>
      </c>
      <c r="W82" s="4"/>
      <c r="X82" s="4"/>
      <c r="Y82" s="4"/>
      <c r="Z82" s="4"/>
      <c r="AA82" s="4"/>
      <c r="AB82" s="4"/>
      <c r="AC82" s="4"/>
      <c r="AD82" s="4"/>
      <c r="AE82" s="4"/>
      <c r="AF82" s="4"/>
      <c r="AG82" s="4"/>
    </row>
    <row r="83" spans="1:33" ht="15">
      <c r="A83" s="4"/>
      <c r="B83" s="84">
        <v>18</v>
      </c>
      <c r="C83" s="397" t="str">
        <f>IF('INPUT DATA'!Q28="","",'INPUT DATA'!Q28)</f>
        <v/>
      </c>
      <c r="D83" s="398"/>
      <c r="E83" s="398"/>
      <c r="F83" s="399" t="str">
        <f>IF('INPUT DATA'!R28="","",'INPUT DATA'!R28)</f>
        <v/>
      </c>
      <c r="G83" s="400"/>
      <c r="H83" s="148" t="str">
        <f>IF('INPUT DATA'!S28="","",'INPUT DATA'!S28)</f>
        <v/>
      </c>
      <c r="I83" s="137" t="str">
        <f t="shared" ca="1" si="4"/>
        <v/>
      </c>
      <c r="J83" s="115"/>
      <c r="K83" s="177"/>
      <c r="L83" s="178"/>
      <c r="M83" s="178"/>
      <c r="N83" s="178"/>
      <c r="O83" s="178"/>
      <c r="P83" s="179"/>
      <c r="Q83" s="179"/>
      <c r="R83" s="179"/>
      <c r="S83" s="179"/>
      <c r="T83" s="180"/>
      <c r="U83" s="199" t="str">
        <f t="shared" si="6"/>
        <v/>
      </c>
      <c r="V83" s="91" t="str">
        <f t="shared" si="5"/>
        <v/>
      </c>
      <c r="W83" s="4"/>
      <c r="X83" s="4"/>
      <c r="Y83" s="4"/>
      <c r="Z83" s="4"/>
      <c r="AA83" s="4"/>
      <c r="AB83" s="4"/>
      <c r="AC83" s="4"/>
      <c r="AD83" s="4"/>
      <c r="AE83" s="4"/>
      <c r="AF83" s="4"/>
      <c r="AG83" s="4"/>
    </row>
    <row r="84" spans="1:33" ht="15">
      <c r="A84" s="4"/>
      <c r="B84" s="84">
        <v>19</v>
      </c>
      <c r="C84" s="397" t="str">
        <f>IF('INPUT DATA'!Q29="","",'INPUT DATA'!Q29)</f>
        <v/>
      </c>
      <c r="D84" s="398"/>
      <c r="E84" s="398"/>
      <c r="F84" s="399" t="str">
        <f>IF('INPUT DATA'!R29="","",'INPUT DATA'!R29)</f>
        <v/>
      </c>
      <c r="G84" s="400"/>
      <c r="H84" s="148" t="str">
        <f>IF('INPUT DATA'!S29="","",'INPUT DATA'!S29)</f>
        <v/>
      </c>
      <c r="I84" s="137" t="str">
        <f t="shared" ca="1" si="4"/>
        <v/>
      </c>
      <c r="J84" s="115"/>
      <c r="K84" s="177"/>
      <c r="L84" s="178"/>
      <c r="M84" s="178"/>
      <c r="N84" s="178"/>
      <c r="O84" s="178"/>
      <c r="P84" s="179"/>
      <c r="Q84" s="179"/>
      <c r="R84" s="179"/>
      <c r="S84" s="179"/>
      <c r="T84" s="180"/>
      <c r="U84" s="199" t="str">
        <f t="shared" si="6"/>
        <v/>
      </c>
      <c r="V84" s="91" t="str">
        <f t="shared" si="5"/>
        <v/>
      </c>
      <c r="W84" s="4"/>
      <c r="X84" s="4"/>
      <c r="Y84" s="4"/>
      <c r="Z84" s="4"/>
      <c r="AA84" s="4"/>
      <c r="AB84" s="4"/>
      <c r="AC84" s="4"/>
      <c r="AD84" s="4"/>
      <c r="AE84" s="4"/>
      <c r="AF84" s="4"/>
      <c r="AG84" s="4"/>
    </row>
    <row r="85" spans="1:33" ht="15">
      <c r="A85" s="4"/>
      <c r="B85" s="85">
        <v>20</v>
      </c>
      <c r="C85" s="397" t="str">
        <f>IF('INPUT DATA'!Q30="","",'INPUT DATA'!Q30)</f>
        <v/>
      </c>
      <c r="D85" s="398"/>
      <c r="E85" s="398"/>
      <c r="F85" s="399" t="str">
        <f>IF('INPUT DATA'!R30="","",'INPUT DATA'!R30)</f>
        <v/>
      </c>
      <c r="G85" s="400"/>
      <c r="H85" s="148" t="str">
        <f>IF('INPUT DATA'!S30="","",'INPUT DATA'!S30)</f>
        <v/>
      </c>
      <c r="I85" s="137" t="str">
        <f t="shared" ca="1" si="4"/>
        <v/>
      </c>
      <c r="J85" s="115"/>
      <c r="K85" s="182"/>
      <c r="L85" s="183"/>
      <c r="M85" s="183"/>
      <c r="N85" s="183"/>
      <c r="O85" s="183"/>
      <c r="P85" s="184"/>
      <c r="Q85" s="184"/>
      <c r="R85" s="184"/>
      <c r="S85" s="184"/>
      <c r="T85" s="180"/>
      <c r="U85" s="199" t="str">
        <f t="shared" si="6"/>
        <v/>
      </c>
      <c r="V85" s="91" t="str">
        <f t="shared" si="5"/>
        <v/>
      </c>
      <c r="W85" s="4"/>
      <c r="X85" s="4"/>
      <c r="Y85" s="4"/>
      <c r="Z85" s="4"/>
      <c r="AA85" s="4"/>
      <c r="AB85" s="4"/>
      <c r="AC85" s="4"/>
      <c r="AD85" s="4"/>
      <c r="AE85" s="4"/>
      <c r="AF85" s="4"/>
      <c r="AG85" s="4"/>
    </row>
    <row r="86" spans="1:33" ht="15">
      <c r="A86" s="4"/>
      <c r="B86" s="85">
        <v>21</v>
      </c>
      <c r="C86" s="397" t="str">
        <f>IF('INPUT DATA'!Q31="","",'INPUT DATA'!Q31)</f>
        <v/>
      </c>
      <c r="D86" s="398"/>
      <c r="E86" s="398"/>
      <c r="F86" s="399" t="str">
        <f>IF('INPUT DATA'!R31="","",'INPUT DATA'!R31)</f>
        <v/>
      </c>
      <c r="G86" s="400"/>
      <c r="H86" s="148" t="str">
        <f>IF('INPUT DATA'!S31="","",'INPUT DATA'!S31)</f>
        <v/>
      </c>
      <c r="I86" s="137" t="str">
        <f t="shared" ca="1" si="4"/>
        <v/>
      </c>
      <c r="J86" s="115"/>
      <c r="K86" s="177"/>
      <c r="L86" s="178"/>
      <c r="M86" s="178"/>
      <c r="N86" s="178"/>
      <c r="O86" s="178"/>
      <c r="P86" s="179"/>
      <c r="Q86" s="179"/>
      <c r="R86" s="179"/>
      <c r="S86" s="179"/>
      <c r="T86" s="180"/>
      <c r="U86" s="199" t="str">
        <f t="shared" si="6"/>
        <v/>
      </c>
      <c r="V86" s="91" t="str">
        <f t="shared" si="5"/>
        <v/>
      </c>
      <c r="W86" s="4"/>
      <c r="X86" s="4"/>
      <c r="Y86" s="4"/>
      <c r="Z86" s="4"/>
      <c r="AA86" s="4"/>
      <c r="AB86" s="4"/>
      <c r="AC86" s="4"/>
      <c r="AD86" s="4"/>
      <c r="AE86" s="4"/>
      <c r="AF86" s="4"/>
      <c r="AG86" s="4"/>
    </row>
    <row r="87" spans="1:33" ht="15">
      <c r="A87" s="4"/>
      <c r="B87" s="85">
        <v>22</v>
      </c>
      <c r="C87" s="397" t="str">
        <f>IF('INPUT DATA'!Q32="","",'INPUT DATA'!Q32)</f>
        <v/>
      </c>
      <c r="D87" s="398"/>
      <c r="E87" s="398"/>
      <c r="F87" s="399" t="str">
        <f>IF('INPUT DATA'!R32="","",'INPUT DATA'!R32)</f>
        <v/>
      </c>
      <c r="G87" s="400"/>
      <c r="H87" s="148" t="str">
        <f>IF('INPUT DATA'!S32="","",'INPUT DATA'!S32)</f>
        <v/>
      </c>
      <c r="I87" s="137" t="str">
        <f t="shared" ca="1" si="4"/>
        <v/>
      </c>
      <c r="J87" s="115"/>
      <c r="K87" s="177"/>
      <c r="L87" s="178"/>
      <c r="M87" s="178"/>
      <c r="N87" s="178"/>
      <c r="O87" s="178"/>
      <c r="P87" s="179"/>
      <c r="Q87" s="179"/>
      <c r="R87" s="179"/>
      <c r="S87" s="179"/>
      <c r="T87" s="180"/>
      <c r="U87" s="199" t="str">
        <f t="shared" si="6"/>
        <v/>
      </c>
      <c r="V87" s="91" t="str">
        <f t="shared" si="5"/>
        <v/>
      </c>
      <c r="W87" s="4"/>
      <c r="X87" s="4"/>
      <c r="Y87" s="4"/>
      <c r="Z87" s="4"/>
      <c r="AA87" s="4"/>
      <c r="AB87" s="4"/>
      <c r="AC87" s="4"/>
      <c r="AD87" s="4"/>
      <c r="AE87" s="4"/>
      <c r="AF87" s="4"/>
      <c r="AG87" s="4"/>
    </row>
    <row r="88" spans="1:33" ht="15">
      <c r="A88" s="4"/>
      <c r="B88" s="85">
        <v>23</v>
      </c>
      <c r="C88" s="397" t="str">
        <f>IF('INPUT DATA'!Q33="","",'INPUT DATA'!Q33)</f>
        <v/>
      </c>
      <c r="D88" s="398"/>
      <c r="E88" s="398"/>
      <c r="F88" s="399" t="str">
        <f>IF('INPUT DATA'!R33="","",'INPUT DATA'!R33)</f>
        <v/>
      </c>
      <c r="G88" s="400"/>
      <c r="H88" s="148" t="str">
        <f>IF('INPUT DATA'!S33="","",'INPUT DATA'!S33)</f>
        <v/>
      </c>
      <c r="I88" s="137" t="str">
        <f t="shared" ca="1" si="4"/>
        <v/>
      </c>
      <c r="J88" s="115"/>
      <c r="K88" s="177"/>
      <c r="L88" s="178"/>
      <c r="M88" s="178"/>
      <c r="N88" s="178"/>
      <c r="O88" s="178"/>
      <c r="P88" s="179"/>
      <c r="Q88" s="179"/>
      <c r="R88" s="179"/>
      <c r="S88" s="179"/>
      <c r="T88" s="180"/>
      <c r="U88" s="199" t="str">
        <f t="shared" si="6"/>
        <v/>
      </c>
      <c r="V88" s="91" t="str">
        <f t="shared" si="5"/>
        <v/>
      </c>
      <c r="W88" s="4"/>
      <c r="X88" s="4"/>
      <c r="Y88" s="4"/>
      <c r="Z88" s="4"/>
      <c r="AA88" s="4"/>
      <c r="AB88" s="4"/>
      <c r="AC88" s="4"/>
      <c r="AD88" s="4"/>
      <c r="AE88" s="4"/>
      <c r="AF88" s="4"/>
      <c r="AG88" s="4"/>
    </row>
    <row r="89" spans="1:33" ht="15">
      <c r="A89" s="4"/>
      <c r="B89" s="85">
        <v>24</v>
      </c>
      <c r="C89" s="397" t="str">
        <f>IF('INPUT DATA'!Q34="","",'INPUT DATA'!Q34)</f>
        <v/>
      </c>
      <c r="D89" s="398"/>
      <c r="E89" s="398"/>
      <c r="F89" s="399" t="str">
        <f>IF('INPUT DATA'!R34="","",'INPUT DATA'!R34)</f>
        <v/>
      </c>
      <c r="G89" s="400"/>
      <c r="H89" s="148" t="str">
        <f>IF('INPUT DATA'!S34="","",'INPUT DATA'!S34)</f>
        <v/>
      </c>
      <c r="I89" s="137" t="str">
        <f t="shared" ca="1" si="4"/>
        <v/>
      </c>
      <c r="J89" s="115"/>
      <c r="K89" s="177"/>
      <c r="L89" s="178"/>
      <c r="M89" s="178"/>
      <c r="N89" s="178"/>
      <c r="O89" s="178"/>
      <c r="P89" s="179"/>
      <c r="Q89" s="179"/>
      <c r="R89" s="179"/>
      <c r="S89" s="179"/>
      <c r="T89" s="180"/>
      <c r="U89" s="199" t="str">
        <f t="shared" si="6"/>
        <v/>
      </c>
      <c r="V89" s="91" t="str">
        <f t="shared" si="5"/>
        <v/>
      </c>
      <c r="W89" s="4"/>
      <c r="X89" s="4"/>
      <c r="Y89" s="4"/>
      <c r="Z89" s="4"/>
      <c r="AA89" s="4"/>
      <c r="AB89" s="4"/>
      <c r="AC89" s="4"/>
      <c r="AD89" s="4"/>
      <c r="AE89" s="4"/>
      <c r="AF89" s="4"/>
      <c r="AG89" s="4"/>
    </row>
    <row r="90" spans="1:33" ht="15">
      <c r="A90" s="4"/>
      <c r="B90" s="85">
        <v>25</v>
      </c>
      <c r="C90" s="397" t="str">
        <f>IF('INPUT DATA'!Q35="","",'INPUT DATA'!Q35)</f>
        <v/>
      </c>
      <c r="D90" s="398"/>
      <c r="E90" s="398"/>
      <c r="F90" s="399" t="str">
        <f>IF('INPUT DATA'!R35="","",'INPUT DATA'!R35)</f>
        <v/>
      </c>
      <c r="G90" s="400"/>
      <c r="H90" s="148" t="str">
        <f>IF('INPUT DATA'!S35="","",'INPUT DATA'!S35)</f>
        <v/>
      </c>
      <c r="I90" s="137" t="str">
        <f t="shared" ca="1" si="4"/>
        <v/>
      </c>
      <c r="J90" s="115"/>
      <c r="K90" s="177"/>
      <c r="L90" s="178"/>
      <c r="M90" s="178"/>
      <c r="N90" s="178"/>
      <c r="O90" s="178"/>
      <c r="P90" s="179"/>
      <c r="Q90" s="179"/>
      <c r="R90" s="179"/>
      <c r="S90" s="179"/>
      <c r="T90" s="180"/>
      <c r="U90" s="199" t="str">
        <f t="shared" si="6"/>
        <v/>
      </c>
      <c r="V90" s="91" t="str">
        <f t="shared" si="5"/>
        <v/>
      </c>
      <c r="W90" s="4"/>
      <c r="X90" s="4"/>
      <c r="Y90" s="4"/>
      <c r="Z90" s="4"/>
      <c r="AA90" s="4"/>
      <c r="AB90" s="4"/>
      <c r="AC90" s="4"/>
      <c r="AD90" s="4"/>
      <c r="AE90" s="4"/>
      <c r="AF90" s="4"/>
      <c r="AG90" s="4"/>
    </row>
    <row r="91" spans="1:33" ht="15">
      <c r="A91" s="4"/>
      <c r="B91" s="85">
        <v>26</v>
      </c>
      <c r="C91" s="397" t="str">
        <f>IF('INPUT DATA'!Q36="","",'INPUT DATA'!Q36)</f>
        <v/>
      </c>
      <c r="D91" s="398"/>
      <c r="E91" s="398"/>
      <c r="F91" s="399" t="str">
        <f>IF('INPUT DATA'!R36="","",'INPUT DATA'!R36)</f>
        <v/>
      </c>
      <c r="G91" s="400"/>
      <c r="H91" s="148" t="str">
        <f>IF('INPUT DATA'!S36="","",'INPUT DATA'!S36)</f>
        <v/>
      </c>
      <c r="I91" s="137" t="str">
        <f t="shared" ca="1" si="4"/>
        <v/>
      </c>
      <c r="J91" s="115"/>
      <c r="K91" s="177"/>
      <c r="L91" s="178"/>
      <c r="M91" s="178"/>
      <c r="N91" s="178"/>
      <c r="O91" s="178"/>
      <c r="P91" s="179"/>
      <c r="Q91" s="179"/>
      <c r="R91" s="179"/>
      <c r="S91" s="179"/>
      <c r="T91" s="180"/>
      <c r="U91" s="199" t="str">
        <f t="shared" si="6"/>
        <v/>
      </c>
      <c r="V91" s="91" t="str">
        <f t="shared" si="5"/>
        <v/>
      </c>
      <c r="W91" s="4"/>
      <c r="X91" s="4"/>
      <c r="Y91" s="4"/>
      <c r="Z91" s="4"/>
      <c r="AA91" s="4"/>
      <c r="AB91" s="4"/>
      <c r="AC91" s="4"/>
      <c r="AD91" s="4"/>
      <c r="AE91" s="4"/>
      <c r="AF91" s="4"/>
      <c r="AG91" s="4"/>
    </row>
    <row r="92" spans="1:33" ht="15">
      <c r="A92" s="4"/>
      <c r="B92" s="85">
        <v>27</v>
      </c>
      <c r="C92" s="397" t="str">
        <f>IF('INPUT DATA'!Q37="","",'INPUT DATA'!Q37)</f>
        <v/>
      </c>
      <c r="D92" s="398"/>
      <c r="E92" s="398"/>
      <c r="F92" s="399" t="str">
        <f>IF('INPUT DATA'!R37="","",'INPUT DATA'!R37)</f>
        <v/>
      </c>
      <c r="G92" s="400"/>
      <c r="H92" s="148" t="str">
        <f>IF('INPUT DATA'!S37="","",'INPUT DATA'!S37)</f>
        <v/>
      </c>
      <c r="I92" s="137" t="str">
        <f t="shared" ca="1" si="4"/>
        <v/>
      </c>
      <c r="J92" s="115"/>
      <c r="K92" s="177"/>
      <c r="L92" s="178"/>
      <c r="M92" s="178"/>
      <c r="N92" s="178"/>
      <c r="O92" s="178"/>
      <c r="P92" s="179"/>
      <c r="Q92" s="179"/>
      <c r="R92" s="179"/>
      <c r="S92" s="179"/>
      <c r="T92" s="180"/>
      <c r="U92" s="199" t="str">
        <f t="shared" si="6"/>
        <v/>
      </c>
      <c r="V92" s="91" t="str">
        <f t="shared" si="5"/>
        <v/>
      </c>
      <c r="W92" s="4"/>
      <c r="X92" s="4"/>
      <c r="Y92" s="4"/>
      <c r="Z92" s="4"/>
      <c r="AA92" s="4"/>
      <c r="AB92" s="4"/>
      <c r="AC92" s="4"/>
      <c r="AD92" s="4"/>
      <c r="AE92" s="4"/>
      <c r="AF92" s="4"/>
      <c r="AG92" s="4"/>
    </row>
    <row r="93" spans="1:33" ht="15">
      <c r="A93" s="4"/>
      <c r="B93" s="85">
        <v>28</v>
      </c>
      <c r="C93" s="397" t="str">
        <f>IF('INPUT DATA'!Q38="","",'INPUT DATA'!Q38)</f>
        <v/>
      </c>
      <c r="D93" s="398"/>
      <c r="E93" s="398"/>
      <c r="F93" s="399" t="str">
        <f>IF('INPUT DATA'!R38="","",'INPUT DATA'!R38)</f>
        <v/>
      </c>
      <c r="G93" s="400"/>
      <c r="H93" s="148" t="str">
        <f>IF('INPUT DATA'!S38="","",'INPUT DATA'!S38)</f>
        <v/>
      </c>
      <c r="I93" s="137" t="str">
        <f t="shared" ca="1" si="4"/>
        <v/>
      </c>
      <c r="J93" s="115"/>
      <c r="K93" s="177"/>
      <c r="L93" s="178"/>
      <c r="M93" s="178"/>
      <c r="N93" s="178"/>
      <c r="O93" s="178"/>
      <c r="P93" s="179"/>
      <c r="Q93" s="179"/>
      <c r="R93" s="179"/>
      <c r="S93" s="179"/>
      <c r="T93" s="180"/>
      <c r="U93" s="199" t="str">
        <f t="shared" si="6"/>
        <v/>
      </c>
      <c r="V93" s="91" t="str">
        <f t="shared" si="5"/>
        <v/>
      </c>
      <c r="W93" s="4"/>
      <c r="X93" s="4"/>
      <c r="Y93" s="4"/>
      <c r="Z93" s="4"/>
      <c r="AA93" s="4"/>
      <c r="AB93" s="4"/>
      <c r="AC93" s="4"/>
      <c r="AD93" s="4"/>
      <c r="AE93" s="4"/>
      <c r="AF93" s="4"/>
      <c r="AG93" s="4"/>
    </row>
    <row r="94" spans="1:33" ht="15">
      <c r="A94" s="4"/>
      <c r="B94" s="85">
        <v>29</v>
      </c>
      <c r="C94" s="397" t="str">
        <f>IF('INPUT DATA'!Q39="","",'INPUT DATA'!Q39)</f>
        <v/>
      </c>
      <c r="D94" s="398"/>
      <c r="E94" s="398"/>
      <c r="F94" s="399" t="str">
        <f>IF('INPUT DATA'!R39="","",'INPUT DATA'!R39)</f>
        <v/>
      </c>
      <c r="G94" s="400"/>
      <c r="H94" s="148" t="str">
        <f>IF('INPUT DATA'!S39="","",'INPUT DATA'!S39)</f>
        <v/>
      </c>
      <c r="I94" s="137" t="str">
        <f t="shared" ca="1" si="4"/>
        <v/>
      </c>
      <c r="J94" s="115"/>
      <c r="K94" s="177"/>
      <c r="L94" s="178"/>
      <c r="M94" s="178"/>
      <c r="N94" s="178"/>
      <c r="O94" s="178"/>
      <c r="P94" s="179"/>
      <c r="Q94" s="179"/>
      <c r="R94" s="179"/>
      <c r="S94" s="179"/>
      <c r="T94" s="180"/>
      <c r="U94" s="199" t="str">
        <f t="shared" si="6"/>
        <v/>
      </c>
      <c r="V94" s="91" t="str">
        <f t="shared" si="5"/>
        <v/>
      </c>
      <c r="W94" s="4"/>
      <c r="X94" s="4"/>
      <c r="Y94" s="4"/>
      <c r="Z94" s="4"/>
      <c r="AA94" s="4"/>
      <c r="AB94" s="4"/>
      <c r="AC94" s="4"/>
      <c r="AD94" s="4"/>
      <c r="AE94" s="4"/>
      <c r="AF94" s="4"/>
      <c r="AG94" s="4"/>
    </row>
    <row r="95" spans="1:33" ht="15">
      <c r="A95" s="4"/>
      <c r="B95" s="85">
        <v>30</v>
      </c>
      <c r="C95" s="397" t="str">
        <f>IF('INPUT DATA'!Q40="","",'INPUT DATA'!Q40)</f>
        <v/>
      </c>
      <c r="D95" s="398"/>
      <c r="E95" s="398"/>
      <c r="F95" s="399" t="str">
        <f>IF('INPUT DATA'!R40="","",'INPUT DATA'!R40)</f>
        <v/>
      </c>
      <c r="G95" s="400"/>
      <c r="H95" s="148" t="str">
        <f>IF('INPUT DATA'!S40="","",'INPUT DATA'!S40)</f>
        <v/>
      </c>
      <c r="I95" s="137" t="str">
        <f t="shared" ca="1" si="4"/>
        <v/>
      </c>
      <c r="J95" s="115"/>
      <c r="K95" s="177"/>
      <c r="L95" s="178"/>
      <c r="M95" s="178"/>
      <c r="N95" s="178"/>
      <c r="O95" s="178"/>
      <c r="P95" s="179"/>
      <c r="Q95" s="179"/>
      <c r="R95" s="179"/>
      <c r="S95" s="179"/>
      <c r="T95" s="180"/>
      <c r="U95" s="199" t="str">
        <f t="shared" si="6"/>
        <v/>
      </c>
      <c r="V95" s="91" t="str">
        <f t="shared" si="5"/>
        <v/>
      </c>
      <c r="W95" s="4"/>
      <c r="X95" s="4"/>
      <c r="Y95" s="4"/>
      <c r="Z95" s="4"/>
      <c r="AA95" s="4"/>
      <c r="AB95" s="4"/>
      <c r="AC95" s="4"/>
      <c r="AD95" s="4"/>
      <c r="AE95" s="4"/>
      <c r="AF95" s="4"/>
      <c r="AG95" s="4"/>
    </row>
    <row r="96" spans="1:33" ht="15">
      <c r="A96" s="4"/>
      <c r="B96" s="85">
        <v>31</v>
      </c>
      <c r="C96" s="397" t="str">
        <f>IF('INPUT DATA'!Q41="","",'INPUT DATA'!Q41)</f>
        <v/>
      </c>
      <c r="D96" s="398"/>
      <c r="E96" s="398"/>
      <c r="F96" s="399" t="str">
        <f>IF('INPUT DATA'!R41="","",'INPUT DATA'!R41)</f>
        <v/>
      </c>
      <c r="G96" s="400"/>
      <c r="H96" s="148" t="str">
        <f>IF('INPUT DATA'!S41="","",'INPUT DATA'!S41)</f>
        <v/>
      </c>
      <c r="I96" s="137" t="str">
        <f t="shared" ca="1" si="4"/>
        <v/>
      </c>
      <c r="J96" s="115"/>
      <c r="K96" s="177"/>
      <c r="L96" s="178"/>
      <c r="M96" s="178"/>
      <c r="N96" s="178"/>
      <c r="O96" s="178"/>
      <c r="P96" s="179"/>
      <c r="Q96" s="179"/>
      <c r="R96" s="179"/>
      <c r="S96" s="179"/>
      <c r="T96" s="180"/>
      <c r="U96" s="199" t="str">
        <f t="shared" si="6"/>
        <v/>
      </c>
      <c r="V96" s="91" t="str">
        <f t="shared" si="5"/>
        <v/>
      </c>
      <c r="W96" s="4"/>
      <c r="X96" s="4"/>
      <c r="Y96" s="4"/>
      <c r="Z96" s="4"/>
      <c r="AA96" s="4"/>
      <c r="AB96" s="4"/>
      <c r="AC96" s="4"/>
      <c r="AD96" s="4"/>
      <c r="AE96" s="4"/>
      <c r="AF96" s="4"/>
      <c r="AG96" s="4"/>
    </row>
    <row r="97" spans="1:33" ht="15">
      <c r="A97" s="4"/>
      <c r="B97" s="85">
        <v>32</v>
      </c>
      <c r="C97" s="397" t="str">
        <f>IF('INPUT DATA'!Q42="","",'INPUT DATA'!Q42)</f>
        <v/>
      </c>
      <c r="D97" s="398"/>
      <c r="E97" s="398"/>
      <c r="F97" s="399" t="str">
        <f>IF('INPUT DATA'!R42="","",'INPUT DATA'!R42)</f>
        <v/>
      </c>
      <c r="G97" s="400"/>
      <c r="H97" s="148" t="str">
        <f>IF('INPUT DATA'!S42="","",'INPUT DATA'!S42)</f>
        <v/>
      </c>
      <c r="I97" s="137" t="str">
        <f t="shared" ca="1" si="4"/>
        <v/>
      </c>
      <c r="J97" s="115"/>
      <c r="K97" s="177"/>
      <c r="L97" s="178"/>
      <c r="M97" s="178"/>
      <c r="N97" s="178"/>
      <c r="O97" s="178"/>
      <c r="P97" s="179"/>
      <c r="Q97" s="179"/>
      <c r="R97" s="179"/>
      <c r="S97" s="179"/>
      <c r="T97" s="180"/>
      <c r="U97" s="199" t="str">
        <f t="shared" si="6"/>
        <v/>
      </c>
      <c r="V97" s="91" t="str">
        <f t="shared" si="5"/>
        <v/>
      </c>
      <c r="W97" s="4"/>
      <c r="X97" s="4"/>
      <c r="Y97" s="4"/>
      <c r="Z97" s="4"/>
      <c r="AA97" s="4"/>
      <c r="AB97" s="4"/>
      <c r="AC97" s="4"/>
      <c r="AD97" s="4"/>
      <c r="AE97" s="4"/>
      <c r="AF97" s="4"/>
      <c r="AG97" s="4"/>
    </row>
    <row r="98" spans="1:33" ht="15">
      <c r="A98" s="4"/>
      <c r="B98" s="85">
        <v>33</v>
      </c>
      <c r="C98" s="397" t="str">
        <f>IF('INPUT DATA'!Q43="","",'INPUT DATA'!Q43)</f>
        <v/>
      </c>
      <c r="D98" s="398"/>
      <c r="E98" s="398"/>
      <c r="F98" s="399" t="str">
        <f>IF('INPUT DATA'!R43="","",'INPUT DATA'!R43)</f>
        <v/>
      </c>
      <c r="G98" s="400"/>
      <c r="H98" s="148" t="str">
        <f>IF('INPUT DATA'!S43="","",'INPUT DATA'!S43)</f>
        <v/>
      </c>
      <c r="I98" s="137" t="str">
        <f t="shared" ca="1" si="4"/>
        <v/>
      </c>
      <c r="J98" s="115"/>
      <c r="K98" s="177"/>
      <c r="L98" s="178"/>
      <c r="M98" s="178"/>
      <c r="N98" s="178"/>
      <c r="O98" s="178"/>
      <c r="P98" s="179"/>
      <c r="Q98" s="179"/>
      <c r="R98" s="179"/>
      <c r="S98" s="179"/>
      <c r="T98" s="180"/>
      <c r="U98" s="199" t="str">
        <f t="shared" si="6"/>
        <v/>
      </c>
      <c r="V98" s="91" t="str">
        <f t="shared" si="5"/>
        <v/>
      </c>
      <c r="W98" s="4"/>
      <c r="X98" s="4"/>
      <c r="Y98" s="4"/>
      <c r="Z98" s="4"/>
      <c r="AA98" s="4"/>
      <c r="AB98" s="4"/>
      <c r="AC98" s="4"/>
      <c r="AD98" s="4"/>
      <c r="AE98" s="4"/>
      <c r="AF98" s="4"/>
      <c r="AG98" s="4"/>
    </row>
    <row r="99" spans="1:33" ht="15">
      <c r="A99" s="4"/>
      <c r="B99" s="85">
        <v>34</v>
      </c>
      <c r="C99" s="397" t="str">
        <f>IF('INPUT DATA'!Q44="","",'INPUT DATA'!Q44)</f>
        <v/>
      </c>
      <c r="D99" s="398"/>
      <c r="E99" s="398"/>
      <c r="F99" s="399" t="str">
        <f>IF('INPUT DATA'!R44="","",'INPUT DATA'!R44)</f>
        <v/>
      </c>
      <c r="G99" s="400"/>
      <c r="H99" s="148" t="str">
        <f>IF('INPUT DATA'!S44="","",'INPUT DATA'!S44)</f>
        <v/>
      </c>
      <c r="I99" s="137" t="str">
        <f t="shared" ca="1" si="4"/>
        <v/>
      </c>
      <c r="J99" s="115"/>
      <c r="K99" s="177"/>
      <c r="L99" s="178"/>
      <c r="M99" s="178"/>
      <c r="N99" s="178"/>
      <c r="O99" s="178"/>
      <c r="P99" s="179"/>
      <c r="Q99" s="179"/>
      <c r="R99" s="179"/>
      <c r="S99" s="179"/>
      <c r="T99" s="180"/>
      <c r="U99" s="199" t="str">
        <f t="shared" si="6"/>
        <v/>
      </c>
      <c r="V99" s="91" t="str">
        <f t="shared" si="5"/>
        <v/>
      </c>
      <c r="W99" s="4"/>
      <c r="X99" s="4"/>
      <c r="Y99" s="4"/>
      <c r="Z99" s="4"/>
      <c r="AA99" s="4"/>
      <c r="AB99" s="4"/>
      <c r="AC99" s="4"/>
      <c r="AD99" s="4"/>
      <c r="AE99" s="4"/>
      <c r="AF99" s="4"/>
      <c r="AG99" s="4"/>
    </row>
    <row r="100" spans="1:33" ht="15">
      <c r="A100" s="4"/>
      <c r="B100" s="85">
        <v>35</v>
      </c>
      <c r="C100" s="397" t="str">
        <f>IF('INPUT DATA'!Q45="","",'INPUT DATA'!Q45)</f>
        <v/>
      </c>
      <c r="D100" s="398"/>
      <c r="E100" s="398"/>
      <c r="F100" s="399" t="str">
        <f>IF('INPUT DATA'!R45="","",'INPUT DATA'!R45)</f>
        <v/>
      </c>
      <c r="G100" s="400"/>
      <c r="H100" s="148" t="str">
        <f>IF('INPUT DATA'!S45="","",'INPUT DATA'!S45)</f>
        <v/>
      </c>
      <c r="I100" s="137" t="str">
        <f t="shared" ca="1" si="4"/>
        <v/>
      </c>
      <c r="J100" s="115"/>
      <c r="K100" s="177"/>
      <c r="L100" s="178"/>
      <c r="M100" s="178"/>
      <c r="N100" s="178"/>
      <c r="O100" s="178"/>
      <c r="P100" s="179"/>
      <c r="Q100" s="179"/>
      <c r="R100" s="179"/>
      <c r="S100" s="179"/>
      <c r="T100" s="180"/>
      <c r="U100" s="199" t="str">
        <f t="shared" si="6"/>
        <v/>
      </c>
      <c r="V100" s="91" t="str">
        <f t="shared" si="5"/>
        <v/>
      </c>
      <c r="W100" s="4"/>
      <c r="X100" s="4"/>
      <c r="Y100" s="4"/>
      <c r="Z100" s="4"/>
      <c r="AA100" s="4"/>
      <c r="AB100" s="4"/>
      <c r="AC100" s="4"/>
      <c r="AD100" s="4"/>
      <c r="AE100" s="4"/>
      <c r="AF100" s="4"/>
      <c r="AG100" s="4"/>
    </row>
    <row r="101" spans="1:33" ht="15">
      <c r="A101" s="4"/>
      <c r="B101" s="85">
        <v>36</v>
      </c>
      <c r="C101" s="397" t="str">
        <f>IF('INPUT DATA'!Q46="","",'INPUT DATA'!Q46)</f>
        <v/>
      </c>
      <c r="D101" s="398"/>
      <c r="E101" s="398"/>
      <c r="F101" s="399" t="str">
        <f>IF('INPUT DATA'!R46="","",'INPUT DATA'!R46)</f>
        <v/>
      </c>
      <c r="G101" s="400"/>
      <c r="H101" s="148" t="str">
        <f>IF('INPUT DATA'!S46="","",'INPUT DATA'!S46)</f>
        <v/>
      </c>
      <c r="I101" s="137" t="str">
        <f t="shared" ca="1" si="4"/>
        <v/>
      </c>
      <c r="J101" s="115"/>
      <c r="K101" s="177"/>
      <c r="L101" s="178"/>
      <c r="M101" s="178"/>
      <c r="N101" s="178"/>
      <c r="O101" s="178"/>
      <c r="P101" s="179"/>
      <c r="Q101" s="179"/>
      <c r="R101" s="179"/>
      <c r="S101" s="179"/>
      <c r="T101" s="180"/>
      <c r="U101" s="199" t="str">
        <f t="shared" si="6"/>
        <v/>
      </c>
      <c r="V101" s="91" t="str">
        <f t="shared" si="5"/>
        <v/>
      </c>
      <c r="W101" s="4"/>
      <c r="X101" s="4"/>
      <c r="Y101" s="4"/>
      <c r="Z101" s="4"/>
      <c r="AA101" s="4"/>
      <c r="AB101" s="4"/>
      <c r="AC101" s="4"/>
      <c r="AD101" s="4"/>
      <c r="AE101" s="4"/>
      <c r="AF101" s="4"/>
      <c r="AG101" s="4"/>
    </row>
    <row r="102" spans="1:33" ht="15">
      <c r="A102" s="4"/>
      <c r="B102" s="85">
        <v>37</v>
      </c>
      <c r="C102" s="397" t="str">
        <f>IF('INPUT DATA'!Q47="","",'INPUT DATA'!Q47)</f>
        <v/>
      </c>
      <c r="D102" s="398"/>
      <c r="E102" s="398"/>
      <c r="F102" s="399" t="str">
        <f>IF('INPUT DATA'!R47="","",'INPUT DATA'!R47)</f>
        <v/>
      </c>
      <c r="G102" s="400"/>
      <c r="H102" s="148" t="str">
        <f>IF('INPUT DATA'!S47="","",'INPUT DATA'!S47)</f>
        <v/>
      </c>
      <c r="I102" s="137" t="str">
        <f t="shared" ca="1" si="4"/>
        <v/>
      </c>
      <c r="J102" s="115"/>
      <c r="K102" s="177"/>
      <c r="L102" s="178"/>
      <c r="M102" s="178"/>
      <c r="N102" s="178"/>
      <c r="O102" s="178"/>
      <c r="P102" s="179"/>
      <c r="Q102" s="179"/>
      <c r="R102" s="179"/>
      <c r="S102" s="179"/>
      <c r="T102" s="180"/>
      <c r="U102" s="199" t="str">
        <f t="shared" si="6"/>
        <v/>
      </c>
      <c r="V102" s="91" t="str">
        <f t="shared" si="5"/>
        <v/>
      </c>
      <c r="W102" s="4"/>
      <c r="X102" s="4"/>
      <c r="Y102" s="4"/>
      <c r="Z102" s="4"/>
      <c r="AA102" s="4"/>
      <c r="AB102" s="4"/>
      <c r="AC102" s="4"/>
      <c r="AD102" s="4"/>
      <c r="AE102" s="4"/>
      <c r="AF102" s="4"/>
      <c r="AG102" s="4"/>
    </row>
    <row r="103" spans="1:33" ht="15">
      <c r="A103" s="4"/>
      <c r="B103" s="85">
        <v>38</v>
      </c>
      <c r="C103" s="397" t="str">
        <f>IF('INPUT DATA'!Q48="","",'INPUT DATA'!Q48)</f>
        <v/>
      </c>
      <c r="D103" s="398"/>
      <c r="E103" s="398"/>
      <c r="F103" s="399" t="str">
        <f>IF('INPUT DATA'!R48="","",'INPUT DATA'!R48)</f>
        <v/>
      </c>
      <c r="G103" s="400"/>
      <c r="H103" s="148" t="str">
        <f>IF('INPUT DATA'!S48="","",'INPUT DATA'!S48)</f>
        <v/>
      </c>
      <c r="I103" s="137" t="str">
        <f t="shared" ca="1" si="4"/>
        <v/>
      </c>
      <c r="J103" s="115"/>
      <c r="K103" s="177"/>
      <c r="L103" s="178"/>
      <c r="M103" s="178"/>
      <c r="N103" s="178"/>
      <c r="O103" s="178"/>
      <c r="P103" s="179"/>
      <c r="Q103" s="179"/>
      <c r="R103" s="179"/>
      <c r="S103" s="179"/>
      <c r="T103" s="180"/>
      <c r="U103" s="199" t="str">
        <f t="shared" si="6"/>
        <v/>
      </c>
      <c r="V103" s="91" t="str">
        <f t="shared" si="5"/>
        <v/>
      </c>
      <c r="W103" s="4"/>
      <c r="X103" s="4"/>
      <c r="Y103" s="4"/>
      <c r="Z103" s="4"/>
      <c r="AA103" s="4"/>
      <c r="AB103" s="4"/>
      <c r="AC103" s="4"/>
      <c r="AD103" s="4"/>
      <c r="AE103" s="4"/>
      <c r="AF103" s="4"/>
      <c r="AG103" s="4"/>
    </row>
    <row r="104" spans="1:33" ht="15">
      <c r="A104" s="4"/>
      <c r="B104" s="85">
        <v>39</v>
      </c>
      <c r="C104" s="397" t="str">
        <f>IF('INPUT DATA'!Q49="","",'INPUT DATA'!Q49)</f>
        <v/>
      </c>
      <c r="D104" s="398"/>
      <c r="E104" s="398"/>
      <c r="F104" s="399" t="str">
        <f>IF('INPUT DATA'!R49="","",'INPUT DATA'!R49)</f>
        <v/>
      </c>
      <c r="G104" s="400"/>
      <c r="H104" s="148" t="str">
        <f>IF('INPUT DATA'!S49="","",'INPUT DATA'!S49)</f>
        <v/>
      </c>
      <c r="I104" s="137" t="str">
        <f t="shared" ca="1" si="4"/>
        <v/>
      </c>
      <c r="J104" s="115"/>
      <c r="K104" s="177"/>
      <c r="L104" s="178"/>
      <c r="M104" s="178"/>
      <c r="N104" s="178"/>
      <c r="O104" s="178"/>
      <c r="P104" s="179"/>
      <c r="Q104" s="179"/>
      <c r="R104" s="179"/>
      <c r="S104" s="179"/>
      <c r="T104" s="180"/>
      <c r="U104" s="199" t="str">
        <f t="shared" si="6"/>
        <v/>
      </c>
      <c r="V104" s="91" t="str">
        <f t="shared" si="5"/>
        <v/>
      </c>
      <c r="W104" s="4"/>
      <c r="X104" s="4"/>
      <c r="Y104" s="4"/>
      <c r="Z104" s="4"/>
      <c r="AA104" s="4"/>
      <c r="AB104" s="4"/>
      <c r="AC104" s="4"/>
      <c r="AD104" s="4"/>
      <c r="AE104" s="4"/>
      <c r="AF104" s="4"/>
      <c r="AG104" s="4"/>
    </row>
    <row r="105" spans="1:33" ht="15">
      <c r="A105" s="4"/>
      <c r="B105" s="85">
        <v>40</v>
      </c>
      <c r="C105" s="397" t="str">
        <f>IF('INPUT DATA'!Q50="","",'INPUT DATA'!Q50)</f>
        <v/>
      </c>
      <c r="D105" s="398"/>
      <c r="E105" s="398"/>
      <c r="F105" s="399" t="str">
        <f>IF('INPUT DATA'!R50="","",'INPUT DATA'!R50)</f>
        <v/>
      </c>
      <c r="G105" s="400"/>
      <c r="H105" s="148" t="str">
        <f>IF('INPUT DATA'!S50="","",'INPUT DATA'!S50)</f>
        <v/>
      </c>
      <c r="I105" s="137" t="str">
        <f t="shared" ca="1" si="4"/>
        <v/>
      </c>
      <c r="J105" s="115"/>
      <c r="K105" s="177"/>
      <c r="L105" s="178"/>
      <c r="M105" s="178"/>
      <c r="N105" s="178"/>
      <c r="O105" s="178"/>
      <c r="P105" s="179"/>
      <c r="Q105" s="179"/>
      <c r="R105" s="179"/>
      <c r="S105" s="179"/>
      <c r="T105" s="180"/>
      <c r="U105" s="199" t="str">
        <f t="shared" si="6"/>
        <v/>
      </c>
      <c r="V105" s="91" t="str">
        <f t="shared" si="5"/>
        <v/>
      </c>
      <c r="W105" s="4"/>
      <c r="X105" s="4"/>
      <c r="Y105" s="4"/>
      <c r="Z105" s="4"/>
      <c r="AA105" s="4"/>
      <c r="AB105" s="4"/>
      <c r="AC105" s="4"/>
      <c r="AD105" s="4"/>
      <c r="AE105" s="4"/>
      <c r="AF105" s="4"/>
      <c r="AG105" s="4"/>
    </row>
    <row r="106" spans="1:33" ht="15">
      <c r="A106" s="4"/>
      <c r="B106" s="85">
        <v>41</v>
      </c>
      <c r="C106" s="397" t="str">
        <f>IF('INPUT DATA'!Q51="","",'INPUT DATA'!Q51)</f>
        <v/>
      </c>
      <c r="D106" s="398"/>
      <c r="E106" s="398"/>
      <c r="F106" s="399" t="str">
        <f>IF('INPUT DATA'!R51="","",'INPUT DATA'!R51)</f>
        <v/>
      </c>
      <c r="G106" s="400"/>
      <c r="H106" s="148" t="str">
        <f>IF('INPUT DATA'!S51="","",'INPUT DATA'!S51)</f>
        <v/>
      </c>
      <c r="I106" s="137" t="str">
        <f t="shared" ca="1" si="4"/>
        <v/>
      </c>
      <c r="J106" s="115"/>
      <c r="K106" s="177"/>
      <c r="L106" s="178"/>
      <c r="M106" s="178"/>
      <c r="N106" s="178"/>
      <c r="O106" s="178"/>
      <c r="P106" s="179"/>
      <c r="Q106" s="179"/>
      <c r="R106" s="179"/>
      <c r="S106" s="179"/>
      <c r="T106" s="180"/>
      <c r="U106" s="199" t="str">
        <f t="shared" si="6"/>
        <v/>
      </c>
      <c r="V106" s="91" t="str">
        <f t="shared" si="5"/>
        <v/>
      </c>
      <c r="W106" s="4"/>
      <c r="X106" s="4"/>
      <c r="Y106" s="4"/>
      <c r="Z106" s="4"/>
      <c r="AA106" s="4"/>
      <c r="AB106" s="4"/>
      <c r="AC106" s="4"/>
      <c r="AD106" s="4"/>
      <c r="AE106" s="4"/>
      <c r="AF106" s="4"/>
      <c r="AG106" s="4"/>
    </row>
    <row r="107" spans="1:33" ht="15">
      <c r="A107" s="4"/>
      <c r="B107" s="85">
        <v>42</v>
      </c>
      <c r="C107" s="397" t="str">
        <f>IF('INPUT DATA'!Q52="","",'INPUT DATA'!Q52)</f>
        <v/>
      </c>
      <c r="D107" s="398"/>
      <c r="E107" s="398"/>
      <c r="F107" s="399" t="str">
        <f>IF('INPUT DATA'!R52="","",'INPUT DATA'!R52)</f>
        <v/>
      </c>
      <c r="G107" s="400"/>
      <c r="H107" s="148" t="str">
        <f>IF('INPUT DATA'!S52="","",'INPUT DATA'!S52)</f>
        <v/>
      </c>
      <c r="I107" s="137" t="str">
        <f t="shared" ca="1" si="4"/>
        <v/>
      </c>
      <c r="J107" s="115"/>
      <c r="K107" s="177"/>
      <c r="L107" s="178"/>
      <c r="M107" s="178"/>
      <c r="N107" s="178"/>
      <c r="O107" s="178"/>
      <c r="P107" s="179"/>
      <c r="Q107" s="179"/>
      <c r="R107" s="179"/>
      <c r="S107" s="179"/>
      <c r="T107" s="180"/>
      <c r="U107" s="199" t="str">
        <f t="shared" si="6"/>
        <v/>
      </c>
      <c r="V107" s="91" t="str">
        <f t="shared" si="5"/>
        <v/>
      </c>
      <c r="W107" s="4"/>
      <c r="X107" s="4"/>
      <c r="Y107" s="4"/>
      <c r="Z107" s="4"/>
      <c r="AA107" s="4"/>
      <c r="AB107" s="4"/>
      <c r="AC107" s="4"/>
      <c r="AD107" s="4"/>
      <c r="AE107" s="4"/>
      <c r="AF107" s="4"/>
      <c r="AG107" s="4"/>
    </row>
    <row r="108" spans="1:33" ht="15">
      <c r="A108" s="4"/>
      <c r="B108" s="85">
        <v>43</v>
      </c>
      <c r="C108" s="397" t="str">
        <f>IF('INPUT DATA'!Q53="","",'INPUT DATA'!Q53)</f>
        <v/>
      </c>
      <c r="D108" s="398"/>
      <c r="E108" s="398"/>
      <c r="F108" s="399" t="str">
        <f>IF('INPUT DATA'!R53="","",'INPUT DATA'!R53)</f>
        <v/>
      </c>
      <c r="G108" s="400"/>
      <c r="H108" s="148" t="str">
        <f>IF('INPUT DATA'!S53="","",'INPUT DATA'!S53)</f>
        <v/>
      </c>
      <c r="I108" s="137" t="str">
        <f t="shared" ca="1" si="4"/>
        <v/>
      </c>
      <c r="J108" s="115"/>
      <c r="K108" s="177"/>
      <c r="L108" s="178"/>
      <c r="M108" s="178"/>
      <c r="N108" s="178"/>
      <c r="O108" s="178"/>
      <c r="P108" s="179"/>
      <c r="Q108" s="179"/>
      <c r="R108" s="179"/>
      <c r="S108" s="179"/>
      <c r="T108" s="180"/>
      <c r="U108" s="199" t="str">
        <f t="shared" si="6"/>
        <v/>
      </c>
      <c r="V108" s="91" t="str">
        <f t="shared" si="5"/>
        <v/>
      </c>
      <c r="W108" s="4"/>
      <c r="X108" s="4"/>
      <c r="Y108" s="4"/>
      <c r="Z108" s="4"/>
      <c r="AA108" s="4"/>
      <c r="AB108" s="4"/>
      <c r="AC108" s="4"/>
      <c r="AD108" s="4"/>
      <c r="AE108" s="4"/>
      <c r="AF108" s="4"/>
      <c r="AG108" s="4"/>
    </row>
    <row r="109" spans="1:33" ht="15">
      <c r="A109" s="4"/>
      <c r="B109" s="85">
        <v>44</v>
      </c>
      <c r="C109" s="397" t="str">
        <f>IF('INPUT DATA'!Q54="","",'INPUT DATA'!Q54)</f>
        <v/>
      </c>
      <c r="D109" s="398"/>
      <c r="E109" s="398"/>
      <c r="F109" s="399" t="str">
        <f>IF('INPUT DATA'!R54="","",'INPUT DATA'!R54)</f>
        <v/>
      </c>
      <c r="G109" s="400"/>
      <c r="H109" s="148" t="str">
        <f>IF('INPUT DATA'!S54="","",'INPUT DATA'!S54)</f>
        <v/>
      </c>
      <c r="I109" s="137" t="str">
        <f t="shared" ca="1" si="4"/>
        <v/>
      </c>
      <c r="J109" s="115"/>
      <c r="K109" s="177"/>
      <c r="L109" s="178"/>
      <c r="M109" s="178"/>
      <c r="N109" s="178"/>
      <c r="O109" s="178"/>
      <c r="P109" s="179"/>
      <c r="Q109" s="179"/>
      <c r="R109" s="179"/>
      <c r="S109" s="179"/>
      <c r="T109" s="180"/>
      <c r="U109" s="199" t="str">
        <f t="shared" si="6"/>
        <v/>
      </c>
      <c r="V109" s="91" t="str">
        <f t="shared" si="5"/>
        <v/>
      </c>
      <c r="W109" s="4"/>
      <c r="X109" s="4"/>
      <c r="Y109" s="4"/>
      <c r="Z109" s="4"/>
      <c r="AA109" s="4"/>
      <c r="AB109" s="4"/>
      <c r="AC109" s="4"/>
      <c r="AD109" s="4"/>
      <c r="AE109" s="4"/>
      <c r="AF109" s="4"/>
      <c r="AG109" s="4"/>
    </row>
    <row r="110" spans="1:33" ht="15">
      <c r="A110" s="4"/>
      <c r="B110" s="85">
        <v>45</v>
      </c>
      <c r="C110" s="397" t="str">
        <f>IF('INPUT DATA'!Q55="","",'INPUT DATA'!Q55)</f>
        <v/>
      </c>
      <c r="D110" s="398"/>
      <c r="E110" s="398"/>
      <c r="F110" s="399" t="str">
        <f>IF('INPUT DATA'!R55="","",'INPUT DATA'!R55)</f>
        <v/>
      </c>
      <c r="G110" s="400"/>
      <c r="H110" s="148" t="str">
        <f>IF('INPUT DATA'!S55="","",'INPUT DATA'!S55)</f>
        <v/>
      </c>
      <c r="I110" s="137" t="str">
        <f t="shared" ca="1" si="4"/>
        <v/>
      </c>
      <c r="J110" s="115"/>
      <c r="K110" s="182"/>
      <c r="L110" s="183"/>
      <c r="M110" s="183"/>
      <c r="N110" s="183"/>
      <c r="O110" s="183"/>
      <c r="P110" s="184"/>
      <c r="Q110" s="184"/>
      <c r="R110" s="184"/>
      <c r="S110" s="184"/>
      <c r="T110" s="180"/>
      <c r="U110" s="199" t="str">
        <f t="shared" si="6"/>
        <v/>
      </c>
      <c r="V110" s="91" t="str">
        <f t="shared" si="5"/>
        <v/>
      </c>
      <c r="W110" s="4"/>
      <c r="X110" s="4"/>
      <c r="Y110" s="4"/>
      <c r="Z110" s="4"/>
      <c r="AA110" s="4"/>
      <c r="AB110" s="4"/>
      <c r="AC110" s="4"/>
      <c r="AD110" s="4"/>
      <c r="AE110" s="4"/>
      <c r="AF110" s="4"/>
      <c r="AG110" s="4"/>
    </row>
    <row r="111" spans="1:33" ht="15">
      <c r="A111" s="4"/>
      <c r="B111" s="85">
        <v>46</v>
      </c>
      <c r="C111" s="397" t="str">
        <f>IF('INPUT DATA'!Q56="","",'INPUT DATA'!Q56)</f>
        <v/>
      </c>
      <c r="D111" s="398"/>
      <c r="E111" s="398"/>
      <c r="F111" s="399" t="str">
        <f>IF('INPUT DATA'!R56="","",'INPUT DATA'!R56)</f>
        <v/>
      </c>
      <c r="G111" s="400"/>
      <c r="H111" s="148" t="str">
        <f>IF('INPUT DATA'!S56="","",'INPUT DATA'!S56)</f>
        <v/>
      </c>
      <c r="I111" s="137" t="str">
        <f t="shared" ca="1" si="4"/>
        <v/>
      </c>
      <c r="J111" s="115"/>
      <c r="K111" s="177"/>
      <c r="L111" s="178"/>
      <c r="M111" s="178"/>
      <c r="N111" s="178"/>
      <c r="O111" s="178"/>
      <c r="P111" s="179"/>
      <c r="Q111" s="179"/>
      <c r="R111" s="179"/>
      <c r="S111" s="179"/>
      <c r="T111" s="180"/>
      <c r="U111" s="199" t="str">
        <f t="shared" si="6"/>
        <v/>
      </c>
      <c r="V111" s="91" t="str">
        <f t="shared" si="5"/>
        <v/>
      </c>
      <c r="W111" s="4"/>
      <c r="X111" s="4"/>
      <c r="Y111" s="4"/>
      <c r="Z111" s="4"/>
      <c r="AA111" s="4"/>
      <c r="AB111" s="4"/>
      <c r="AC111" s="4"/>
      <c r="AD111" s="4"/>
      <c r="AE111" s="4"/>
      <c r="AF111" s="4"/>
      <c r="AG111" s="4"/>
    </row>
    <row r="112" spans="1:33" ht="15">
      <c r="A112" s="4"/>
      <c r="B112" s="85">
        <v>47</v>
      </c>
      <c r="C112" s="397" t="str">
        <f>IF('INPUT DATA'!Q57="","",'INPUT DATA'!Q57)</f>
        <v/>
      </c>
      <c r="D112" s="398"/>
      <c r="E112" s="398"/>
      <c r="F112" s="399" t="str">
        <f>IF('INPUT DATA'!R57="","",'INPUT DATA'!R57)</f>
        <v/>
      </c>
      <c r="G112" s="400"/>
      <c r="H112" s="148" t="str">
        <f>IF('INPUT DATA'!S57="","",'INPUT DATA'!S57)</f>
        <v/>
      </c>
      <c r="I112" s="137" t="str">
        <f t="shared" ca="1" si="4"/>
        <v/>
      </c>
      <c r="J112" s="115"/>
      <c r="K112" s="177"/>
      <c r="L112" s="178"/>
      <c r="M112" s="178"/>
      <c r="N112" s="178"/>
      <c r="O112" s="178"/>
      <c r="P112" s="179"/>
      <c r="Q112" s="179"/>
      <c r="R112" s="179"/>
      <c r="S112" s="179"/>
      <c r="T112" s="180"/>
      <c r="U112" s="199" t="str">
        <f t="shared" si="6"/>
        <v/>
      </c>
      <c r="V112" s="91" t="str">
        <f t="shared" si="5"/>
        <v/>
      </c>
      <c r="W112" s="4"/>
      <c r="X112" s="4"/>
      <c r="Y112" s="4"/>
      <c r="Z112" s="4"/>
      <c r="AA112" s="4"/>
      <c r="AB112" s="4"/>
      <c r="AC112" s="4"/>
      <c r="AD112" s="4"/>
      <c r="AE112" s="4"/>
      <c r="AF112" s="4"/>
      <c r="AG112" s="4"/>
    </row>
    <row r="113" spans="1:33" ht="15">
      <c r="A113" s="4"/>
      <c r="B113" s="85">
        <v>48</v>
      </c>
      <c r="C113" s="397" t="str">
        <f>IF('INPUT DATA'!Q58="","",'INPUT DATA'!Q58)</f>
        <v/>
      </c>
      <c r="D113" s="398"/>
      <c r="E113" s="398"/>
      <c r="F113" s="399" t="str">
        <f>IF('INPUT DATA'!R58="","",'INPUT DATA'!R58)</f>
        <v/>
      </c>
      <c r="G113" s="400"/>
      <c r="H113" s="148" t="str">
        <f>IF('INPUT DATA'!S58="","",'INPUT DATA'!S58)</f>
        <v/>
      </c>
      <c r="I113" s="137" t="str">
        <f t="shared" ca="1" si="4"/>
        <v/>
      </c>
      <c r="J113" s="115"/>
      <c r="K113" s="177"/>
      <c r="L113" s="178"/>
      <c r="M113" s="178"/>
      <c r="N113" s="178"/>
      <c r="O113" s="178"/>
      <c r="P113" s="179"/>
      <c r="Q113" s="179"/>
      <c r="R113" s="179"/>
      <c r="S113" s="179"/>
      <c r="T113" s="180"/>
      <c r="U113" s="199" t="str">
        <f t="shared" si="6"/>
        <v/>
      </c>
      <c r="V113" s="91" t="str">
        <f t="shared" si="5"/>
        <v/>
      </c>
      <c r="W113" s="4"/>
      <c r="X113" s="4"/>
      <c r="Y113" s="4"/>
      <c r="Z113" s="4"/>
      <c r="AA113" s="4"/>
      <c r="AB113" s="4"/>
      <c r="AC113" s="4"/>
      <c r="AD113" s="4"/>
      <c r="AE113" s="4"/>
      <c r="AF113" s="4"/>
      <c r="AG113" s="4"/>
    </row>
    <row r="114" spans="1:33" ht="15">
      <c r="A114" s="4"/>
      <c r="B114" s="85">
        <v>49</v>
      </c>
      <c r="C114" s="397" t="str">
        <f>IF('INPUT DATA'!Q59="","",'INPUT DATA'!Q59)</f>
        <v/>
      </c>
      <c r="D114" s="398"/>
      <c r="E114" s="398"/>
      <c r="F114" s="399" t="str">
        <f>IF('INPUT DATA'!R59="","",'INPUT DATA'!R59)</f>
        <v/>
      </c>
      <c r="G114" s="400"/>
      <c r="H114" s="148" t="str">
        <f>IF('INPUT DATA'!S59="","",'INPUT DATA'!S59)</f>
        <v/>
      </c>
      <c r="I114" s="137" t="str">
        <f t="shared" ca="1" si="4"/>
        <v/>
      </c>
      <c r="J114" s="115"/>
      <c r="K114" s="177"/>
      <c r="L114" s="178"/>
      <c r="M114" s="178"/>
      <c r="N114" s="178"/>
      <c r="O114" s="178"/>
      <c r="P114" s="179"/>
      <c r="Q114" s="179"/>
      <c r="R114" s="179"/>
      <c r="S114" s="179"/>
      <c r="T114" s="180"/>
      <c r="U114" s="199" t="str">
        <f t="shared" si="6"/>
        <v/>
      </c>
      <c r="V114" s="91" t="str">
        <f t="shared" si="5"/>
        <v/>
      </c>
      <c r="W114" s="4"/>
      <c r="X114" s="4"/>
      <c r="Y114" s="4"/>
      <c r="Z114" s="4"/>
      <c r="AA114" s="4"/>
      <c r="AB114" s="4"/>
      <c r="AC114" s="4"/>
      <c r="AD114" s="4"/>
      <c r="AE114" s="4"/>
      <c r="AF114" s="4"/>
      <c r="AG114" s="4"/>
    </row>
    <row r="115" spans="1:33" ht="15.6" thickBot="1">
      <c r="A115" s="4"/>
      <c r="B115" s="86">
        <v>50</v>
      </c>
      <c r="C115" s="401" t="str">
        <f>IF('INPUT DATA'!Q60="","",'INPUT DATA'!Q60)</f>
        <v/>
      </c>
      <c r="D115" s="406"/>
      <c r="E115" s="406"/>
      <c r="F115" s="407" t="str">
        <f>IF('INPUT DATA'!R60="","",'INPUT DATA'!R60)</f>
        <v/>
      </c>
      <c r="G115" s="408"/>
      <c r="H115" s="149" t="str">
        <f>IF('INPUT DATA'!S60="","",'INPUT DATA'!S60)</f>
        <v/>
      </c>
      <c r="I115" s="138" t="str">
        <f t="shared" ca="1" si="4"/>
        <v/>
      </c>
      <c r="J115" s="116"/>
      <c r="K115" s="187"/>
      <c r="L115" s="188"/>
      <c r="M115" s="188"/>
      <c r="N115" s="188"/>
      <c r="O115" s="188"/>
      <c r="P115" s="189"/>
      <c r="Q115" s="189"/>
      <c r="R115" s="189"/>
      <c r="S115" s="189"/>
      <c r="T115" s="190"/>
      <c r="U115" s="200" t="str">
        <f t="shared" si="6"/>
        <v/>
      </c>
      <c r="V115" s="97" t="str">
        <f t="shared" si="5"/>
        <v/>
      </c>
      <c r="W115" s="4"/>
      <c r="X115" s="4"/>
      <c r="Y115" s="4"/>
      <c r="Z115" s="4"/>
      <c r="AA115" s="4"/>
      <c r="AB115" s="4"/>
      <c r="AC115" s="4"/>
      <c r="AD115" s="4"/>
      <c r="AE115" s="4"/>
      <c r="AF115" s="4"/>
      <c r="AG115" s="4"/>
    </row>
    <row r="116" spans="1:33" ht="13.2">
      <c r="A116" s="136"/>
      <c r="B116" s="136"/>
      <c r="C116" s="90"/>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row>
    <row r="117" spans="1:33" ht="13.2">
      <c r="A117" s="136"/>
      <c r="B117" s="136"/>
      <c r="C117" s="90"/>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row>
    <row r="118" spans="1:33" ht="13.2">
      <c r="A118" s="136"/>
      <c r="B118" s="136"/>
      <c r="C118" s="90"/>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row>
    <row r="119" spans="1:33" ht="13.2">
      <c r="A119" s="136"/>
      <c r="B119" s="136"/>
      <c r="C119" s="90"/>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row>
    <row r="120" spans="1:33" ht="13.2">
      <c r="A120" s="136"/>
      <c r="B120" s="136"/>
      <c r="C120" s="90"/>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row>
    <row r="121" spans="1:33" ht="13.2">
      <c r="A121" s="136"/>
      <c r="B121" s="136"/>
      <c r="C121" s="90"/>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row>
    <row r="122" spans="1:33" ht="13.2">
      <c r="A122" s="136"/>
      <c r="B122" s="136"/>
      <c r="C122" s="90"/>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row>
    <row r="123" spans="1:33" ht="13.2">
      <c r="A123" s="136"/>
      <c r="B123" s="136"/>
      <c r="C123" s="90"/>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row>
    <row r="124" spans="1:33" ht="13.2">
      <c r="A124" s="136"/>
      <c r="B124" s="136"/>
      <c r="C124" s="90"/>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row>
    <row r="125" spans="1:33" ht="13.2">
      <c r="A125" s="136"/>
      <c r="B125" s="136"/>
      <c r="C125" s="90"/>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row>
    <row r="126" spans="1:33" ht="13.2">
      <c r="A126" s="136"/>
      <c r="B126" s="136"/>
      <c r="C126" s="90"/>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row>
  </sheetData>
  <sheetProtection algorithmName="SHA-512" hashValue="3JYxViRajGXgc7i9Fyj/2V5ka06Z7nOVskWq+gq+FiXy81CZpYKAuK1JDhG1Ve1BPJajxcJNRGbesPmDO5DtUw==" saltValue="62jYcv0oYOaF6BJsDpyITQ==" spinCount="100000" sheet="1" objects="1" scenarios="1" formatCells="0" formatColumns="0" formatRows="0"/>
  <mergeCells count="229">
    <mergeCell ref="B8:V8"/>
    <mergeCell ref="B9:E10"/>
    <mergeCell ref="G9:K9"/>
    <mergeCell ref="L9:M10"/>
    <mergeCell ref="N9:V10"/>
    <mergeCell ref="G10:K10"/>
    <mergeCell ref="A1:W4"/>
    <mergeCell ref="E5:G5"/>
    <mergeCell ref="K5:P5"/>
    <mergeCell ref="E6:G6"/>
    <mergeCell ref="K6:P6"/>
    <mergeCell ref="U6:V6"/>
    <mergeCell ref="B14:V14"/>
    <mergeCell ref="C15:E15"/>
    <mergeCell ref="F15:G15"/>
    <mergeCell ref="C16:E16"/>
    <mergeCell ref="F16:G16"/>
    <mergeCell ref="C17:E17"/>
    <mergeCell ref="F17:G17"/>
    <mergeCell ref="U11:U13"/>
    <mergeCell ref="V11:V13"/>
    <mergeCell ref="K12:K13"/>
    <mergeCell ref="L12:L13"/>
    <mergeCell ref="M12:M13"/>
    <mergeCell ref="N12:N13"/>
    <mergeCell ref="O12:O13"/>
    <mergeCell ref="P12:P13"/>
    <mergeCell ref="Q12:Q13"/>
    <mergeCell ref="R12:T12"/>
    <mergeCell ref="B11:E13"/>
    <mergeCell ref="F11:G13"/>
    <mergeCell ref="H11:H13"/>
    <mergeCell ref="I11:I13"/>
    <mergeCell ref="J11:J13"/>
    <mergeCell ref="K11:T11"/>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8A56FB67-24B5-4B0B-ACF6-E027221D1BE0}">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A89C-4BEF-4A85-9324-12E6E0D87479}">
  <sheetPr>
    <tabColor rgb="FFFFFF00"/>
    <outlinePr summaryBelow="0" summaryRight="0"/>
    <pageSetUpPr fitToPage="1"/>
  </sheetPr>
  <dimension ref="A1:AG126"/>
  <sheetViews>
    <sheetView showGridLines="0" zoomScale="85" zoomScaleNormal="85" workbookViewId="0">
      <selection activeCell="M21" sqref="M21"/>
    </sheetView>
  </sheetViews>
  <sheetFormatPr defaultColWidth="12.6640625" defaultRowHeight="15.75" customHeight="1"/>
  <cols>
    <col min="1" max="2" width="3.88671875" style="151" customWidth="1"/>
    <col min="3" max="3" width="13.109375" style="151" customWidth="1"/>
    <col min="4" max="5" width="12.6640625" style="151"/>
    <col min="6" max="6" width="15.33203125" style="151" customWidth="1"/>
    <col min="7" max="7" width="19.44140625" style="151" customWidth="1"/>
    <col min="8" max="8" width="12.6640625" style="151"/>
    <col min="9" max="10" width="5.109375" style="151" customWidth="1"/>
    <col min="11" max="11" width="9" style="151" customWidth="1"/>
    <col min="12" max="12" width="9.33203125" style="151" customWidth="1"/>
    <col min="13" max="13" width="12.77734375" style="151" customWidth="1"/>
    <col min="14" max="14" width="11.33203125" style="151" customWidth="1"/>
    <col min="15" max="18" width="9.44140625" style="151" customWidth="1"/>
    <col min="19" max="20" width="11.88671875" style="151" customWidth="1"/>
    <col min="21" max="22" width="12.6640625" style="151"/>
    <col min="23" max="23" width="3.88671875" style="151" customWidth="1"/>
    <col min="24" max="16384" width="12.6640625" style="151"/>
  </cols>
  <sheetData>
    <row r="1" spans="1:33" ht="13.2">
      <c r="A1" s="457" t="s">
        <v>132</v>
      </c>
      <c r="B1" s="453"/>
      <c r="C1" s="453"/>
      <c r="D1" s="453"/>
      <c r="E1" s="453"/>
      <c r="F1" s="453"/>
      <c r="G1" s="453"/>
      <c r="H1" s="453"/>
      <c r="I1" s="453"/>
      <c r="J1" s="453"/>
      <c r="K1" s="453"/>
      <c r="L1" s="453"/>
      <c r="M1" s="453"/>
      <c r="N1" s="453"/>
      <c r="O1" s="453"/>
      <c r="P1" s="453"/>
      <c r="Q1" s="453"/>
      <c r="R1" s="453"/>
      <c r="S1" s="453"/>
      <c r="T1" s="453"/>
      <c r="U1" s="453"/>
      <c r="V1" s="453"/>
      <c r="W1" s="453"/>
      <c r="X1" s="150"/>
      <c r="Y1" s="150"/>
      <c r="Z1" s="150"/>
      <c r="AA1" s="150"/>
      <c r="AB1" s="150"/>
      <c r="AC1" s="150"/>
      <c r="AD1" s="150"/>
      <c r="AE1" s="150"/>
      <c r="AF1" s="150"/>
      <c r="AG1" s="150"/>
    </row>
    <row r="2" spans="1:33" ht="13.2">
      <c r="A2" s="453"/>
      <c r="B2" s="453"/>
      <c r="C2" s="453"/>
      <c r="D2" s="453"/>
      <c r="E2" s="453"/>
      <c r="F2" s="453"/>
      <c r="G2" s="453"/>
      <c r="H2" s="453"/>
      <c r="I2" s="453"/>
      <c r="J2" s="453"/>
      <c r="K2" s="453"/>
      <c r="L2" s="453"/>
      <c r="M2" s="453"/>
      <c r="N2" s="453"/>
      <c r="O2" s="453"/>
      <c r="P2" s="453"/>
      <c r="Q2" s="453"/>
      <c r="R2" s="453"/>
      <c r="S2" s="453"/>
      <c r="T2" s="453"/>
      <c r="U2" s="453"/>
      <c r="V2" s="453"/>
      <c r="W2" s="453"/>
      <c r="X2" s="150"/>
      <c r="Y2" s="150"/>
      <c r="Z2" s="150"/>
      <c r="AA2" s="150"/>
      <c r="AB2" s="150"/>
      <c r="AC2" s="150"/>
      <c r="AD2" s="150"/>
      <c r="AE2" s="150"/>
      <c r="AF2" s="150"/>
      <c r="AG2" s="150"/>
    </row>
    <row r="3" spans="1:33" ht="13.2">
      <c r="A3" s="453"/>
      <c r="B3" s="453"/>
      <c r="C3" s="453"/>
      <c r="D3" s="453"/>
      <c r="E3" s="453"/>
      <c r="F3" s="453"/>
      <c r="G3" s="453"/>
      <c r="H3" s="453"/>
      <c r="I3" s="453"/>
      <c r="J3" s="453"/>
      <c r="K3" s="453"/>
      <c r="L3" s="453"/>
      <c r="M3" s="453"/>
      <c r="N3" s="453"/>
      <c r="O3" s="453"/>
      <c r="P3" s="453"/>
      <c r="Q3" s="453"/>
      <c r="R3" s="453"/>
      <c r="S3" s="453"/>
      <c r="T3" s="453"/>
      <c r="U3" s="453"/>
      <c r="V3" s="453"/>
      <c r="W3" s="453"/>
      <c r="X3" s="150"/>
      <c r="Y3" s="150"/>
      <c r="Z3" s="150"/>
      <c r="AA3" s="150"/>
      <c r="AB3" s="150"/>
      <c r="AC3" s="150"/>
      <c r="AD3" s="150"/>
      <c r="AE3" s="150"/>
      <c r="AF3" s="150"/>
      <c r="AG3" s="150"/>
    </row>
    <row r="4" spans="1:33" ht="13.8" thickBot="1">
      <c r="A4" s="453"/>
      <c r="B4" s="453"/>
      <c r="C4" s="453"/>
      <c r="D4" s="453"/>
      <c r="E4" s="453"/>
      <c r="F4" s="453"/>
      <c r="G4" s="453"/>
      <c r="H4" s="453"/>
      <c r="I4" s="453"/>
      <c r="J4" s="453"/>
      <c r="K4" s="453"/>
      <c r="L4" s="453"/>
      <c r="M4" s="453"/>
      <c r="N4" s="453"/>
      <c r="O4" s="453"/>
      <c r="P4" s="453"/>
      <c r="Q4" s="453"/>
      <c r="R4" s="453"/>
      <c r="S4" s="453"/>
      <c r="T4" s="453"/>
      <c r="U4" s="453"/>
      <c r="V4" s="453"/>
      <c r="W4" s="453"/>
      <c r="X4" s="152"/>
      <c r="Y4" s="152"/>
      <c r="Z4" s="152"/>
      <c r="AA4" s="152"/>
      <c r="AB4" s="152"/>
      <c r="AC4" s="152"/>
      <c r="AD4" s="152"/>
      <c r="AE4" s="152"/>
      <c r="AF4" s="152"/>
      <c r="AG4" s="152"/>
    </row>
    <row r="5" spans="1:33" ht="16.2" thickBot="1">
      <c r="A5" s="153"/>
      <c r="B5" s="154"/>
      <c r="C5" s="155"/>
      <c r="D5" s="156" t="s">
        <v>3</v>
      </c>
      <c r="E5" s="340" t="str">
        <f>IF('INPUT DATA'!F10="","",'INPUT DATA'!F10)</f>
        <v/>
      </c>
      <c r="F5" s="341"/>
      <c r="G5" s="342"/>
      <c r="H5" s="157"/>
      <c r="I5" s="156" t="s">
        <v>6</v>
      </c>
      <c r="J5" s="156"/>
      <c r="K5" s="352" t="str">
        <f>IF('INPUT DATA'!F11="","",'INPUT DATA'!F11)</f>
        <v/>
      </c>
      <c r="L5" s="353"/>
      <c r="M5" s="353"/>
      <c r="N5" s="353"/>
      <c r="O5" s="353"/>
      <c r="P5" s="354"/>
      <c r="Q5" s="157"/>
      <c r="R5" s="157"/>
      <c r="S5" s="157"/>
      <c r="T5" s="157"/>
      <c r="U5" s="157"/>
      <c r="V5" s="157"/>
      <c r="W5" s="153"/>
      <c r="X5" s="153"/>
      <c r="Y5" s="153"/>
      <c r="Z5" s="153"/>
      <c r="AA5" s="153"/>
      <c r="AB5" s="153"/>
      <c r="AC5" s="153"/>
      <c r="AD5" s="153"/>
      <c r="AE5" s="153"/>
      <c r="AF5" s="153"/>
      <c r="AG5" s="153"/>
    </row>
    <row r="6" spans="1:33" ht="16.2" thickBot="1">
      <c r="A6" s="153"/>
      <c r="B6" s="154"/>
      <c r="C6" s="158"/>
      <c r="D6" s="156" t="s">
        <v>7</v>
      </c>
      <c r="E6" s="340" t="str">
        <f>IF('INPUT DATA'!F16="","",'INPUT DATA'!F16)</f>
        <v/>
      </c>
      <c r="F6" s="341"/>
      <c r="G6" s="342"/>
      <c r="H6" s="157"/>
      <c r="I6" s="156" t="s">
        <v>8</v>
      </c>
      <c r="J6" s="156"/>
      <c r="K6" s="343" t="str">
        <f>IF('INPUT DATA'!F155="","",'INPUT DATA'!F15)</f>
        <v/>
      </c>
      <c r="L6" s="355"/>
      <c r="M6" s="355"/>
      <c r="N6" s="355"/>
      <c r="O6" s="355"/>
      <c r="P6" s="344"/>
      <c r="Q6" s="159"/>
      <c r="R6" s="159"/>
      <c r="S6" s="156" t="s">
        <v>10</v>
      </c>
      <c r="T6" s="156"/>
      <c r="U6" s="343" t="str">
        <f>IF('INPUT DATA'!F18="","",'INPUT DATA'!F18)</f>
        <v/>
      </c>
      <c r="V6" s="344"/>
      <c r="W6" s="153"/>
      <c r="X6" s="153"/>
      <c r="Y6" s="153"/>
      <c r="Z6" s="153"/>
      <c r="AA6" s="153"/>
      <c r="AB6" s="153"/>
      <c r="AC6" s="153"/>
      <c r="AD6" s="153"/>
      <c r="AE6" s="153"/>
      <c r="AF6" s="153"/>
      <c r="AG6" s="153"/>
    </row>
    <row r="7" spans="1:33" ht="13.8" thickBot="1">
      <c r="A7" s="152"/>
      <c r="B7" s="160"/>
      <c r="C7" s="161"/>
      <c r="D7" s="161"/>
      <c r="E7" s="152"/>
      <c r="F7" s="152"/>
      <c r="G7" s="162"/>
      <c r="I7" s="152"/>
      <c r="J7" s="152"/>
      <c r="K7" s="152"/>
      <c r="L7" s="161"/>
      <c r="M7" s="152"/>
      <c r="N7" s="152"/>
      <c r="O7" s="161"/>
      <c r="P7" s="161"/>
      <c r="Q7" s="161"/>
      <c r="R7" s="161"/>
      <c r="S7" s="152"/>
      <c r="T7" s="152"/>
      <c r="U7" s="161"/>
      <c r="V7" s="152"/>
      <c r="W7" s="152"/>
      <c r="X7" s="152"/>
      <c r="Y7" s="152"/>
      <c r="Z7" s="152"/>
      <c r="AA7" s="152"/>
      <c r="AB7" s="152"/>
      <c r="AC7" s="152"/>
      <c r="AD7" s="152"/>
      <c r="AE7" s="152"/>
      <c r="AF7" s="152"/>
      <c r="AG7" s="152"/>
    </row>
    <row r="8" spans="1:33" ht="13.8" thickBot="1">
      <c r="A8" s="152"/>
      <c r="B8" s="447"/>
      <c r="C8" s="448"/>
      <c r="D8" s="448"/>
      <c r="E8" s="448"/>
      <c r="F8" s="448"/>
      <c r="G8" s="448"/>
      <c r="H8" s="448"/>
      <c r="I8" s="448"/>
      <c r="J8" s="448"/>
      <c r="K8" s="448"/>
      <c r="L8" s="448"/>
      <c r="M8" s="448"/>
      <c r="N8" s="448"/>
      <c r="O8" s="448"/>
      <c r="P8" s="448"/>
      <c r="Q8" s="448"/>
      <c r="R8" s="448"/>
      <c r="S8" s="448"/>
      <c r="T8" s="448"/>
      <c r="U8" s="448"/>
      <c r="V8" s="449"/>
      <c r="W8" s="152"/>
      <c r="X8" s="152"/>
      <c r="Y8" s="152"/>
      <c r="Z8" s="152"/>
      <c r="AA8" s="152"/>
      <c r="AB8" s="152"/>
      <c r="AC8" s="152"/>
      <c r="AD8" s="152"/>
      <c r="AE8" s="152"/>
      <c r="AF8" s="152"/>
      <c r="AG8" s="152"/>
    </row>
    <row r="9" spans="1:33" ht="14.4" thickBot="1">
      <c r="A9" s="150"/>
      <c r="B9" s="450" t="s">
        <v>118</v>
      </c>
      <c r="C9" s="419"/>
      <c r="D9" s="419"/>
      <c r="E9" s="451"/>
      <c r="F9" s="163" t="s">
        <v>16</v>
      </c>
      <c r="G9" s="331" t="str">
        <f>IF('INPUT DATA'!F27="","",'INPUT DATA'!F27)</f>
        <v/>
      </c>
      <c r="H9" s="332"/>
      <c r="I9" s="332"/>
      <c r="J9" s="332"/>
      <c r="K9" s="333"/>
      <c r="L9" s="455" t="s">
        <v>18</v>
      </c>
      <c r="M9" s="456"/>
      <c r="N9" s="345" t="str">
        <f>IF('INPUT DATA'!F26="","",'INPUT DATA'!F26)</f>
        <v/>
      </c>
      <c r="O9" s="346"/>
      <c r="P9" s="346"/>
      <c r="Q9" s="346"/>
      <c r="R9" s="346"/>
      <c r="S9" s="346"/>
      <c r="T9" s="346"/>
      <c r="U9" s="346"/>
      <c r="V9" s="347"/>
      <c r="W9" s="150"/>
      <c r="X9" s="150"/>
      <c r="Y9" s="150"/>
      <c r="Z9" s="150"/>
      <c r="AA9" s="150"/>
      <c r="AB9" s="150"/>
      <c r="AC9" s="150"/>
      <c r="AD9" s="150"/>
      <c r="AE9" s="150"/>
      <c r="AF9" s="150"/>
      <c r="AG9" s="150"/>
    </row>
    <row r="10" spans="1:33" ht="14.4" thickBot="1">
      <c r="A10" s="150"/>
      <c r="B10" s="452"/>
      <c r="C10" s="453"/>
      <c r="D10" s="453"/>
      <c r="E10" s="454"/>
      <c r="F10" s="164" t="s">
        <v>20</v>
      </c>
      <c r="G10" s="336" t="str">
        <f>IF('INPUT DATA'!F28="","",'INPUT DATA'!F28)</f>
        <v/>
      </c>
      <c r="H10" s="337"/>
      <c r="I10" s="337"/>
      <c r="J10" s="337"/>
      <c r="K10" s="338"/>
      <c r="L10" s="455"/>
      <c r="M10" s="456"/>
      <c r="N10" s="348"/>
      <c r="O10" s="349"/>
      <c r="P10" s="349"/>
      <c r="Q10" s="349"/>
      <c r="R10" s="349"/>
      <c r="S10" s="349"/>
      <c r="T10" s="349"/>
      <c r="U10" s="350"/>
      <c r="V10" s="351"/>
      <c r="W10" s="150"/>
      <c r="X10" s="150"/>
      <c r="Y10" s="150"/>
      <c r="Z10" s="150"/>
      <c r="AA10" s="150"/>
      <c r="AB10" s="150"/>
      <c r="AC10" s="150"/>
      <c r="AD10" s="150"/>
      <c r="AE10" s="150"/>
      <c r="AF10" s="150"/>
      <c r="AG10" s="150"/>
    </row>
    <row r="11" spans="1:33" ht="14.4" customHeight="1" thickBot="1">
      <c r="A11" s="152"/>
      <c r="B11" s="431" t="s">
        <v>21</v>
      </c>
      <c r="C11" s="432"/>
      <c r="D11" s="432"/>
      <c r="E11" s="433"/>
      <c r="F11" s="440" t="s">
        <v>12</v>
      </c>
      <c r="G11" s="441"/>
      <c r="H11" s="443" t="s">
        <v>22</v>
      </c>
      <c r="I11" s="443" t="s">
        <v>23</v>
      </c>
      <c r="J11" s="440" t="s">
        <v>121</v>
      </c>
      <c r="K11" s="445" t="s">
        <v>24</v>
      </c>
      <c r="L11" s="446"/>
      <c r="M11" s="446"/>
      <c r="N11" s="446"/>
      <c r="O11" s="446"/>
      <c r="P11" s="446"/>
      <c r="Q11" s="446"/>
      <c r="R11" s="446"/>
      <c r="S11" s="446"/>
      <c r="T11" s="446"/>
      <c r="U11" s="421" t="s">
        <v>25</v>
      </c>
      <c r="V11" s="423" t="s">
        <v>26</v>
      </c>
      <c r="W11" s="165"/>
      <c r="X11" s="152"/>
      <c r="Y11" s="152"/>
      <c r="Z11" s="152"/>
      <c r="AA11" s="152"/>
      <c r="AB11" s="152"/>
      <c r="AC11" s="152"/>
      <c r="AD11" s="152"/>
      <c r="AE11" s="152"/>
      <c r="AF11" s="152"/>
      <c r="AG11" s="152"/>
    </row>
    <row r="12" spans="1:33" ht="14.4" customHeight="1" thickBot="1">
      <c r="A12" s="152"/>
      <c r="B12" s="434"/>
      <c r="C12" s="435"/>
      <c r="D12" s="435"/>
      <c r="E12" s="436"/>
      <c r="F12" s="428"/>
      <c r="G12" s="423"/>
      <c r="H12" s="425"/>
      <c r="I12" s="425"/>
      <c r="J12" s="425"/>
      <c r="K12" s="425" t="s">
        <v>27</v>
      </c>
      <c r="L12" s="425" t="s">
        <v>28</v>
      </c>
      <c r="M12" s="563" t="s">
        <v>138</v>
      </c>
      <c r="N12" s="563" t="s">
        <v>139</v>
      </c>
      <c r="O12" s="425" t="s">
        <v>127</v>
      </c>
      <c r="P12" s="425" t="s">
        <v>128</v>
      </c>
      <c r="Q12" s="425" t="s">
        <v>123</v>
      </c>
      <c r="R12" s="428" t="s">
        <v>124</v>
      </c>
      <c r="S12" s="429"/>
      <c r="T12" s="430"/>
      <c r="U12" s="421"/>
      <c r="V12" s="423"/>
      <c r="W12" s="165"/>
      <c r="X12" s="152"/>
      <c r="Y12" s="152"/>
      <c r="Z12" s="152"/>
      <c r="AA12" s="152"/>
      <c r="AB12" s="152"/>
      <c r="AC12" s="152"/>
      <c r="AD12" s="152"/>
      <c r="AE12" s="152"/>
      <c r="AF12" s="152"/>
      <c r="AG12" s="152"/>
    </row>
    <row r="13" spans="1:33" ht="15.75" customHeight="1" thickBot="1">
      <c r="A13" s="152"/>
      <c r="B13" s="437"/>
      <c r="C13" s="438"/>
      <c r="D13" s="438"/>
      <c r="E13" s="439"/>
      <c r="F13" s="427"/>
      <c r="G13" s="442"/>
      <c r="H13" s="426"/>
      <c r="I13" s="444"/>
      <c r="J13" s="426"/>
      <c r="K13" s="426"/>
      <c r="L13" s="426"/>
      <c r="M13" s="564"/>
      <c r="N13" s="564"/>
      <c r="O13" s="426"/>
      <c r="P13" s="426"/>
      <c r="Q13" s="427"/>
      <c r="R13" s="166" t="s">
        <v>129</v>
      </c>
      <c r="S13" s="167" t="s">
        <v>130</v>
      </c>
      <c r="T13" s="168" t="s">
        <v>133</v>
      </c>
      <c r="U13" s="422"/>
      <c r="V13" s="424"/>
      <c r="W13" s="165"/>
      <c r="X13" s="152"/>
      <c r="Y13" s="152"/>
      <c r="Z13" s="152"/>
      <c r="AA13" s="152"/>
      <c r="AB13" s="152"/>
      <c r="AC13" s="152"/>
      <c r="AD13" s="152"/>
      <c r="AE13" s="152"/>
      <c r="AF13" s="152"/>
      <c r="AG13" s="152"/>
    </row>
    <row r="14" spans="1:33" ht="16.2" thickBot="1">
      <c r="A14" s="153"/>
      <c r="B14" s="415"/>
      <c r="C14" s="416"/>
      <c r="D14" s="416"/>
      <c r="E14" s="416"/>
      <c r="F14" s="416"/>
      <c r="G14" s="416"/>
      <c r="H14" s="416"/>
      <c r="I14" s="416"/>
      <c r="J14" s="417"/>
      <c r="K14" s="416"/>
      <c r="L14" s="416"/>
      <c r="M14" s="416"/>
      <c r="N14" s="416"/>
      <c r="O14" s="416"/>
      <c r="P14" s="416"/>
      <c r="Q14" s="416"/>
      <c r="R14" s="418"/>
      <c r="S14" s="418"/>
      <c r="T14" s="419"/>
      <c r="U14" s="419"/>
      <c r="V14" s="420"/>
      <c r="W14" s="153"/>
      <c r="X14" s="153"/>
      <c r="Y14" s="153"/>
      <c r="Z14" s="153"/>
      <c r="AA14" s="153"/>
      <c r="AB14" s="153"/>
      <c r="AC14" s="153"/>
      <c r="AD14" s="153"/>
      <c r="AE14" s="153"/>
      <c r="AF14" s="153"/>
      <c r="AG14" s="153"/>
    </row>
    <row r="15" spans="1:33" ht="15">
      <c r="A15" s="153"/>
      <c r="B15" s="169">
        <v>1</v>
      </c>
      <c r="C15" s="361" t="str">
        <f>IF('INPUT DATA'!L11="","",'INPUT DATA'!L11)</f>
        <v/>
      </c>
      <c r="D15" s="362"/>
      <c r="E15" s="363"/>
      <c r="F15" s="364" t="str">
        <f>IF('INPUT DATA'!M11="","",'INPUT DATA'!M11)</f>
        <v/>
      </c>
      <c r="G15" s="365"/>
      <c r="H15" s="92" t="str">
        <f>IF('INPUT DATA'!N11="","",'INPUT DATA'!N11)</f>
        <v/>
      </c>
      <c r="I15" s="113" t="str">
        <f ca="1">IF(H15="","",DATEDIF(H15,TODAY(),"Y"))</f>
        <v/>
      </c>
      <c r="J15" s="170"/>
      <c r="K15" s="171"/>
      <c r="L15" s="172"/>
      <c r="M15" s="172"/>
      <c r="N15" s="172"/>
      <c r="O15" s="172"/>
      <c r="P15" s="172"/>
      <c r="Q15" s="172"/>
      <c r="R15" s="172"/>
      <c r="S15" s="173"/>
      <c r="T15" s="557" t="str">
        <f>IF(COUNT($R15:$S15)=0,"",ROUND(AVERAGE(R15:S15),0))</f>
        <v/>
      </c>
      <c r="U15" s="198" t="str">
        <f>IF(COUNT(K15:Q15,T15)=0,"",ROUND(AVERAGE(K15:Q15,T15),0))</f>
        <v/>
      </c>
      <c r="V15" s="91" t="str">
        <f>IF(U15="","",_xlfn.RANK.AVG(U15,$U$15:$U$115))</f>
        <v/>
      </c>
      <c r="W15" s="153"/>
      <c r="X15" s="153"/>
      <c r="Y15" s="153"/>
      <c r="Z15" s="153"/>
      <c r="AA15" s="153"/>
      <c r="AB15" s="153"/>
      <c r="AC15" s="153"/>
      <c r="AD15" s="153"/>
      <c r="AE15" s="153"/>
      <c r="AF15" s="153"/>
      <c r="AG15" s="153"/>
    </row>
    <row r="16" spans="1:33" ht="15">
      <c r="A16" s="153"/>
      <c r="B16" s="175">
        <v>2</v>
      </c>
      <c r="C16" s="361" t="str">
        <f>IF('INPUT DATA'!L12="","",'INPUT DATA'!L12)</f>
        <v/>
      </c>
      <c r="D16" s="362"/>
      <c r="E16" s="363"/>
      <c r="F16" s="364" t="str">
        <f>IF('INPUT DATA'!M12="","",'INPUT DATA'!M12)</f>
        <v/>
      </c>
      <c r="G16" s="365"/>
      <c r="H16" s="93" t="str">
        <f>IF('INPUT DATA'!N12="","",'INPUT DATA'!N12)</f>
        <v/>
      </c>
      <c r="I16" s="137" t="str">
        <f ca="1">IF(H16="","",DATEDIF(H16,TODAY(),"Y"))</f>
        <v/>
      </c>
      <c r="J16" s="176"/>
      <c r="K16" s="177"/>
      <c r="L16" s="178"/>
      <c r="M16" s="178"/>
      <c r="N16" s="178"/>
      <c r="O16" s="178"/>
      <c r="P16" s="178"/>
      <c r="Q16" s="178"/>
      <c r="R16" s="178"/>
      <c r="S16" s="179"/>
      <c r="T16" s="558" t="str">
        <f t="shared" ref="T16:T64" si="0">IF(COUNT($R16:$S16)=0,"",ROUND(AVERAGE(R16:S16),0))</f>
        <v/>
      </c>
      <c r="U16" s="199" t="str">
        <f t="shared" ref="U16:U79" si="1">IF(COUNT(K16:Q16,T16)=0,"",ROUND(AVERAGE(K16:Q16,T16),0))</f>
        <v/>
      </c>
      <c r="V16" s="91" t="str">
        <f>IF(U16="","",_xlfn.RANK.AVG(U16,$U$15:$U$115))</f>
        <v/>
      </c>
      <c r="W16" s="153"/>
      <c r="X16" s="153"/>
      <c r="Y16" s="153"/>
      <c r="Z16" s="153"/>
      <c r="AA16" s="153"/>
      <c r="AB16" s="153"/>
      <c r="AC16" s="153"/>
      <c r="AD16" s="153"/>
      <c r="AE16" s="153"/>
      <c r="AF16" s="153"/>
      <c r="AG16" s="153"/>
    </row>
    <row r="17" spans="1:33" ht="15">
      <c r="A17" s="153"/>
      <c r="B17" s="175">
        <v>3</v>
      </c>
      <c r="C17" s="361" t="str">
        <f>IF('INPUT DATA'!L13="","",'INPUT DATA'!L13)</f>
        <v/>
      </c>
      <c r="D17" s="362"/>
      <c r="E17" s="363"/>
      <c r="F17" s="364" t="str">
        <f>IF('INPUT DATA'!M13="","",'INPUT DATA'!M13)</f>
        <v/>
      </c>
      <c r="G17" s="365"/>
      <c r="H17" s="93" t="str">
        <f>IF('INPUT DATA'!N13="","",'INPUT DATA'!N13)</f>
        <v/>
      </c>
      <c r="I17" s="137" t="str">
        <f t="shared" ref="I17:I64" ca="1" si="2">IF(H17="","",DATEDIF(H17,TODAY(),"Y"))</f>
        <v/>
      </c>
      <c r="J17" s="176"/>
      <c r="K17" s="177"/>
      <c r="L17" s="178"/>
      <c r="M17" s="178"/>
      <c r="N17" s="178"/>
      <c r="O17" s="178"/>
      <c r="P17" s="178"/>
      <c r="Q17" s="178"/>
      <c r="R17" s="178"/>
      <c r="S17" s="179"/>
      <c r="T17" s="558" t="str">
        <f t="shared" si="0"/>
        <v/>
      </c>
      <c r="U17" s="199" t="str">
        <f t="shared" si="1"/>
        <v/>
      </c>
      <c r="V17" s="91" t="str">
        <f t="shared" ref="V17:V64" si="3">IF(U17="","",_xlfn.RANK.AVG(U17,$U$15:$U$115))</f>
        <v/>
      </c>
      <c r="W17" s="153"/>
      <c r="X17" s="153"/>
      <c r="Y17" s="153"/>
      <c r="Z17" s="153"/>
      <c r="AA17" s="153"/>
      <c r="AB17" s="153"/>
      <c r="AC17" s="153"/>
      <c r="AD17" s="153"/>
      <c r="AE17" s="153"/>
      <c r="AF17" s="153"/>
      <c r="AG17" s="153"/>
    </row>
    <row r="18" spans="1:33" ht="15">
      <c r="A18" s="153"/>
      <c r="B18" s="175">
        <v>4</v>
      </c>
      <c r="C18" s="361" t="str">
        <f>IF('INPUT DATA'!L14="","",'INPUT DATA'!L14)</f>
        <v/>
      </c>
      <c r="D18" s="362"/>
      <c r="E18" s="363"/>
      <c r="F18" s="364" t="str">
        <f>IF('INPUT DATA'!M14="","",'INPUT DATA'!M14)</f>
        <v/>
      </c>
      <c r="G18" s="365"/>
      <c r="H18" s="93" t="str">
        <f>IF('INPUT DATA'!N14="","",'INPUT DATA'!N14)</f>
        <v/>
      </c>
      <c r="I18" s="137" t="str">
        <f t="shared" ca="1" si="2"/>
        <v/>
      </c>
      <c r="J18" s="176"/>
      <c r="K18" s="177"/>
      <c r="L18" s="178"/>
      <c r="M18" s="178"/>
      <c r="N18" s="178"/>
      <c r="O18" s="178"/>
      <c r="P18" s="178"/>
      <c r="Q18" s="178"/>
      <c r="R18" s="178"/>
      <c r="S18" s="201"/>
      <c r="T18" s="558" t="str">
        <f t="shared" si="0"/>
        <v/>
      </c>
      <c r="U18" s="199" t="str">
        <f t="shared" si="1"/>
        <v/>
      </c>
      <c r="V18" s="91" t="str">
        <f t="shared" si="3"/>
        <v/>
      </c>
      <c r="W18" s="153"/>
      <c r="X18" s="153"/>
      <c r="Y18" s="153"/>
      <c r="Z18" s="153"/>
      <c r="AA18" s="153"/>
      <c r="AB18" s="153"/>
      <c r="AC18" s="153"/>
      <c r="AD18" s="153"/>
      <c r="AE18" s="153"/>
      <c r="AF18" s="153"/>
      <c r="AG18" s="153"/>
    </row>
    <row r="19" spans="1:33" ht="15">
      <c r="A19" s="153"/>
      <c r="B19" s="175">
        <v>5</v>
      </c>
      <c r="C19" s="361" t="str">
        <f>IF('INPUT DATA'!L15="","",'INPUT DATA'!L15)</f>
        <v/>
      </c>
      <c r="D19" s="362"/>
      <c r="E19" s="363"/>
      <c r="F19" s="364" t="str">
        <f>IF('INPUT DATA'!M15="","",'INPUT DATA'!M15)</f>
        <v/>
      </c>
      <c r="G19" s="365"/>
      <c r="H19" s="93" t="str">
        <f>IF('INPUT DATA'!N15="","",'INPUT DATA'!N15)</f>
        <v/>
      </c>
      <c r="I19" s="137" t="str">
        <f t="shared" ca="1" si="2"/>
        <v/>
      </c>
      <c r="J19" s="176"/>
      <c r="K19" s="177"/>
      <c r="L19" s="178"/>
      <c r="M19" s="178"/>
      <c r="N19" s="178"/>
      <c r="O19" s="178"/>
      <c r="P19" s="178"/>
      <c r="Q19" s="178"/>
      <c r="R19" s="178"/>
      <c r="S19" s="179"/>
      <c r="T19" s="558" t="str">
        <f t="shared" si="0"/>
        <v/>
      </c>
      <c r="U19" s="199" t="str">
        <f t="shared" si="1"/>
        <v/>
      </c>
      <c r="V19" s="91" t="str">
        <f t="shared" si="3"/>
        <v/>
      </c>
      <c r="W19" s="153"/>
      <c r="X19" s="153"/>
      <c r="Y19" s="153"/>
      <c r="Z19" s="153"/>
      <c r="AA19" s="153"/>
      <c r="AB19" s="153"/>
      <c r="AC19" s="153"/>
      <c r="AD19" s="153"/>
      <c r="AE19" s="153"/>
      <c r="AF19" s="153"/>
      <c r="AG19" s="153"/>
    </row>
    <row r="20" spans="1:33" ht="15">
      <c r="A20" s="153"/>
      <c r="B20" s="175">
        <v>6</v>
      </c>
      <c r="C20" s="361" t="str">
        <f>IF('INPUT DATA'!L16="","",'INPUT DATA'!L16)</f>
        <v/>
      </c>
      <c r="D20" s="362"/>
      <c r="E20" s="363"/>
      <c r="F20" s="364" t="str">
        <f>IF('INPUT DATA'!M16="","",'INPUT DATA'!M16)</f>
        <v/>
      </c>
      <c r="G20" s="365"/>
      <c r="H20" s="93" t="str">
        <f>IF('INPUT DATA'!N16="","",'INPUT DATA'!N16)</f>
        <v/>
      </c>
      <c r="I20" s="137" t="str">
        <f t="shared" ca="1" si="2"/>
        <v/>
      </c>
      <c r="J20" s="176"/>
      <c r="K20" s="177"/>
      <c r="L20" s="178"/>
      <c r="M20" s="178"/>
      <c r="N20" s="178"/>
      <c r="O20" s="178"/>
      <c r="P20" s="178"/>
      <c r="Q20" s="178"/>
      <c r="R20" s="178"/>
      <c r="S20" s="179"/>
      <c r="T20" s="558" t="str">
        <f t="shared" si="0"/>
        <v/>
      </c>
      <c r="U20" s="199" t="str">
        <f t="shared" si="1"/>
        <v/>
      </c>
      <c r="V20" s="91" t="str">
        <f t="shared" si="3"/>
        <v/>
      </c>
      <c r="W20" s="153"/>
      <c r="X20" s="153"/>
      <c r="Y20" s="153"/>
      <c r="Z20" s="153"/>
      <c r="AA20" s="153"/>
      <c r="AB20" s="153"/>
      <c r="AC20" s="153"/>
      <c r="AD20" s="153"/>
      <c r="AE20" s="153"/>
      <c r="AF20" s="153"/>
      <c r="AG20" s="153"/>
    </row>
    <row r="21" spans="1:33" ht="15">
      <c r="A21" s="153"/>
      <c r="B21" s="175">
        <v>7</v>
      </c>
      <c r="C21" s="361" t="str">
        <f>IF('INPUT DATA'!L17="","",'INPUT DATA'!L17)</f>
        <v/>
      </c>
      <c r="D21" s="362"/>
      <c r="E21" s="363"/>
      <c r="F21" s="364" t="str">
        <f>IF('INPUT DATA'!M17="","",'INPUT DATA'!M17)</f>
        <v/>
      </c>
      <c r="G21" s="365"/>
      <c r="H21" s="93" t="str">
        <f>IF('INPUT DATA'!N17="","",'INPUT DATA'!N17)</f>
        <v/>
      </c>
      <c r="I21" s="137" t="str">
        <f t="shared" ca="1" si="2"/>
        <v/>
      </c>
      <c r="J21" s="176"/>
      <c r="K21" s="177"/>
      <c r="L21" s="178"/>
      <c r="M21" s="178"/>
      <c r="N21" s="178"/>
      <c r="O21" s="178"/>
      <c r="P21" s="178"/>
      <c r="Q21" s="178"/>
      <c r="R21" s="178"/>
      <c r="S21" s="179"/>
      <c r="T21" s="558" t="str">
        <f t="shared" si="0"/>
        <v/>
      </c>
      <c r="U21" s="199" t="str">
        <f t="shared" si="1"/>
        <v/>
      </c>
      <c r="V21" s="91" t="str">
        <f t="shared" si="3"/>
        <v/>
      </c>
      <c r="W21" s="153"/>
      <c r="X21" s="153"/>
      <c r="Y21" s="153"/>
      <c r="Z21" s="153"/>
      <c r="AA21" s="153"/>
      <c r="AB21" s="153"/>
      <c r="AC21" s="153"/>
      <c r="AD21" s="153"/>
      <c r="AE21" s="153"/>
      <c r="AF21" s="153"/>
      <c r="AG21" s="153"/>
    </row>
    <row r="22" spans="1:33" ht="15">
      <c r="A22" s="153"/>
      <c r="B22" s="175">
        <v>8</v>
      </c>
      <c r="C22" s="361" t="str">
        <f>IF('INPUT DATA'!L18="","",'INPUT DATA'!L18)</f>
        <v/>
      </c>
      <c r="D22" s="362"/>
      <c r="E22" s="363"/>
      <c r="F22" s="364" t="str">
        <f>IF('INPUT DATA'!M18="","",'INPUT DATA'!M18)</f>
        <v/>
      </c>
      <c r="G22" s="365"/>
      <c r="H22" s="93" t="str">
        <f>IF('INPUT DATA'!N18="","",'INPUT DATA'!N18)</f>
        <v/>
      </c>
      <c r="I22" s="137" t="str">
        <f t="shared" ca="1" si="2"/>
        <v/>
      </c>
      <c r="J22" s="176"/>
      <c r="K22" s="177"/>
      <c r="L22" s="178"/>
      <c r="M22" s="178"/>
      <c r="N22" s="178"/>
      <c r="O22" s="178"/>
      <c r="P22" s="178"/>
      <c r="Q22" s="178"/>
      <c r="R22" s="178"/>
      <c r="S22" s="179"/>
      <c r="T22" s="558" t="str">
        <f t="shared" si="0"/>
        <v/>
      </c>
      <c r="U22" s="199" t="str">
        <f t="shared" si="1"/>
        <v/>
      </c>
      <c r="V22" s="91" t="str">
        <f t="shared" si="3"/>
        <v/>
      </c>
      <c r="W22" s="153"/>
      <c r="X22" s="153"/>
      <c r="Y22" s="153"/>
      <c r="Z22" s="153"/>
      <c r="AA22" s="153"/>
      <c r="AB22" s="153"/>
      <c r="AC22" s="153"/>
      <c r="AD22" s="153"/>
      <c r="AE22" s="153"/>
      <c r="AF22" s="153"/>
      <c r="AG22" s="153"/>
    </row>
    <row r="23" spans="1:33" ht="15">
      <c r="A23" s="153"/>
      <c r="B23" s="175">
        <v>9</v>
      </c>
      <c r="C23" s="361" t="str">
        <f>IF('INPUT DATA'!L19="","",'INPUT DATA'!L19)</f>
        <v/>
      </c>
      <c r="D23" s="362"/>
      <c r="E23" s="363"/>
      <c r="F23" s="364" t="str">
        <f>IF('INPUT DATA'!M19="","",'INPUT DATA'!M19)</f>
        <v/>
      </c>
      <c r="G23" s="365"/>
      <c r="H23" s="93" t="str">
        <f>IF('INPUT DATA'!N19="","",'INPUT DATA'!N19)</f>
        <v/>
      </c>
      <c r="I23" s="137" t="str">
        <f t="shared" ca="1" si="2"/>
        <v/>
      </c>
      <c r="J23" s="176"/>
      <c r="K23" s="177"/>
      <c r="L23" s="178"/>
      <c r="M23" s="178"/>
      <c r="N23" s="178"/>
      <c r="O23" s="178"/>
      <c r="P23" s="178"/>
      <c r="Q23" s="178"/>
      <c r="R23" s="178"/>
      <c r="S23" s="179"/>
      <c r="T23" s="558" t="str">
        <f t="shared" si="0"/>
        <v/>
      </c>
      <c r="U23" s="199" t="str">
        <f t="shared" si="1"/>
        <v/>
      </c>
      <c r="V23" s="91" t="str">
        <f t="shared" si="3"/>
        <v/>
      </c>
      <c r="W23" s="153"/>
      <c r="X23" s="153"/>
      <c r="Y23" s="153"/>
      <c r="Z23" s="153"/>
      <c r="AA23" s="153"/>
      <c r="AB23" s="153"/>
      <c r="AC23" s="153"/>
      <c r="AD23" s="153"/>
      <c r="AE23" s="153"/>
      <c r="AF23" s="153"/>
      <c r="AG23" s="153"/>
    </row>
    <row r="24" spans="1:33" ht="15">
      <c r="A24" s="153"/>
      <c r="B24" s="175">
        <v>10</v>
      </c>
      <c r="C24" s="361" t="str">
        <f>IF('INPUT DATA'!L20="","",'INPUT DATA'!L20)</f>
        <v/>
      </c>
      <c r="D24" s="362"/>
      <c r="E24" s="363"/>
      <c r="F24" s="364" t="str">
        <f>IF('INPUT DATA'!M20="","",'INPUT DATA'!M20)</f>
        <v/>
      </c>
      <c r="G24" s="365"/>
      <c r="H24" s="93" t="str">
        <f>IF('INPUT DATA'!N20="","",'INPUT DATA'!N20)</f>
        <v/>
      </c>
      <c r="I24" s="137" t="str">
        <f t="shared" ca="1" si="2"/>
        <v/>
      </c>
      <c r="J24" s="176"/>
      <c r="K24" s="177"/>
      <c r="L24" s="178"/>
      <c r="M24" s="178"/>
      <c r="N24" s="178"/>
      <c r="O24" s="178"/>
      <c r="P24" s="178"/>
      <c r="Q24" s="178"/>
      <c r="R24" s="178"/>
      <c r="S24" s="179"/>
      <c r="T24" s="558" t="str">
        <f t="shared" si="0"/>
        <v/>
      </c>
      <c r="U24" s="199" t="str">
        <f t="shared" si="1"/>
        <v/>
      </c>
      <c r="V24" s="91" t="str">
        <f t="shared" si="3"/>
        <v/>
      </c>
      <c r="W24" s="153"/>
      <c r="X24" s="153"/>
      <c r="Y24" s="153"/>
      <c r="Z24" s="153"/>
      <c r="AA24" s="153"/>
      <c r="AB24" s="153"/>
      <c r="AC24" s="153"/>
      <c r="AD24" s="153"/>
      <c r="AE24" s="153"/>
      <c r="AF24" s="153"/>
      <c r="AG24" s="153"/>
    </row>
    <row r="25" spans="1:33" ht="15">
      <c r="A25" s="153"/>
      <c r="B25" s="175">
        <v>11</v>
      </c>
      <c r="C25" s="361" t="str">
        <f>IF('INPUT DATA'!L21="","",'INPUT DATA'!L21)</f>
        <v/>
      </c>
      <c r="D25" s="362"/>
      <c r="E25" s="363"/>
      <c r="F25" s="364" t="str">
        <f>IF('INPUT DATA'!M21="","",'INPUT DATA'!M21)</f>
        <v/>
      </c>
      <c r="G25" s="365"/>
      <c r="H25" s="93" t="str">
        <f>IF('INPUT DATA'!N21="","",'INPUT DATA'!N21)</f>
        <v/>
      </c>
      <c r="I25" s="137" t="str">
        <f t="shared" ca="1" si="2"/>
        <v/>
      </c>
      <c r="J25" s="176"/>
      <c r="K25" s="177"/>
      <c r="L25" s="178"/>
      <c r="M25" s="178"/>
      <c r="N25" s="178"/>
      <c r="O25" s="178"/>
      <c r="P25" s="178"/>
      <c r="Q25" s="178"/>
      <c r="R25" s="178"/>
      <c r="S25" s="179"/>
      <c r="T25" s="558" t="str">
        <f t="shared" si="0"/>
        <v/>
      </c>
      <c r="U25" s="199" t="str">
        <f t="shared" si="1"/>
        <v/>
      </c>
      <c r="V25" s="91" t="str">
        <f t="shared" si="3"/>
        <v/>
      </c>
      <c r="W25" s="153"/>
      <c r="X25" s="153"/>
      <c r="Y25" s="153"/>
      <c r="Z25" s="153"/>
      <c r="AA25" s="153"/>
      <c r="AB25" s="153"/>
      <c r="AC25" s="153"/>
      <c r="AD25" s="153"/>
      <c r="AE25" s="153"/>
      <c r="AF25" s="153"/>
      <c r="AG25" s="153"/>
    </row>
    <row r="26" spans="1:33" ht="15">
      <c r="A26" s="153"/>
      <c r="B26" s="175">
        <v>12</v>
      </c>
      <c r="C26" s="361" t="str">
        <f>IF('INPUT DATA'!L22="","",'INPUT DATA'!L22)</f>
        <v/>
      </c>
      <c r="D26" s="362"/>
      <c r="E26" s="363"/>
      <c r="F26" s="364" t="str">
        <f>IF('INPUT DATA'!M22="","",'INPUT DATA'!M22)</f>
        <v/>
      </c>
      <c r="G26" s="365"/>
      <c r="H26" s="93" t="str">
        <f>IF('INPUT DATA'!N22="","",'INPUT DATA'!N22)</f>
        <v/>
      </c>
      <c r="I26" s="137" t="str">
        <f t="shared" ca="1" si="2"/>
        <v/>
      </c>
      <c r="J26" s="176"/>
      <c r="K26" s="177"/>
      <c r="L26" s="178"/>
      <c r="M26" s="178"/>
      <c r="N26" s="178"/>
      <c r="O26" s="178"/>
      <c r="P26" s="178"/>
      <c r="Q26" s="178"/>
      <c r="R26" s="178"/>
      <c r="S26" s="179"/>
      <c r="T26" s="558" t="str">
        <f t="shared" si="0"/>
        <v/>
      </c>
      <c r="U26" s="199" t="str">
        <f t="shared" si="1"/>
        <v/>
      </c>
      <c r="V26" s="91" t="str">
        <f t="shared" si="3"/>
        <v/>
      </c>
      <c r="W26" s="153"/>
      <c r="X26" s="153"/>
      <c r="Y26" s="153"/>
      <c r="Z26" s="153"/>
      <c r="AA26" s="153"/>
      <c r="AB26" s="153"/>
      <c r="AC26" s="153"/>
      <c r="AD26" s="153"/>
      <c r="AE26" s="153"/>
      <c r="AF26" s="153"/>
      <c r="AG26" s="153"/>
    </row>
    <row r="27" spans="1:33" ht="15">
      <c r="A27" s="153"/>
      <c r="B27" s="175">
        <v>13</v>
      </c>
      <c r="C27" s="361" t="str">
        <f>IF('INPUT DATA'!L23="","",'INPUT DATA'!L23)</f>
        <v/>
      </c>
      <c r="D27" s="362"/>
      <c r="E27" s="363"/>
      <c r="F27" s="364" t="str">
        <f>IF('INPUT DATA'!M23="","",'INPUT DATA'!M23)</f>
        <v/>
      </c>
      <c r="G27" s="365"/>
      <c r="H27" s="93" t="str">
        <f>IF('INPUT DATA'!N23="","",'INPUT DATA'!N23)</f>
        <v/>
      </c>
      <c r="I27" s="137" t="str">
        <f t="shared" ca="1" si="2"/>
        <v/>
      </c>
      <c r="J27" s="176"/>
      <c r="K27" s="177"/>
      <c r="L27" s="178"/>
      <c r="M27" s="178"/>
      <c r="N27" s="178"/>
      <c r="O27" s="178"/>
      <c r="P27" s="178"/>
      <c r="Q27" s="178"/>
      <c r="R27" s="178"/>
      <c r="S27" s="179"/>
      <c r="T27" s="558" t="str">
        <f t="shared" si="0"/>
        <v/>
      </c>
      <c r="U27" s="199" t="str">
        <f t="shared" si="1"/>
        <v/>
      </c>
      <c r="V27" s="91" t="str">
        <f t="shared" si="3"/>
        <v/>
      </c>
      <c r="W27" s="153"/>
      <c r="X27" s="153"/>
      <c r="Y27" s="153"/>
      <c r="Z27" s="153"/>
      <c r="AA27" s="153"/>
      <c r="AB27" s="153"/>
      <c r="AC27" s="153"/>
      <c r="AD27" s="153"/>
      <c r="AE27" s="153"/>
      <c r="AF27" s="153"/>
      <c r="AG27" s="153"/>
    </row>
    <row r="28" spans="1:33" ht="15">
      <c r="A28" s="153"/>
      <c r="B28" s="175">
        <v>14</v>
      </c>
      <c r="C28" s="361" t="str">
        <f>IF('INPUT DATA'!L24="","",'INPUT DATA'!L24)</f>
        <v/>
      </c>
      <c r="D28" s="362"/>
      <c r="E28" s="363"/>
      <c r="F28" s="364" t="str">
        <f>IF('INPUT DATA'!M24="","",'INPUT DATA'!M24)</f>
        <v/>
      </c>
      <c r="G28" s="365"/>
      <c r="H28" s="93" t="str">
        <f>IF('INPUT DATA'!N24="","",'INPUT DATA'!N24)</f>
        <v/>
      </c>
      <c r="I28" s="137" t="str">
        <f t="shared" ca="1" si="2"/>
        <v/>
      </c>
      <c r="J28" s="176"/>
      <c r="K28" s="177"/>
      <c r="L28" s="178"/>
      <c r="M28" s="178"/>
      <c r="N28" s="178"/>
      <c r="O28" s="178"/>
      <c r="P28" s="178"/>
      <c r="Q28" s="178"/>
      <c r="R28" s="178"/>
      <c r="S28" s="179"/>
      <c r="T28" s="558" t="str">
        <f t="shared" si="0"/>
        <v/>
      </c>
      <c r="U28" s="199" t="str">
        <f t="shared" si="1"/>
        <v/>
      </c>
      <c r="V28" s="91" t="str">
        <f t="shared" si="3"/>
        <v/>
      </c>
      <c r="W28" s="153"/>
      <c r="X28" s="153"/>
      <c r="Y28" s="153"/>
      <c r="Z28" s="153"/>
      <c r="AA28" s="153"/>
      <c r="AB28" s="153"/>
      <c r="AC28" s="153"/>
      <c r="AD28" s="153"/>
      <c r="AE28" s="153"/>
      <c r="AF28" s="153"/>
      <c r="AG28" s="153"/>
    </row>
    <row r="29" spans="1:33" ht="15">
      <c r="A29" s="153"/>
      <c r="B29" s="175">
        <v>15</v>
      </c>
      <c r="C29" s="361" t="str">
        <f>IF('INPUT DATA'!L25="","",'INPUT DATA'!L25)</f>
        <v/>
      </c>
      <c r="D29" s="362"/>
      <c r="E29" s="363"/>
      <c r="F29" s="364" t="str">
        <f>IF('INPUT DATA'!M25="","",'INPUT DATA'!M25)</f>
        <v/>
      </c>
      <c r="G29" s="365"/>
      <c r="H29" s="93" t="str">
        <f>IF('INPUT DATA'!N25="","",'INPUT DATA'!N25)</f>
        <v/>
      </c>
      <c r="I29" s="137" t="str">
        <f t="shared" ca="1" si="2"/>
        <v/>
      </c>
      <c r="J29" s="176"/>
      <c r="K29" s="177"/>
      <c r="L29" s="178"/>
      <c r="M29" s="178"/>
      <c r="N29" s="178"/>
      <c r="O29" s="178"/>
      <c r="P29" s="178"/>
      <c r="Q29" s="178"/>
      <c r="R29" s="178"/>
      <c r="S29" s="179"/>
      <c r="T29" s="558" t="str">
        <f t="shared" si="0"/>
        <v/>
      </c>
      <c r="U29" s="199" t="str">
        <f t="shared" si="1"/>
        <v/>
      </c>
      <c r="V29" s="91" t="str">
        <f t="shared" si="3"/>
        <v/>
      </c>
      <c r="W29" s="153"/>
      <c r="X29" s="153"/>
      <c r="Y29" s="153"/>
      <c r="Z29" s="153"/>
      <c r="AA29" s="153"/>
      <c r="AB29" s="153"/>
      <c r="AC29" s="153"/>
      <c r="AD29" s="153"/>
      <c r="AE29" s="153"/>
      <c r="AF29" s="153"/>
      <c r="AG29" s="153"/>
    </row>
    <row r="30" spans="1:33" ht="15">
      <c r="A30" s="153"/>
      <c r="B30" s="175">
        <v>16</v>
      </c>
      <c r="C30" s="361" t="str">
        <f>IF('INPUT DATA'!L26="","",'INPUT DATA'!L26)</f>
        <v/>
      </c>
      <c r="D30" s="362"/>
      <c r="E30" s="363"/>
      <c r="F30" s="364" t="str">
        <f>IF('INPUT DATA'!M26="","",'INPUT DATA'!M26)</f>
        <v/>
      </c>
      <c r="G30" s="365"/>
      <c r="H30" s="93" t="str">
        <f>IF('INPUT DATA'!N26="","",'INPUT DATA'!N26)</f>
        <v/>
      </c>
      <c r="I30" s="137" t="str">
        <f t="shared" ca="1" si="2"/>
        <v/>
      </c>
      <c r="J30" s="176"/>
      <c r="K30" s="177"/>
      <c r="L30" s="178"/>
      <c r="M30" s="178"/>
      <c r="N30" s="178"/>
      <c r="O30" s="178"/>
      <c r="P30" s="178"/>
      <c r="Q30" s="178"/>
      <c r="R30" s="178"/>
      <c r="S30" s="179"/>
      <c r="T30" s="558" t="str">
        <f t="shared" si="0"/>
        <v/>
      </c>
      <c r="U30" s="199" t="str">
        <f t="shared" si="1"/>
        <v/>
      </c>
      <c r="V30" s="91" t="str">
        <f t="shared" si="3"/>
        <v/>
      </c>
      <c r="W30" s="153"/>
      <c r="X30" s="153"/>
      <c r="Y30" s="153"/>
      <c r="Z30" s="153"/>
      <c r="AA30" s="153"/>
      <c r="AB30" s="153"/>
      <c r="AC30" s="153"/>
      <c r="AD30" s="153"/>
      <c r="AE30" s="153"/>
      <c r="AF30" s="153"/>
      <c r="AG30" s="153"/>
    </row>
    <row r="31" spans="1:33" ht="15">
      <c r="A31" s="153"/>
      <c r="B31" s="175">
        <v>17</v>
      </c>
      <c r="C31" s="361" t="str">
        <f>IF('INPUT DATA'!L27="","",'INPUT DATA'!L27)</f>
        <v/>
      </c>
      <c r="D31" s="362"/>
      <c r="E31" s="363"/>
      <c r="F31" s="364" t="str">
        <f>IF('INPUT DATA'!M27="","",'INPUT DATA'!M27)</f>
        <v/>
      </c>
      <c r="G31" s="365"/>
      <c r="H31" s="93" t="str">
        <f>IF('INPUT DATA'!N27="","",'INPUT DATA'!N27)</f>
        <v/>
      </c>
      <c r="I31" s="137" t="str">
        <f t="shared" ca="1" si="2"/>
        <v/>
      </c>
      <c r="J31" s="176"/>
      <c r="K31" s="177"/>
      <c r="L31" s="178"/>
      <c r="M31" s="178"/>
      <c r="N31" s="178"/>
      <c r="O31" s="178"/>
      <c r="P31" s="178"/>
      <c r="Q31" s="178"/>
      <c r="R31" s="178"/>
      <c r="S31" s="179"/>
      <c r="T31" s="558" t="str">
        <f t="shared" si="0"/>
        <v/>
      </c>
      <c r="U31" s="199" t="str">
        <f t="shared" si="1"/>
        <v/>
      </c>
      <c r="V31" s="91" t="str">
        <f t="shared" si="3"/>
        <v/>
      </c>
      <c r="W31" s="153"/>
      <c r="X31" s="153"/>
      <c r="Y31" s="153"/>
      <c r="Z31" s="153"/>
      <c r="AA31" s="153"/>
      <c r="AB31" s="153"/>
      <c r="AC31" s="153"/>
      <c r="AD31" s="153"/>
      <c r="AE31" s="153"/>
      <c r="AF31" s="153"/>
      <c r="AG31" s="153"/>
    </row>
    <row r="32" spans="1:33" ht="15">
      <c r="A32" s="153"/>
      <c r="B32" s="175">
        <v>18</v>
      </c>
      <c r="C32" s="361" t="str">
        <f>IF('INPUT DATA'!L28="","",'INPUT DATA'!L28)</f>
        <v/>
      </c>
      <c r="D32" s="362"/>
      <c r="E32" s="363"/>
      <c r="F32" s="364" t="str">
        <f>IF('INPUT DATA'!M28="","",'INPUT DATA'!M28)</f>
        <v/>
      </c>
      <c r="G32" s="365"/>
      <c r="H32" s="93" t="str">
        <f>IF('INPUT DATA'!N28="","",'INPUT DATA'!N28)</f>
        <v/>
      </c>
      <c r="I32" s="137" t="str">
        <f t="shared" ca="1" si="2"/>
        <v/>
      </c>
      <c r="J32" s="176"/>
      <c r="K32" s="177"/>
      <c r="L32" s="178"/>
      <c r="M32" s="178"/>
      <c r="N32" s="178"/>
      <c r="O32" s="178"/>
      <c r="P32" s="178"/>
      <c r="Q32" s="178"/>
      <c r="R32" s="178"/>
      <c r="S32" s="179"/>
      <c r="T32" s="558" t="str">
        <f t="shared" si="0"/>
        <v/>
      </c>
      <c r="U32" s="199" t="str">
        <f t="shared" si="1"/>
        <v/>
      </c>
      <c r="V32" s="91" t="str">
        <f t="shared" si="3"/>
        <v/>
      </c>
      <c r="W32" s="153"/>
      <c r="X32" s="153"/>
      <c r="Y32" s="153"/>
      <c r="Z32" s="153"/>
      <c r="AA32" s="153"/>
      <c r="AB32" s="153"/>
      <c r="AC32" s="153"/>
      <c r="AD32" s="153"/>
      <c r="AE32" s="153"/>
      <c r="AF32" s="153"/>
      <c r="AG32" s="153"/>
    </row>
    <row r="33" spans="1:33" ht="15">
      <c r="A33" s="153"/>
      <c r="B33" s="175">
        <v>19</v>
      </c>
      <c r="C33" s="361" t="str">
        <f>IF('INPUT DATA'!L29="","",'INPUT DATA'!L29)</f>
        <v/>
      </c>
      <c r="D33" s="362"/>
      <c r="E33" s="363"/>
      <c r="F33" s="364" t="str">
        <f>IF('INPUT DATA'!M29="","",'INPUT DATA'!M29)</f>
        <v/>
      </c>
      <c r="G33" s="365"/>
      <c r="H33" s="93" t="str">
        <f>IF('INPUT DATA'!N29="","",'INPUT DATA'!N29)</f>
        <v/>
      </c>
      <c r="I33" s="137" t="str">
        <f t="shared" ca="1" si="2"/>
        <v/>
      </c>
      <c r="J33" s="176"/>
      <c r="K33" s="177"/>
      <c r="L33" s="178"/>
      <c r="M33" s="178"/>
      <c r="N33" s="178"/>
      <c r="O33" s="178"/>
      <c r="P33" s="178"/>
      <c r="Q33" s="178"/>
      <c r="R33" s="178"/>
      <c r="S33" s="179"/>
      <c r="T33" s="558" t="str">
        <f t="shared" si="0"/>
        <v/>
      </c>
      <c r="U33" s="199" t="str">
        <f t="shared" si="1"/>
        <v/>
      </c>
      <c r="V33" s="91" t="str">
        <f t="shared" si="3"/>
        <v/>
      </c>
      <c r="W33" s="153"/>
      <c r="X33" s="153"/>
      <c r="Y33" s="153"/>
      <c r="Z33" s="153"/>
      <c r="AA33" s="153"/>
      <c r="AB33" s="153"/>
      <c r="AC33" s="153"/>
      <c r="AD33" s="153"/>
      <c r="AE33" s="153"/>
      <c r="AF33" s="153"/>
      <c r="AG33" s="153"/>
    </row>
    <row r="34" spans="1:33" ht="15">
      <c r="A34" s="153"/>
      <c r="B34" s="181">
        <v>20</v>
      </c>
      <c r="C34" s="361" t="str">
        <f>IF('INPUT DATA'!L30="","",'INPUT DATA'!L30)</f>
        <v/>
      </c>
      <c r="D34" s="362"/>
      <c r="E34" s="363"/>
      <c r="F34" s="364" t="str">
        <f>IF('INPUT DATA'!M30="","",'INPUT DATA'!M30)</f>
        <v/>
      </c>
      <c r="G34" s="365"/>
      <c r="H34" s="93" t="str">
        <f>IF('INPUT DATA'!N30="","",'INPUT DATA'!N30)</f>
        <v/>
      </c>
      <c r="I34" s="137" t="str">
        <f t="shared" ca="1" si="2"/>
        <v/>
      </c>
      <c r="J34" s="176"/>
      <c r="K34" s="182"/>
      <c r="L34" s="183"/>
      <c r="M34" s="183"/>
      <c r="N34" s="183"/>
      <c r="O34" s="183"/>
      <c r="P34" s="183"/>
      <c r="Q34" s="183"/>
      <c r="R34" s="183"/>
      <c r="S34" s="184"/>
      <c r="T34" s="558" t="str">
        <f t="shared" si="0"/>
        <v/>
      </c>
      <c r="U34" s="199" t="str">
        <f t="shared" si="1"/>
        <v/>
      </c>
      <c r="V34" s="91" t="str">
        <f t="shared" si="3"/>
        <v/>
      </c>
      <c r="W34" s="153"/>
      <c r="X34" s="153"/>
      <c r="Y34" s="153"/>
      <c r="Z34" s="153"/>
      <c r="AA34" s="153"/>
      <c r="AB34" s="153"/>
      <c r="AC34" s="153"/>
      <c r="AD34" s="153"/>
      <c r="AE34" s="153"/>
      <c r="AF34" s="153"/>
      <c r="AG34" s="153"/>
    </row>
    <row r="35" spans="1:33" ht="15">
      <c r="A35" s="153"/>
      <c r="B35" s="181">
        <v>21</v>
      </c>
      <c r="C35" s="361" t="str">
        <f>IF('INPUT DATA'!L31="","",'INPUT DATA'!L31)</f>
        <v/>
      </c>
      <c r="D35" s="362"/>
      <c r="E35" s="363"/>
      <c r="F35" s="364" t="str">
        <f>IF('INPUT DATA'!M31="","",'INPUT DATA'!M31)</f>
        <v/>
      </c>
      <c r="G35" s="365"/>
      <c r="H35" s="93" t="str">
        <f>IF('INPUT DATA'!N31="","",'INPUT DATA'!N31)</f>
        <v/>
      </c>
      <c r="I35" s="137" t="str">
        <f t="shared" ca="1" si="2"/>
        <v/>
      </c>
      <c r="J35" s="176"/>
      <c r="K35" s="177"/>
      <c r="L35" s="178"/>
      <c r="M35" s="178"/>
      <c r="N35" s="178"/>
      <c r="O35" s="178"/>
      <c r="P35" s="178"/>
      <c r="Q35" s="178"/>
      <c r="R35" s="178"/>
      <c r="S35" s="179"/>
      <c r="T35" s="558" t="str">
        <f t="shared" si="0"/>
        <v/>
      </c>
      <c r="U35" s="199" t="str">
        <f t="shared" si="1"/>
        <v/>
      </c>
      <c r="V35" s="91" t="str">
        <f t="shared" si="3"/>
        <v/>
      </c>
      <c r="W35" s="153"/>
      <c r="X35" s="153"/>
      <c r="Y35" s="153"/>
      <c r="Z35" s="153"/>
      <c r="AA35" s="153"/>
      <c r="AB35" s="153"/>
      <c r="AC35" s="153"/>
      <c r="AD35" s="153"/>
      <c r="AE35" s="153"/>
      <c r="AF35" s="153"/>
      <c r="AG35" s="153"/>
    </row>
    <row r="36" spans="1:33" ht="15">
      <c r="A36" s="153"/>
      <c r="B36" s="181">
        <v>22</v>
      </c>
      <c r="C36" s="361" t="str">
        <f>IF('INPUT DATA'!L32="","",'INPUT DATA'!L32)</f>
        <v/>
      </c>
      <c r="D36" s="362"/>
      <c r="E36" s="363"/>
      <c r="F36" s="364" t="str">
        <f>IF('INPUT DATA'!M32="","",'INPUT DATA'!M32)</f>
        <v/>
      </c>
      <c r="G36" s="365"/>
      <c r="H36" s="93" t="str">
        <f>IF('INPUT DATA'!N32="","",'INPUT DATA'!N32)</f>
        <v/>
      </c>
      <c r="I36" s="137" t="str">
        <f t="shared" ca="1" si="2"/>
        <v/>
      </c>
      <c r="J36" s="176"/>
      <c r="K36" s="177"/>
      <c r="L36" s="178"/>
      <c r="M36" s="178"/>
      <c r="N36" s="178"/>
      <c r="O36" s="178"/>
      <c r="P36" s="178"/>
      <c r="Q36" s="178"/>
      <c r="R36" s="178"/>
      <c r="S36" s="179"/>
      <c r="T36" s="558" t="str">
        <f t="shared" si="0"/>
        <v/>
      </c>
      <c r="U36" s="199" t="str">
        <f t="shared" si="1"/>
        <v/>
      </c>
      <c r="V36" s="91" t="str">
        <f t="shared" si="3"/>
        <v/>
      </c>
      <c r="W36" s="153"/>
      <c r="X36" s="153"/>
      <c r="Y36" s="153"/>
      <c r="Z36" s="153"/>
      <c r="AA36" s="153"/>
      <c r="AB36" s="153"/>
      <c r="AC36" s="153"/>
      <c r="AD36" s="153"/>
      <c r="AE36" s="153"/>
      <c r="AF36" s="153"/>
      <c r="AG36" s="153"/>
    </row>
    <row r="37" spans="1:33" ht="15">
      <c r="A37" s="153"/>
      <c r="B37" s="181">
        <v>23</v>
      </c>
      <c r="C37" s="361" t="str">
        <f>IF('INPUT DATA'!L33="","",'INPUT DATA'!L33)</f>
        <v/>
      </c>
      <c r="D37" s="362"/>
      <c r="E37" s="363"/>
      <c r="F37" s="364" t="str">
        <f>IF('INPUT DATA'!M33="","",'INPUT DATA'!M33)</f>
        <v/>
      </c>
      <c r="G37" s="365"/>
      <c r="H37" s="93" t="str">
        <f>IF('INPUT DATA'!N33="","",'INPUT DATA'!N33)</f>
        <v/>
      </c>
      <c r="I37" s="137" t="str">
        <f t="shared" ca="1" si="2"/>
        <v/>
      </c>
      <c r="J37" s="176"/>
      <c r="K37" s="177"/>
      <c r="L37" s="178"/>
      <c r="M37" s="178"/>
      <c r="N37" s="178"/>
      <c r="O37" s="178"/>
      <c r="P37" s="178"/>
      <c r="Q37" s="178"/>
      <c r="R37" s="178"/>
      <c r="S37" s="179"/>
      <c r="T37" s="558" t="str">
        <f t="shared" si="0"/>
        <v/>
      </c>
      <c r="U37" s="199" t="str">
        <f t="shared" si="1"/>
        <v/>
      </c>
      <c r="V37" s="91" t="str">
        <f t="shared" si="3"/>
        <v/>
      </c>
      <c r="W37" s="153"/>
      <c r="X37" s="153"/>
      <c r="Y37" s="153"/>
      <c r="Z37" s="153"/>
      <c r="AA37" s="153"/>
      <c r="AB37" s="153"/>
      <c r="AC37" s="153"/>
      <c r="AD37" s="153"/>
      <c r="AE37" s="153"/>
      <c r="AF37" s="153"/>
      <c r="AG37" s="153"/>
    </row>
    <row r="38" spans="1:33" ht="15">
      <c r="A38" s="153"/>
      <c r="B38" s="181">
        <v>24</v>
      </c>
      <c r="C38" s="361" t="str">
        <f>IF('INPUT DATA'!L34="","",'INPUT DATA'!L34)</f>
        <v/>
      </c>
      <c r="D38" s="362"/>
      <c r="E38" s="363"/>
      <c r="F38" s="364" t="str">
        <f>IF('INPUT DATA'!M34="","",'INPUT DATA'!M34)</f>
        <v/>
      </c>
      <c r="G38" s="365"/>
      <c r="H38" s="93" t="str">
        <f>IF('INPUT DATA'!N34="","",'INPUT DATA'!N34)</f>
        <v/>
      </c>
      <c r="I38" s="137" t="str">
        <f t="shared" ca="1" si="2"/>
        <v/>
      </c>
      <c r="J38" s="176"/>
      <c r="K38" s="177"/>
      <c r="L38" s="178"/>
      <c r="M38" s="178"/>
      <c r="N38" s="178"/>
      <c r="O38" s="178"/>
      <c r="P38" s="178"/>
      <c r="Q38" s="178"/>
      <c r="R38" s="178"/>
      <c r="S38" s="179"/>
      <c r="T38" s="558" t="str">
        <f t="shared" si="0"/>
        <v/>
      </c>
      <c r="U38" s="199" t="str">
        <f t="shared" si="1"/>
        <v/>
      </c>
      <c r="V38" s="91" t="str">
        <f t="shared" si="3"/>
        <v/>
      </c>
      <c r="W38" s="153"/>
      <c r="X38" s="153"/>
      <c r="Y38" s="153"/>
      <c r="Z38" s="153"/>
      <c r="AA38" s="153"/>
      <c r="AB38" s="153"/>
      <c r="AC38" s="153"/>
      <c r="AD38" s="153"/>
      <c r="AE38" s="153"/>
      <c r="AF38" s="153"/>
      <c r="AG38" s="153"/>
    </row>
    <row r="39" spans="1:33" ht="15">
      <c r="A39" s="153"/>
      <c r="B39" s="181">
        <v>25</v>
      </c>
      <c r="C39" s="361" t="str">
        <f>IF('INPUT DATA'!L35="","",'INPUT DATA'!L35)</f>
        <v/>
      </c>
      <c r="D39" s="362"/>
      <c r="E39" s="363"/>
      <c r="F39" s="364" t="str">
        <f>IF('INPUT DATA'!M35="","",'INPUT DATA'!M35)</f>
        <v/>
      </c>
      <c r="G39" s="365"/>
      <c r="H39" s="93" t="str">
        <f>IF('INPUT DATA'!N35="","",'INPUT DATA'!N35)</f>
        <v/>
      </c>
      <c r="I39" s="137" t="str">
        <f t="shared" ca="1" si="2"/>
        <v/>
      </c>
      <c r="J39" s="176"/>
      <c r="K39" s="177"/>
      <c r="L39" s="178"/>
      <c r="M39" s="178"/>
      <c r="N39" s="178"/>
      <c r="O39" s="178"/>
      <c r="P39" s="178"/>
      <c r="Q39" s="178"/>
      <c r="R39" s="178"/>
      <c r="S39" s="179"/>
      <c r="T39" s="558" t="str">
        <f t="shared" si="0"/>
        <v/>
      </c>
      <c r="U39" s="199" t="str">
        <f t="shared" si="1"/>
        <v/>
      </c>
      <c r="V39" s="91" t="str">
        <f t="shared" si="3"/>
        <v/>
      </c>
      <c r="W39" s="153"/>
      <c r="X39" s="153"/>
      <c r="Y39" s="153"/>
      <c r="Z39" s="153"/>
      <c r="AA39" s="153"/>
      <c r="AB39" s="153"/>
      <c r="AC39" s="153"/>
      <c r="AD39" s="153"/>
      <c r="AE39" s="153"/>
      <c r="AF39" s="153"/>
      <c r="AG39" s="153"/>
    </row>
    <row r="40" spans="1:33" ht="15">
      <c r="A40" s="153"/>
      <c r="B40" s="181">
        <v>26</v>
      </c>
      <c r="C40" s="361" t="str">
        <f>IF('INPUT DATA'!L36="","",'INPUT DATA'!L36)</f>
        <v/>
      </c>
      <c r="D40" s="362"/>
      <c r="E40" s="363"/>
      <c r="F40" s="364" t="str">
        <f>IF('INPUT DATA'!M36="","",'INPUT DATA'!M36)</f>
        <v/>
      </c>
      <c r="G40" s="365"/>
      <c r="H40" s="93" t="str">
        <f>IF('INPUT DATA'!N36="","",'INPUT DATA'!N36)</f>
        <v/>
      </c>
      <c r="I40" s="137" t="str">
        <f t="shared" ca="1" si="2"/>
        <v/>
      </c>
      <c r="J40" s="176"/>
      <c r="K40" s="177"/>
      <c r="L40" s="178"/>
      <c r="M40" s="178"/>
      <c r="N40" s="178"/>
      <c r="O40" s="178"/>
      <c r="P40" s="178"/>
      <c r="Q40" s="178"/>
      <c r="R40" s="178"/>
      <c r="S40" s="179"/>
      <c r="T40" s="558" t="str">
        <f t="shared" si="0"/>
        <v/>
      </c>
      <c r="U40" s="199" t="str">
        <f t="shared" si="1"/>
        <v/>
      </c>
      <c r="V40" s="91" t="str">
        <f t="shared" si="3"/>
        <v/>
      </c>
      <c r="W40" s="153"/>
      <c r="X40" s="153"/>
      <c r="Y40" s="153"/>
      <c r="Z40" s="153"/>
      <c r="AA40" s="153"/>
      <c r="AB40" s="153"/>
      <c r="AC40" s="153"/>
      <c r="AD40" s="153"/>
      <c r="AE40" s="153"/>
      <c r="AF40" s="153"/>
      <c r="AG40" s="153"/>
    </row>
    <row r="41" spans="1:33" ht="15">
      <c r="A41" s="153"/>
      <c r="B41" s="181">
        <v>27</v>
      </c>
      <c r="C41" s="361" t="str">
        <f>IF('INPUT DATA'!L37="","",'INPUT DATA'!L37)</f>
        <v/>
      </c>
      <c r="D41" s="362"/>
      <c r="E41" s="363"/>
      <c r="F41" s="364" t="str">
        <f>IF('INPUT DATA'!M37="","",'INPUT DATA'!M37)</f>
        <v/>
      </c>
      <c r="G41" s="365"/>
      <c r="H41" s="93" t="str">
        <f>IF('INPUT DATA'!N37="","",'INPUT DATA'!N37)</f>
        <v/>
      </c>
      <c r="I41" s="137" t="str">
        <f t="shared" ca="1" si="2"/>
        <v/>
      </c>
      <c r="J41" s="176"/>
      <c r="K41" s="177"/>
      <c r="L41" s="178"/>
      <c r="M41" s="178"/>
      <c r="N41" s="178"/>
      <c r="O41" s="178"/>
      <c r="P41" s="178"/>
      <c r="Q41" s="178"/>
      <c r="R41" s="178"/>
      <c r="S41" s="179"/>
      <c r="T41" s="558" t="str">
        <f t="shared" si="0"/>
        <v/>
      </c>
      <c r="U41" s="199" t="str">
        <f t="shared" si="1"/>
        <v/>
      </c>
      <c r="V41" s="91" t="str">
        <f t="shared" si="3"/>
        <v/>
      </c>
      <c r="W41" s="153"/>
      <c r="X41" s="153"/>
      <c r="Y41" s="153"/>
      <c r="Z41" s="153"/>
      <c r="AA41" s="153"/>
      <c r="AB41" s="153"/>
      <c r="AC41" s="153"/>
      <c r="AD41" s="153"/>
      <c r="AE41" s="153"/>
      <c r="AF41" s="153"/>
      <c r="AG41" s="153"/>
    </row>
    <row r="42" spans="1:33" ht="15">
      <c r="A42" s="153"/>
      <c r="B42" s="181">
        <v>28</v>
      </c>
      <c r="C42" s="361" t="str">
        <f>IF('INPUT DATA'!L38="","",'INPUT DATA'!L38)</f>
        <v/>
      </c>
      <c r="D42" s="362"/>
      <c r="E42" s="363"/>
      <c r="F42" s="364" t="str">
        <f>IF('INPUT DATA'!M38="","",'INPUT DATA'!M38)</f>
        <v/>
      </c>
      <c r="G42" s="365"/>
      <c r="H42" s="93" t="str">
        <f>IF('INPUT DATA'!N38="","",'INPUT DATA'!N38)</f>
        <v/>
      </c>
      <c r="I42" s="137" t="str">
        <f t="shared" ca="1" si="2"/>
        <v/>
      </c>
      <c r="J42" s="176"/>
      <c r="K42" s="177"/>
      <c r="L42" s="178"/>
      <c r="M42" s="178"/>
      <c r="N42" s="178"/>
      <c r="O42" s="178"/>
      <c r="P42" s="178"/>
      <c r="Q42" s="178"/>
      <c r="R42" s="178"/>
      <c r="S42" s="179"/>
      <c r="T42" s="558" t="str">
        <f t="shared" si="0"/>
        <v/>
      </c>
      <c r="U42" s="199" t="str">
        <f t="shared" si="1"/>
        <v/>
      </c>
      <c r="V42" s="91" t="str">
        <f t="shared" si="3"/>
        <v/>
      </c>
      <c r="W42" s="153"/>
      <c r="X42" s="153"/>
      <c r="Y42" s="153"/>
      <c r="Z42" s="153"/>
      <c r="AA42" s="153"/>
      <c r="AB42" s="153"/>
      <c r="AC42" s="153"/>
      <c r="AD42" s="153"/>
      <c r="AE42" s="153"/>
      <c r="AF42" s="153"/>
      <c r="AG42" s="153"/>
    </row>
    <row r="43" spans="1:33" ht="15">
      <c r="A43" s="153"/>
      <c r="B43" s="181">
        <v>29</v>
      </c>
      <c r="C43" s="361" t="str">
        <f>IF('INPUT DATA'!L39="","",'INPUT DATA'!L39)</f>
        <v/>
      </c>
      <c r="D43" s="362"/>
      <c r="E43" s="363"/>
      <c r="F43" s="364" t="str">
        <f>IF('INPUT DATA'!M39="","",'INPUT DATA'!M39)</f>
        <v/>
      </c>
      <c r="G43" s="365"/>
      <c r="H43" s="93" t="str">
        <f>IF('INPUT DATA'!N39="","",'INPUT DATA'!N39)</f>
        <v/>
      </c>
      <c r="I43" s="137" t="str">
        <f t="shared" ca="1" si="2"/>
        <v/>
      </c>
      <c r="J43" s="176"/>
      <c r="K43" s="177"/>
      <c r="L43" s="178"/>
      <c r="M43" s="178"/>
      <c r="N43" s="178"/>
      <c r="O43" s="178"/>
      <c r="P43" s="178"/>
      <c r="Q43" s="178"/>
      <c r="R43" s="178"/>
      <c r="S43" s="179"/>
      <c r="T43" s="558" t="str">
        <f t="shared" si="0"/>
        <v/>
      </c>
      <c r="U43" s="199" t="str">
        <f t="shared" si="1"/>
        <v/>
      </c>
      <c r="V43" s="91" t="str">
        <f t="shared" si="3"/>
        <v/>
      </c>
      <c r="W43" s="153"/>
      <c r="X43" s="153"/>
      <c r="Y43" s="153"/>
      <c r="Z43" s="153"/>
      <c r="AA43" s="153"/>
      <c r="AB43" s="153"/>
      <c r="AC43" s="153"/>
      <c r="AD43" s="153"/>
      <c r="AE43" s="153"/>
      <c r="AF43" s="153"/>
      <c r="AG43" s="153"/>
    </row>
    <row r="44" spans="1:33" ht="15">
      <c r="A44" s="153"/>
      <c r="B44" s="181">
        <v>30</v>
      </c>
      <c r="C44" s="361" t="str">
        <f>IF('INPUT DATA'!L40="","",'INPUT DATA'!L40)</f>
        <v/>
      </c>
      <c r="D44" s="362"/>
      <c r="E44" s="363"/>
      <c r="F44" s="364" t="str">
        <f>IF('INPUT DATA'!M40="","",'INPUT DATA'!M40)</f>
        <v/>
      </c>
      <c r="G44" s="365"/>
      <c r="H44" s="93" t="str">
        <f>IF('INPUT DATA'!N40="","",'INPUT DATA'!N40)</f>
        <v/>
      </c>
      <c r="I44" s="137" t="str">
        <f t="shared" ca="1" si="2"/>
        <v/>
      </c>
      <c r="J44" s="176"/>
      <c r="K44" s="177"/>
      <c r="L44" s="178"/>
      <c r="M44" s="178"/>
      <c r="N44" s="178"/>
      <c r="O44" s="178"/>
      <c r="P44" s="178"/>
      <c r="Q44" s="178"/>
      <c r="R44" s="178"/>
      <c r="S44" s="179"/>
      <c r="T44" s="558" t="str">
        <f t="shared" si="0"/>
        <v/>
      </c>
      <c r="U44" s="199" t="str">
        <f t="shared" si="1"/>
        <v/>
      </c>
      <c r="V44" s="91" t="str">
        <f t="shared" si="3"/>
        <v/>
      </c>
      <c r="W44" s="153"/>
      <c r="X44" s="153"/>
      <c r="Y44" s="153"/>
      <c r="Z44" s="153"/>
      <c r="AA44" s="153"/>
      <c r="AB44" s="153"/>
      <c r="AC44" s="153"/>
      <c r="AD44" s="153"/>
      <c r="AE44" s="153"/>
      <c r="AF44" s="153"/>
      <c r="AG44" s="153"/>
    </row>
    <row r="45" spans="1:33" ht="15">
      <c r="A45" s="153"/>
      <c r="B45" s="181">
        <v>31</v>
      </c>
      <c r="C45" s="361" t="str">
        <f>IF('INPUT DATA'!L41="","",'INPUT DATA'!L41)</f>
        <v/>
      </c>
      <c r="D45" s="362"/>
      <c r="E45" s="363"/>
      <c r="F45" s="364" t="str">
        <f>IF('INPUT DATA'!M41="","",'INPUT DATA'!M41)</f>
        <v/>
      </c>
      <c r="G45" s="365"/>
      <c r="H45" s="93" t="str">
        <f>IF('INPUT DATA'!N41="","",'INPUT DATA'!N41)</f>
        <v/>
      </c>
      <c r="I45" s="137" t="str">
        <f t="shared" ca="1" si="2"/>
        <v/>
      </c>
      <c r="J45" s="176"/>
      <c r="K45" s="177"/>
      <c r="L45" s="178"/>
      <c r="M45" s="178"/>
      <c r="N45" s="178"/>
      <c r="O45" s="178"/>
      <c r="P45" s="178"/>
      <c r="Q45" s="178"/>
      <c r="R45" s="178"/>
      <c r="S45" s="179"/>
      <c r="T45" s="558" t="str">
        <f t="shared" si="0"/>
        <v/>
      </c>
      <c r="U45" s="199" t="str">
        <f t="shared" si="1"/>
        <v/>
      </c>
      <c r="V45" s="91" t="str">
        <f t="shared" si="3"/>
        <v/>
      </c>
      <c r="W45" s="153"/>
      <c r="X45" s="153"/>
      <c r="Y45" s="153"/>
      <c r="Z45" s="153"/>
      <c r="AA45" s="153"/>
      <c r="AB45" s="153"/>
      <c r="AC45" s="153"/>
      <c r="AD45" s="153"/>
      <c r="AE45" s="153"/>
      <c r="AF45" s="153"/>
      <c r="AG45" s="153"/>
    </row>
    <row r="46" spans="1:33" ht="15">
      <c r="A46" s="153"/>
      <c r="B46" s="181">
        <v>32</v>
      </c>
      <c r="C46" s="361" t="str">
        <f>IF('INPUT DATA'!L42="","",'INPUT DATA'!L42)</f>
        <v/>
      </c>
      <c r="D46" s="362"/>
      <c r="E46" s="363"/>
      <c r="F46" s="364" t="str">
        <f>IF('INPUT DATA'!M42="","",'INPUT DATA'!M42)</f>
        <v/>
      </c>
      <c r="G46" s="365"/>
      <c r="H46" s="93" t="str">
        <f>IF('INPUT DATA'!N42="","",'INPUT DATA'!N42)</f>
        <v/>
      </c>
      <c r="I46" s="137" t="str">
        <f t="shared" ca="1" si="2"/>
        <v/>
      </c>
      <c r="J46" s="176"/>
      <c r="K46" s="177"/>
      <c r="L46" s="178"/>
      <c r="M46" s="178"/>
      <c r="N46" s="178"/>
      <c r="O46" s="178"/>
      <c r="P46" s="178"/>
      <c r="Q46" s="178"/>
      <c r="R46" s="178"/>
      <c r="S46" s="179"/>
      <c r="T46" s="558" t="str">
        <f t="shared" si="0"/>
        <v/>
      </c>
      <c r="U46" s="199" t="str">
        <f t="shared" si="1"/>
        <v/>
      </c>
      <c r="V46" s="91" t="str">
        <f t="shared" si="3"/>
        <v/>
      </c>
      <c r="W46" s="153"/>
      <c r="X46" s="153"/>
      <c r="Y46" s="153"/>
      <c r="Z46" s="153"/>
      <c r="AA46" s="153"/>
      <c r="AB46" s="153"/>
      <c r="AC46" s="153"/>
      <c r="AD46" s="153"/>
      <c r="AE46" s="153"/>
      <c r="AF46" s="153"/>
      <c r="AG46" s="153"/>
    </row>
    <row r="47" spans="1:33" ht="15">
      <c r="A47" s="153"/>
      <c r="B47" s="181">
        <v>33</v>
      </c>
      <c r="C47" s="361" t="str">
        <f>IF('INPUT DATA'!L43="","",'INPUT DATA'!L43)</f>
        <v/>
      </c>
      <c r="D47" s="362"/>
      <c r="E47" s="363"/>
      <c r="F47" s="364" t="str">
        <f>IF('INPUT DATA'!M43="","",'INPUT DATA'!M43)</f>
        <v/>
      </c>
      <c r="G47" s="365"/>
      <c r="H47" s="93" t="str">
        <f>IF('INPUT DATA'!N43="","",'INPUT DATA'!N43)</f>
        <v/>
      </c>
      <c r="I47" s="137" t="str">
        <f t="shared" ca="1" si="2"/>
        <v/>
      </c>
      <c r="J47" s="176"/>
      <c r="K47" s="177"/>
      <c r="L47" s="178"/>
      <c r="M47" s="178"/>
      <c r="N47" s="178"/>
      <c r="O47" s="178"/>
      <c r="P47" s="178"/>
      <c r="Q47" s="178"/>
      <c r="R47" s="178"/>
      <c r="S47" s="179"/>
      <c r="T47" s="558" t="str">
        <f t="shared" si="0"/>
        <v/>
      </c>
      <c r="U47" s="199" t="str">
        <f t="shared" si="1"/>
        <v/>
      </c>
      <c r="V47" s="91" t="str">
        <f t="shared" si="3"/>
        <v/>
      </c>
      <c r="W47" s="153"/>
      <c r="X47" s="153"/>
      <c r="Y47" s="153"/>
      <c r="Z47" s="153"/>
      <c r="AA47" s="153"/>
      <c r="AB47" s="153"/>
      <c r="AC47" s="153"/>
      <c r="AD47" s="153"/>
      <c r="AE47" s="153"/>
      <c r="AF47" s="153"/>
      <c r="AG47" s="153"/>
    </row>
    <row r="48" spans="1:33" ht="15">
      <c r="A48" s="153"/>
      <c r="B48" s="181">
        <v>34</v>
      </c>
      <c r="C48" s="361" t="str">
        <f>IF('INPUT DATA'!L44="","",'INPUT DATA'!L44)</f>
        <v/>
      </c>
      <c r="D48" s="362"/>
      <c r="E48" s="363"/>
      <c r="F48" s="364" t="str">
        <f>IF('INPUT DATA'!M44="","",'INPUT DATA'!M44)</f>
        <v/>
      </c>
      <c r="G48" s="365"/>
      <c r="H48" s="93" t="str">
        <f>IF('INPUT DATA'!N44="","",'INPUT DATA'!N44)</f>
        <v/>
      </c>
      <c r="I48" s="137" t="str">
        <f t="shared" ca="1" si="2"/>
        <v/>
      </c>
      <c r="J48" s="176"/>
      <c r="K48" s="177"/>
      <c r="L48" s="178"/>
      <c r="M48" s="178"/>
      <c r="N48" s="178"/>
      <c r="O48" s="178"/>
      <c r="P48" s="178"/>
      <c r="Q48" s="178"/>
      <c r="R48" s="178"/>
      <c r="S48" s="179"/>
      <c r="T48" s="558" t="str">
        <f t="shared" si="0"/>
        <v/>
      </c>
      <c r="U48" s="199" t="str">
        <f t="shared" si="1"/>
        <v/>
      </c>
      <c r="V48" s="91" t="str">
        <f t="shared" si="3"/>
        <v/>
      </c>
      <c r="W48" s="153"/>
      <c r="X48" s="153"/>
      <c r="Y48" s="153"/>
      <c r="Z48" s="153"/>
      <c r="AA48" s="153"/>
      <c r="AB48" s="153"/>
      <c r="AC48" s="153"/>
      <c r="AD48" s="153"/>
      <c r="AE48" s="153"/>
      <c r="AF48" s="153"/>
      <c r="AG48" s="153"/>
    </row>
    <row r="49" spans="1:33" ht="15">
      <c r="A49" s="153"/>
      <c r="B49" s="181">
        <v>35</v>
      </c>
      <c r="C49" s="361" t="str">
        <f>IF('INPUT DATA'!L45="","",'INPUT DATA'!L45)</f>
        <v/>
      </c>
      <c r="D49" s="362"/>
      <c r="E49" s="363"/>
      <c r="F49" s="364" t="str">
        <f>IF('INPUT DATA'!M45="","",'INPUT DATA'!M45)</f>
        <v/>
      </c>
      <c r="G49" s="365"/>
      <c r="H49" s="93" t="str">
        <f>IF('INPUT DATA'!N45="","",'INPUT DATA'!N45)</f>
        <v/>
      </c>
      <c r="I49" s="137" t="str">
        <f t="shared" ca="1" si="2"/>
        <v/>
      </c>
      <c r="J49" s="176"/>
      <c r="K49" s="177"/>
      <c r="L49" s="178"/>
      <c r="M49" s="178"/>
      <c r="N49" s="178"/>
      <c r="O49" s="178"/>
      <c r="P49" s="178"/>
      <c r="Q49" s="178"/>
      <c r="R49" s="178"/>
      <c r="S49" s="179"/>
      <c r="T49" s="558" t="str">
        <f t="shared" si="0"/>
        <v/>
      </c>
      <c r="U49" s="199" t="str">
        <f t="shared" si="1"/>
        <v/>
      </c>
      <c r="V49" s="91" t="str">
        <f t="shared" si="3"/>
        <v/>
      </c>
      <c r="W49" s="153"/>
      <c r="X49" s="153"/>
      <c r="Y49" s="153"/>
      <c r="Z49" s="153"/>
      <c r="AA49" s="153"/>
      <c r="AB49" s="153"/>
      <c r="AC49" s="153"/>
      <c r="AD49" s="153"/>
      <c r="AE49" s="153"/>
      <c r="AF49" s="153"/>
      <c r="AG49" s="153"/>
    </row>
    <row r="50" spans="1:33" ht="15">
      <c r="A50" s="153"/>
      <c r="B50" s="181">
        <v>36</v>
      </c>
      <c r="C50" s="361" t="str">
        <f>IF('INPUT DATA'!L46="","",'INPUT DATA'!L46)</f>
        <v/>
      </c>
      <c r="D50" s="362"/>
      <c r="E50" s="363"/>
      <c r="F50" s="364" t="str">
        <f>IF('INPUT DATA'!M46="","",'INPUT DATA'!M46)</f>
        <v/>
      </c>
      <c r="G50" s="365"/>
      <c r="H50" s="93" t="str">
        <f>IF('INPUT DATA'!N46="","",'INPUT DATA'!N46)</f>
        <v/>
      </c>
      <c r="I50" s="137" t="str">
        <f t="shared" ca="1" si="2"/>
        <v/>
      </c>
      <c r="J50" s="176"/>
      <c r="K50" s="177"/>
      <c r="L50" s="178"/>
      <c r="M50" s="178"/>
      <c r="N50" s="178"/>
      <c r="O50" s="178"/>
      <c r="P50" s="178"/>
      <c r="Q50" s="178"/>
      <c r="R50" s="178"/>
      <c r="S50" s="179"/>
      <c r="T50" s="558" t="str">
        <f t="shared" si="0"/>
        <v/>
      </c>
      <c r="U50" s="199" t="str">
        <f t="shared" si="1"/>
        <v/>
      </c>
      <c r="V50" s="91" t="str">
        <f t="shared" si="3"/>
        <v/>
      </c>
      <c r="W50" s="153"/>
      <c r="X50" s="153"/>
      <c r="Y50" s="153"/>
      <c r="Z50" s="153"/>
      <c r="AA50" s="153"/>
      <c r="AB50" s="153"/>
      <c r="AC50" s="153"/>
      <c r="AD50" s="153"/>
      <c r="AE50" s="153"/>
      <c r="AF50" s="153"/>
      <c r="AG50" s="153"/>
    </row>
    <row r="51" spans="1:33" ht="15">
      <c r="A51" s="153"/>
      <c r="B51" s="181">
        <v>37</v>
      </c>
      <c r="C51" s="361" t="str">
        <f>IF('INPUT DATA'!L47="","",'INPUT DATA'!L47)</f>
        <v/>
      </c>
      <c r="D51" s="362"/>
      <c r="E51" s="363"/>
      <c r="F51" s="364" t="str">
        <f>IF('INPUT DATA'!M47="","",'INPUT DATA'!M47)</f>
        <v/>
      </c>
      <c r="G51" s="365"/>
      <c r="H51" s="93" t="str">
        <f>IF('INPUT DATA'!N47="","",'INPUT DATA'!N47)</f>
        <v/>
      </c>
      <c r="I51" s="137" t="str">
        <f t="shared" ca="1" si="2"/>
        <v/>
      </c>
      <c r="J51" s="176"/>
      <c r="K51" s="177"/>
      <c r="L51" s="178"/>
      <c r="M51" s="178"/>
      <c r="N51" s="178"/>
      <c r="O51" s="178"/>
      <c r="P51" s="178"/>
      <c r="Q51" s="178"/>
      <c r="R51" s="178"/>
      <c r="S51" s="179"/>
      <c r="T51" s="558" t="str">
        <f t="shared" si="0"/>
        <v/>
      </c>
      <c r="U51" s="199" t="str">
        <f t="shared" si="1"/>
        <v/>
      </c>
      <c r="V51" s="91" t="str">
        <f t="shared" si="3"/>
        <v/>
      </c>
      <c r="W51" s="153"/>
      <c r="X51" s="153"/>
      <c r="Y51" s="153"/>
      <c r="Z51" s="153"/>
      <c r="AA51" s="153"/>
      <c r="AB51" s="153"/>
      <c r="AC51" s="153"/>
      <c r="AD51" s="153"/>
      <c r="AE51" s="153"/>
      <c r="AF51" s="153"/>
      <c r="AG51" s="153"/>
    </row>
    <row r="52" spans="1:33" ht="15">
      <c r="A52" s="153"/>
      <c r="B52" s="181">
        <v>38</v>
      </c>
      <c r="C52" s="361" t="str">
        <f>IF('INPUT DATA'!L48="","",'INPUT DATA'!L48)</f>
        <v/>
      </c>
      <c r="D52" s="362"/>
      <c r="E52" s="363"/>
      <c r="F52" s="364" t="str">
        <f>IF('INPUT DATA'!M48="","",'INPUT DATA'!M48)</f>
        <v/>
      </c>
      <c r="G52" s="365"/>
      <c r="H52" s="93" t="str">
        <f>IF('INPUT DATA'!N48="","",'INPUT DATA'!N48)</f>
        <v/>
      </c>
      <c r="I52" s="137" t="str">
        <f t="shared" ca="1" si="2"/>
        <v/>
      </c>
      <c r="J52" s="176"/>
      <c r="K52" s="177"/>
      <c r="L52" s="178"/>
      <c r="M52" s="178"/>
      <c r="N52" s="178"/>
      <c r="O52" s="178"/>
      <c r="P52" s="178"/>
      <c r="Q52" s="178"/>
      <c r="R52" s="178"/>
      <c r="S52" s="179"/>
      <c r="T52" s="558" t="str">
        <f t="shared" si="0"/>
        <v/>
      </c>
      <c r="U52" s="199" t="str">
        <f t="shared" si="1"/>
        <v/>
      </c>
      <c r="V52" s="91" t="str">
        <f t="shared" si="3"/>
        <v/>
      </c>
      <c r="W52" s="153"/>
      <c r="X52" s="153"/>
      <c r="Y52" s="153"/>
      <c r="Z52" s="153"/>
      <c r="AA52" s="153"/>
      <c r="AB52" s="153"/>
      <c r="AC52" s="153"/>
      <c r="AD52" s="153"/>
      <c r="AE52" s="153"/>
      <c r="AF52" s="153"/>
      <c r="AG52" s="153"/>
    </row>
    <row r="53" spans="1:33" ht="15">
      <c r="A53" s="153"/>
      <c r="B53" s="181">
        <v>39</v>
      </c>
      <c r="C53" s="361" t="str">
        <f>IF('INPUT DATA'!L49="","",'INPUT DATA'!L49)</f>
        <v/>
      </c>
      <c r="D53" s="362"/>
      <c r="E53" s="363"/>
      <c r="F53" s="364" t="str">
        <f>IF('INPUT DATA'!M49="","",'INPUT DATA'!M49)</f>
        <v/>
      </c>
      <c r="G53" s="365"/>
      <c r="H53" s="93" t="str">
        <f>IF('INPUT DATA'!N49="","",'INPUT DATA'!N49)</f>
        <v/>
      </c>
      <c r="I53" s="137" t="str">
        <f t="shared" ca="1" si="2"/>
        <v/>
      </c>
      <c r="J53" s="176"/>
      <c r="K53" s="177"/>
      <c r="L53" s="178"/>
      <c r="M53" s="178"/>
      <c r="N53" s="178"/>
      <c r="O53" s="178"/>
      <c r="P53" s="178"/>
      <c r="Q53" s="178"/>
      <c r="R53" s="178"/>
      <c r="S53" s="179"/>
      <c r="T53" s="558" t="str">
        <f t="shared" si="0"/>
        <v/>
      </c>
      <c r="U53" s="199" t="str">
        <f t="shared" si="1"/>
        <v/>
      </c>
      <c r="V53" s="91" t="str">
        <f t="shared" si="3"/>
        <v/>
      </c>
      <c r="W53" s="153"/>
      <c r="X53" s="153"/>
      <c r="Y53" s="153"/>
      <c r="Z53" s="153"/>
      <c r="AA53" s="153"/>
      <c r="AB53" s="153"/>
      <c r="AC53" s="153"/>
      <c r="AD53" s="153"/>
      <c r="AE53" s="153"/>
      <c r="AF53" s="153"/>
      <c r="AG53" s="153"/>
    </row>
    <row r="54" spans="1:33" ht="15">
      <c r="A54" s="153"/>
      <c r="B54" s="181">
        <v>40</v>
      </c>
      <c r="C54" s="361" t="str">
        <f>IF('INPUT DATA'!L50="","",'INPUT DATA'!L50)</f>
        <v/>
      </c>
      <c r="D54" s="362"/>
      <c r="E54" s="363"/>
      <c r="F54" s="364" t="str">
        <f>IF('INPUT DATA'!M50="","",'INPUT DATA'!M50)</f>
        <v/>
      </c>
      <c r="G54" s="365"/>
      <c r="H54" s="93" t="str">
        <f>IF('INPUT DATA'!N50="","",'INPUT DATA'!N50)</f>
        <v/>
      </c>
      <c r="I54" s="137" t="str">
        <f t="shared" ca="1" si="2"/>
        <v/>
      </c>
      <c r="J54" s="176"/>
      <c r="K54" s="177"/>
      <c r="L54" s="178"/>
      <c r="M54" s="178"/>
      <c r="N54" s="178"/>
      <c r="O54" s="178"/>
      <c r="P54" s="178"/>
      <c r="Q54" s="178"/>
      <c r="R54" s="178"/>
      <c r="S54" s="179"/>
      <c r="T54" s="558" t="str">
        <f t="shared" si="0"/>
        <v/>
      </c>
      <c r="U54" s="199" t="str">
        <f t="shared" si="1"/>
        <v/>
      </c>
      <c r="V54" s="91" t="str">
        <f t="shared" si="3"/>
        <v/>
      </c>
      <c r="W54" s="153"/>
      <c r="X54" s="153"/>
      <c r="Y54" s="153"/>
      <c r="Z54" s="153"/>
      <c r="AA54" s="153"/>
      <c r="AB54" s="153"/>
      <c r="AC54" s="153"/>
      <c r="AD54" s="153"/>
      <c r="AE54" s="153"/>
      <c r="AF54" s="153"/>
      <c r="AG54" s="153"/>
    </row>
    <row r="55" spans="1:33" ht="15">
      <c r="A55" s="153"/>
      <c r="B55" s="181">
        <v>41</v>
      </c>
      <c r="C55" s="361" t="str">
        <f>IF('INPUT DATA'!L51="","",'INPUT DATA'!L51)</f>
        <v/>
      </c>
      <c r="D55" s="362"/>
      <c r="E55" s="363"/>
      <c r="F55" s="364" t="str">
        <f>IF('INPUT DATA'!M51="","",'INPUT DATA'!M51)</f>
        <v/>
      </c>
      <c r="G55" s="365"/>
      <c r="H55" s="93" t="str">
        <f>IF('INPUT DATA'!N51="","",'INPUT DATA'!N51)</f>
        <v/>
      </c>
      <c r="I55" s="137" t="str">
        <f t="shared" ca="1" si="2"/>
        <v/>
      </c>
      <c r="J55" s="176"/>
      <c r="K55" s="177"/>
      <c r="L55" s="178"/>
      <c r="M55" s="178"/>
      <c r="N55" s="178"/>
      <c r="O55" s="178"/>
      <c r="P55" s="178"/>
      <c r="Q55" s="178"/>
      <c r="R55" s="178"/>
      <c r="S55" s="179"/>
      <c r="T55" s="558" t="str">
        <f t="shared" si="0"/>
        <v/>
      </c>
      <c r="U55" s="199" t="str">
        <f t="shared" si="1"/>
        <v/>
      </c>
      <c r="V55" s="91" t="str">
        <f t="shared" si="3"/>
        <v/>
      </c>
      <c r="W55" s="153"/>
      <c r="X55" s="153"/>
      <c r="Y55" s="153"/>
      <c r="Z55" s="153"/>
      <c r="AA55" s="153"/>
      <c r="AB55" s="153"/>
      <c r="AC55" s="153"/>
      <c r="AD55" s="153"/>
      <c r="AE55" s="153"/>
      <c r="AF55" s="153"/>
      <c r="AG55" s="153"/>
    </row>
    <row r="56" spans="1:33" ht="15">
      <c r="A56" s="153"/>
      <c r="B56" s="181">
        <v>42</v>
      </c>
      <c r="C56" s="361" t="str">
        <f>IF('INPUT DATA'!L52="","",'INPUT DATA'!L52)</f>
        <v/>
      </c>
      <c r="D56" s="362"/>
      <c r="E56" s="363"/>
      <c r="F56" s="364" t="str">
        <f>IF('INPUT DATA'!M52="","",'INPUT DATA'!M52)</f>
        <v/>
      </c>
      <c r="G56" s="365"/>
      <c r="H56" s="93" t="str">
        <f>IF('INPUT DATA'!N52="","",'INPUT DATA'!N52)</f>
        <v/>
      </c>
      <c r="I56" s="137" t="str">
        <f t="shared" ca="1" si="2"/>
        <v/>
      </c>
      <c r="J56" s="176"/>
      <c r="K56" s="177"/>
      <c r="L56" s="178"/>
      <c r="M56" s="178"/>
      <c r="N56" s="178"/>
      <c r="O56" s="178"/>
      <c r="P56" s="178"/>
      <c r="Q56" s="178"/>
      <c r="R56" s="178"/>
      <c r="S56" s="179"/>
      <c r="T56" s="558" t="str">
        <f t="shared" si="0"/>
        <v/>
      </c>
      <c r="U56" s="199" t="str">
        <f t="shared" si="1"/>
        <v/>
      </c>
      <c r="V56" s="91" t="str">
        <f t="shared" si="3"/>
        <v/>
      </c>
      <c r="W56" s="153"/>
      <c r="X56" s="153"/>
      <c r="Y56" s="153"/>
      <c r="Z56" s="153"/>
      <c r="AA56" s="153"/>
      <c r="AB56" s="153"/>
      <c r="AC56" s="153"/>
      <c r="AD56" s="153"/>
      <c r="AE56" s="153"/>
      <c r="AF56" s="153"/>
      <c r="AG56" s="153"/>
    </row>
    <row r="57" spans="1:33" ht="15">
      <c r="A57" s="153"/>
      <c r="B57" s="181">
        <v>43</v>
      </c>
      <c r="C57" s="361" t="str">
        <f>IF('INPUT DATA'!L53="","",'INPUT DATA'!L53)</f>
        <v/>
      </c>
      <c r="D57" s="362"/>
      <c r="E57" s="363"/>
      <c r="F57" s="364" t="str">
        <f>IF('INPUT DATA'!M53="","",'INPUT DATA'!M53)</f>
        <v/>
      </c>
      <c r="G57" s="365"/>
      <c r="H57" s="93" t="str">
        <f>IF('INPUT DATA'!N53="","",'INPUT DATA'!N53)</f>
        <v/>
      </c>
      <c r="I57" s="137" t="str">
        <f t="shared" ca="1" si="2"/>
        <v/>
      </c>
      <c r="J57" s="176"/>
      <c r="K57" s="177"/>
      <c r="L57" s="178"/>
      <c r="M57" s="178"/>
      <c r="N57" s="178"/>
      <c r="O57" s="178"/>
      <c r="P57" s="178"/>
      <c r="Q57" s="178"/>
      <c r="R57" s="178"/>
      <c r="S57" s="179"/>
      <c r="T57" s="558" t="str">
        <f t="shared" si="0"/>
        <v/>
      </c>
      <c r="U57" s="199" t="str">
        <f t="shared" si="1"/>
        <v/>
      </c>
      <c r="V57" s="91" t="str">
        <f t="shared" si="3"/>
        <v/>
      </c>
      <c r="W57" s="153"/>
      <c r="X57" s="153"/>
      <c r="Y57" s="153"/>
      <c r="Z57" s="153"/>
      <c r="AA57" s="153"/>
      <c r="AB57" s="153"/>
      <c r="AC57" s="153"/>
      <c r="AD57" s="153"/>
      <c r="AE57" s="153"/>
      <c r="AF57" s="153"/>
      <c r="AG57" s="153"/>
    </row>
    <row r="58" spans="1:33" ht="15">
      <c r="A58" s="153"/>
      <c r="B58" s="181">
        <v>44</v>
      </c>
      <c r="C58" s="361" t="str">
        <f>IF('INPUT DATA'!L54="","",'INPUT DATA'!L54)</f>
        <v/>
      </c>
      <c r="D58" s="362"/>
      <c r="E58" s="363"/>
      <c r="F58" s="364" t="str">
        <f>IF('INPUT DATA'!M54="","",'INPUT DATA'!M54)</f>
        <v/>
      </c>
      <c r="G58" s="365"/>
      <c r="H58" s="93" t="str">
        <f>IF('INPUT DATA'!N54="","",'INPUT DATA'!N54)</f>
        <v/>
      </c>
      <c r="I58" s="137" t="str">
        <f t="shared" ca="1" si="2"/>
        <v/>
      </c>
      <c r="J58" s="176"/>
      <c r="K58" s="177"/>
      <c r="L58" s="178"/>
      <c r="M58" s="178"/>
      <c r="N58" s="178"/>
      <c r="O58" s="178"/>
      <c r="P58" s="178"/>
      <c r="Q58" s="178"/>
      <c r="R58" s="178"/>
      <c r="S58" s="179"/>
      <c r="T58" s="558" t="str">
        <f t="shared" si="0"/>
        <v/>
      </c>
      <c r="U58" s="199" t="str">
        <f t="shared" si="1"/>
        <v/>
      </c>
      <c r="V58" s="91" t="str">
        <f t="shared" si="3"/>
        <v/>
      </c>
      <c r="W58" s="153"/>
      <c r="X58" s="153"/>
      <c r="Y58" s="153"/>
      <c r="Z58" s="153"/>
      <c r="AA58" s="153"/>
      <c r="AB58" s="153"/>
      <c r="AC58" s="153"/>
      <c r="AD58" s="153"/>
      <c r="AE58" s="153"/>
      <c r="AF58" s="153"/>
      <c r="AG58" s="153"/>
    </row>
    <row r="59" spans="1:33" ht="15">
      <c r="A59" s="153"/>
      <c r="B59" s="181">
        <v>45</v>
      </c>
      <c r="C59" s="361" t="str">
        <f>IF('INPUT DATA'!L55="","",'INPUT DATA'!L55)</f>
        <v/>
      </c>
      <c r="D59" s="362"/>
      <c r="E59" s="363"/>
      <c r="F59" s="364" t="str">
        <f>IF('INPUT DATA'!M55="","",'INPUT DATA'!M55)</f>
        <v/>
      </c>
      <c r="G59" s="365"/>
      <c r="H59" s="93" t="str">
        <f>IF('INPUT DATA'!N55="","",'INPUT DATA'!N55)</f>
        <v/>
      </c>
      <c r="I59" s="137" t="str">
        <f t="shared" ca="1" si="2"/>
        <v/>
      </c>
      <c r="J59" s="176"/>
      <c r="K59" s="182"/>
      <c r="L59" s="183"/>
      <c r="M59" s="183"/>
      <c r="N59" s="183"/>
      <c r="O59" s="183"/>
      <c r="P59" s="183"/>
      <c r="Q59" s="183"/>
      <c r="R59" s="183"/>
      <c r="S59" s="184"/>
      <c r="T59" s="558" t="str">
        <f t="shared" si="0"/>
        <v/>
      </c>
      <c r="U59" s="199" t="str">
        <f t="shared" si="1"/>
        <v/>
      </c>
      <c r="V59" s="91" t="str">
        <f t="shared" si="3"/>
        <v/>
      </c>
      <c r="W59" s="153"/>
      <c r="X59" s="153"/>
      <c r="Y59" s="153"/>
      <c r="Z59" s="153"/>
      <c r="AA59" s="153"/>
      <c r="AB59" s="153"/>
      <c r="AC59" s="153"/>
      <c r="AD59" s="153"/>
      <c r="AE59" s="153"/>
      <c r="AF59" s="153"/>
      <c r="AG59" s="153"/>
    </row>
    <row r="60" spans="1:33" ht="15">
      <c r="A60" s="153"/>
      <c r="B60" s="181">
        <v>46</v>
      </c>
      <c r="C60" s="361" t="str">
        <f>IF('INPUT DATA'!L56="","",'INPUT DATA'!L56)</f>
        <v/>
      </c>
      <c r="D60" s="362"/>
      <c r="E60" s="363"/>
      <c r="F60" s="364" t="str">
        <f>IF('INPUT DATA'!M56="","",'INPUT DATA'!M56)</f>
        <v/>
      </c>
      <c r="G60" s="365"/>
      <c r="H60" s="93" t="str">
        <f>IF('INPUT DATA'!N56="","",'INPUT DATA'!N56)</f>
        <v/>
      </c>
      <c r="I60" s="137" t="str">
        <f t="shared" ca="1" si="2"/>
        <v/>
      </c>
      <c r="J60" s="176"/>
      <c r="K60" s="177"/>
      <c r="L60" s="178"/>
      <c r="M60" s="178"/>
      <c r="N60" s="178"/>
      <c r="O60" s="178"/>
      <c r="P60" s="178"/>
      <c r="Q60" s="178"/>
      <c r="R60" s="178"/>
      <c r="S60" s="179"/>
      <c r="T60" s="558" t="str">
        <f t="shared" si="0"/>
        <v/>
      </c>
      <c r="U60" s="199" t="str">
        <f t="shared" si="1"/>
        <v/>
      </c>
      <c r="V60" s="91" t="str">
        <f t="shared" si="3"/>
        <v/>
      </c>
      <c r="W60" s="153"/>
      <c r="X60" s="153"/>
      <c r="Y60" s="153"/>
      <c r="Z60" s="153"/>
      <c r="AA60" s="153"/>
      <c r="AB60" s="153"/>
      <c r="AC60" s="153"/>
      <c r="AD60" s="153"/>
      <c r="AE60" s="153"/>
      <c r="AF60" s="153"/>
      <c r="AG60" s="153"/>
    </row>
    <row r="61" spans="1:33" ht="15">
      <c r="A61" s="153"/>
      <c r="B61" s="181">
        <v>47</v>
      </c>
      <c r="C61" s="361" t="str">
        <f>IF('INPUT DATA'!L57="","",'INPUT DATA'!L57)</f>
        <v/>
      </c>
      <c r="D61" s="362"/>
      <c r="E61" s="363"/>
      <c r="F61" s="364" t="str">
        <f>IF('INPUT DATA'!M57="","",'INPUT DATA'!M57)</f>
        <v/>
      </c>
      <c r="G61" s="365"/>
      <c r="H61" s="93" t="str">
        <f>IF('INPUT DATA'!N57="","",'INPUT DATA'!N57)</f>
        <v/>
      </c>
      <c r="I61" s="137" t="str">
        <f t="shared" ca="1" si="2"/>
        <v/>
      </c>
      <c r="J61" s="176"/>
      <c r="K61" s="177"/>
      <c r="L61" s="178"/>
      <c r="M61" s="178"/>
      <c r="N61" s="178"/>
      <c r="O61" s="178"/>
      <c r="P61" s="178"/>
      <c r="Q61" s="178"/>
      <c r="R61" s="178"/>
      <c r="S61" s="179"/>
      <c r="T61" s="558" t="str">
        <f t="shared" si="0"/>
        <v/>
      </c>
      <c r="U61" s="199" t="str">
        <f t="shared" si="1"/>
        <v/>
      </c>
      <c r="V61" s="91" t="str">
        <f t="shared" si="3"/>
        <v/>
      </c>
      <c r="W61" s="153"/>
      <c r="X61" s="153"/>
      <c r="Y61" s="153"/>
      <c r="Z61" s="153"/>
      <c r="AA61" s="153"/>
      <c r="AB61" s="153"/>
      <c r="AC61" s="153"/>
      <c r="AD61" s="153"/>
      <c r="AE61" s="153"/>
      <c r="AF61" s="153"/>
      <c r="AG61" s="153"/>
    </row>
    <row r="62" spans="1:33" ht="15">
      <c r="A62" s="153"/>
      <c r="B62" s="181">
        <v>48</v>
      </c>
      <c r="C62" s="361" t="str">
        <f>IF('INPUT DATA'!L58="","",'INPUT DATA'!L58)</f>
        <v/>
      </c>
      <c r="D62" s="362"/>
      <c r="E62" s="363"/>
      <c r="F62" s="364" t="str">
        <f>IF('INPUT DATA'!M58="","",'INPUT DATA'!M58)</f>
        <v/>
      </c>
      <c r="G62" s="365"/>
      <c r="H62" s="93" t="str">
        <f>IF('INPUT DATA'!N58="","",'INPUT DATA'!N58)</f>
        <v/>
      </c>
      <c r="I62" s="137" t="str">
        <f t="shared" ca="1" si="2"/>
        <v/>
      </c>
      <c r="J62" s="176"/>
      <c r="K62" s="177"/>
      <c r="L62" s="178"/>
      <c r="M62" s="178"/>
      <c r="N62" s="178"/>
      <c r="O62" s="178"/>
      <c r="P62" s="178"/>
      <c r="Q62" s="178"/>
      <c r="R62" s="178"/>
      <c r="S62" s="179"/>
      <c r="T62" s="558" t="str">
        <f t="shared" si="0"/>
        <v/>
      </c>
      <c r="U62" s="199" t="str">
        <f t="shared" si="1"/>
        <v/>
      </c>
      <c r="V62" s="91" t="str">
        <f t="shared" si="3"/>
        <v/>
      </c>
      <c r="W62" s="153"/>
      <c r="X62" s="153"/>
      <c r="Y62" s="153"/>
      <c r="Z62" s="153"/>
      <c r="AA62" s="153"/>
      <c r="AB62" s="153"/>
      <c r="AC62" s="153"/>
      <c r="AD62" s="153"/>
      <c r="AE62" s="153"/>
      <c r="AF62" s="153"/>
      <c r="AG62" s="153"/>
    </row>
    <row r="63" spans="1:33" ht="15">
      <c r="A63" s="153"/>
      <c r="B63" s="181">
        <v>49</v>
      </c>
      <c r="C63" s="361" t="str">
        <f>IF('INPUT DATA'!L59="","",'INPUT DATA'!L59)</f>
        <v/>
      </c>
      <c r="D63" s="362"/>
      <c r="E63" s="363"/>
      <c r="F63" s="364" t="str">
        <f>IF('INPUT DATA'!M59="","",'INPUT DATA'!M59)</f>
        <v/>
      </c>
      <c r="G63" s="365"/>
      <c r="H63" s="93" t="str">
        <f>IF('INPUT DATA'!N59="","",'INPUT DATA'!N59)</f>
        <v/>
      </c>
      <c r="I63" s="137" t="str">
        <f t="shared" ca="1" si="2"/>
        <v/>
      </c>
      <c r="J63" s="176"/>
      <c r="K63" s="177"/>
      <c r="L63" s="178"/>
      <c r="M63" s="178"/>
      <c r="N63" s="178"/>
      <c r="O63" s="178"/>
      <c r="P63" s="178"/>
      <c r="Q63" s="178"/>
      <c r="R63" s="178"/>
      <c r="S63" s="179"/>
      <c r="T63" s="558" t="str">
        <f t="shared" si="0"/>
        <v/>
      </c>
      <c r="U63" s="199" t="str">
        <f t="shared" si="1"/>
        <v/>
      </c>
      <c r="V63" s="91" t="str">
        <f t="shared" si="3"/>
        <v/>
      </c>
      <c r="W63" s="153"/>
      <c r="X63" s="153"/>
      <c r="Y63" s="153"/>
      <c r="Z63" s="153"/>
      <c r="AA63" s="153"/>
      <c r="AB63" s="153"/>
      <c r="AC63" s="153"/>
      <c r="AD63" s="153"/>
      <c r="AE63" s="153"/>
      <c r="AF63" s="153"/>
      <c r="AG63" s="153"/>
    </row>
    <row r="64" spans="1:33" ht="15.6" thickBot="1">
      <c r="A64" s="153"/>
      <c r="B64" s="185">
        <v>50</v>
      </c>
      <c r="C64" s="401" t="str">
        <f>IF('INPUT DATA'!L60="","",'INPUT DATA'!L60)</f>
        <v/>
      </c>
      <c r="D64" s="402"/>
      <c r="E64" s="403"/>
      <c r="F64" s="404" t="str">
        <f>IF('INPUT DATA'!M60="","",'INPUT DATA'!M60)</f>
        <v/>
      </c>
      <c r="G64" s="405"/>
      <c r="H64" s="94" t="str">
        <f>IF('INPUT DATA'!N60="","",'INPUT DATA'!N60)</f>
        <v/>
      </c>
      <c r="I64" s="137" t="str">
        <f t="shared" ca="1" si="2"/>
        <v/>
      </c>
      <c r="J64" s="186"/>
      <c r="K64" s="187"/>
      <c r="L64" s="188"/>
      <c r="M64" s="188"/>
      <c r="N64" s="188"/>
      <c r="O64" s="188"/>
      <c r="P64" s="188"/>
      <c r="Q64" s="188"/>
      <c r="R64" s="188"/>
      <c r="S64" s="189"/>
      <c r="T64" s="559" t="str">
        <f t="shared" si="0"/>
        <v/>
      </c>
      <c r="U64" s="200" t="str">
        <f t="shared" si="1"/>
        <v/>
      </c>
      <c r="V64" s="91" t="str">
        <f t="shared" si="3"/>
        <v/>
      </c>
      <c r="W64" s="153"/>
      <c r="X64" s="153"/>
      <c r="Y64" s="153"/>
      <c r="Z64" s="153"/>
      <c r="AA64" s="153"/>
      <c r="AB64" s="153"/>
      <c r="AC64" s="153"/>
      <c r="AD64" s="153"/>
      <c r="AE64" s="153"/>
      <c r="AF64" s="153"/>
      <c r="AG64" s="153"/>
    </row>
    <row r="65" spans="1:33" ht="16.2" thickBot="1">
      <c r="A65" s="153"/>
      <c r="B65" s="191" t="s">
        <v>14</v>
      </c>
      <c r="C65" s="192"/>
      <c r="D65" s="192"/>
      <c r="E65" s="192"/>
      <c r="F65" s="193"/>
      <c r="G65" s="193"/>
      <c r="H65" s="192"/>
      <c r="I65" s="194"/>
      <c r="J65" s="193"/>
      <c r="K65" s="194"/>
      <c r="L65" s="194"/>
      <c r="M65" s="194"/>
      <c r="N65" s="194"/>
      <c r="O65" s="194"/>
      <c r="P65" s="194"/>
      <c r="Q65" s="194"/>
      <c r="R65" s="194"/>
      <c r="S65" s="194"/>
      <c r="T65" s="193"/>
      <c r="U65" s="193"/>
      <c r="V65" s="195"/>
      <c r="W65" s="153"/>
      <c r="X65" s="153"/>
      <c r="Y65" s="153"/>
      <c r="Z65" s="153"/>
      <c r="AA65" s="153"/>
      <c r="AB65" s="153"/>
      <c r="AC65" s="153"/>
      <c r="AD65" s="153"/>
      <c r="AE65" s="153"/>
      <c r="AF65" s="153"/>
      <c r="AG65" s="153"/>
    </row>
    <row r="66" spans="1:33" ht="15">
      <c r="A66" s="153"/>
      <c r="B66" s="169">
        <v>1</v>
      </c>
      <c r="C66" s="393" t="str">
        <f>IF('INPUT DATA'!Q11="","",'INPUT DATA'!Q11)</f>
        <v/>
      </c>
      <c r="D66" s="394"/>
      <c r="E66" s="394"/>
      <c r="F66" s="395" t="str">
        <f>IF('INPUT DATA'!R11="","",'INPUT DATA'!R11)</f>
        <v/>
      </c>
      <c r="G66" s="396"/>
      <c r="H66" s="147" t="str">
        <f>IF('INPUT DATA'!S11="","",'INPUT DATA'!S11)</f>
        <v/>
      </c>
      <c r="I66" s="113" t="str">
        <f ca="1">IF(H66="","",DATEDIF(H66,TODAY(),"Y"))</f>
        <v/>
      </c>
      <c r="J66" s="196"/>
      <c r="K66" s="171"/>
      <c r="L66" s="172"/>
      <c r="M66" s="172"/>
      <c r="N66" s="172"/>
      <c r="O66" s="172"/>
      <c r="P66" s="173"/>
      <c r="Q66" s="173"/>
      <c r="R66" s="173"/>
      <c r="S66" s="173"/>
      <c r="T66" s="560"/>
      <c r="U66" s="198" t="str">
        <f t="shared" si="1"/>
        <v/>
      </c>
      <c r="V66" s="91" t="str">
        <f>IF(U66="","",_xlfn.RANK.AVG(U66,$U$15:$U$115))</f>
        <v/>
      </c>
      <c r="W66" s="153"/>
      <c r="X66" s="153"/>
      <c r="Y66" s="153"/>
      <c r="Z66" s="153"/>
      <c r="AA66" s="153"/>
      <c r="AB66" s="153"/>
      <c r="AC66" s="153"/>
      <c r="AD66" s="153"/>
      <c r="AE66" s="153"/>
      <c r="AF66" s="153"/>
      <c r="AG66" s="153"/>
    </row>
    <row r="67" spans="1:33" ht="15">
      <c r="A67" s="153"/>
      <c r="B67" s="175">
        <v>2</v>
      </c>
      <c r="C67" s="397" t="str">
        <f>IF('INPUT DATA'!Q12="","",'INPUT DATA'!Q12)</f>
        <v/>
      </c>
      <c r="D67" s="398"/>
      <c r="E67" s="398"/>
      <c r="F67" s="399" t="str">
        <f>IF('INPUT DATA'!R12="","",'INPUT DATA'!R12)</f>
        <v/>
      </c>
      <c r="G67" s="400"/>
      <c r="H67" s="148" t="str">
        <f>IF('INPUT DATA'!S12="","",'INPUT DATA'!S12)</f>
        <v/>
      </c>
      <c r="I67" s="137" t="str">
        <f ca="1">IF(H67="","",DATEDIF(H67,TODAY(),"Y"))</f>
        <v/>
      </c>
      <c r="J67" s="197"/>
      <c r="K67" s="177"/>
      <c r="L67" s="178"/>
      <c r="M67" s="178"/>
      <c r="N67" s="178"/>
      <c r="O67" s="178"/>
      <c r="P67" s="179"/>
      <c r="Q67" s="179"/>
      <c r="R67" s="179"/>
      <c r="S67" s="179"/>
      <c r="T67" s="561"/>
      <c r="U67" s="199" t="str">
        <f t="shared" si="1"/>
        <v/>
      </c>
      <c r="V67" s="91" t="str">
        <f>IF(U67="","",_xlfn.RANK.AVG(U67,$U$15:$U$115))</f>
        <v/>
      </c>
      <c r="W67" s="153"/>
      <c r="X67" s="153"/>
      <c r="Y67" s="153"/>
      <c r="Z67" s="153"/>
      <c r="AA67" s="153"/>
      <c r="AB67" s="153"/>
      <c r="AC67" s="153"/>
      <c r="AD67" s="153"/>
      <c r="AE67" s="153"/>
      <c r="AF67" s="153"/>
      <c r="AG67" s="153"/>
    </row>
    <row r="68" spans="1:33" ht="15">
      <c r="A68" s="153"/>
      <c r="B68" s="175">
        <v>3</v>
      </c>
      <c r="C68" s="397" t="str">
        <f>IF('INPUT DATA'!Q13="","",'INPUT DATA'!Q13)</f>
        <v/>
      </c>
      <c r="D68" s="398"/>
      <c r="E68" s="398"/>
      <c r="F68" s="399" t="str">
        <f>IF('INPUT DATA'!R13="","",'INPUT DATA'!R13)</f>
        <v/>
      </c>
      <c r="G68" s="400"/>
      <c r="H68" s="148" t="str">
        <f>IF('INPUT DATA'!S13="","",'INPUT DATA'!S13)</f>
        <v/>
      </c>
      <c r="I68" s="137" t="str">
        <f t="shared" ref="I68:I115" ca="1" si="4">IF(H68="","",DATEDIF(H68,TODAY(),"Y"))</f>
        <v/>
      </c>
      <c r="J68" s="197"/>
      <c r="K68" s="177"/>
      <c r="L68" s="178"/>
      <c r="M68" s="178"/>
      <c r="N68" s="178"/>
      <c r="O68" s="178"/>
      <c r="P68" s="179"/>
      <c r="Q68" s="179"/>
      <c r="R68" s="179"/>
      <c r="S68" s="179"/>
      <c r="T68" s="561"/>
      <c r="U68" s="199" t="str">
        <f t="shared" si="1"/>
        <v/>
      </c>
      <c r="V68" s="91" t="str">
        <f t="shared" ref="V68:V115" si="5">IF(U68="","",_xlfn.RANK.AVG(U68,$U$15:$U$115))</f>
        <v/>
      </c>
      <c r="W68" s="153"/>
      <c r="X68" s="153"/>
      <c r="Y68" s="153"/>
      <c r="Z68" s="153"/>
      <c r="AA68" s="153"/>
      <c r="AB68" s="153"/>
      <c r="AC68" s="153"/>
      <c r="AD68" s="153"/>
      <c r="AE68" s="153"/>
      <c r="AF68" s="153"/>
      <c r="AG68" s="153"/>
    </row>
    <row r="69" spans="1:33" ht="15">
      <c r="A69" s="153"/>
      <c r="B69" s="175">
        <v>4</v>
      </c>
      <c r="C69" s="397" t="str">
        <f>IF('INPUT DATA'!Q14="","",'INPUT DATA'!Q14)</f>
        <v/>
      </c>
      <c r="D69" s="398"/>
      <c r="E69" s="398"/>
      <c r="F69" s="399" t="str">
        <f>IF('INPUT DATA'!R14="","",'INPUT DATA'!R14)</f>
        <v/>
      </c>
      <c r="G69" s="400"/>
      <c r="H69" s="148" t="str">
        <f>IF('INPUT DATA'!S14="","",'INPUT DATA'!S14)</f>
        <v/>
      </c>
      <c r="I69" s="137" t="str">
        <f t="shared" ca="1" si="4"/>
        <v/>
      </c>
      <c r="J69" s="176"/>
      <c r="K69" s="177"/>
      <c r="L69" s="178"/>
      <c r="M69" s="178"/>
      <c r="N69" s="178"/>
      <c r="O69" s="178"/>
      <c r="P69" s="179"/>
      <c r="Q69" s="179"/>
      <c r="R69" s="179"/>
      <c r="S69" s="179"/>
      <c r="T69" s="561"/>
      <c r="U69" s="199" t="str">
        <f t="shared" si="1"/>
        <v/>
      </c>
      <c r="V69" s="91" t="str">
        <f t="shared" si="5"/>
        <v/>
      </c>
      <c r="W69" s="153"/>
      <c r="X69" s="153"/>
      <c r="Y69" s="153"/>
      <c r="Z69" s="153"/>
      <c r="AA69" s="153"/>
      <c r="AB69" s="153"/>
      <c r="AC69" s="153"/>
      <c r="AD69" s="153"/>
      <c r="AE69" s="153"/>
      <c r="AF69" s="153"/>
      <c r="AG69" s="153"/>
    </row>
    <row r="70" spans="1:33" ht="15">
      <c r="A70" s="153"/>
      <c r="B70" s="175">
        <v>5</v>
      </c>
      <c r="C70" s="397" t="str">
        <f>IF('INPUT DATA'!Q15="","",'INPUT DATA'!Q15)</f>
        <v/>
      </c>
      <c r="D70" s="398"/>
      <c r="E70" s="398"/>
      <c r="F70" s="399" t="str">
        <f>IF('INPUT DATA'!R15="","",'INPUT DATA'!R15)</f>
        <v/>
      </c>
      <c r="G70" s="400"/>
      <c r="H70" s="148" t="str">
        <f>IF('INPUT DATA'!S15="","",'INPUT DATA'!S15)</f>
        <v/>
      </c>
      <c r="I70" s="137" t="str">
        <f t="shared" ca="1" si="4"/>
        <v/>
      </c>
      <c r="J70" s="176"/>
      <c r="K70" s="177"/>
      <c r="L70" s="178"/>
      <c r="M70" s="178"/>
      <c r="N70" s="178"/>
      <c r="O70" s="178"/>
      <c r="P70" s="179"/>
      <c r="Q70" s="179"/>
      <c r="R70" s="179"/>
      <c r="S70" s="179"/>
      <c r="T70" s="561"/>
      <c r="U70" s="199" t="str">
        <f t="shared" si="1"/>
        <v/>
      </c>
      <c r="V70" s="91" t="str">
        <f t="shared" si="5"/>
        <v/>
      </c>
      <c r="W70" s="153"/>
      <c r="X70" s="153"/>
      <c r="Y70" s="153"/>
      <c r="Z70" s="153"/>
      <c r="AA70" s="153"/>
      <c r="AB70" s="153"/>
      <c r="AC70" s="153"/>
      <c r="AD70" s="153"/>
      <c r="AE70" s="153"/>
      <c r="AF70" s="153"/>
      <c r="AG70" s="153"/>
    </row>
    <row r="71" spans="1:33" ht="15">
      <c r="A71" s="153"/>
      <c r="B71" s="175">
        <v>6</v>
      </c>
      <c r="C71" s="397" t="str">
        <f>IF('INPUT DATA'!Q16="","",'INPUT DATA'!Q16)</f>
        <v/>
      </c>
      <c r="D71" s="398"/>
      <c r="E71" s="398"/>
      <c r="F71" s="399" t="str">
        <f>IF('INPUT DATA'!R16="","",'INPUT DATA'!R16)</f>
        <v/>
      </c>
      <c r="G71" s="400"/>
      <c r="H71" s="148" t="str">
        <f>IF('INPUT DATA'!S16="","",'INPUT DATA'!S16)</f>
        <v/>
      </c>
      <c r="I71" s="137" t="str">
        <f t="shared" ca="1" si="4"/>
        <v/>
      </c>
      <c r="J71" s="176"/>
      <c r="K71" s="177"/>
      <c r="L71" s="178"/>
      <c r="M71" s="178"/>
      <c r="N71" s="178"/>
      <c r="O71" s="178"/>
      <c r="P71" s="179"/>
      <c r="Q71" s="179"/>
      <c r="R71" s="179"/>
      <c r="S71" s="179"/>
      <c r="T71" s="561"/>
      <c r="U71" s="199" t="str">
        <f t="shared" si="1"/>
        <v/>
      </c>
      <c r="V71" s="91" t="str">
        <f t="shared" si="5"/>
        <v/>
      </c>
      <c r="W71" s="153"/>
      <c r="X71" s="153"/>
      <c r="Y71" s="153"/>
      <c r="Z71" s="153"/>
      <c r="AA71" s="153"/>
      <c r="AB71" s="153"/>
      <c r="AC71" s="153"/>
      <c r="AD71" s="153"/>
      <c r="AE71" s="153"/>
      <c r="AF71" s="153"/>
      <c r="AG71" s="153"/>
    </row>
    <row r="72" spans="1:33" ht="15">
      <c r="A72" s="153"/>
      <c r="B72" s="175">
        <v>7</v>
      </c>
      <c r="C72" s="397" t="str">
        <f>IF('INPUT DATA'!Q17="","",'INPUT DATA'!Q17)</f>
        <v/>
      </c>
      <c r="D72" s="398"/>
      <c r="E72" s="398"/>
      <c r="F72" s="399" t="str">
        <f>IF('INPUT DATA'!R17="","",'INPUT DATA'!R17)</f>
        <v/>
      </c>
      <c r="G72" s="400"/>
      <c r="H72" s="148" t="str">
        <f>IF('INPUT DATA'!S17="","",'INPUT DATA'!S17)</f>
        <v/>
      </c>
      <c r="I72" s="137" t="str">
        <f t="shared" ca="1" si="4"/>
        <v/>
      </c>
      <c r="J72" s="176"/>
      <c r="K72" s="177"/>
      <c r="L72" s="178"/>
      <c r="M72" s="178"/>
      <c r="N72" s="178"/>
      <c r="O72" s="178"/>
      <c r="P72" s="179"/>
      <c r="Q72" s="179"/>
      <c r="R72" s="179"/>
      <c r="S72" s="179"/>
      <c r="T72" s="561"/>
      <c r="U72" s="199" t="str">
        <f t="shared" si="1"/>
        <v/>
      </c>
      <c r="V72" s="91" t="str">
        <f t="shared" si="5"/>
        <v/>
      </c>
      <c r="W72" s="153"/>
      <c r="X72" s="153"/>
      <c r="Y72" s="153"/>
      <c r="Z72" s="153"/>
      <c r="AA72" s="153"/>
      <c r="AB72" s="153"/>
      <c r="AC72" s="153"/>
      <c r="AD72" s="153"/>
      <c r="AE72" s="153"/>
      <c r="AF72" s="153"/>
      <c r="AG72" s="153"/>
    </row>
    <row r="73" spans="1:33" ht="15">
      <c r="A73" s="153"/>
      <c r="B73" s="175">
        <v>8</v>
      </c>
      <c r="C73" s="397" t="str">
        <f>IF('INPUT DATA'!Q18="","",'INPUT DATA'!Q18)</f>
        <v/>
      </c>
      <c r="D73" s="398"/>
      <c r="E73" s="398"/>
      <c r="F73" s="399" t="str">
        <f>IF('INPUT DATA'!R18="","",'INPUT DATA'!R18)</f>
        <v/>
      </c>
      <c r="G73" s="400"/>
      <c r="H73" s="148" t="str">
        <f>IF('INPUT DATA'!S18="","",'INPUT DATA'!S18)</f>
        <v/>
      </c>
      <c r="I73" s="137" t="str">
        <f t="shared" ca="1" si="4"/>
        <v/>
      </c>
      <c r="J73" s="176"/>
      <c r="K73" s="177"/>
      <c r="L73" s="178"/>
      <c r="M73" s="178"/>
      <c r="N73" s="178"/>
      <c r="O73" s="178"/>
      <c r="P73" s="179"/>
      <c r="Q73" s="179"/>
      <c r="R73" s="179"/>
      <c r="S73" s="179"/>
      <c r="T73" s="561"/>
      <c r="U73" s="199" t="str">
        <f t="shared" si="1"/>
        <v/>
      </c>
      <c r="V73" s="91" t="str">
        <f t="shared" si="5"/>
        <v/>
      </c>
      <c r="W73" s="153"/>
      <c r="X73" s="153"/>
      <c r="Y73" s="153"/>
      <c r="Z73" s="153"/>
      <c r="AA73" s="153"/>
      <c r="AB73" s="153"/>
      <c r="AC73" s="153"/>
      <c r="AD73" s="153"/>
      <c r="AE73" s="153"/>
      <c r="AF73" s="153"/>
      <c r="AG73" s="153"/>
    </row>
    <row r="74" spans="1:33" ht="15">
      <c r="A74" s="153"/>
      <c r="B74" s="175">
        <v>9</v>
      </c>
      <c r="C74" s="397" t="str">
        <f>IF('INPUT DATA'!Q19="","",'INPUT DATA'!Q19)</f>
        <v/>
      </c>
      <c r="D74" s="398"/>
      <c r="E74" s="398"/>
      <c r="F74" s="399" t="str">
        <f>IF('INPUT DATA'!R19="","",'INPUT DATA'!R19)</f>
        <v/>
      </c>
      <c r="G74" s="400"/>
      <c r="H74" s="148" t="str">
        <f>IF('INPUT DATA'!S19="","",'INPUT DATA'!S19)</f>
        <v/>
      </c>
      <c r="I74" s="137" t="str">
        <f t="shared" ca="1" si="4"/>
        <v/>
      </c>
      <c r="J74" s="176"/>
      <c r="K74" s="177"/>
      <c r="L74" s="178"/>
      <c r="M74" s="178"/>
      <c r="N74" s="178"/>
      <c r="O74" s="178"/>
      <c r="P74" s="179"/>
      <c r="Q74" s="179"/>
      <c r="R74" s="179"/>
      <c r="S74" s="179"/>
      <c r="T74" s="561"/>
      <c r="U74" s="199" t="str">
        <f t="shared" si="1"/>
        <v/>
      </c>
      <c r="V74" s="91" t="str">
        <f t="shared" si="5"/>
        <v/>
      </c>
      <c r="W74" s="153"/>
      <c r="X74" s="153"/>
      <c r="Y74" s="153"/>
      <c r="Z74" s="153"/>
      <c r="AA74" s="153"/>
      <c r="AB74" s="153"/>
      <c r="AC74" s="153"/>
      <c r="AD74" s="153"/>
      <c r="AE74" s="153"/>
      <c r="AF74" s="153"/>
      <c r="AG74" s="153"/>
    </row>
    <row r="75" spans="1:33" ht="15">
      <c r="A75" s="153"/>
      <c r="B75" s="175">
        <v>10</v>
      </c>
      <c r="C75" s="397" t="str">
        <f>IF('INPUT DATA'!Q20="","",'INPUT DATA'!Q20)</f>
        <v/>
      </c>
      <c r="D75" s="398"/>
      <c r="E75" s="398"/>
      <c r="F75" s="399" t="str">
        <f>IF('INPUT DATA'!R20="","",'INPUT DATA'!R20)</f>
        <v/>
      </c>
      <c r="G75" s="400"/>
      <c r="H75" s="148" t="str">
        <f>IF('INPUT DATA'!S20="","",'INPUT DATA'!S20)</f>
        <v/>
      </c>
      <c r="I75" s="137" t="str">
        <f t="shared" ca="1" si="4"/>
        <v/>
      </c>
      <c r="J75" s="176"/>
      <c r="K75" s="177"/>
      <c r="L75" s="178"/>
      <c r="M75" s="178"/>
      <c r="N75" s="178"/>
      <c r="O75" s="178"/>
      <c r="P75" s="179"/>
      <c r="Q75" s="179"/>
      <c r="R75" s="179"/>
      <c r="S75" s="179"/>
      <c r="T75" s="561"/>
      <c r="U75" s="199" t="str">
        <f t="shared" si="1"/>
        <v/>
      </c>
      <c r="V75" s="91" t="str">
        <f t="shared" si="5"/>
        <v/>
      </c>
      <c r="W75" s="153"/>
      <c r="X75" s="153"/>
      <c r="Y75" s="153"/>
      <c r="Z75" s="153"/>
      <c r="AA75" s="153"/>
      <c r="AB75" s="153"/>
      <c r="AC75" s="153"/>
      <c r="AD75" s="153"/>
      <c r="AE75" s="153"/>
      <c r="AF75" s="153"/>
      <c r="AG75" s="153"/>
    </row>
    <row r="76" spans="1:33" ht="15">
      <c r="A76" s="153"/>
      <c r="B76" s="175">
        <v>11</v>
      </c>
      <c r="C76" s="397" t="str">
        <f>IF('INPUT DATA'!Q21="","",'INPUT DATA'!Q21)</f>
        <v/>
      </c>
      <c r="D76" s="398"/>
      <c r="E76" s="398"/>
      <c r="F76" s="399" t="str">
        <f>IF('INPUT DATA'!R21="","",'INPUT DATA'!R21)</f>
        <v/>
      </c>
      <c r="G76" s="400"/>
      <c r="H76" s="148" t="str">
        <f>IF('INPUT DATA'!S21="","",'INPUT DATA'!S21)</f>
        <v/>
      </c>
      <c r="I76" s="137" t="str">
        <f t="shared" ca="1" si="4"/>
        <v/>
      </c>
      <c r="J76" s="176"/>
      <c r="K76" s="177"/>
      <c r="L76" s="178"/>
      <c r="M76" s="178"/>
      <c r="N76" s="178"/>
      <c r="O76" s="178"/>
      <c r="P76" s="179"/>
      <c r="Q76" s="179"/>
      <c r="R76" s="179"/>
      <c r="S76" s="179"/>
      <c r="T76" s="561"/>
      <c r="U76" s="199" t="str">
        <f t="shared" si="1"/>
        <v/>
      </c>
      <c r="V76" s="91" t="str">
        <f t="shared" si="5"/>
        <v/>
      </c>
      <c r="W76" s="153"/>
      <c r="X76" s="153"/>
      <c r="Y76" s="153"/>
      <c r="Z76" s="153"/>
      <c r="AA76" s="153"/>
      <c r="AB76" s="153"/>
      <c r="AC76" s="153"/>
      <c r="AD76" s="153"/>
      <c r="AE76" s="153"/>
      <c r="AF76" s="153"/>
      <c r="AG76" s="153"/>
    </row>
    <row r="77" spans="1:33" ht="15">
      <c r="A77" s="153"/>
      <c r="B77" s="175">
        <v>12</v>
      </c>
      <c r="C77" s="397" t="str">
        <f>IF('INPUT DATA'!Q22="","",'INPUT DATA'!Q22)</f>
        <v/>
      </c>
      <c r="D77" s="398"/>
      <c r="E77" s="398"/>
      <c r="F77" s="399" t="str">
        <f>IF('INPUT DATA'!R22="","",'INPUT DATA'!R22)</f>
        <v/>
      </c>
      <c r="G77" s="400"/>
      <c r="H77" s="148" t="str">
        <f>IF('INPUT DATA'!S22="","",'INPUT DATA'!S22)</f>
        <v/>
      </c>
      <c r="I77" s="137" t="str">
        <f t="shared" ca="1" si="4"/>
        <v/>
      </c>
      <c r="J77" s="176"/>
      <c r="K77" s="177"/>
      <c r="L77" s="178"/>
      <c r="M77" s="178"/>
      <c r="N77" s="178"/>
      <c r="O77" s="178"/>
      <c r="P77" s="179"/>
      <c r="Q77" s="179"/>
      <c r="R77" s="179"/>
      <c r="S77" s="179"/>
      <c r="T77" s="561"/>
      <c r="U77" s="199" t="str">
        <f t="shared" si="1"/>
        <v/>
      </c>
      <c r="V77" s="91" t="str">
        <f t="shared" si="5"/>
        <v/>
      </c>
      <c r="W77" s="153"/>
      <c r="X77" s="153"/>
      <c r="Y77" s="153"/>
      <c r="Z77" s="153"/>
      <c r="AA77" s="153"/>
      <c r="AB77" s="153"/>
      <c r="AC77" s="153"/>
      <c r="AD77" s="153"/>
      <c r="AE77" s="153"/>
      <c r="AF77" s="153"/>
      <c r="AG77" s="153"/>
    </row>
    <row r="78" spans="1:33" ht="15">
      <c r="A78" s="153"/>
      <c r="B78" s="175">
        <v>13</v>
      </c>
      <c r="C78" s="397" t="str">
        <f>IF('INPUT DATA'!Q23="","",'INPUT DATA'!Q23)</f>
        <v/>
      </c>
      <c r="D78" s="398"/>
      <c r="E78" s="398"/>
      <c r="F78" s="399" t="str">
        <f>IF('INPUT DATA'!R23="","",'INPUT DATA'!R23)</f>
        <v/>
      </c>
      <c r="G78" s="400"/>
      <c r="H78" s="148" t="str">
        <f>IF('INPUT DATA'!S23="","",'INPUT DATA'!S23)</f>
        <v/>
      </c>
      <c r="I78" s="137" t="str">
        <f t="shared" ca="1" si="4"/>
        <v/>
      </c>
      <c r="J78" s="176"/>
      <c r="K78" s="177"/>
      <c r="L78" s="178"/>
      <c r="M78" s="178"/>
      <c r="N78" s="178"/>
      <c r="O78" s="178"/>
      <c r="P78" s="179"/>
      <c r="Q78" s="179"/>
      <c r="R78" s="179"/>
      <c r="S78" s="179"/>
      <c r="T78" s="561"/>
      <c r="U78" s="199" t="str">
        <f t="shared" si="1"/>
        <v/>
      </c>
      <c r="V78" s="91" t="str">
        <f t="shared" si="5"/>
        <v/>
      </c>
      <c r="W78" s="153"/>
      <c r="X78" s="153"/>
      <c r="Y78" s="153"/>
      <c r="Z78" s="153"/>
      <c r="AA78" s="153"/>
      <c r="AB78" s="153"/>
      <c r="AC78" s="153"/>
      <c r="AD78" s="153"/>
      <c r="AE78" s="153"/>
      <c r="AF78" s="153"/>
      <c r="AG78" s="153"/>
    </row>
    <row r="79" spans="1:33" ht="15">
      <c r="A79" s="153"/>
      <c r="B79" s="175">
        <v>14</v>
      </c>
      <c r="C79" s="397" t="str">
        <f>IF('INPUT DATA'!Q24="","",'INPUT DATA'!Q24)</f>
        <v/>
      </c>
      <c r="D79" s="398"/>
      <c r="E79" s="398"/>
      <c r="F79" s="399" t="str">
        <f>IF('INPUT DATA'!R24="","",'INPUT DATA'!R24)</f>
        <v/>
      </c>
      <c r="G79" s="400"/>
      <c r="H79" s="148" t="str">
        <f>IF('INPUT DATA'!S24="","",'INPUT DATA'!S24)</f>
        <v/>
      </c>
      <c r="I79" s="137" t="str">
        <f t="shared" ca="1" si="4"/>
        <v/>
      </c>
      <c r="J79" s="176"/>
      <c r="K79" s="177"/>
      <c r="L79" s="178"/>
      <c r="M79" s="178"/>
      <c r="N79" s="178"/>
      <c r="O79" s="178"/>
      <c r="P79" s="179"/>
      <c r="Q79" s="179"/>
      <c r="R79" s="179"/>
      <c r="S79" s="179"/>
      <c r="T79" s="561"/>
      <c r="U79" s="199" t="str">
        <f t="shared" si="1"/>
        <v/>
      </c>
      <c r="V79" s="91" t="str">
        <f t="shared" si="5"/>
        <v/>
      </c>
      <c r="W79" s="153"/>
      <c r="X79" s="153"/>
      <c r="Y79" s="153"/>
      <c r="Z79" s="153"/>
      <c r="AA79" s="153"/>
      <c r="AB79" s="153"/>
      <c r="AC79" s="153"/>
      <c r="AD79" s="153"/>
      <c r="AE79" s="153"/>
      <c r="AF79" s="153"/>
      <c r="AG79" s="153"/>
    </row>
    <row r="80" spans="1:33" ht="15">
      <c r="A80" s="153"/>
      <c r="B80" s="175">
        <v>15</v>
      </c>
      <c r="C80" s="397" t="str">
        <f>IF('INPUT DATA'!Q25="","",'INPUT DATA'!Q25)</f>
        <v/>
      </c>
      <c r="D80" s="398"/>
      <c r="E80" s="398"/>
      <c r="F80" s="399" t="str">
        <f>IF('INPUT DATA'!R25="","",'INPUT DATA'!R25)</f>
        <v/>
      </c>
      <c r="G80" s="400"/>
      <c r="H80" s="148" t="str">
        <f>IF('INPUT DATA'!S25="","",'INPUT DATA'!S25)</f>
        <v/>
      </c>
      <c r="I80" s="137" t="str">
        <f t="shared" ca="1" si="4"/>
        <v/>
      </c>
      <c r="J80" s="176"/>
      <c r="K80" s="177"/>
      <c r="L80" s="178"/>
      <c r="M80" s="178"/>
      <c r="N80" s="178"/>
      <c r="O80" s="178"/>
      <c r="P80" s="179"/>
      <c r="Q80" s="179"/>
      <c r="R80" s="179"/>
      <c r="S80" s="179"/>
      <c r="T80" s="561"/>
      <c r="U80" s="199" t="str">
        <f t="shared" ref="U80:U115" si="6">IF(COUNT(K80:Q80,T80)=0,"",ROUND(AVERAGE(K80:Q80,T80),0))</f>
        <v/>
      </c>
      <c r="V80" s="91" t="str">
        <f t="shared" si="5"/>
        <v/>
      </c>
      <c r="W80" s="153"/>
      <c r="X80" s="153"/>
      <c r="Y80" s="153"/>
      <c r="Z80" s="153"/>
      <c r="AA80" s="153"/>
      <c r="AB80" s="153"/>
      <c r="AC80" s="153"/>
      <c r="AD80" s="153"/>
      <c r="AE80" s="153"/>
      <c r="AF80" s="153"/>
      <c r="AG80" s="153"/>
    </row>
    <row r="81" spans="1:33" ht="15">
      <c r="A81" s="153"/>
      <c r="B81" s="175">
        <v>16</v>
      </c>
      <c r="C81" s="397" t="str">
        <f>IF('INPUT DATA'!Q26="","",'INPUT DATA'!Q26)</f>
        <v/>
      </c>
      <c r="D81" s="398"/>
      <c r="E81" s="398"/>
      <c r="F81" s="399" t="str">
        <f>IF('INPUT DATA'!R26="","",'INPUT DATA'!R26)</f>
        <v/>
      </c>
      <c r="G81" s="400"/>
      <c r="H81" s="148" t="str">
        <f>IF('INPUT DATA'!S26="","",'INPUT DATA'!S26)</f>
        <v/>
      </c>
      <c r="I81" s="137" t="str">
        <f t="shared" ca="1" si="4"/>
        <v/>
      </c>
      <c r="J81" s="176"/>
      <c r="K81" s="177"/>
      <c r="L81" s="178"/>
      <c r="M81" s="178"/>
      <c r="N81" s="178"/>
      <c r="O81" s="178"/>
      <c r="P81" s="179"/>
      <c r="Q81" s="179"/>
      <c r="R81" s="179"/>
      <c r="S81" s="179"/>
      <c r="T81" s="561"/>
      <c r="U81" s="199" t="str">
        <f t="shared" si="6"/>
        <v/>
      </c>
      <c r="V81" s="91" t="str">
        <f t="shared" si="5"/>
        <v/>
      </c>
      <c r="W81" s="153"/>
      <c r="X81" s="153"/>
      <c r="Y81" s="153"/>
      <c r="Z81" s="153"/>
      <c r="AA81" s="153"/>
      <c r="AB81" s="153"/>
      <c r="AC81" s="153"/>
      <c r="AD81" s="153"/>
      <c r="AE81" s="153"/>
      <c r="AF81" s="153"/>
      <c r="AG81" s="153"/>
    </row>
    <row r="82" spans="1:33" ht="15">
      <c r="A82" s="153"/>
      <c r="B82" s="175">
        <v>17</v>
      </c>
      <c r="C82" s="397" t="str">
        <f>IF('INPUT DATA'!Q27="","",'INPUT DATA'!Q27)</f>
        <v/>
      </c>
      <c r="D82" s="398"/>
      <c r="E82" s="398"/>
      <c r="F82" s="399" t="str">
        <f>IF('INPUT DATA'!R27="","",'INPUT DATA'!R27)</f>
        <v/>
      </c>
      <c r="G82" s="400"/>
      <c r="H82" s="148" t="str">
        <f>IF('INPUT DATA'!S27="","",'INPUT DATA'!S27)</f>
        <v/>
      </c>
      <c r="I82" s="137" t="str">
        <f t="shared" ca="1" si="4"/>
        <v/>
      </c>
      <c r="J82" s="176"/>
      <c r="K82" s="177"/>
      <c r="L82" s="178"/>
      <c r="M82" s="178"/>
      <c r="N82" s="178"/>
      <c r="O82" s="178"/>
      <c r="P82" s="179"/>
      <c r="Q82" s="179"/>
      <c r="R82" s="179"/>
      <c r="S82" s="179"/>
      <c r="T82" s="561"/>
      <c r="U82" s="199" t="str">
        <f t="shared" si="6"/>
        <v/>
      </c>
      <c r="V82" s="91" t="str">
        <f t="shared" si="5"/>
        <v/>
      </c>
      <c r="W82" s="153"/>
      <c r="X82" s="153"/>
      <c r="Y82" s="153"/>
      <c r="Z82" s="153"/>
      <c r="AA82" s="153"/>
      <c r="AB82" s="153"/>
      <c r="AC82" s="153"/>
      <c r="AD82" s="153"/>
      <c r="AE82" s="153"/>
      <c r="AF82" s="153"/>
      <c r="AG82" s="153"/>
    </row>
    <row r="83" spans="1:33" ht="15">
      <c r="A83" s="153"/>
      <c r="B83" s="175">
        <v>18</v>
      </c>
      <c r="C83" s="397" t="str">
        <f>IF('INPUT DATA'!Q28="","",'INPUT DATA'!Q28)</f>
        <v/>
      </c>
      <c r="D83" s="398"/>
      <c r="E83" s="398"/>
      <c r="F83" s="399" t="str">
        <f>IF('INPUT DATA'!R28="","",'INPUT DATA'!R28)</f>
        <v/>
      </c>
      <c r="G83" s="400"/>
      <c r="H83" s="148" t="str">
        <f>IF('INPUT DATA'!S28="","",'INPUT DATA'!S28)</f>
        <v/>
      </c>
      <c r="I83" s="137" t="str">
        <f t="shared" ca="1" si="4"/>
        <v/>
      </c>
      <c r="J83" s="176"/>
      <c r="K83" s="177"/>
      <c r="L83" s="178"/>
      <c r="M83" s="178"/>
      <c r="N83" s="178"/>
      <c r="O83" s="178"/>
      <c r="P83" s="179"/>
      <c r="Q83" s="179"/>
      <c r="R83" s="179"/>
      <c r="S83" s="179"/>
      <c r="T83" s="561"/>
      <c r="U83" s="199" t="str">
        <f t="shared" si="6"/>
        <v/>
      </c>
      <c r="V83" s="91" t="str">
        <f t="shared" si="5"/>
        <v/>
      </c>
      <c r="W83" s="153"/>
      <c r="X83" s="153"/>
      <c r="Y83" s="153"/>
      <c r="Z83" s="153"/>
      <c r="AA83" s="153"/>
      <c r="AB83" s="153"/>
      <c r="AC83" s="153"/>
      <c r="AD83" s="153"/>
      <c r="AE83" s="153"/>
      <c r="AF83" s="153"/>
      <c r="AG83" s="153"/>
    </row>
    <row r="84" spans="1:33" ht="15">
      <c r="A84" s="153"/>
      <c r="B84" s="175">
        <v>19</v>
      </c>
      <c r="C84" s="397" t="str">
        <f>IF('INPUT DATA'!Q29="","",'INPUT DATA'!Q29)</f>
        <v/>
      </c>
      <c r="D84" s="398"/>
      <c r="E84" s="398"/>
      <c r="F84" s="399" t="str">
        <f>IF('INPUT DATA'!R29="","",'INPUT DATA'!R29)</f>
        <v/>
      </c>
      <c r="G84" s="400"/>
      <c r="H84" s="148" t="str">
        <f>IF('INPUT DATA'!S29="","",'INPUT DATA'!S29)</f>
        <v/>
      </c>
      <c r="I84" s="137" t="str">
        <f t="shared" ca="1" si="4"/>
        <v/>
      </c>
      <c r="J84" s="176"/>
      <c r="K84" s="177"/>
      <c r="L84" s="178"/>
      <c r="M84" s="178"/>
      <c r="N84" s="178"/>
      <c r="O84" s="178"/>
      <c r="P84" s="179"/>
      <c r="Q84" s="179"/>
      <c r="R84" s="179"/>
      <c r="S84" s="179"/>
      <c r="T84" s="561"/>
      <c r="U84" s="199" t="str">
        <f t="shared" si="6"/>
        <v/>
      </c>
      <c r="V84" s="91" t="str">
        <f t="shared" si="5"/>
        <v/>
      </c>
      <c r="W84" s="153"/>
      <c r="X84" s="153"/>
      <c r="Y84" s="153"/>
      <c r="Z84" s="153"/>
      <c r="AA84" s="153"/>
      <c r="AB84" s="153"/>
      <c r="AC84" s="153"/>
      <c r="AD84" s="153"/>
      <c r="AE84" s="153"/>
      <c r="AF84" s="153"/>
      <c r="AG84" s="153"/>
    </row>
    <row r="85" spans="1:33" ht="15">
      <c r="A85" s="153"/>
      <c r="B85" s="181">
        <v>20</v>
      </c>
      <c r="C85" s="397" t="str">
        <f>IF('INPUT DATA'!Q30="","",'INPUT DATA'!Q30)</f>
        <v/>
      </c>
      <c r="D85" s="398"/>
      <c r="E85" s="398"/>
      <c r="F85" s="399" t="str">
        <f>IF('INPUT DATA'!R30="","",'INPUT DATA'!R30)</f>
        <v/>
      </c>
      <c r="G85" s="400"/>
      <c r="H85" s="148" t="str">
        <f>IF('INPUT DATA'!S30="","",'INPUT DATA'!S30)</f>
        <v/>
      </c>
      <c r="I85" s="137" t="str">
        <f t="shared" ca="1" si="4"/>
        <v/>
      </c>
      <c r="J85" s="176"/>
      <c r="K85" s="182"/>
      <c r="L85" s="183"/>
      <c r="M85" s="183"/>
      <c r="N85" s="183"/>
      <c r="O85" s="183"/>
      <c r="P85" s="184"/>
      <c r="Q85" s="184"/>
      <c r="R85" s="184"/>
      <c r="S85" s="184"/>
      <c r="T85" s="561"/>
      <c r="U85" s="199" t="str">
        <f t="shared" si="6"/>
        <v/>
      </c>
      <c r="V85" s="91" t="str">
        <f t="shared" si="5"/>
        <v/>
      </c>
      <c r="W85" s="153"/>
      <c r="X85" s="153"/>
      <c r="Y85" s="153"/>
      <c r="Z85" s="153"/>
      <c r="AA85" s="153"/>
      <c r="AB85" s="153"/>
      <c r="AC85" s="153"/>
      <c r="AD85" s="153"/>
      <c r="AE85" s="153"/>
      <c r="AF85" s="153"/>
      <c r="AG85" s="153"/>
    </row>
    <row r="86" spans="1:33" ht="15">
      <c r="A86" s="153"/>
      <c r="B86" s="181">
        <v>21</v>
      </c>
      <c r="C86" s="397" t="str">
        <f>IF('INPUT DATA'!Q31="","",'INPUT DATA'!Q31)</f>
        <v/>
      </c>
      <c r="D86" s="398"/>
      <c r="E86" s="398"/>
      <c r="F86" s="399" t="str">
        <f>IF('INPUT DATA'!R31="","",'INPUT DATA'!R31)</f>
        <v/>
      </c>
      <c r="G86" s="400"/>
      <c r="H86" s="148" t="str">
        <f>IF('INPUT DATA'!S31="","",'INPUT DATA'!S31)</f>
        <v/>
      </c>
      <c r="I86" s="137" t="str">
        <f t="shared" ca="1" si="4"/>
        <v/>
      </c>
      <c r="J86" s="176"/>
      <c r="K86" s="177"/>
      <c r="L86" s="178"/>
      <c r="M86" s="178"/>
      <c r="N86" s="178"/>
      <c r="O86" s="178"/>
      <c r="P86" s="179"/>
      <c r="Q86" s="179"/>
      <c r="R86" s="179"/>
      <c r="S86" s="179"/>
      <c r="T86" s="561"/>
      <c r="U86" s="199" t="str">
        <f t="shared" si="6"/>
        <v/>
      </c>
      <c r="V86" s="91" t="str">
        <f t="shared" si="5"/>
        <v/>
      </c>
      <c r="W86" s="153"/>
      <c r="X86" s="153"/>
      <c r="Y86" s="153"/>
      <c r="Z86" s="153"/>
      <c r="AA86" s="153"/>
      <c r="AB86" s="153"/>
      <c r="AC86" s="153"/>
      <c r="AD86" s="153"/>
      <c r="AE86" s="153"/>
      <c r="AF86" s="153"/>
      <c r="AG86" s="153"/>
    </row>
    <row r="87" spans="1:33" ht="15">
      <c r="A87" s="153"/>
      <c r="B87" s="181">
        <v>22</v>
      </c>
      <c r="C87" s="397" t="str">
        <f>IF('INPUT DATA'!Q32="","",'INPUT DATA'!Q32)</f>
        <v/>
      </c>
      <c r="D87" s="398"/>
      <c r="E87" s="398"/>
      <c r="F87" s="399" t="str">
        <f>IF('INPUT DATA'!R32="","",'INPUT DATA'!R32)</f>
        <v/>
      </c>
      <c r="G87" s="400"/>
      <c r="H87" s="148" t="str">
        <f>IF('INPUT DATA'!S32="","",'INPUT DATA'!S32)</f>
        <v/>
      </c>
      <c r="I87" s="137" t="str">
        <f t="shared" ca="1" si="4"/>
        <v/>
      </c>
      <c r="J87" s="176"/>
      <c r="K87" s="177"/>
      <c r="L87" s="178"/>
      <c r="M87" s="178"/>
      <c r="N87" s="178"/>
      <c r="O87" s="178"/>
      <c r="P87" s="179"/>
      <c r="Q87" s="179"/>
      <c r="R87" s="179"/>
      <c r="S87" s="179"/>
      <c r="T87" s="561"/>
      <c r="U87" s="199" t="str">
        <f t="shared" si="6"/>
        <v/>
      </c>
      <c r="V87" s="91" t="str">
        <f t="shared" si="5"/>
        <v/>
      </c>
      <c r="W87" s="153"/>
      <c r="X87" s="153"/>
      <c r="Y87" s="153"/>
      <c r="Z87" s="153"/>
      <c r="AA87" s="153"/>
      <c r="AB87" s="153"/>
      <c r="AC87" s="153"/>
      <c r="AD87" s="153"/>
      <c r="AE87" s="153"/>
      <c r="AF87" s="153"/>
      <c r="AG87" s="153"/>
    </row>
    <row r="88" spans="1:33" ht="15">
      <c r="A88" s="153"/>
      <c r="B88" s="181">
        <v>23</v>
      </c>
      <c r="C88" s="397" t="str">
        <f>IF('INPUT DATA'!Q33="","",'INPUT DATA'!Q33)</f>
        <v/>
      </c>
      <c r="D88" s="398"/>
      <c r="E88" s="398"/>
      <c r="F88" s="399" t="str">
        <f>IF('INPUT DATA'!R33="","",'INPUT DATA'!R33)</f>
        <v/>
      </c>
      <c r="G88" s="400"/>
      <c r="H88" s="148" t="str">
        <f>IF('INPUT DATA'!S33="","",'INPUT DATA'!S33)</f>
        <v/>
      </c>
      <c r="I88" s="137" t="str">
        <f t="shared" ca="1" si="4"/>
        <v/>
      </c>
      <c r="J88" s="176"/>
      <c r="K88" s="177"/>
      <c r="L88" s="178"/>
      <c r="M88" s="178"/>
      <c r="N88" s="178"/>
      <c r="O88" s="178"/>
      <c r="P88" s="179"/>
      <c r="Q88" s="179"/>
      <c r="R88" s="179"/>
      <c r="S88" s="179"/>
      <c r="T88" s="561"/>
      <c r="U88" s="199" t="str">
        <f t="shared" si="6"/>
        <v/>
      </c>
      <c r="V88" s="91" t="str">
        <f t="shared" si="5"/>
        <v/>
      </c>
      <c r="W88" s="153"/>
      <c r="X88" s="153"/>
      <c r="Y88" s="153"/>
      <c r="Z88" s="153"/>
      <c r="AA88" s="153"/>
      <c r="AB88" s="153"/>
      <c r="AC88" s="153"/>
      <c r="AD88" s="153"/>
      <c r="AE88" s="153"/>
      <c r="AF88" s="153"/>
      <c r="AG88" s="153"/>
    </row>
    <row r="89" spans="1:33" ht="15">
      <c r="A89" s="153"/>
      <c r="B89" s="181">
        <v>24</v>
      </c>
      <c r="C89" s="397" t="str">
        <f>IF('INPUT DATA'!Q34="","",'INPUT DATA'!Q34)</f>
        <v/>
      </c>
      <c r="D89" s="398"/>
      <c r="E89" s="398"/>
      <c r="F89" s="399" t="str">
        <f>IF('INPUT DATA'!R34="","",'INPUT DATA'!R34)</f>
        <v/>
      </c>
      <c r="G89" s="400"/>
      <c r="H89" s="148" t="str">
        <f>IF('INPUT DATA'!S34="","",'INPUT DATA'!S34)</f>
        <v/>
      </c>
      <c r="I89" s="137" t="str">
        <f t="shared" ca="1" si="4"/>
        <v/>
      </c>
      <c r="J89" s="176"/>
      <c r="K89" s="177"/>
      <c r="L89" s="178"/>
      <c r="M89" s="178"/>
      <c r="N89" s="178"/>
      <c r="O89" s="178"/>
      <c r="P89" s="179"/>
      <c r="Q89" s="179"/>
      <c r="R89" s="179"/>
      <c r="S89" s="179"/>
      <c r="T89" s="561"/>
      <c r="U89" s="199" t="str">
        <f t="shared" si="6"/>
        <v/>
      </c>
      <c r="V89" s="91" t="str">
        <f t="shared" si="5"/>
        <v/>
      </c>
      <c r="W89" s="153"/>
      <c r="X89" s="153"/>
      <c r="Y89" s="153"/>
      <c r="Z89" s="153"/>
      <c r="AA89" s="153"/>
      <c r="AB89" s="153"/>
      <c r="AC89" s="153"/>
      <c r="AD89" s="153"/>
      <c r="AE89" s="153"/>
      <c r="AF89" s="153"/>
      <c r="AG89" s="153"/>
    </row>
    <row r="90" spans="1:33" ht="15">
      <c r="A90" s="153"/>
      <c r="B90" s="181">
        <v>25</v>
      </c>
      <c r="C90" s="397" t="str">
        <f>IF('INPUT DATA'!Q35="","",'INPUT DATA'!Q35)</f>
        <v/>
      </c>
      <c r="D90" s="398"/>
      <c r="E90" s="398"/>
      <c r="F90" s="399" t="str">
        <f>IF('INPUT DATA'!R35="","",'INPUT DATA'!R35)</f>
        <v/>
      </c>
      <c r="G90" s="400"/>
      <c r="H90" s="148" t="str">
        <f>IF('INPUT DATA'!S35="","",'INPUT DATA'!S35)</f>
        <v/>
      </c>
      <c r="I90" s="137" t="str">
        <f t="shared" ca="1" si="4"/>
        <v/>
      </c>
      <c r="J90" s="176"/>
      <c r="K90" s="177"/>
      <c r="L90" s="178"/>
      <c r="M90" s="178"/>
      <c r="N90" s="178"/>
      <c r="O90" s="178"/>
      <c r="P90" s="179"/>
      <c r="Q90" s="179"/>
      <c r="R90" s="179"/>
      <c r="S90" s="179"/>
      <c r="T90" s="561"/>
      <c r="U90" s="199" t="str">
        <f t="shared" si="6"/>
        <v/>
      </c>
      <c r="V90" s="91" t="str">
        <f t="shared" si="5"/>
        <v/>
      </c>
      <c r="W90" s="153"/>
      <c r="X90" s="153"/>
      <c r="Y90" s="153"/>
      <c r="Z90" s="153"/>
      <c r="AA90" s="153"/>
      <c r="AB90" s="153"/>
      <c r="AC90" s="153"/>
      <c r="AD90" s="153"/>
      <c r="AE90" s="153"/>
      <c r="AF90" s="153"/>
      <c r="AG90" s="153"/>
    </row>
    <row r="91" spans="1:33" ht="15">
      <c r="A91" s="153"/>
      <c r="B91" s="181">
        <v>26</v>
      </c>
      <c r="C91" s="397" t="str">
        <f>IF('INPUT DATA'!Q36="","",'INPUT DATA'!Q36)</f>
        <v/>
      </c>
      <c r="D91" s="398"/>
      <c r="E91" s="398"/>
      <c r="F91" s="399" t="str">
        <f>IF('INPUT DATA'!R36="","",'INPUT DATA'!R36)</f>
        <v/>
      </c>
      <c r="G91" s="400"/>
      <c r="H91" s="148" t="str">
        <f>IF('INPUT DATA'!S36="","",'INPUT DATA'!S36)</f>
        <v/>
      </c>
      <c r="I91" s="137" t="str">
        <f t="shared" ca="1" si="4"/>
        <v/>
      </c>
      <c r="J91" s="176"/>
      <c r="K91" s="177"/>
      <c r="L91" s="178"/>
      <c r="M91" s="178"/>
      <c r="N91" s="178"/>
      <c r="O91" s="178"/>
      <c r="P91" s="179"/>
      <c r="Q91" s="179"/>
      <c r="R91" s="179"/>
      <c r="S91" s="179"/>
      <c r="T91" s="561"/>
      <c r="U91" s="199" t="str">
        <f t="shared" si="6"/>
        <v/>
      </c>
      <c r="V91" s="91" t="str">
        <f t="shared" si="5"/>
        <v/>
      </c>
      <c r="W91" s="153"/>
      <c r="X91" s="153"/>
      <c r="Y91" s="153"/>
      <c r="Z91" s="153"/>
      <c r="AA91" s="153"/>
      <c r="AB91" s="153"/>
      <c r="AC91" s="153"/>
      <c r="AD91" s="153"/>
      <c r="AE91" s="153"/>
      <c r="AF91" s="153"/>
      <c r="AG91" s="153"/>
    </row>
    <row r="92" spans="1:33" ht="15">
      <c r="A92" s="153"/>
      <c r="B92" s="181">
        <v>27</v>
      </c>
      <c r="C92" s="397" t="str">
        <f>IF('INPUT DATA'!Q37="","",'INPUT DATA'!Q37)</f>
        <v/>
      </c>
      <c r="D92" s="398"/>
      <c r="E92" s="398"/>
      <c r="F92" s="399" t="str">
        <f>IF('INPUT DATA'!R37="","",'INPUT DATA'!R37)</f>
        <v/>
      </c>
      <c r="G92" s="400"/>
      <c r="H92" s="148" t="str">
        <f>IF('INPUT DATA'!S37="","",'INPUT DATA'!S37)</f>
        <v/>
      </c>
      <c r="I92" s="137" t="str">
        <f t="shared" ca="1" si="4"/>
        <v/>
      </c>
      <c r="J92" s="176"/>
      <c r="K92" s="177"/>
      <c r="L92" s="178"/>
      <c r="M92" s="178"/>
      <c r="N92" s="178"/>
      <c r="O92" s="178"/>
      <c r="P92" s="179"/>
      <c r="Q92" s="179"/>
      <c r="R92" s="179"/>
      <c r="S92" s="179"/>
      <c r="T92" s="561"/>
      <c r="U92" s="199" t="str">
        <f t="shared" si="6"/>
        <v/>
      </c>
      <c r="V92" s="91" t="str">
        <f t="shared" si="5"/>
        <v/>
      </c>
      <c r="W92" s="153"/>
      <c r="X92" s="153"/>
      <c r="Y92" s="153"/>
      <c r="Z92" s="153"/>
      <c r="AA92" s="153"/>
      <c r="AB92" s="153"/>
      <c r="AC92" s="153"/>
      <c r="AD92" s="153"/>
      <c r="AE92" s="153"/>
      <c r="AF92" s="153"/>
      <c r="AG92" s="153"/>
    </row>
    <row r="93" spans="1:33" ht="15">
      <c r="A93" s="153"/>
      <c r="B93" s="181">
        <v>28</v>
      </c>
      <c r="C93" s="397" t="str">
        <f>IF('INPUT DATA'!Q38="","",'INPUT DATA'!Q38)</f>
        <v/>
      </c>
      <c r="D93" s="398"/>
      <c r="E93" s="398"/>
      <c r="F93" s="399" t="str">
        <f>IF('INPUT DATA'!R38="","",'INPUT DATA'!R38)</f>
        <v/>
      </c>
      <c r="G93" s="400"/>
      <c r="H93" s="148" t="str">
        <f>IF('INPUT DATA'!S38="","",'INPUT DATA'!S38)</f>
        <v/>
      </c>
      <c r="I93" s="137" t="str">
        <f t="shared" ca="1" si="4"/>
        <v/>
      </c>
      <c r="J93" s="176"/>
      <c r="K93" s="177"/>
      <c r="L93" s="178"/>
      <c r="M93" s="178"/>
      <c r="N93" s="178"/>
      <c r="O93" s="178"/>
      <c r="P93" s="179"/>
      <c r="Q93" s="179"/>
      <c r="R93" s="179"/>
      <c r="S93" s="179"/>
      <c r="T93" s="561"/>
      <c r="U93" s="199" t="str">
        <f t="shared" si="6"/>
        <v/>
      </c>
      <c r="V93" s="91" t="str">
        <f t="shared" si="5"/>
        <v/>
      </c>
      <c r="W93" s="153"/>
      <c r="X93" s="153"/>
      <c r="Y93" s="153"/>
      <c r="Z93" s="153"/>
      <c r="AA93" s="153"/>
      <c r="AB93" s="153"/>
      <c r="AC93" s="153"/>
      <c r="AD93" s="153"/>
      <c r="AE93" s="153"/>
      <c r="AF93" s="153"/>
      <c r="AG93" s="153"/>
    </row>
    <row r="94" spans="1:33" ht="15">
      <c r="A94" s="153"/>
      <c r="B94" s="181">
        <v>29</v>
      </c>
      <c r="C94" s="397" t="str">
        <f>IF('INPUT DATA'!Q39="","",'INPUT DATA'!Q39)</f>
        <v/>
      </c>
      <c r="D94" s="398"/>
      <c r="E94" s="398"/>
      <c r="F94" s="399" t="str">
        <f>IF('INPUT DATA'!R39="","",'INPUT DATA'!R39)</f>
        <v/>
      </c>
      <c r="G94" s="400"/>
      <c r="H94" s="148" t="str">
        <f>IF('INPUT DATA'!S39="","",'INPUT DATA'!S39)</f>
        <v/>
      </c>
      <c r="I94" s="137" t="str">
        <f t="shared" ca="1" si="4"/>
        <v/>
      </c>
      <c r="J94" s="176"/>
      <c r="K94" s="177"/>
      <c r="L94" s="178"/>
      <c r="M94" s="178"/>
      <c r="N94" s="178"/>
      <c r="O94" s="178"/>
      <c r="P94" s="179"/>
      <c r="Q94" s="179"/>
      <c r="R94" s="179"/>
      <c r="S94" s="179"/>
      <c r="T94" s="561"/>
      <c r="U94" s="199" t="str">
        <f t="shared" si="6"/>
        <v/>
      </c>
      <c r="V94" s="91" t="str">
        <f t="shared" si="5"/>
        <v/>
      </c>
      <c r="W94" s="153"/>
      <c r="X94" s="153"/>
      <c r="Y94" s="153"/>
      <c r="Z94" s="153"/>
      <c r="AA94" s="153"/>
      <c r="AB94" s="153"/>
      <c r="AC94" s="153"/>
      <c r="AD94" s="153"/>
      <c r="AE94" s="153"/>
      <c r="AF94" s="153"/>
      <c r="AG94" s="153"/>
    </row>
    <row r="95" spans="1:33" ht="15">
      <c r="A95" s="153"/>
      <c r="B95" s="181">
        <v>30</v>
      </c>
      <c r="C95" s="397" t="str">
        <f>IF('INPUT DATA'!Q40="","",'INPUT DATA'!Q40)</f>
        <v/>
      </c>
      <c r="D95" s="398"/>
      <c r="E95" s="398"/>
      <c r="F95" s="399" t="str">
        <f>IF('INPUT DATA'!R40="","",'INPUT DATA'!R40)</f>
        <v/>
      </c>
      <c r="G95" s="400"/>
      <c r="H95" s="148" t="str">
        <f>IF('INPUT DATA'!S40="","",'INPUT DATA'!S40)</f>
        <v/>
      </c>
      <c r="I95" s="137" t="str">
        <f t="shared" ca="1" si="4"/>
        <v/>
      </c>
      <c r="J95" s="176"/>
      <c r="K95" s="177"/>
      <c r="L95" s="178"/>
      <c r="M95" s="178"/>
      <c r="N95" s="178"/>
      <c r="O95" s="178"/>
      <c r="P95" s="179"/>
      <c r="Q95" s="179"/>
      <c r="R95" s="179"/>
      <c r="S95" s="179"/>
      <c r="T95" s="561"/>
      <c r="U95" s="199" t="str">
        <f t="shared" si="6"/>
        <v/>
      </c>
      <c r="V95" s="91" t="str">
        <f t="shared" si="5"/>
        <v/>
      </c>
      <c r="W95" s="153"/>
      <c r="X95" s="153"/>
      <c r="Y95" s="153"/>
      <c r="Z95" s="153"/>
      <c r="AA95" s="153"/>
      <c r="AB95" s="153"/>
      <c r="AC95" s="153"/>
      <c r="AD95" s="153"/>
      <c r="AE95" s="153"/>
      <c r="AF95" s="153"/>
      <c r="AG95" s="153"/>
    </row>
    <row r="96" spans="1:33" ht="15">
      <c r="A96" s="153"/>
      <c r="B96" s="181">
        <v>31</v>
      </c>
      <c r="C96" s="397" t="str">
        <f>IF('INPUT DATA'!Q41="","",'INPUT DATA'!Q41)</f>
        <v/>
      </c>
      <c r="D96" s="398"/>
      <c r="E96" s="398"/>
      <c r="F96" s="399" t="str">
        <f>IF('INPUT DATA'!R41="","",'INPUT DATA'!R41)</f>
        <v/>
      </c>
      <c r="G96" s="400"/>
      <c r="H96" s="148" t="str">
        <f>IF('INPUT DATA'!S41="","",'INPUT DATA'!S41)</f>
        <v/>
      </c>
      <c r="I96" s="137" t="str">
        <f t="shared" ca="1" si="4"/>
        <v/>
      </c>
      <c r="J96" s="176"/>
      <c r="K96" s="177"/>
      <c r="L96" s="178"/>
      <c r="M96" s="178"/>
      <c r="N96" s="178"/>
      <c r="O96" s="178"/>
      <c r="P96" s="179"/>
      <c r="Q96" s="179"/>
      <c r="R96" s="179"/>
      <c r="S96" s="179"/>
      <c r="T96" s="561"/>
      <c r="U96" s="199" t="str">
        <f t="shared" si="6"/>
        <v/>
      </c>
      <c r="V96" s="91" t="str">
        <f t="shared" si="5"/>
        <v/>
      </c>
      <c r="W96" s="153"/>
      <c r="X96" s="153"/>
      <c r="Y96" s="153"/>
      <c r="Z96" s="153"/>
      <c r="AA96" s="153"/>
      <c r="AB96" s="153"/>
      <c r="AC96" s="153"/>
      <c r="AD96" s="153"/>
      <c r="AE96" s="153"/>
      <c r="AF96" s="153"/>
      <c r="AG96" s="153"/>
    </row>
    <row r="97" spans="1:33" ht="15">
      <c r="A97" s="153"/>
      <c r="B97" s="181">
        <v>32</v>
      </c>
      <c r="C97" s="397" t="str">
        <f>IF('INPUT DATA'!Q42="","",'INPUT DATA'!Q42)</f>
        <v/>
      </c>
      <c r="D97" s="398"/>
      <c r="E97" s="398"/>
      <c r="F97" s="399" t="str">
        <f>IF('INPUT DATA'!R42="","",'INPUT DATA'!R42)</f>
        <v/>
      </c>
      <c r="G97" s="400"/>
      <c r="H97" s="148" t="str">
        <f>IF('INPUT DATA'!S42="","",'INPUT DATA'!S42)</f>
        <v/>
      </c>
      <c r="I97" s="137" t="str">
        <f t="shared" ca="1" si="4"/>
        <v/>
      </c>
      <c r="J97" s="176"/>
      <c r="K97" s="177"/>
      <c r="L97" s="178"/>
      <c r="M97" s="178"/>
      <c r="N97" s="178"/>
      <c r="O97" s="178"/>
      <c r="P97" s="179"/>
      <c r="Q97" s="179"/>
      <c r="R97" s="179"/>
      <c r="S97" s="179"/>
      <c r="T97" s="561"/>
      <c r="U97" s="199" t="str">
        <f t="shared" si="6"/>
        <v/>
      </c>
      <c r="V97" s="91" t="str">
        <f t="shared" si="5"/>
        <v/>
      </c>
      <c r="W97" s="153"/>
      <c r="X97" s="153"/>
      <c r="Y97" s="153"/>
      <c r="Z97" s="153"/>
      <c r="AA97" s="153"/>
      <c r="AB97" s="153"/>
      <c r="AC97" s="153"/>
      <c r="AD97" s="153"/>
      <c r="AE97" s="153"/>
      <c r="AF97" s="153"/>
      <c r="AG97" s="153"/>
    </row>
    <row r="98" spans="1:33" ht="15">
      <c r="A98" s="153"/>
      <c r="B98" s="181">
        <v>33</v>
      </c>
      <c r="C98" s="397" t="str">
        <f>IF('INPUT DATA'!Q43="","",'INPUT DATA'!Q43)</f>
        <v/>
      </c>
      <c r="D98" s="398"/>
      <c r="E98" s="398"/>
      <c r="F98" s="399" t="str">
        <f>IF('INPUT DATA'!R43="","",'INPUT DATA'!R43)</f>
        <v/>
      </c>
      <c r="G98" s="400"/>
      <c r="H98" s="148" t="str">
        <f>IF('INPUT DATA'!S43="","",'INPUT DATA'!S43)</f>
        <v/>
      </c>
      <c r="I98" s="137" t="str">
        <f t="shared" ca="1" si="4"/>
        <v/>
      </c>
      <c r="J98" s="176"/>
      <c r="K98" s="177"/>
      <c r="L98" s="178"/>
      <c r="M98" s="178"/>
      <c r="N98" s="178"/>
      <c r="O98" s="178"/>
      <c r="P98" s="179"/>
      <c r="Q98" s="179"/>
      <c r="R98" s="179"/>
      <c r="S98" s="179"/>
      <c r="T98" s="561"/>
      <c r="U98" s="199" t="str">
        <f t="shared" si="6"/>
        <v/>
      </c>
      <c r="V98" s="91" t="str">
        <f t="shared" si="5"/>
        <v/>
      </c>
      <c r="W98" s="153"/>
      <c r="X98" s="153"/>
      <c r="Y98" s="153"/>
      <c r="Z98" s="153"/>
      <c r="AA98" s="153"/>
      <c r="AB98" s="153"/>
      <c r="AC98" s="153"/>
      <c r="AD98" s="153"/>
      <c r="AE98" s="153"/>
      <c r="AF98" s="153"/>
      <c r="AG98" s="153"/>
    </row>
    <row r="99" spans="1:33" ht="15">
      <c r="A99" s="153"/>
      <c r="B99" s="181">
        <v>34</v>
      </c>
      <c r="C99" s="397" t="str">
        <f>IF('INPUT DATA'!Q44="","",'INPUT DATA'!Q44)</f>
        <v/>
      </c>
      <c r="D99" s="398"/>
      <c r="E99" s="398"/>
      <c r="F99" s="399" t="str">
        <f>IF('INPUT DATA'!R44="","",'INPUT DATA'!R44)</f>
        <v/>
      </c>
      <c r="G99" s="400"/>
      <c r="H99" s="148" t="str">
        <f>IF('INPUT DATA'!S44="","",'INPUT DATA'!S44)</f>
        <v/>
      </c>
      <c r="I99" s="137" t="str">
        <f t="shared" ca="1" si="4"/>
        <v/>
      </c>
      <c r="J99" s="176"/>
      <c r="K99" s="177"/>
      <c r="L99" s="178"/>
      <c r="M99" s="178"/>
      <c r="N99" s="178"/>
      <c r="O99" s="178"/>
      <c r="P99" s="179"/>
      <c r="Q99" s="179"/>
      <c r="R99" s="179"/>
      <c r="S99" s="179"/>
      <c r="T99" s="561"/>
      <c r="U99" s="199" t="str">
        <f t="shared" si="6"/>
        <v/>
      </c>
      <c r="V99" s="91" t="str">
        <f t="shared" si="5"/>
        <v/>
      </c>
      <c r="W99" s="153"/>
      <c r="X99" s="153"/>
      <c r="Y99" s="153"/>
      <c r="Z99" s="153"/>
      <c r="AA99" s="153"/>
      <c r="AB99" s="153"/>
      <c r="AC99" s="153"/>
      <c r="AD99" s="153"/>
      <c r="AE99" s="153"/>
      <c r="AF99" s="153"/>
      <c r="AG99" s="153"/>
    </row>
    <row r="100" spans="1:33" ht="15">
      <c r="A100" s="153"/>
      <c r="B100" s="181">
        <v>35</v>
      </c>
      <c r="C100" s="397" t="str">
        <f>IF('INPUT DATA'!Q45="","",'INPUT DATA'!Q45)</f>
        <v/>
      </c>
      <c r="D100" s="398"/>
      <c r="E100" s="398"/>
      <c r="F100" s="399" t="str">
        <f>IF('INPUT DATA'!R45="","",'INPUT DATA'!R45)</f>
        <v/>
      </c>
      <c r="G100" s="400"/>
      <c r="H100" s="148" t="str">
        <f>IF('INPUT DATA'!S45="","",'INPUT DATA'!S45)</f>
        <v/>
      </c>
      <c r="I100" s="137" t="str">
        <f t="shared" ca="1" si="4"/>
        <v/>
      </c>
      <c r="J100" s="176"/>
      <c r="K100" s="177"/>
      <c r="L100" s="178"/>
      <c r="M100" s="178"/>
      <c r="N100" s="178"/>
      <c r="O100" s="178"/>
      <c r="P100" s="179"/>
      <c r="Q100" s="179"/>
      <c r="R100" s="179"/>
      <c r="S100" s="179"/>
      <c r="T100" s="561"/>
      <c r="U100" s="199" t="str">
        <f t="shared" si="6"/>
        <v/>
      </c>
      <c r="V100" s="91" t="str">
        <f t="shared" si="5"/>
        <v/>
      </c>
      <c r="W100" s="153"/>
      <c r="X100" s="153"/>
      <c r="Y100" s="153"/>
      <c r="Z100" s="153"/>
      <c r="AA100" s="153"/>
      <c r="AB100" s="153"/>
      <c r="AC100" s="153"/>
      <c r="AD100" s="153"/>
      <c r="AE100" s="153"/>
      <c r="AF100" s="153"/>
      <c r="AG100" s="153"/>
    </row>
    <row r="101" spans="1:33" ht="15">
      <c r="A101" s="153"/>
      <c r="B101" s="181">
        <v>36</v>
      </c>
      <c r="C101" s="397" t="str">
        <f>IF('INPUT DATA'!Q46="","",'INPUT DATA'!Q46)</f>
        <v/>
      </c>
      <c r="D101" s="398"/>
      <c r="E101" s="398"/>
      <c r="F101" s="399" t="str">
        <f>IF('INPUT DATA'!R46="","",'INPUT DATA'!R46)</f>
        <v/>
      </c>
      <c r="G101" s="400"/>
      <c r="H101" s="148" t="str">
        <f>IF('INPUT DATA'!S46="","",'INPUT DATA'!S46)</f>
        <v/>
      </c>
      <c r="I101" s="137" t="str">
        <f t="shared" ca="1" si="4"/>
        <v/>
      </c>
      <c r="J101" s="176"/>
      <c r="K101" s="177"/>
      <c r="L101" s="178"/>
      <c r="M101" s="178"/>
      <c r="N101" s="178"/>
      <c r="O101" s="178"/>
      <c r="P101" s="179"/>
      <c r="Q101" s="179"/>
      <c r="R101" s="179"/>
      <c r="S101" s="179"/>
      <c r="T101" s="561"/>
      <c r="U101" s="199" t="str">
        <f t="shared" si="6"/>
        <v/>
      </c>
      <c r="V101" s="91" t="str">
        <f t="shared" si="5"/>
        <v/>
      </c>
      <c r="W101" s="153"/>
      <c r="X101" s="153"/>
      <c r="Y101" s="153"/>
      <c r="Z101" s="153"/>
      <c r="AA101" s="153"/>
      <c r="AB101" s="153"/>
      <c r="AC101" s="153"/>
      <c r="AD101" s="153"/>
      <c r="AE101" s="153"/>
      <c r="AF101" s="153"/>
      <c r="AG101" s="153"/>
    </row>
    <row r="102" spans="1:33" ht="15">
      <c r="A102" s="153"/>
      <c r="B102" s="181">
        <v>37</v>
      </c>
      <c r="C102" s="397" t="str">
        <f>IF('INPUT DATA'!Q47="","",'INPUT DATA'!Q47)</f>
        <v/>
      </c>
      <c r="D102" s="398"/>
      <c r="E102" s="398"/>
      <c r="F102" s="399" t="str">
        <f>IF('INPUT DATA'!R47="","",'INPUT DATA'!R47)</f>
        <v/>
      </c>
      <c r="G102" s="400"/>
      <c r="H102" s="148" t="str">
        <f>IF('INPUT DATA'!S47="","",'INPUT DATA'!S47)</f>
        <v/>
      </c>
      <c r="I102" s="137" t="str">
        <f t="shared" ca="1" si="4"/>
        <v/>
      </c>
      <c r="J102" s="176"/>
      <c r="K102" s="177"/>
      <c r="L102" s="178"/>
      <c r="M102" s="178"/>
      <c r="N102" s="178"/>
      <c r="O102" s="178"/>
      <c r="P102" s="179"/>
      <c r="Q102" s="179"/>
      <c r="R102" s="179"/>
      <c r="S102" s="179"/>
      <c r="T102" s="561"/>
      <c r="U102" s="199" t="str">
        <f t="shared" si="6"/>
        <v/>
      </c>
      <c r="V102" s="91" t="str">
        <f t="shared" si="5"/>
        <v/>
      </c>
      <c r="W102" s="153"/>
      <c r="X102" s="153"/>
      <c r="Y102" s="153"/>
      <c r="Z102" s="153"/>
      <c r="AA102" s="153"/>
      <c r="AB102" s="153"/>
      <c r="AC102" s="153"/>
      <c r="AD102" s="153"/>
      <c r="AE102" s="153"/>
      <c r="AF102" s="153"/>
      <c r="AG102" s="153"/>
    </row>
    <row r="103" spans="1:33" ht="15">
      <c r="A103" s="153"/>
      <c r="B103" s="181">
        <v>38</v>
      </c>
      <c r="C103" s="397" t="str">
        <f>IF('INPUT DATA'!Q48="","",'INPUT DATA'!Q48)</f>
        <v/>
      </c>
      <c r="D103" s="398"/>
      <c r="E103" s="398"/>
      <c r="F103" s="399" t="str">
        <f>IF('INPUT DATA'!R48="","",'INPUT DATA'!R48)</f>
        <v/>
      </c>
      <c r="G103" s="400"/>
      <c r="H103" s="148" t="str">
        <f>IF('INPUT DATA'!S48="","",'INPUT DATA'!S48)</f>
        <v/>
      </c>
      <c r="I103" s="137" t="str">
        <f t="shared" ca="1" si="4"/>
        <v/>
      </c>
      <c r="J103" s="176"/>
      <c r="K103" s="177"/>
      <c r="L103" s="178"/>
      <c r="M103" s="178"/>
      <c r="N103" s="178"/>
      <c r="O103" s="178"/>
      <c r="P103" s="179"/>
      <c r="Q103" s="179"/>
      <c r="R103" s="179"/>
      <c r="S103" s="179"/>
      <c r="T103" s="561"/>
      <c r="U103" s="199" t="str">
        <f t="shared" si="6"/>
        <v/>
      </c>
      <c r="V103" s="91" t="str">
        <f t="shared" si="5"/>
        <v/>
      </c>
      <c r="W103" s="153"/>
      <c r="X103" s="153"/>
      <c r="Y103" s="153"/>
      <c r="Z103" s="153"/>
      <c r="AA103" s="153"/>
      <c r="AB103" s="153"/>
      <c r="AC103" s="153"/>
      <c r="AD103" s="153"/>
      <c r="AE103" s="153"/>
      <c r="AF103" s="153"/>
      <c r="AG103" s="153"/>
    </row>
    <row r="104" spans="1:33" ht="15">
      <c r="A104" s="153"/>
      <c r="B104" s="181">
        <v>39</v>
      </c>
      <c r="C104" s="397" t="str">
        <f>IF('INPUT DATA'!Q49="","",'INPUT DATA'!Q49)</f>
        <v/>
      </c>
      <c r="D104" s="398"/>
      <c r="E104" s="398"/>
      <c r="F104" s="399" t="str">
        <f>IF('INPUT DATA'!R49="","",'INPUT DATA'!R49)</f>
        <v/>
      </c>
      <c r="G104" s="400"/>
      <c r="H104" s="148" t="str">
        <f>IF('INPUT DATA'!S49="","",'INPUT DATA'!S49)</f>
        <v/>
      </c>
      <c r="I104" s="137" t="str">
        <f t="shared" ca="1" si="4"/>
        <v/>
      </c>
      <c r="J104" s="176"/>
      <c r="K104" s="177"/>
      <c r="L104" s="178"/>
      <c r="M104" s="178"/>
      <c r="N104" s="178"/>
      <c r="O104" s="178"/>
      <c r="P104" s="179"/>
      <c r="Q104" s="179"/>
      <c r="R104" s="179"/>
      <c r="S104" s="179"/>
      <c r="T104" s="561"/>
      <c r="U104" s="199" t="str">
        <f t="shared" si="6"/>
        <v/>
      </c>
      <c r="V104" s="91" t="str">
        <f t="shared" si="5"/>
        <v/>
      </c>
      <c r="W104" s="153"/>
      <c r="X104" s="153"/>
      <c r="Y104" s="153"/>
      <c r="Z104" s="153"/>
      <c r="AA104" s="153"/>
      <c r="AB104" s="153"/>
      <c r="AC104" s="153"/>
      <c r="AD104" s="153"/>
      <c r="AE104" s="153"/>
      <c r="AF104" s="153"/>
      <c r="AG104" s="153"/>
    </row>
    <row r="105" spans="1:33" ht="15">
      <c r="A105" s="153"/>
      <c r="B105" s="181">
        <v>40</v>
      </c>
      <c r="C105" s="397" t="str">
        <f>IF('INPUT DATA'!Q50="","",'INPUT DATA'!Q50)</f>
        <v/>
      </c>
      <c r="D105" s="398"/>
      <c r="E105" s="398"/>
      <c r="F105" s="399" t="str">
        <f>IF('INPUT DATA'!R50="","",'INPUT DATA'!R50)</f>
        <v/>
      </c>
      <c r="G105" s="400"/>
      <c r="H105" s="148" t="str">
        <f>IF('INPUT DATA'!S50="","",'INPUT DATA'!S50)</f>
        <v/>
      </c>
      <c r="I105" s="137" t="str">
        <f t="shared" ca="1" si="4"/>
        <v/>
      </c>
      <c r="J105" s="176"/>
      <c r="K105" s="177"/>
      <c r="L105" s="178"/>
      <c r="M105" s="178"/>
      <c r="N105" s="178"/>
      <c r="O105" s="178"/>
      <c r="P105" s="179"/>
      <c r="Q105" s="179"/>
      <c r="R105" s="179"/>
      <c r="S105" s="179"/>
      <c r="T105" s="561"/>
      <c r="U105" s="199" t="str">
        <f t="shared" si="6"/>
        <v/>
      </c>
      <c r="V105" s="91" t="str">
        <f t="shared" si="5"/>
        <v/>
      </c>
      <c r="W105" s="153"/>
      <c r="X105" s="153"/>
      <c r="Y105" s="153"/>
      <c r="Z105" s="153"/>
      <c r="AA105" s="153"/>
      <c r="AB105" s="153"/>
      <c r="AC105" s="153"/>
      <c r="AD105" s="153"/>
      <c r="AE105" s="153"/>
      <c r="AF105" s="153"/>
      <c r="AG105" s="153"/>
    </row>
    <row r="106" spans="1:33" ht="15">
      <c r="A106" s="153"/>
      <c r="B106" s="181">
        <v>41</v>
      </c>
      <c r="C106" s="397" t="str">
        <f>IF('INPUT DATA'!Q51="","",'INPUT DATA'!Q51)</f>
        <v/>
      </c>
      <c r="D106" s="398"/>
      <c r="E106" s="398"/>
      <c r="F106" s="399" t="str">
        <f>IF('INPUT DATA'!R51="","",'INPUT DATA'!R51)</f>
        <v/>
      </c>
      <c r="G106" s="400"/>
      <c r="H106" s="148" t="str">
        <f>IF('INPUT DATA'!S51="","",'INPUT DATA'!S51)</f>
        <v/>
      </c>
      <c r="I106" s="137" t="str">
        <f t="shared" ca="1" si="4"/>
        <v/>
      </c>
      <c r="J106" s="176"/>
      <c r="K106" s="177"/>
      <c r="L106" s="178"/>
      <c r="M106" s="178"/>
      <c r="N106" s="178"/>
      <c r="O106" s="178"/>
      <c r="P106" s="179"/>
      <c r="Q106" s="179"/>
      <c r="R106" s="179"/>
      <c r="S106" s="179"/>
      <c r="T106" s="561"/>
      <c r="U106" s="199" t="str">
        <f t="shared" si="6"/>
        <v/>
      </c>
      <c r="V106" s="91" t="str">
        <f t="shared" si="5"/>
        <v/>
      </c>
      <c r="W106" s="153"/>
      <c r="X106" s="153"/>
      <c r="Y106" s="153"/>
      <c r="Z106" s="153"/>
      <c r="AA106" s="153"/>
      <c r="AB106" s="153"/>
      <c r="AC106" s="153"/>
      <c r="AD106" s="153"/>
      <c r="AE106" s="153"/>
      <c r="AF106" s="153"/>
      <c r="AG106" s="153"/>
    </row>
    <row r="107" spans="1:33" ht="15">
      <c r="A107" s="153"/>
      <c r="B107" s="181">
        <v>42</v>
      </c>
      <c r="C107" s="397" t="str">
        <f>IF('INPUT DATA'!Q52="","",'INPUT DATA'!Q52)</f>
        <v/>
      </c>
      <c r="D107" s="398"/>
      <c r="E107" s="398"/>
      <c r="F107" s="399" t="str">
        <f>IF('INPUT DATA'!R52="","",'INPUT DATA'!R52)</f>
        <v/>
      </c>
      <c r="G107" s="400"/>
      <c r="H107" s="148" t="str">
        <f>IF('INPUT DATA'!S52="","",'INPUT DATA'!S52)</f>
        <v/>
      </c>
      <c r="I107" s="137" t="str">
        <f t="shared" ca="1" si="4"/>
        <v/>
      </c>
      <c r="J107" s="176"/>
      <c r="K107" s="177"/>
      <c r="L107" s="178"/>
      <c r="M107" s="178"/>
      <c r="N107" s="178"/>
      <c r="O107" s="178"/>
      <c r="P107" s="179"/>
      <c r="Q107" s="179"/>
      <c r="R107" s="179"/>
      <c r="S107" s="179"/>
      <c r="T107" s="561"/>
      <c r="U107" s="199" t="str">
        <f t="shared" si="6"/>
        <v/>
      </c>
      <c r="V107" s="91" t="str">
        <f t="shared" si="5"/>
        <v/>
      </c>
      <c r="W107" s="153"/>
      <c r="X107" s="153"/>
      <c r="Y107" s="153"/>
      <c r="Z107" s="153"/>
      <c r="AA107" s="153"/>
      <c r="AB107" s="153"/>
      <c r="AC107" s="153"/>
      <c r="AD107" s="153"/>
      <c r="AE107" s="153"/>
      <c r="AF107" s="153"/>
      <c r="AG107" s="153"/>
    </row>
    <row r="108" spans="1:33" ht="15">
      <c r="A108" s="153"/>
      <c r="B108" s="181">
        <v>43</v>
      </c>
      <c r="C108" s="397" t="str">
        <f>IF('INPUT DATA'!Q53="","",'INPUT DATA'!Q53)</f>
        <v/>
      </c>
      <c r="D108" s="398"/>
      <c r="E108" s="398"/>
      <c r="F108" s="399" t="str">
        <f>IF('INPUT DATA'!R53="","",'INPUT DATA'!R53)</f>
        <v/>
      </c>
      <c r="G108" s="400"/>
      <c r="H108" s="148" t="str">
        <f>IF('INPUT DATA'!S53="","",'INPUT DATA'!S53)</f>
        <v/>
      </c>
      <c r="I108" s="137" t="str">
        <f t="shared" ca="1" si="4"/>
        <v/>
      </c>
      <c r="J108" s="176"/>
      <c r="K108" s="177"/>
      <c r="L108" s="178"/>
      <c r="M108" s="178"/>
      <c r="N108" s="178"/>
      <c r="O108" s="178"/>
      <c r="P108" s="179"/>
      <c r="Q108" s="179"/>
      <c r="R108" s="179"/>
      <c r="S108" s="179"/>
      <c r="T108" s="561"/>
      <c r="U108" s="199" t="str">
        <f t="shared" si="6"/>
        <v/>
      </c>
      <c r="V108" s="91" t="str">
        <f t="shared" si="5"/>
        <v/>
      </c>
      <c r="W108" s="153"/>
      <c r="X108" s="153"/>
      <c r="Y108" s="153"/>
      <c r="Z108" s="153"/>
      <c r="AA108" s="153"/>
      <c r="AB108" s="153"/>
      <c r="AC108" s="153"/>
      <c r="AD108" s="153"/>
      <c r="AE108" s="153"/>
      <c r="AF108" s="153"/>
      <c r="AG108" s="153"/>
    </row>
    <row r="109" spans="1:33" ht="15">
      <c r="A109" s="153"/>
      <c r="B109" s="181">
        <v>44</v>
      </c>
      <c r="C109" s="397" t="str">
        <f>IF('INPUT DATA'!Q54="","",'INPUT DATA'!Q54)</f>
        <v/>
      </c>
      <c r="D109" s="398"/>
      <c r="E109" s="398"/>
      <c r="F109" s="399" t="str">
        <f>IF('INPUT DATA'!R54="","",'INPUT DATA'!R54)</f>
        <v/>
      </c>
      <c r="G109" s="400"/>
      <c r="H109" s="148" t="str">
        <f>IF('INPUT DATA'!S54="","",'INPUT DATA'!S54)</f>
        <v/>
      </c>
      <c r="I109" s="137" t="str">
        <f t="shared" ca="1" si="4"/>
        <v/>
      </c>
      <c r="J109" s="176"/>
      <c r="K109" s="177"/>
      <c r="L109" s="178"/>
      <c r="M109" s="178"/>
      <c r="N109" s="178"/>
      <c r="O109" s="178"/>
      <c r="P109" s="179"/>
      <c r="Q109" s="179"/>
      <c r="R109" s="179"/>
      <c r="S109" s="179"/>
      <c r="T109" s="561"/>
      <c r="U109" s="199" t="str">
        <f t="shared" si="6"/>
        <v/>
      </c>
      <c r="V109" s="91" t="str">
        <f t="shared" si="5"/>
        <v/>
      </c>
      <c r="W109" s="153"/>
      <c r="X109" s="153"/>
      <c r="Y109" s="153"/>
      <c r="Z109" s="153"/>
      <c r="AA109" s="153"/>
      <c r="AB109" s="153"/>
      <c r="AC109" s="153"/>
      <c r="AD109" s="153"/>
      <c r="AE109" s="153"/>
      <c r="AF109" s="153"/>
      <c r="AG109" s="153"/>
    </row>
    <row r="110" spans="1:33" ht="15">
      <c r="A110" s="153"/>
      <c r="B110" s="181">
        <v>45</v>
      </c>
      <c r="C110" s="397" t="str">
        <f>IF('INPUT DATA'!Q55="","",'INPUT DATA'!Q55)</f>
        <v/>
      </c>
      <c r="D110" s="398"/>
      <c r="E110" s="398"/>
      <c r="F110" s="399" t="str">
        <f>IF('INPUT DATA'!R55="","",'INPUT DATA'!R55)</f>
        <v/>
      </c>
      <c r="G110" s="400"/>
      <c r="H110" s="148" t="str">
        <f>IF('INPUT DATA'!S55="","",'INPUT DATA'!S55)</f>
        <v/>
      </c>
      <c r="I110" s="137" t="str">
        <f t="shared" ca="1" si="4"/>
        <v/>
      </c>
      <c r="J110" s="176"/>
      <c r="K110" s="182"/>
      <c r="L110" s="183"/>
      <c r="M110" s="183"/>
      <c r="N110" s="183"/>
      <c r="O110" s="183"/>
      <c r="P110" s="184"/>
      <c r="Q110" s="184"/>
      <c r="R110" s="184"/>
      <c r="S110" s="184"/>
      <c r="T110" s="561"/>
      <c r="U110" s="199" t="str">
        <f t="shared" si="6"/>
        <v/>
      </c>
      <c r="V110" s="91" t="str">
        <f t="shared" si="5"/>
        <v/>
      </c>
      <c r="W110" s="153"/>
      <c r="X110" s="153"/>
      <c r="Y110" s="153"/>
      <c r="Z110" s="153"/>
      <c r="AA110" s="153"/>
      <c r="AB110" s="153"/>
      <c r="AC110" s="153"/>
      <c r="AD110" s="153"/>
      <c r="AE110" s="153"/>
      <c r="AF110" s="153"/>
      <c r="AG110" s="153"/>
    </row>
    <row r="111" spans="1:33" ht="15">
      <c r="A111" s="153"/>
      <c r="B111" s="181">
        <v>46</v>
      </c>
      <c r="C111" s="397" t="str">
        <f>IF('INPUT DATA'!Q56="","",'INPUT DATA'!Q56)</f>
        <v/>
      </c>
      <c r="D111" s="398"/>
      <c r="E111" s="398"/>
      <c r="F111" s="399" t="str">
        <f>IF('INPUT DATA'!R56="","",'INPUT DATA'!R56)</f>
        <v/>
      </c>
      <c r="G111" s="400"/>
      <c r="H111" s="148" t="str">
        <f>IF('INPUT DATA'!S56="","",'INPUT DATA'!S56)</f>
        <v/>
      </c>
      <c r="I111" s="137" t="str">
        <f t="shared" ca="1" si="4"/>
        <v/>
      </c>
      <c r="J111" s="176"/>
      <c r="K111" s="177"/>
      <c r="L111" s="178"/>
      <c r="M111" s="178"/>
      <c r="N111" s="178"/>
      <c r="O111" s="178"/>
      <c r="P111" s="179"/>
      <c r="Q111" s="179"/>
      <c r="R111" s="179"/>
      <c r="S111" s="179"/>
      <c r="T111" s="561"/>
      <c r="U111" s="199" t="str">
        <f t="shared" si="6"/>
        <v/>
      </c>
      <c r="V111" s="91" t="str">
        <f t="shared" si="5"/>
        <v/>
      </c>
      <c r="W111" s="153"/>
      <c r="X111" s="153"/>
      <c r="Y111" s="153"/>
      <c r="Z111" s="153"/>
      <c r="AA111" s="153"/>
      <c r="AB111" s="153"/>
      <c r="AC111" s="153"/>
      <c r="AD111" s="153"/>
      <c r="AE111" s="153"/>
      <c r="AF111" s="153"/>
      <c r="AG111" s="153"/>
    </row>
    <row r="112" spans="1:33" ht="15">
      <c r="A112" s="153"/>
      <c r="B112" s="181">
        <v>47</v>
      </c>
      <c r="C112" s="397" t="str">
        <f>IF('INPUT DATA'!Q57="","",'INPUT DATA'!Q57)</f>
        <v/>
      </c>
      <c r="D112" s="398"/>
      <c r="E112" s="398"/>
      <c r="F112" s="399" t="str">
        <f>IF('INPUT DATA'!R57="","",'INPUT DATA'!R57)</f>
        <v/>
      </c>
      <c r="G112" s="400"/>
      <c r="H112" s="148" t="str">
        <f>IF('INPUT DATA'!S57="","",'INPUT DATA'!S57)</f>
        <v/>
      </c>
      <c r="I112" s="137" t="str">
        <f t="shared" ca="1" si="4"/>
        <v/>
      </c>
      <c r="J112" s="176"/>
      <c r="K112" s="177"/>
      <c r="L112" s="178"/>
      <c r="M112" s="178"/>
      <c r="N112" s="178"/>
      <c r="O112" s="178"/>
      <c r="P112" s="179"/>
      <c r="Q112" s="179"/>
      <c r="R112" s="179"/>
      <c r="S112" s="179"/>
      <c r="T112" s="561"/>
      <c r="U112" s="199" t="str">
        <f t="shared" si="6"/>
        <v/>
      </c>
      <c r="V112" s="91" t="str">
        <f t="shared" si="5"/>
        <v/>
      </c>
      <c r="W112" s="153"/>
      <c r="X112" s="153"/>
      <c r="Y112" s="153"/>
      <c r="Z112" s="153"/>
      <c r="AA112" s="153"/>
      <c r="AB112" s="153"/>
      <c r="AC112" s="153"/>
      <c r="AD112" s="153"/>
      <c r="AE112" s="153"/>
      <c r="AF112" s="153"/>
      <c r="AG112" s="153"/>
    </row>
    <row r="113" spans="1:33" ht="15">
      <c r="A113" s="153"/>
      <c r="B113" s="181">
        <v>48</v>
      </c>
      <c r="C113" s="397" t="str">
        <f>IF('INPUT DATA'!Q58="","",'INPUT DATA'!Q58)</f>
        <v/>
      </c>
      <c r="D113" s="398"/>
      <c r="E113" s="398"/>
      <c r="F113" s="399" t="str">
        <f>IF('INPUT DATA'!R58="","",'INPUT DATA'!R58)</f>
        <v/>
      </c>
      <c r="G113" s="400"/>
      <c r="H113" s="148" t="str">
        <f>IF('INPUT DATA'!S58="","",'INPUT DATA'!S58)</f>
        <v/>
      </c>
      <c r="I113" s="137" t="str">
        <f t="shared" ca="1" si="4"/>
        <v/>
      </c>
      <c r="J113" s="176"/>
      <c r="K113" s="177"/>
      <c r="L113" s="178"/>
      <c r="M113" s="178"/>
      <c r="N113" s="178"/>
      <c r="O113" s="178"/>
      <c r="P113" s="179"/>
      <c r="Q113" s="179"/>
      <c r="R113" s="179"/>
      <c r="S113" s="179"/>
      <c r="T113" s="561"/>
      <c r="U113" s="199" t="str">
        <f t="shared" si="6"/>
        <v/>
      </c>
      <c r="V113" s="91" t="str">
        <f t="shared" si="5"/>
        <v/>
      </c>
      <c r="W113" s="153"/>
      <c r="X113" s="153"/>
      <c r="Y113" s="153"/>
      <c r="Z113" s="153"/>
      <c r="AA113" s="153"/>
      <c r="AB113" s="153"/>
      <c r="AC113" s="153"/>
      <c r="AD113" s="153"/>
      <c r="AE113" s="153"/>
      <c r="AF113" s="153"/>
      <c r="AG113" s="153"/>
    </row>
    <row r="114" spans="1:33" ht="15">
      <c r="A114" s="153"/>
      <c r="B114" s="181">
        <v>49</v>
      </c>
      <c r="C114" s="397" t="str">
        <f>IF('INPUT DATA'!Q59="","",'INPUT DATA'!Q59)</f>
        <v/>
      </c>
      <c r="D114" s="398"/>
      <c r="E114" s="398"/>
      <c r="F114" s="399" t="str">
        <f>IF('INPUT DATA'!R59="","",'INPUT DATA'!R59)</f>
        <v/>
      </c>
      <c r="G114" s="400"/>
      <c r="H114" s="148" t="str">
        <f>IF('INPUT DATA'!S59="","",'INPUT DATA'!S59)</f>
        <v/>
      </c>
      <c r="I114" s="137" t="str">
        <f t="shared" ca="1" si="4"/>
        <v/>
      </c>
      <c r="J114" s="176"/>
      <c r="K114" s="177"/>
      <c r="L114" s="178"/>
      <c r="M114" s="178"/>
      <c r="N114" s="178"/>
      <c r="O114" s="178"/>
      <c r="P114" s="179"/>
      <c r="Q114" s="179"/>
      <c r="R114" s="179"/>
      <c r="S114" s="179"/>
      <c r="T114" s="561"/>
      <c r="U114" s="199" t="str">
        <f t="shared" si="6"/>
        <v/>
      </c>
      <c r="V114" s="91" t="str">
        <f t="shared" si="5"/>
        <v/>
      </c>
      <c r="W114" s="153"/>
      <c r="X114" s="153"/>
      <c r="Y114" s="153"/>
      <c r="Z114" s="153"/>
      <c r="AA114" s="153"/>
      <c r="AB114" s="153"/>
      <c r="AC114" s="153"/>
      <c r="AD114" s="153"/>
      <c r="AE114" s="153"/>
      <c r="AF114" s="153"/>
      <c r="AG114" s="153"/>
    </row>
    <row r="115" spans="1:33" ht="15.6" thickBot="1">
      <c r="A115" s="153"/>
      <c r="B115" s="185">
        <v>50</v>
      </c>
      <c r="C115" s="401" t="str">
        <f>IF('INPUT DATA'!Q60="","",'INPUT DATA'!Q60)</f>
        <v/>
      </c>
      <c r="D115" s="406"/>
      <c r="E115" s="406"/>
      <c r="F115" s="407" t="str">
        <f>IF('INPUT DATA'!R60="","",'INPUT DATA'!R60)</f>
        <v/>
      </c>
      <c r="G115" s="408"/>
      <c r="H115" s="149" t="str">
        <f>IF('INPUT DATA'!S60="","",'INPUT DATA'!S60)</f>
        <v/>
      </c>
      <c r="I115" s="138" t="str">
        <f t="shared" ca="1" si="4"/>
        <v/>
      </c>
      <c r="J115" s="186"/>
      <c r="K115" s="187"/>
      <c r="L115" s="188"/>
      <c r="M115" s="188"/>
      <c r="N115" s="188"/>
      <c r="O115" s="188"/>
      <c r="P115" s="189"/>
      <c r="Q115" s="189"/>
      <c r="R115" s="189"/>
      <c r="S115" s="189"/>
      <c r="T115" s="562"/>
      <c r="U115" s="200" t="str">
        <f t="shared" si="6"/>
        <v/>
      </c>
      <c r="V115" s="97" t="str">
        <f t="shared" si="5"/>
        <v/>
      </c>
      <c r="W115" s="153"/>
      <c r="X115" s="153"/>
      <c r="Y115" s="153"/>
      <c r="Z115" s="153"/>
      <c r="AA115" s="153"/>
      <c r="AB115" s="153"/>
      <c r="AC115" s="153"/>
      <c r="AD115" s="153"/>
      <c r="AE115" s="153"/>
      <c r="AF115" s="153"/>
      <c r="AG115" s="153"/>
    </row>
    <row r="116" spans="1:33" ht="13.2">
      <c r="A116" s="152"/>
      <c r="B116" s="152"/>
      <c r="C116" s="150"/>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row>
    <row r="117" spans="1:33" ht="13.2">
      <c r="A117" s="152"/>
      <c r="B117" s="152"/>
      <c r="C117" s="150"/>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row>
    <row r="118" spans="1:33" ht="13.2">
      <c r="A118" s="152"/>
      <c r="B118" s="152"/>
      <c r="C118" s="150"/>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row>
    <row r="119" spans="1:33" ht="13.2">
      <c r="A119" s="152"/>
      <c r="B119" s="152"/>
      <c r="C119" s="150"/>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row>
    <row r="120" spans="1:33" ht="13.2">
      <c r="A120" s="152"/>
      <c r="B120" s="152"/>
      <c r="C120" s="150"/>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row>
    <row r="121" spans="1:33" ht="13.2">
      <c r="A121" s="152"/>
      <c r="B121" s="152"/>
      <c r="C121" s="150"/>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row>
    <row r="122" spans="1:33" ht="13.2">
      <c r="A122" s="152"/>
      <c r="B122" s="152"/>
      <c r="C122" s="150"/>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row>
    <row r="123" spans="1:33" ht="13.2">
      <c r="A123" s="152"/>
      <c r="B123" s="152"/>
      <c r="C123" s="150"/>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row>
    <row r="124" spans="1:33" ht="13.2">
      <c r="A124" s="152"/>
      <c r="B124" s="152"/>
      <c r="C124" s="150"/>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row>
    <row r="125" spans="1:33" ht="13.2">
      <c r="A125" s="152"/>
      <c r="B125" s="152"/>
      <c r="C125" s="150"/>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row>
    <row r="126" spans="1:33" ht="13.2">
      <c r="A126" s="152"/>
      <c r="B126" s="152"/>
      <c r="C126" s="150"/>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row>
  </sheetData>
  <sheetProtection algorithmName="SHA-512" hashValue="b7duvzB2FUBJ54Ic3ZWdWiq74pdP/3Q8/tXBLQBzA5IdyeCSiE8SIRMS/BZ71fUB6VeeP7AMtThTXPJjR0lhJg==" saltValue="l0piK1KJzHZ+jV5YoqDEng==" spinCount="100000" sheet="1" objects="1" scenarios="1" formatCells="0" formatColumns="0" formatRows="0"/>
  <mergeCells count="229">
    <mergeCell ref="B8:V8"/>
    <mergeCell ref="B9:E10"/>
    <mergeCell ref="G9:K9"/>
    <mergeCell ref="L9:M10"/>
    <mergeCell ref="N9:V10"/>
    <mergeCell ref="G10:K10"/>
    <mergeCell ref="A1:W4"/>
    <mergeCell ref="E5:G5"/>
    <mergeCell ref="K5:P5"/>
    <mergeCell ref="E6:G6"/>
    <mergeCell ref="K6:P6"/>
    <mergeCell ref="U6:V6"/>
    <mergeCell ref="B14:V14"/>
    <mergeCell ref="C15:E15"/>
    <mergeCell ref="F15:G15"/>
    <mergeCell ref="C16:E16"/>
    <mergeCell ref="F16:G16"/>
    <mergeCell ref="C17:E17"/>
    <mergeCell ref="F17:G17"/>
    <mergeCell ref="U11:U13"/>
    <mergeCell ref="V11:V13"/>
    <mergeCell ref="K12:K13"/>
    <mergeCell ref="L12:L13"/>
    <mergeCell ref="M12:M13"/>
    <mergeCell ref="N12:N13"/>
    <mergeCell ref="O12:O13"/>
    <mergeCell ref="P12:P13"/>
    <mergeCell ref="Q12:Q13"/>
    <mergeCell ref="R12:T12"/>
    <mergeCell ref="B11:E13"/>
    <mergeCell ref="F11:G13"/>
    <mergeCell ref="H11:H13"/>
    <mergeCell ref="I11:I13"/>
    <mergeCell ref="J11:J13"/>
    <mergeCell ref="K11:T11"/>
    <mergeCell ref="C21:E21"/>
    <mergeCell ref="F21:G21"/>
    <mergeCell ref="C22:E22"/>
    <mergeCell ref="F22:G22"/>
    <mergeCell ref="C23:E23"/>
    <mergeCell ref="F23:G23"/>
    <mergeCell ref="C18:E18"/>
    <mergeCell ref="F18:G18"/>
    <mergeCell ref="C19:E19"/>
    <mergeCell ref="F19:G19"/>
    <mergeCell ref="C20:E20"/>
    <mergeCell ref="F20:G20"/>
    <mergeCell ref="C27:E27"/>
    <mergeCell ref="F27:G27"/>
    <mergeCell ref="C28:E28"/>
    <mergeCell ref="F28:G28"/>
    <mergeCell ref="C29:E29"/>
    <mergeCell ref="F29:G29"/>
    <mergeCell ref="C24:E24"/>
    <mergeCell ref="F24:G24"/>
    <mergeCell ref="C25:E25"/>
    <mergeCell ref="F25:G25"/>
    <mergeCell ref="C26:E26"/>
    <mergeCell ref="F26:G26"/>
    <mergeCell ref="C33:E33"/>
    <mergeCell ref="F33:G33"/>
    <mergeCell ref="C34:E34"/>
    <mergeCell ref="F34:G34"/>
    <mergeCell ref="C35:E35"/>
    <mergeCell ref="F35:G35"/>
    <mergeCell ref="C30:E30"/>
    <mergeCell ref="F30:G30"/>
    <mergeCell ref="C31:E31"/>
    <mergeCell ref="F31:G31"/>
    <mergeCell ref="C32:E32"/>
    <mergeCell ref="F32:G32"/>
    <mergeCell ref="C39:E39"/>
    <mergeCell ref="F39:G39"/>
    <mergeCell ref="C40:E40"/>
    <mergeCell ref="F40:G40"/>
    <mergeCell ref="C41:E41"/>
    <mergeCell ref="F41:G41"/>
    <mergeCell ref="C36:E36"/>
    <mergeCell ref="F36:G36"/>
    <mergeCell ref="C37:E37"/>
    <mergeCell ref="F37:G37"/>
    <mergeCell ref="C38:E38"/>
    <mergeCell ref="F38:G38"/>
    <mergeCell ref="C45:E45"/>
    <mergeCell ref="F45:G45"/>
    <mergeCell ref="C46:E46"/>
    <mergeCell ref="F46:G46"/>
    <mergeCell ref="C47:E47"/>
    <mergeCell ref="F47:G47"/>
    <mergeCell ref="C42:E42"/>
    <mergeCell ref="F42:G42"/>
    <mergeCell ref="C43:E43"/>
    <mergeCell ref="F43:G43"/>
    <mergeCell ref="C44:E44"/>
    <mergeCell ref="F44:G44"/>
    <mergeCell ref="C51:E51"/>
    <mergeCell ref="F51:G51"/>
    <mergeCell ref="C52:E52"/>
    <mergeCell ref="F52:G52"/>
    <mergeCell ref="C53:E53"/>
    <mergeCell ref="F53:G53"/>
    <mergeCell ref="C48:E48"/>
    <mergeCell ref="F48:G48"/>
    <mergeCell ref="C49:E49"/>
    <mergeCell ref="F49:G49"/>
    <mergeCell ref="C50:E50"/>
    <mergeCell ref="F50:G50"/>
    <mergeCell ref="C57:E57"/>
    <mergeCell ref="F57:G57"/>
    <mergeCell ref="C58:E58"/>
    <mergeCell ref="F58:G58"/>
    <mergeCell ref="C59:E59"/>
    <mergeCell ref="F59:G59"/>
    <mergeCell ref="C54:E54"/>
    <mergeCell ref="F54:G54"/>
    <mergeCell ref="C55:E55"/>
    <mergeCell ref="F55:G55"/>
    <mergeCell ref="C56:E56"/>
    <mergeCell ref="F56:G56"/>
    <mergeCell ref="C63:E63"/>
    <mergeCell ref="F63:G63"/>
    <mergeCell ref="C64:E64"/>
    <mergeCell ref="F64:G64"/>
    <mergeCell ref="C66:E66"/>
    <mergeCell ref="F66:G66"/>
    <mergeCell ref="C60:E60"/>
    <mergeCell ref="F60:G60"/>
    <mergeCell ref="C61:E61"/>
    <mergeCell ref="F61:G61"/>
    <mergeCell ref="C62:E62"/>
    <mergeCell ref="F62:G62"/>
    <mergeCell ref="C70:E70"/>
    <mergeCell ref="F70:G70"/>
    <mergeCell ref="C71:E71"/>
    <mergeCell ref="F71:G71"/>
    <mergeCell ref="C72:E72"/>
    <mergeCell ref="F72:G72"/>
    <mergeCell ref="C67:E67"/>
    <mergeCell ref="F67:G67"/>
    <mergeCell ref="C68:E68"/>
    <mergeCell ref="F68:G68"/>
    <mergeCell ref="C69:E69"/>
    <mergeCell ref="F69:G69"/>
    <mergeCell ref="C76:E76"/>
    <mergeCell ref="F76:G76"/>
    <mergeCell ref="C77:E77"/>
    <mergeCell ref="F77:G77"/>
    <mergeCell ref="C78:E78"/>
    <mergeCell ref="F78:G78"/>
    <mergeCell ref="C73:E73"/>
    <mergeCell ref="F73:G73"/>
    <mergeCell ref="C74:E74"/>
    <mergeCell ref="F74:G74"/>
    <mergeCell ref="C75:E75"/>
    <mergeCell ref="F75:G75"/>
    <mergeCell ref="C82:E82"/>
    <mergeCell ref="F82:G82"/>
    <mergeCell ref="C83:E83"/>
    <mergeCell ref="F83:G83"/>
    <mergeCell ref="C84:E84"/>
    <mergeCell ref="F84:G84"/>
    <mergeCell ref="C79:E79"/>
    <mergeCell ref="F79:G79"/>
    <mergeCell ref="C80:E80"/>
    <mergeCell ref="F80:G80"/>
    <mergeCell ref="C81:E81"/>
    <mergeCell ref="F81:G81"/>
    <mergeCell ref="C88:E88"/>
    <mergeCell ref="F88:G88"/>
    <mergeCell ref="C89:E89"/>
    <mergeCell ref="F89:G89"/>
    <mergeCell ref="C90:E90"/>
    <mergeCell ref="F90:G90"/>
    <mergeCell ref="C85:E85"/>
    <mergeCell ref="F85:G85"/>
    <mergeCell ref="C86:E86"/>
    <mergeCell ref="F86:G86"/>
    <mergeCell ref="C87:E87"/>
    <mergeCell ref="F87:G87"/>
    <mergeCell ref="C94:E94"/>
    <mergeCell ref="F94:G94"/>
    <mergeCell ref="C95:E95"/>
    <mergeCell ref="F95:G95"/>
    <mergeCell ref="C96:E96"/>
    <mergeCell ref="F96:G96"/>
    <mergeCell ref="C91:E91"/>
    <mergeCell ref="F91:G91"/>
    <mergeCell ref="C92:E92"/>
    <mergeCell ref="F92:G92"/>
    <mergeCell ref="C93:E93"/>
    <mergeCell ref="F93:G93"/>
    <mergeCell ref="C100:E100"/>
    <mergeCell ref="F100:G100"/>
    <mergeCell ref="C101:E101"/>
    <mergeCell ref="F101:G101"/>
    <mergeCell ref="C102:E102"/>
    <mergeCell ref="F102:G102"/>
    <mergeCell ref="C97:E97"/>
    <mergeCell ref="F97:G97"/>
    <mergeCell ref="C98:E98"/>
    <mergeCell ref="F98:G98"/>
    <mergeCell ref="C99:E99"/>
    <mergeCell ref="F99:G99"/>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s>
  <dataValidations count="1">
    <dataValidation type="list" allowBlank="1" showInputMessage="1" showErrorMessage="1" sqref="J15:J64 J66:J115" xr:uid="{F8CB0F6C-6EE6-4A7B-AF81-020374055359}">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2"/>
  <sheetViews>
    <sheetView zoomScale="85" zoomScaleNormal="85" zoomScalePageLayoutView="55" workbookViewId="0">
      <selection activeCell="J42" sqref="J42:K43"/>
    </sheetView>
  </sheetViews>
  <sheetFormatPr defaultColWidth="12.6640625" defaultRowHeight="15.75" customHeight="1"/>
  <cols>
    <col min="1" max="1" width="3.88671875" style="203" customWidth="1"/>
    <col min="2" max="2" width="10.88671875" style="203" customWidth="1"/>
    <col min="3" max="3" width="6.33203125" style="203" customWidth="1"/>
    <col min="4" max="4" width="1.88671875" style="203" customWidth="1"/>
    <col min="5" max="5" width="18.33203125" style="203" customWidth="1"/>
    <col min="6" max="6" width="9.21875" style="203" customWidth="1"/>
    <col min="7" max="7" width="8.44140625" style="203" customWidth="1"/>
    <col min="8" max="9" width="9.109375" style="203" customWidth="1"/>
    <col min="10" max="10" width="10" style="203" customWidth="1"/>
    <col min="11" max="11" width="15.109375" style="203" customWidth="1"/>
    <col min="12" max="16" width="3.88671875" style="203" customWidth="1"/>
    <col min="17" max="17" width="14.77734375" style="203" customWidth="1"/>
    <col min="18" max="28" width="6.44140625" style="203" customWidth="1"/>
    <col min="29" max="29" width="12.6640625" style="203"/>
    <col min="30" max="30" width="3.88671875" style="203" customWidth="1"/>
    <col min="31" max="16384" width="12.6640625" style="203"/>
  </cols>
  <sheetData>
    <row r="1" spans="1:32" ht="15">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row>
    <row r="2" spans="1:32" ht="15">
      <c r="A2" s="204"/>
      <c r="B2" s="205"/>
      <c r="C2" s="205"/>
      <c r="D2" s="205"/>
      <c r="E2" s="205"/>
      <c r="F2" s="205"/>
      <c r="G2" s="205"/>
      <c r="H2" s="205"/>
      <c r="I2" s="205"/>
      <c r="J2" s="205"/>
      <c r="K2" s="205"/>
      <c r="L2" s="206"/>
      <c r="M2" s="207"/>
      <c r="N2" s="207"/>
      <c r="O2" s="202"/>
      <c r="P2" s="204"/>
      <c r="Q2" s="205"/>
      <c r="R2" s="205"/>
      <c r="S2" s="205"/>
      <c r="T2" s="205"/>
      <c r="U2" s="205"/>
      <c r="V2" s="205"/>
      <c r="W2" s="205"/>
      <c r="X2" s="205"/>
      <c r="Y2" s="205"/>
      <c r="Z2" s="205"/>
      <c r="AA2" s="205"/>
      <c r="AB2" s="205"/>
      <c r="AC2" s="205"/>
      <c r="AD2" s="206"/>
      <c r="AE2" s="202"/>
      <c r="AF2" s="202"/>
    </row>
    <row r="3" spans="1:32" ht="15.6">
      <c r="A3" s="208"/>
      <c r="B3" s="209"/>
      <c r="C3" s="209"/>
      <c r="D3" s="209"/>
      <c r="E3" s="209"/>
      <c r="F3" s="209"/>
      <c r="G3" s="209"/>
      <c r="H3" s="209"/>
      <c r="I3" s="209"/>
      <c r="J3" s="209"/>
      <c r="K3" s="209"/>
      <c r="L3" s="210"/>
      <c r="M3" s="211"/>
      <c r="N3" s="211"/>
      <c r="O3" s="209"/>
      <c r="P3" s="212"/>
      <c r="Q3" s="209"/>
      <c r="R3" s="209"/>
      <c r="S3" s="209"/>
      <c r="T3" s="202"/>
      <c r="U3" s="202"/>
      <c r="V3" s="202"/>
      <c r="W3" s="202"/>
      <c r="X3" s="202"/>
      <c r="Y3" s="202"/>
      <c r="Z3" s="202"/>
      <c r="AA3" s="202"/>
      <c r="AB3" s="202"/>
      <c r="AC3" s="202"/>
      <c r="AD3" s="213"/>
      <c r="AE3" s="202"/>
      <c r="AF3" s="202"/>
    </row>
    <row r="4" spans="1:32" ht="15.6">
      <c r="A4" s="214"/>
      <c r="B4" s="458" t="s">
        <v>43</v>
      </c>
      <c r="C4" s="460"/>
      <c r="D4" s="460"/>
      <c r="E4" s="460"/>
      <c r="F4" s="460"/>
      <c r="G4" s="460"/>
      <c r="H4" s="460"/>
      <c r="I4" s="460"/>
      <c r="J4" s="460"/>
      <c r="K4" s="460"/>
      <c r="L4" s="215"/>
      <c r="M4" s="216"/>
      <c r="N4" s="216"/>
      <c r="O4" s="217"/>
      <c r="P4" s="218"/>
      <c r="Q4" s="219" t="s">
        <v>44</v>
      </c>
      <c r="R4" s="219" t="s">
        <v>45</v>
      </c>
      <c r="S4" s="219" t="s">
        <v>46</v>
      </c>
      <c r="T4" s="219" t="s">
        <v>47</v>
      </c>
      <c r="U4" s="219" t="s">
        <v>48</v>
      </c>
      <c r="V4" s="219" t="s">
        <v>49</v>
      </c>
      <c r="W4" s="219" t="s">
        <v>50</v>
      </c>
      <c r="X4" s="219" t="s">
        <v>51</v>
      </c>
      <c r="Y4" s="219" t="s">
        <v>52</v>
      </c>
      <c r="Z4" s="219" t="s">
        <v>53</v>
      </c>
      <c r="AA4" s="219" t="s">
        <v>54</v>
      </c>
      <c r="AB4" s="219" t="s">
        <v>55</v>
      </c>
      <c r="AC4" s="219" t="s">
        <v>56</v>
      </c>
      <c r="AD4" s="213"/>
      <c r="AE4" s="202"/>
      <c r="AF4" s="202"/>
    </row>
    <row r="5" spans="1:32" ht="15.6">
      <c r="A5" s="214"/>
      <c r="B5" s="458" t="s">
        <v>57</v>
      </c>
      <c r="C5" s="460"/>
      <c r="D5" s="460"/>
      <c r="E5" s="460"/>
      <c r="F5" s="460"/>
      <c r="G5" s="460"/>
      <c r="H5" s="460"/>
      <c r="I5" s="460"/>
      <c r="J5" s="460"/>
      <c r="K5" s="460"/>
      <c r="L5" s="215"/>
      <c r="M5" s="216"/>
      <c r="N5" s="216"/>
      <c r="O5" s="202"/>
      <c r="P5" s="220"/>
      <c r="Q5" s="505" t="s">
        <v>58</v>
      </c>
      <c r="R5" s="481"/>
      <c r="S5" s="481"/>
      <c r="T5" s="481"/>
      <c r="U5" s="481"/>
      <c r="V5" s="481"/>
      <c r="W5" s="481"/>
      <c r="X5" s="481"/>
      <c r="Y5" s="481"/>
      <c r="Z5" s="481"/>
      <c r="AA5" s="481"/>
      <c r="AB5" s="481"/>
      <c r="AC5" s="503">
        <f>SUM(R5:AB6)</f>
        <v>0</v>
      </c>
      <c r="AD5" s="213"/>
      <c r="AE5" s="202"/>
      <c r="AF5" s="202"/>
    </row>
    <row r="6" spans="1:32" ht="15.6">
      <c r="A6" s="221"/>
      <c r="B6" s="202"/>
      <c r="C6" s="217"/>
      <c r="D6" s="217"/>
      <c r="E6" s="217"/>
      <c r="F6" s="217"/>
      <c r="G6" s="217"/>
      <c r="H6" s="217"/>
      <c r="I6" s="217"/>
      <c r="J6" s="217"/>
      <c r="K6" s="217"/>
      <c r="L6" s="213"/>
      <c r="M6" s="207"/>
      <c r="N6" s="207"/>
      <c r="O6" s="217"/>
      <c r="P6" s="218"/>
      <c r="Q6" s="482"/>
      <c r="R6" s="482"/>
      <c r="S6" s="482"/>
      <c r="T6" s="482"/>
      <c r="U6" s="482"/>
      <c r="V6" s="482"/>
      <c r="W6" s="482"/>
      <c r="X6" s="482"/>
      <c r="Y6" s="482"/>
      <c r="Z6" s="482"/>
      <c r="AA6" s="482"/>
      <c r="AB6" s="482"/>
      <c r="AC6" s="504"/>
      <c r="AD6" s="213"/>
      <c r="AE6" s="202"/>
      <c r="AF6" s="202"/>
    </row>
    <row r="7" spans="1:32" ht="15.6">
      <c r="A7" s="214"/>
      <c r="B7" s="458" t="s">
        <v>3</v>
      </c>
      <c r="C7" s="460"/>
      <c r="D7" s="460"/>
      <c r="E7" s="460"/>
      <c r="F7" s="460"/>
      <c r="G7" s="460"/>
      <c r="H7" s="460"/>
      <c r="I7" s="460"/>
      <c r="J7" s="460"/>
      <c r="K7" s="460"/>
      <c r="L7" s="215"/>
      <c r="M7" s="216"/>
      <c r="N7" s="216"/>
      <c r="O7" s="217"/>
      <c r="P7" s="218"/>
      <c r="Q7" s="505" t="s">
        <v>59</v>
      </c>
      <c r="R7" s="483" t="str">
        <f>IF('ATTENDANCE RECORD SUMMARY'!F14="","",IFERROR(VLOOKUP(C17,'ATTENDANCE RECORD SUMMARY'!$C$14:$P$114,4,0),""))</f>
        <v/>
      </c>
      <c r="S7" s="483" t="str">
        <f>IF('ATTENDANCE RECORD SUMMARY'!F14="","",IFERROR(VLOOKUP(C17,'ATTENDANCE RECORD SUMMARY'!$C$14:$P$114,5,0),""))</f>
        <v/>
      </c>
      <c r="T7" s="483" t="str">
        <f>IF('ATTENDANCE RECORD SUMMARY'!F14="","",IFERROR(VLOOKUP(C17,'ATTENDANCE RECORD SUMMARY'!$C$14:$P$114,6,0),""))</f>
        <v/>
      </c>
      <c r="U7" s="483" t="str">
        <f>IF('ATTENDANCE RECORD SUMMARY'!F14="","",IFERROR(VLOOKUP(C17,'ATTENDANCE RECORD SUMMARY'!$C$14:$P$114,7,0),""))</f>
        <v/>
      </c>
      <c r="V7" s="483" t="str">
        <f>IF('ATTENDANCE RECORD SUMMARY'!F14="","",IFERROR(VLOOKUP(C17,'ATTENDANCE RECORD SUMMARY'!$C$14:$P$114,8,0),""))</f>
        <v/>
      </c>
      <c r="W7" s="483" t="str">
        <f>IF('ATTENDANCE RECORD SUMMARY'!F14="","",IFERROR(VLOOKUP(C17,'ATTENDANCE RECORD SUMMARY'!$C$14:$P$114,9,0),""))</f>
        <v/>
      </c>
      <c r="X7" s="483" t="str">
        <f>IF('ATTENDANCE RECORD SUMMARY'!F14="","",IFERROR(VLOOKUP(C17,'ATTENDANCE RECORD SUMMARY'!$C$14:$P$114,10,0),""))</f>
        <v/>
      </c>
      <c r="Y7" s="483" t="str">
        <f>IF('ATTENDANCE RECORD SUMMARY'!F14="","",IFERROR(VLOOKUP(C17,'ATTENDANCE RECORD SUMMARY'!$C$14:$P$114,11,0),""))</f>
        <v/>
      </c>
      <c r="Z7" s="483" t="str">
        <f>IF('ATTENDANCE RECORD SUMMARY'!F14="","",IFERROR(VLOOKUP(C17,'ATTENDANCE RECORD SUMMARY'!$C$14:$P$114,12,0),""))</f>
        <v/>
      </c>
      <c r="AA7" s="483" t="str">
        <f>IF('ATTENDANCE RECORD SUMMARY'!F14="","",IFERROR(VLOOKUP(C17,'ATTENDANCE RECORD SUMMARY'!$C$14:$P$114,13,0),""))</f>
        <v/>
      </c>
      <c r="AB7" s="483" t="str">
        <f>IF('ATTENDANCE RECORD SUMMARY'!F14="","",IFERROR(VLOOKUP(C17,'ATTENDANCE RECORD SUMMARY'!$C$14:$P$114,14,0),""))</f>
        <v/>
      </c>
      <c r="AC7" s="503">
        <f>SUM(R7:AB8)</f>
        <v>0</v>
      </c>
      <c r="AD7" s="213"/>
      <c r="AE7" s="202"/>
      <c r="AF7" s="202"/>
    </row>
    <row r="8" spans="1:32" ht="15.6">
      <c r="A8" s="222"/>
      <c r="B8" s="464" t="s">
        <v>135</v>
      </c>
      <c r="C8" s="460"/>
      <c r="D8" s="460"/>
      <c r="E8" s="460"/>
      <c r="F8" s="460"/>
      <c r="G8" s="460"/>
      <c r="H8" s="460"/>
      <c r="I8" s="460"/>
      <c r="J8" s="460"/>
      <c r="K8" s="460"/>
      <c r="L8" s="215"/>
      <c r="M8" s="216"/>
      <c r="N8" s="216"/>
      <c r="O8" s="217"/>
      <c r="P8" s="218"/>
      <c r="Q8" s="482"/>
      <c r="R8" s="484"/>
      <c r="S8" s="484"/>
      <c r="T8" s="484"/>
      <c r="U8" s="484"/>
      <c r="V8" s="484"/>
      <c r="W8" s="484"/>
      <c r="X8" s="484"/>
      <c r="Y8" s="484"/>
      <c r="Z8" s="484"/>
      <c r="AA8" s="484"/>
      <c r="AB8" s="484"/>
      <c r="AC8" s="504"/>
      <c r="AD8" s="213"/>
      <c r="AE8" s="202"/>
      <c r="AF8" s="202"/>
    </row>
    <row r="9" spans="1:32" ht="15.6">
      <c r="A9" s="214"/>
      <c r="B9" s="466" t="s">
        <v>136</v>
      </c>
      <c r="C9" s="466"/>
      <c r="D9" s="466"/>
      <c r="E9" s="466"/>
      <c r="F9" s="466"/>
      <c r="G9" s="466"/>
      <c r="H9" s="466"/>
      <c r="I9" s="466"/>
      <c r="J9" s="466"/>
      <c r="K9" s="466"/>
      <c r="L9" s="215"/>
      <c r="M9" s="216"/>
      <c r="N9" s="216"/>
      <c r="O9" s="217"/>
      <c r="P9" s="218"/>
      <c r="Q9" s="505" t="s">
        <v>60</v>
      </c>
      <c r="R9" s="483" t="str">
        <f>IF(R7="","",ABS(R5-R7))</f>
        <v/>
      </c>
      <c r="S9" s="483" t="str">
        <f t="shared" ref="S9:AB9" si="0">IF(S7="","",ABS(S5-S7))</f>
        <v/>
      </c>
      <c r="T9" s="483" t="str">
        <f t="shared" si="0"/>
        <v/>
      </c>
      <c r="U9" s="483" t="str">
        <f t="shared" si="0"/>
        <v/>
      </c>
      <c r="V9" s="483" t="str">
        <f t="shared" si="0"/>
        <v/>
      </c>
      <c r="W9" s="483" t="str">
        <f t="shared" si="0"/>
        <v/>
      </c>
      <c r="X9" s="483" t="str">
        <f t="shared" si="0"/>
        <v/>
      </c>
      <c r="Y9" s="483" t="str">
        <f t="shared" si="0"/>
        <v/>
      </c>
      <c r="Z9" s="483" t="str">
        <f t="shared" si="0"/>
        <v/>
      </c>
      <c r="AA9" s="483" t="str">
        <f t="shared" si="0"/>
        <v/>
      </c>
      <c r="AB9" s="483" t="str">
        <f t="shared" si="0"/>
        <v/>
      </c>
      <c r="AC9" s="503">
        <f t="shared" ref="AC9" si="1">ABS(AC5-AC7)</f>
        <v>0</v>
      </c>
      <c r="AD9" s="213"/>
      <c r="AE9" s="202"/>
      <c r="AF9" s="202"/>
    </row>
    <row r="10" spans="1:32" ht="15.6">
      <c r="A10" s="214"/>
      <c r="B10" s="466" t="s">
        <v>137</v>
      </c>
      <c r="C10" s="466"/>
      <c r="D10" s="466"/>
      <c r="E10" s="466"/>
      <c r="F10" s="466"/>
      <c r="G10" s="466"/>
      <c r="H10" s="466"/>
      <c r="I10" s="466"/>
      <c r="J10" s="466"/>
      <c r="K10" s="466"/>
      <c r="L10" s="215"/>
      <c r="M10" s="216"/>
      <c r="N10" s="216"/>
      <c r="O10" s="217"/>
      <c r="P10" s="218"/>
      <c r="Q10" s="482"/>
      <c r="R10" s="484"/>
      <c r="S10" s="484"/>
      <c r="T10" s="484"/>
      <c r="U10" s="484"/>
      <c r="V10" s="484"/>
      <c r="W10" s="484"/>
      <c r="X10" s="484"/>
      <c r="Y10" s="484"/>
      <c r="Z10" s="484"/>
      <c r="AA10" s="484"/>
      <c r="AB10" s="484"/>
      <c r="AC10" s="504"/>
      <c r="AD10" s="213"/>
      <c r="AE10" s="202"/>
      <c r="AF10" s="202"/>
    </row>
    <row r="11" spans="1:32" ht="4.2" customHeight="1">
      <c r="A11" s="214"/>
      <c r="B11" s="217"/>
      <c r="C11" s="217"/>
      <c r="D11" s="217"/>
      <c r="E11" s="217"/>
      <c r="F11" s="217"/>
      <c r="G11" s="217"/>
      <c r="H11" s="217"/>
      <c r="I11" s="217"/>
      <c r="J11" s="217"/>
      <c r="K11" s="217"/>
      <c r="L11" s="210"/>
      <c r="M11" s="211"/>
      <c r="N11" s="211"/>
      <c r="O11" s="209"/>
      <c r="P11" s="212"/>
      <c r="Q11" s="209"/>
      <c r="R11" s="209"/>
      <c r="S11" s="209"/>
      <c r="T11" s="202"/>
      <c r="U11" s="202"/>
      <c r="V11" s="202"/>
      <c r="W11" s="202"/>
      <c r="X11" s="202"/>
      <c r="Y11" s="202"/>
      <c r="Z11" s="202"/>
      <c r="AA11" s="202"/>
      <c r="AB11" s="202"/>
      <c r="AC11" s="202"/>
      <c r="AD11" s="213"/>
      <c r="AE11" s="202"/>
      <c r="AF11" s="202"/>
    </row>
    <row r="12" spans="1:32" ht="15.6">
      <c r="A12" s="221"/>
      <c r="B12" s="474" t="s">
        <v>1</v>
      </c>
      <c r="C12" s="475"/>
      <c r="D12" s="475"/>
      <c r="E12" s="475"/>
      <c r="F12" s="475"/>
      <c r="G12" s="475"/>
      <c r="H12" s="475"/>
      <c r="I12" s="475"/>
      <c r="J12" s="475"/>
      <c r="K12" s="475"/>
      <c r="L12" s="223"/>
      <c r="M12" s="224"/>
      <c r="N12" s="224"/>
      <c r="O12" s="225"/>
      <c r="P12" s="226"/>
      <c r="Q12" s="225"/>
      <c r="R12" s="217"/>
      <c r="S12" s="217"/>
      <c r="T12" s="202"/>
      <c r="U12" s="202"/>
      <c r="V12" s="202"/>
      <c r="W12" s="202"/>
      <c r="X12" s="202"/>
      <c r="Y12" s="202"/>
      <c r="Z12" s="202"/>
      <c r="AA12" s="202"/>
      <c r="AB12" s="202"/>
      <c r="AC12" s="202"/>
      <c r="AD12" s="213"/>
      <c r="AE12" s="202"/>
      <c r="AF12" s="202"/>
    </row>
    <row r="13" spans="1:32" ht="4.2" customHeight="1">
      <c r="A13" s="208"/>
      <c r="B13" s="209"/>
      <c r="C13" s="209"/>
      <c r="D13" s="209"/>
      <c r="E13" s="209"/>
      <c r="F13" s="209"/>
      <c r="G13" s="209"/>
      <c r="H13" s="209"/>
      <c r="I13" s="209"/>
      <c r="J13" s="209"/>
      <c r="K13" s="209"/>
      <c r="L13" s="210"/>
      <c r="M13" s="211"/>
      <c r="N13" s="211"/>
      <c r="O13" s="209"/>
      <c r="P13" s="212"/>
      <c r="Q13" s="209"/>
      <c r="R13" s="209"/>
      <c r="S13" s="209"/>
      <c r="T13" s="202"/>
      <c r="U13" s="202"/>
      <c r="V13" s="202"/>
      <c r="W13" s="202"/>
      <c r="X13" s="202"/>
      <c r="Y13" s="202"/>
      <c r="Z13" s="202"/>
      <c r="AA13" s="202"/>
      <c r="AB13" s="202"/>
      <c r="AC13" s="202"/>
      <c r="AD13" s="213"/>
      <c r="AE13" s="202"/>
      <c r="AF13" s="202"/>
    </row>
    <row r="14" spans="1:32" ht="15.6">
      <c r="A14" s="222"/>
      <c r="B14" s="464" t="s">
        <v>61</v>
      </c>
      <c r="C14" s="460"/>
      <c r="D14" s="460"/>
      <c r="E14" s="460"/>
      <c r="F14" s="460"/>
      <c r="G14" s="460"/>
      <c r="H14" s="460"/>
      <c r="I14" s="460"/>
      <c r="J14" s="460"/>
      <c r="K14" s="460"/>
      <c r="L14" s="227"/>
      <c r="M14" s="228"/>
      <c r="N14" s="228"/>
      <c r="O14" s="229"/>
      <c r="P14" s="230"/>
      <c r="Q14" s="464" t="s">
        <v>62</v>
      </c>
      <c r="R14" s="460"/>
      <c r="S14" s="460"/>
      <c r="T14" s="460"/>
      <c r="U14" s="460"/>
      <c r="V14" s="460"/>
      <c r="W14" s="460"/>
      <c r="X14" s="460"/>
      <c r="Y14" s="460"/>
      <c r="Z14" s="460"/>
      <c r="AA14" s="460"/>
      <c r="AB14" s="460"/>
      <c r="AC14" s="460"/>
      <c r="AD14" s="213"/>
      <c r="AE14" s="202"/>
      <c r="AF14" s="202"/>
    </row>
    <row r="15" spans="1:32" ht="15.6">
      <c r="A15" s="214"/>
      <c r="B15" s="466" t="s">
        <v>115</v>
      </c>
      <c r="C15" s="466"/>
      <c r="D15" s="466"/>
      <c r="E15" s="466"/>
      <c r="F15" s="466"/>
      <c r="G15" s="466"/>
      <c r="H15" s="466"/>
      <c r="I15" s="466"/>
      <c r="J15" s="466"/>
      <c r="K15" s="466"/>
      <c r="L15" s="223"/>
      <c r="M15" s="224"/>
      <c r="N15" s="224"/>
      <c r="O15" s="217"/>
      <c r="P15" s="218"/>
      <c r="Q15" s="485" t="s">
        <v>63</v>
      </c>
      <c r="R15" s="486"/>
      <c r="S15" s="486"/>
      <c r="T15" s="486"/>
      <c r="U15" s="486"/>
      <c r="V15" s="486"/>
      <c r="W15" s="486"/>
      <c r="X15" s="486"/>
      <c r="Y15" s="486"/>
      <c r="Z15" s="486"/>
      <c r="AA15" s="486"/>
      <c r="AB15" s="486"/>
      <c r="AC15" s="487"/>
      <c r="AD15" s="213"/>
      <c r="AE15" s="202"/>
      <c r="AF15" s="202"/>
    </row>
    <row r="16" spans="1:32" ht="15.6">
      <c r="A16" s="208"/>
      <c r="B16" s="209"/>
      <c r="C16" s="209"/>
      <c r="D16" s="209"/>
      <c r="E16" s="209"/>
      <c r="F16" s="209"/>
      <c r="G16" s="209"/>
      <c r="H16" s="209"/>
      <c r="I16" s="209"/>
      <c r="J16" s="209"/>
      <c r="K16" s="209"/>
      <c r="L16" s="210"/>
      <c r="M16" s="211"/>
      <c r="N16" s="211"/>
      <c r="O16" s="217"/>
      <c r="P16" s="218"/>
      <c r="Q16" s="488"/>
      <c r="R16" s="460"/>
      <c r="S16" s="460"/>
      <c r="T16" s="460"/>
      <c r="U16" s="460"/>
      <c r="V16" s="460"/>
      <c r="W16" s="460"/>
      <c r="X16" s="460"/>
      <c r="Y16" s="460"/>
      <c r="Z16" s="460"/>
      <c r="AA16" s="460"/>
      <c r="AB16" s="460"/>
      <c r="AC16" s="489"/>
      <c r="AD16" s="213"/>
      <c r="AE16" s="202"/>
      <c r="AF16" s="202"/>
    </row>
    <row r="17" spans="1:32" ht="15.6">
      <c r="A17" s="231"/>
      <c r="B17" s="225" t="s">
        <v>64</v>
      </c>
      <c r="C17" s="470" t="s">
        <v>134</v>
      </c>
      <c r="D17" s="471"/>
      <c r="E17" s="472"/>
      <c r="F17" s="472"/>
      <c r="G17" s="472"/>
      <c r="H17" s="232" t="s">
        <v>116</v>
      </c>
      <c r="I17" s="105" t="str">
        <f>IF(C17="","",VLOOKUP(C17,'TERM 1 SUMMARY'!C15:U115,7,0))</f>
        <v/>
      </c>
      <c r="J17" s="225" t="s">
        <v>65</v>
      </c>
      <c r="K17" s="105" t="str">
        <f>IF(C17="","",VLOOKUP(C17,'TERM 1 SUMMARY'!C15:U115,8,0))</f>
        <v/>
      </c>
      <c r="L17" s="233"/>
      <c r="M17" s="234"/>
      <c r="N17" s="234"/>
      <c r="O17" s="217"/>
      <c r="P17" s="218"/>
      <c r="Q17" s="488"/>
      <c r="R17" s="460"/>
      <c r="S17" s="460"/>
      <c r="T17" s="460"/>
      <c r="U17" s="460"/>
      <c r="V17" s="460"/>
      <c r="W17" s="460"/>
      <c r="X17" s="460"/>
      <c r="Y17" s="460"/>
      <c r="Z17" s="460"/>
      <c r="AA17" s="460"/>
      <c r="AB17" s="460"/>
      <c r="AC17" s="489"/>
      <c r="AD17" s="213"/>
      <c r="AE17" s="202"/>
      <c r="AF17" s="202"/>
    </row>
    <row r="18" spans="1:32" ht="15.6">
      <c r="A18" s="231"/>
      <c r="B18" s="225" t="s">
        <v>66</v>
      </c>
      <c r="C18" s="468" t="str">
        <f>IF(C17="","",VLOOKUP(C17,'TERM 1 SUMMARY'!C15:U115,4,0))</f>
        <v/>
      </c>
      <c r="D18" s="468"/>
      <c r="E18" s="468"/>
      <c r="F18" s="235"/>
      <c r="G18" s="236"/>
      <c r="H18" s="237" t="s">
        <v>117</v>
      </c>
      <c r="I18" s="105" t="str">
        <f>'TERM 1 SUMMARY'!G9</f>
        <v/>
      </c>
      <c r="J18" s="225" t="s">
        <v>67</v>
      </c>
      <c r="K18" s="105" t="str">
        <f>'TERM 1 SUMMARY'!G10</f>
        <v/>
      </c>
      <c r="L18" s="213"/>
      <c r="M18" s="207"/>
      <c r="N18" s="207"/>
      <c r="O18" s="217"/>
      <c r="P18" s="218"/>
      <c r="Q18" s="490"/>
      <c r="R18" s="491"/>
      <c r="S18" s="491"/>
      <c r="T18" s="491"/>
      <c r="U18" s="491"/>
      <c r="V18" s="491"/>
      <c r="W18" s="491"/>
      <c r="X18" s="491"/>
      <c r="Y18" s="491"/>
      <c r="Z18" s="491"/>
      <c r="AA18" s="491"/>
      <c r="AB18" s="491"/>
      <c r="AC18" s="492"/>
      <c r="AD18" s="213"/>
      <c r="AE18" s="202"/>
      <c r="AF18" s="202"/>
    </row>
    <row r="19" spans="1:32" ht="15.6">
      <c r="A19" s="238"/>
      <c r="B19" s="239" t="s">
        <v>69</v>
      </c>
      <c r="C19" s="239"/>
      <c r="D19" s="239"/>
      <c r="E19" s="240"/>
      <c r="F19" s="241"/>
      <c r="G19" s="202"/>
      <c r="H19" s="202"/>
      <c r="I19" s="202"/>
      <c r="J19" s="202"/>
      <c r="K19" s="202"/>
      <c r="L19" s="213"/>
      <c r="M19" s="207"/>
      <c r="N19" s="207"/>
      <c r="O19" s="239"/>
      <c r="P19" s="242"/>
      <c r="Q19" s="485" t="s">
        <v>71</v>
      </c>
      <c r="R19" s="486"/>
      <c r="S19" s="486"/>
      <c r="T19" s="486"/>
      <c r="U19" s="486"/>
      <c r="V19" s="486"/>
      <c r="W19" s="486"/>
      <c r="X19" s="486"/>
      <c r="Y19" s="486"/>
      <c r="Z19" s="486"/>
      <c r="AA19" s="486"/>
      <c r="AB19" s="486"/>
      <c r="AC19" s="487"/>
      <c r="AD19" s="213"/>
      <c r="AE19" s="202"/>
      <c r="AF19" s="202"/>
    </row>
    <row r="20" spans="1:32" ht="15.6">
      <c r="A20" s="208"/>
      <c r="B20" s="209"/>
      <c r="C20" s="209"/>
      <c r="D20" s="209"/>
      <c r="E20" s="209"/>
      <c r="F20" s="209"/>
      <c r="G20" s="209"/>
      <c r="H20" s="209"/>
      <c r="I20" s="209"/>
      <c r="J20" s="209"/>
      <c r="K20" s="209"/>
      <c r="L20" s="210"/>
      <c r="M20" s="211"/>
      <c r="N20" s="211"/>
      <c r="O20" s="209"/>
      <c r="P20" s="212"/>
      <c r="Q20" s="488"/>
      <c r="R20" s="460"/>
      <c r="S20" s="460"/>
      <c r="T20" s="460"/>
      <c r="U20" s="460"/>
      <c r="V20" s="460"/>
      <c r="W20" s="460"/>
      <c r="X20" s="460"/>
      <c r="Y20" s="460"/>
      <c r="Z20" s="460"/>
      <c r="AA20" s="460"/>
      <c r="AB20" s="460"/>
      <c r="AC20" s="489"/>
      <c r="AD20" s="213"/>
      <c r="AE20" s="202"/>
      <c r="AF20" s="202"/>
    </row>
    <row r="21" spans="1:32" ht="15.6">
      <c r="A21" s="243"/>
      <c r="B21" s="473" t="s">
        <v>73</v>
      </c>
      <c r="C21" s="460"/>
      <c r="E21" s="244"/>
      <c r="F21" s="244"/>
      <c r="G21" s="244"/>
      <c r="H21" s="244"/>
      <c r="I21" s="244"/>
      <c r="J21" s="244"/>
      <c r="K21" s="244"/>
      <c r="L21" s="245"/>
      <c r="M21" s="246"/>
      <c r="N21" s="246"/>
      <c r="O21" s="244"/>
      <c r="P21" s="247"/>
      <c r="Q21" s="488"/>
      <c r="R21" s="460"/>
      <c r="S21" s="460"/>
      <c r="T21" s="460"/>
      <c r="U21" s="460"/>
      <c r="V21" s="460"/>
      <c r="W21" s="460"/>
      <c r="X21" s="460"/>
      <c r="Y21" s="460"/>
      <c r="Z21" s="460"/>
      <c r="AA21" s="460"/>
      <c r="AB21" s="460"/>
      <c r="AC21" s="489"/>
      <c r="AD21" s="213"/>
      <c r="AE21" s="202"/>
      <c r="AF21" s="202"/>
    </row>
    <row r="22" spans="1:32" ht="15.6">
      <c r="A22" s="208"/>
      <c r="B22" s="209"/>
      <c r="C22" s="239" t="s">
        <v>74</v>
      </c>
      <c r="D22" s="239"/>
      <c r="E22" s="209"/>
      <c r="F22" s="209"/>
      <c r="G22" s="209"/>
      <c r="H22" s="209"/>
      <c r="I22" s="209"/>
      <c r="J22" s="209"/>
      <c r="K22" s="209"/>
      <c r="L22" s="210"/>
      <c r="M22" s="211"/>
      <c r="N22" s="211"/>
      <c r="O22" s="209"/>
      <c r="P22" s="212"/>
      <c r="Q22" s="490"/>
      <c r="R22" s="491"/>
      <c r="S22" s="491"/>
      <c r="T22" s="491"/>
      <c r="U22" s="491"/>
      <c r="V22" s="491"/>
      <c r="W22" s="491"/>
      <c r="X22" s="491"/>
      <c r="Y22" s="491"/>
      <c r="Z22" s="491"/>
      <c r="AA22" s="491"/>
      <c r="AB22" s="491"/>
      <c r="AC22" s="492"/>
      <c r="AD22" s="213"/>
      <c r="AE22" s="202"/>
      <c r="AF22" s="202"/>
    </row>
    <row r="23" spans="1:32" ht="15.6">
      <c r="A23" s="238"/>
      <c r="B23" s="239" t="s">
        <v>75</v>
      </c>
      <c r="F23" s="209"/>
      <c r="G23" s="209"/>
      <c r="H23" s="209"/>
      <c r="I23" s="209"/>
      <c r="J23" s="209"/>
      <c r="K23" s="209"/>
      <c r="L23" s="210"/>
      <c r="M23" s="211"/>
      <c r="N23" s="211"/>
      <c r="O23" s="209"/>
      <c r="P23" s="212"/>
      <c r="Q23" s="485" t="s">
        <v>76</v>
      </c>
      <c r="R23" s="486"/>
      <c r="S23" s="486"/>
      <c r="T23" s="486"/>
      <c r="U23" s="486"/>
      <c r="V23" s="486"/>
      <c r="W23" s="486"/>
      <c r="X23" s="486"/>
      <c r="Y23" s="486"/>
      <c r="Z23" s="486"/>
      <c r="AA23" s="486"/>
      <c r="AB23" s="486"/>
      <c r="AC23" s="487"/>
      <c r="AD23" s="213"/>
      <c r="AE23" s="202"/>
      <c r="AF23" s="202"/>
    </row>
    <row r="24" spans="1:32" ht="15.6">
      <c r="A24" s="208"/>
      <c r="B24" s="209"/>
      <c r="C24" s="239" t="s">
        <v>77</v>
      </c>
      <c r="D24" s="239"/>
      <c r="E24" s="209"/>
      <c r="F24" s="209"/>
      <c r="G24" s="209"/>
      <c r="H24" s="209"/>
      <c r="I24" s="209"/>
      <c r="J24" s="209"/>
      <c r="K24" s="209"/>
      <c r="L24" s="210"/>
      <c r="M24" s="211"/>
      <c r="N24" s="211"/>
      <c r="O24" s="209"/>
      <c r="P24" s="212"/>
      <c r="Q24" s="488"/>
      <c r="R24" s="460"/>
      <c r="S24" s="460"/>
      <c r="T24" s="460"/>
      <c r="U24" s="460"/>
      <c r="V24" s="460"/>
      <c r="W24" s="460"/>
      <c r="X24" s="460"/>
      <c r="Y24" s="460"/>
      <c r="Z24" s="460"/>
      <c r="AA24" s="460"/>
      <c r="AB24" s="460"/>
      <c r="AC24" s="489"/>
      <c r="AD24" s="213"/>
      <c r="AE24" s="202"/>
      <c r="AF24" s="202"/>
    </row>
    <row r="25" spans="1:32" ht="15.6">
      <c r="A25" s="238"/>
      <c r="B25" s="239" t="s">
        <v>78</v>
      </c>
      <c r="C25" s="209"/>
      <c r="D25" s="209"/>
      <c r="E25" s="209"/>
      <c r="F25" s="209"/>
      <c r="G25" s="209"/>
      <c r="H25" s="209"/>
      <c r="I25" s="209"/>
      <c r="J25" s="209"/>
      <c r="K25" s="209"/>
      <c r="L25" s="210"/>
      <c r="M25" s="211"/>
      <c r="N25" s="211"/>
      <c r="O25" s="209"/>
      <c r="P25" s="212"/>
      <c r="Q25" s="488"/>
      <c r="R25" s="460"/>
      <c r="S25" s="460"/>
      <c r="T25" s="460"/>
      <c r="U25" s="460"/>
      <c r="V25" s="460"/>
      <c r="W25" s="460"/>
      <c r="X25" s="460"/>
      <c r="Y25" s="460"/>
      <c r="Z25" s="460"/>
      <c r="AA25" s="460"/>
      <c r="AB25" s="460"/>
      <c r="AC25" s="489"/>
      <c r="AD25" s="213"/>
      <c r="AE25" s="202"/>
      <c r="AF25" s="202"/>
    </row>
    <row r="26" spans="1:32" ht="15">
      <c r="A26" s="221"/>
      <c r="B26" s="202"/>
      <c r="C26" s="202"/>
      <c r="D26" s="202"/>
      <c r="E26" s="202"/>
      <c r="F26" s="202"/>
      <c r="G26" s="202"/>
      <c r="H26" s="202"/>
      <c r="I26" s="202"/>
      <c r="J26" s="202"/>
      <c r="K26" s="202"/>
      <c r="L26" s="213"/>
      <c r="M26" s="207"/>
      <c r="N26" s="207"/>
      <c r="O26" s="202"/>
      <c r="P26" s="220"/>
      <c r="Q26" s="490"/>
      <c r="R26" s="491"/>
      <c r="S26" s="491"/>
      <c r="T26" s="491"/>
      <c r="U26" s="491"/>
      <c r="V26" s="491"/>
      <c r="W26" s="491"/>
      <c r="X26" s="491"/>
      <c r="Y26" s="491"/>
      <c r="Z26" s="491"/>
      <c r="AA26" s="491"/>
      <c r="AB26" s="491"/>
      <c r="AC26" s="492"/>
      <c r="AD26" s="213"/>
      <c r="AE26" s="202"/>
      <c r="AF26" s="202"/>
    </row>
    <row r="27" spans="1:32" ht="15.6">
      <c r="A27" s="222"/>
      <c r="B27" s="465" t="str">
        <f>IF('INPUT DATA'!F19="","",'INPUT DATA'!F19)</f>
        <v/>
      </c>
      <c r="C27" s="465"/>
      <c r="D27" s="465"/>
      <c r="E27" s="465"/>
      <c r="F27" s="465"/>
      <c r="H27" s="496" t="str">
        <f>IF('INPUT DATA'!F26="","",'INPUT DATA'!F26)</f>
        <v/>
      </c>
      <c r="I27" s="496"/>
      <c r="J27" s="496"/>
      <c r="K27" s="496"/>
      <c r="L27" s="227"/>
      <c r="M27" s="228"/>
      <c r="N27" s="228"/>
      <c r="O27" s="229"/>
      <c r="P27" s="230"/>
      <c r="Q27" s="229"/>
      <c r="R27" s="229"/>
      <c r="S27" s="202"/>
      <c r="T27" s="202"/>
      <c r="U27" s="202"/>
      <c r="V27" s="202"/>
      <c r="W27" s="202"/>
      <c r="X27" s="202"/>
      <c r="Y27" s="202"/>
      <c r="Z27" s="202"/>
      <c r="AA27" s="202"/>
      <c r="AB27" s="202"/>
      <c r="AC27" s="202"/>
      <c r="AD27" s="213"/>
      <c r="AE27" s="202"/>
      <c r="AF27" s="202"/>
    </row>
    <row r="28" spans="1:32" ht="15.6">
      <c r="A28" s="221"/>
      <c r="B28" s="508" t="s">
        <v>2</v>
      </c>
      <c r="C28" s="508"/>
      <c r="D28" s="508"/>
      <c r="E28" s="508"/>
      <c r="F28" s="508"/>
      <c r="G28" s="248"/>
      <c r="H28" s="508" t="s">
        <v>4</v>
      </c>
      <c r="I28" s="508"/>
      <c r="J28" s="508"/>
      <c r="K28" s="508"/>
      <c r="L28" s="213"/>
      <c r="M28" s="207"/>
      <c r="N28" s="207"/>
      <c r="O28" s="202"/>
      <c r="P28" s="220"/>
      <c r="Q28" s="467" t="s">
        <v>80</v>
      </c>
      <c r="R28" s="460"/>
      <c r="S28" s="460"/>
      <c r="T28" s="460"/>
      <c r="U28" s="460"/>
      <c r="V28" s="460"/>
      <c r="W28" s="460"/>
      <c r="X28" s="460"/>
      <c r="Y28" s="460"/>
      <c r="Z28" s="460"/>
      <c r="AA28" s="460"/>
      <c r="AB28" s="460"/>
      <c r="AC28" s="460"/>
      <c r="AD28" s="213"/>
      <c r="AE28" s="202"/>
      <c r="AF28" s="202"/>
    </row>
    <row r="29" spans="1:32" ht="25.5" customHeight="1">
      <c r="A29" s="249"/>
      <c r="B29" s="513" t="s">
        <v>79</v>
      </c>
      <c r="C29" s="513"/>
      <c r="D29" s="513"/>
      <c r="E29" s="513"/>
      <c r="F29" s="513"/>
      <c r="G29" s="513"/>
      <c r="H29" s="513"/>
      <c r="I29" s="513"/>
      <c r="J29" s="513"/>
      <c r="K29" s="513"/>
      <c r="L29" s="250"/>
      <c r="M29" s="251"/>
      <c r="N29" s="251"/>
      <c r="O29" s="252"/>
      <c r="P29" s="253"/>
      <c r="Q29" s="209"/>
      <c r="R29" s="493" t="s">
        <v>63</v>
      </c>
      <c r="S29" s="460"/>
      <c r="T29" s="254"/>
      <c r="U29" s="254"/>
      <c r="V29" s="254"/>
      <c r="W29" s="254"/>
      <c r="X29" s="254"/>
      <c r="Y29" s="254"/>
      <c r="Z29" s="254"/>
      <c r="AA29" s="254"/>
      <c r="AB29" s="254"/>
      <c r="AC29" s="202"/>
      <c r="AD29" s="213"/>
      <c r="AE29" s="202"/>
      <c r="AF29" s="202"/>
    </row>
    <row r="30" spans="1:32" ht="25.5" customHeight="1">
      <c r="A30" s="249"/>
      <c r="B30" s="507" t="s">
        <v>24</v>
      </c>
      <c r="C30" s="507"/>
      <c r="D30" s="507"/>
      <c r="E30" s="507"/>
      <c r="F30" s="477" t="s">
        <v>81</v>
      </c>
      <c r="G30" s="477"/>
      <c r="H30" s="477"/>
      <c r="I30" s="506" t="s">
        <v>25</v>
      </c>
      <c r="J30" s="507" t="s">
        <v>82</v>
      </c>
      <c r="K30" s="507"/>
      <c r="L30" s="250"/>
      <c r="M30" s="251"/>
      <c r="N30" s="251"/>
      <c r="O30" s="252"/>
      <c r="P30" s="253"/>
      <c r="Q30" s="209"/>
      <c r="R30" s="493" t="s">
        <v>71</v>
      </c>
      <c r="S30" s="460"/>
      <c r="T30" s="254"/>
      <c r="U30" s="254"/>
      <c r="V30" s="254"/>
      <c r="W30" s="254"/>
      <c r="X30" s="254"/>
      <c r="Y30" s="254"/>
      <c r="Z30" s="254"/>
      <c r="AA30" s="254"/>
      <c r="AB30" s="254"/>
      <c r="AC30" s="202"/>
      <c r="AD30" s="213"/>
      <c r="AE30" s="202"/>
      <c r="AF30" s="202"/>
    </row>
    <row r="31" spans="1:32" ht="25.5" customHeight="1">
      <c r="A31" s="243"/>
      <c r="B31" s="507"/>
      <c r="C31" s="507"/>
      <c r="D31" s="507"/>
      <c r="E31" s="507"/>
      <c r="F31" s="255" t="s">
        <v>83</v>
      </c>
      <c r="G31" s="255" t="s">
        <v>84</v>
      </c>
      <c r="H31" s="255" t="s">
        <v>85</v>
      </c>
      <c r="I31" s="506"/>
      <c r="J31" s="507"/>
      <c r="K31" s="507"/>
      <c r="L31" s="210"/>
      <c r="M31" s="211"/>
      <c r="N31" s="211"/>
      <c r="O31" s="209"/>
      <c r="P31" s="212"/>
      <c r="Q31" s="209"/>
      <c r="R31" s="493" t="s">
        <v>76</v>
      </c>
      <c r="S31" s="460"/>
      <c r="T31" s="254"/>
      <c r="U31" s="254"/>
      <c r="V31" s="254"/>
      <c r="W31" s="254"/>
      <c r="X31" s="254"/>
      <c r="Y31" s="254"/>
      <c r="Z31" s="254"/>
      <c r="AA31" s="254"/>
      <c r="AB31" s="254"/>
      <c r="AC31" s="202"/>
      <c r="AD31" s="213"/>
      <c r="AE31" s="202"/>
      <c r="AF31" s="202"/>
    </row>
    <row r="32" spans="1:32" ht="25.5" customHeight="1">
      <c r="A32" s="256"/>
      <c r="B32" s="514" t="s">
        <v>27</v>
      </c>
      <c r="C32" s="515"/>
      <c r="D32" s="515"/>
      <c r="E32" s="516"/>
      <c r="F32" s="129" t="str">
        <f>IF('TERM 1 SUMMARY'!U15="","",IFERROR(VLOOKUP(C17,'TERM 1 SUMMARY'!$C$15:$U$115,9,0),""))</f>
        <v/>
      </c>
      <c r="G32" s="129" t="str">
        <f>IF('TERM 2 SUMMARY'!T15="","",IFERROR(VLOOKUP(C17,'TERM 2 SUMMARY'!$C$15:$T$115,9,0),""))</f>
        <v/>
      </c>
      <c r="H32" s="129" t="str">
        <f>IF('TERM 3 SUMMARY'!T15="","",IFERROR(VLOOKUP(C17,'TERM 3 SUMMARY'!$C$15:$T$115,9,0),""))</f>
        <v/>
      </c>
      <c r="I32" s="118" t="str">
        <f>IF(COUNT(F32:H32)&lt;3,"",ROUND(AVERAGE(F32:H32),0))</f>
        <v/>
      </c>
      <c r="J32" s="469" t="str">
        <f>IF(I32="","",IF(I32&gt;=75,"Passed","Failed"))</f>
        <v/>
      </c>
      <c r="K32" s="469"/>
      <c r="L32" s="210"/>
      <c r="M32" s="211"/>
      <c r="N32" s="211"/>
      <c r="O32" s="209"/>
      <c r="P32" s="212"/>
      <c r="Q32" s="209"/>
      <c r="AC32" s="202"/>
      <c r="AD32" s="213"/>
      <c r="AE32" s="202"/>
      <c r="AF32" s="202"/>
    </row>
    <row r="33" spans="1:32" ht="25.5" customHeight="1">
      <c r="A33" s="256"/>
      <c r="B33" s="478" t="s">
        <v>28</v>
      </c>
      <c r="C33" s="479"/>
      <c r="D33" s="479"/>
      <c r="E33" s="480"/>
      <c r="F33" s="129" t="str">
        <f>IF('TERM 1 SUMMARY'!U15="","",IFERROR(VLOOKUP(C17,'TERM 1 SUMMARY'!$C$15:$U$115,10,0),""))</f>
        <v/>
      </c>
      <c r="G33" s="129" t="str">
        <f>IF('TERM 2 SUMMARY'!T15="","",IFERROR(VLOOKUP(C17,'TERM 2 SUMMARY'!$C$15:$T$115,10,0),""))</f>
        <v/>
      </c>
      <c r="H33" s="129" t="str">
        <f>IF('TERM 3 SUMMARY'!T15="","",IFERROR(VLOOKUP(C17,'TERM 3 SUMMARY'!$C$15:$T$115,10,0),""))</f>
        <v/>
      </c>
      <c r="I33" s="118" t="str">
        <f t="shared" ref="I33:I41" si="2">IF(COUNT(F33:H33)&lt;3,"",ROUND(AVERAGE(F33:H33),0))</f>
        <v/>
      </c>
      <c r="J33" s="469" t="str">
        <f>IF(I33="","",IF(I33&gt;=75,"Passed","Failed"))</f>
        <v/>
      </c>
      <c r="K33" s="469"/>
      <c r="L33" s="210"/>
      <c r="M33" s="211"/>
      <c r="N33" s="211"/>
      <c r="O33" s="209"/>
      <c r="P33" s="212"/>
      <c r="Q33" s="467" t="s">
        <v>86</v>
      </c>
      <c r="R33" s="460"/>
      <c r="S33" s="460"/>
      <c r="T33" s="460"/>
      <c r="U33" s="460"/>
      <c r="V33" s="460"/>
      <c r="W33" s="460"/>
      <c r="X33" s="460"/>
      <c r="Y33" s="460"/>
      <c r="Z33" s="460"/>
      <c r="AA33" s="460"/>
      <c r="AB33" s="460"/>
      <c r="AC33" s="460"/>
      <c r="AD33" s="213"/>
      <c r="AE33" s="202"/>
      <c r="AF33" s="202"/>
    </row>
    <row r="34" spans="1:32" ht="25.5" customHeight="1">
      <c r="A34" s="256"/>
      <c r="B34" s="478" t="s">
        <v>138</v>
      </c>
      <c r="C34" s="479"/>
      <c r="D34" s="479"/>
      <c r="E34" s="480"/>
      <c r="F34" s="129" t="str">
        <f>IF('TERM 1 SUMMARY'!U15="","",IFERROR(VLOOKUP(C17,'TERM 1 SUMMARY'!$C$15:$U$115,11,0),""))</f>
        <v/>
      </c>
      <c r="G34" s="129" t="str">
        <f>IF('TERM 2 SUMMARY'!T15="","",IFERROR(VLOOKUP(C17,'TERM 2 SUMMARY'!$C$15:$T$115,11,0),""))</f>
        <v/>
      </c>
      <c r="H34" s="129" t="str">
        <f>IF('TERM 3 SUMMARY'!T15="","",IFERROR(VLOOKUP(C17,'TERM 3 SUMMARY'!$C$15:$T$115,11,0),""))</f>
        <v/>
      </c>
      <c r="I34" s="118" t="str">
        <f t="shared" si="2"/>
        <v/>
      </c>
      <c r="J34" s="469" t="str">
        <f>IF(I34="","",IF(I34&gt;=75,"Passed","Failed"))</f>
        <v/>
      </c>
      <c r="K34" s="469"/>
      <c r="L34" s="210"/>
      <c r="M34" s="211"/>
      <c r="N34" s="211"/>
      <c r="O34" s="209"/>
      <c r="P34" s="212"/>
      <c r="Q34" s="239" t="s">
        <v>87</v>
      </c>
      <c r="R34" s="209"/>
      <c r="S34" s="209"/>
      <c r="T34" s="209"/>
      <c r="U34" s="209"/>
      <c r="V34" s="209"/>
      <c r="W34" s="209"/>
      <c r="X34" s="209"/>
      <c r="Y34" s="209"/>
      <c r="Z34" s="209"/>
      <c r="AA34" s="209"/>
      <c r="AB34" s="209"/>
      <c r="AC34" s="209"/>
      <c r="AD34" s="213"/>
      <c r="AE34" s="202"/>
      <c r="AF34" s="202"/>
    </row>
    <row r="35" spans="1:32" ht="25.5" customHeight="1">
      <c r="A35" s="256"/>
      <c r="B35" s="478" t="s">
        <v>139</v>
      </c>
      <c r="C35" s="479"/>
      <c r="D35" s="479"/>
      <c r="E35" s="480"/>
      <c r="F35" s="129" t="str">
        <f>IF('TERM 1 SUMMARY'!U15="","",IFERROR(VLOOKUP(C17,'TERM 1 SUMMARY'!$C$15:$U$115,12,0),""))</f>
        <v/>
      </c>
      <c r="G35" s="129" t="str">
        <f>IF('TERM 2 SUMMARY'!T15="","",IFERROR(VLOOKUP(C17,'TERM 2 SUMMARY'!$C$15:$T$115,12,0),""))</f>
        <v/>
      </c>
      <c r="H35" s="129" t="str">
        <f>IF('TERM 3 SUMMARY'!T15="","",IFERROR(VLOOKUP(C17,'TERM 3 SUMMARY'!$C$15:$T$115,12,0),""))</f>
        <v/>
      </c>
      <c r="I35" s="118" t="str">
        <f t="shared" si="2"/>
        <v/>
      </c>
      <c r="J35" s="469" t="str">
        <f>IF(I35="","",IF(I35&gt;=75,"Passed","Failed"))</f>
        <v/>
      </c>
      <c r="K35" s="469"/>
      <c r="L35" s="210"/>
      <c r="M35" s="211"/>
      <c r="N35" s="211"/>
      <c r="O35" s="209"/>
      <c r="P35" s="212"/>
      <c r="Q35" s="239" t="s">
        <v>88</v>
      </c>
      <c r="R35" s="209"/>
      <c r="S35" s="209"/>
      <c r="T35" s="209"/>
      <c r="U35" s="209"/>
      <c r="V35" s="209"/>
      <c r="W35" s="209"/>
      <c r="X35" s="209"/>
      <c r="Y35" s="209"/>
      <c r="Z35" s="209"/>
      <c r="AA35" s="209"/>
      <c r="AB35" s="209"/>
      <c r="AC35" s="209"/>
      <c r="AD35" s="213"/>
      <c r="AE35" s="120" t="str">
        <f>IF(COUNT(F31:H31)=0,"",ROUND((F31+G31+H31)/3,0))</f>
        <v/>
      </c>
      <c r="AF35" s="202"/>
    </row>
    <row r="36" spans="1:32" ht="25.5" customHeight="1">
      <c r="A36" s="256"/>
      <c r="B36" s="478" t="s">
        <v>122</v>
      </c>
      <c r="C36" s="479"/>
      <c r="D36" s="479"/>
      <c r="E36" s="480"/>
      <c r="F36" s="129" t="str">
        <f>IF('TERM 1 SUMMARY'!U15="","",IFERROR(VLOOKUP(C17,'TERM 1 SUMMARY'!$C$15:$U$115,13,0),""))</f>
        <v/>
      </c>
      <c r="G36" s="129" t="str">
        <f>IF('TERM 2 SUMMARY'!T15="","",IFERROR(VLOOKUP(C17,'TERM 2 SUMMARY'!$C$15:$T$115,13,0),""))</f>
        <v/>
      </c>
      <c r="H36" s="129" t="str">
        <f>IF('TERM 3 SUMMARY'!T15="","",IFERROR(VLOOKUP(C17,'TERM 3 SUMMARY'!$C$15:$T$115,13,0),""))</f>
        <v/>
      </c>
      <c r="I36" s="118" t="str">
        <f t="shared" si="2"/>
        <v/>
      </c>
      <c r="J36" s="469" t="str">
        <f>IF(I36="","",IF(I36&gt;=75,"Passed","Failed"))</f>
        <v/>
      </c>
      <c r="K36" s="469"/>
      <c r="L36" s="210"/>
      <c r="M36" s="211"/>
      <c r="N36" s="211"/>
      <c r="O36" s="209"/>
      <c r="P36" s="212"/>
      <c r="Q36" s="209"/>
      <c r="R36" s="209"/>
      <c r="S36" s="209"/>
      <c r="T36" s="209"/>
      <c r="U36" s="209"/>
      <c r="V36" s="209"/>
      <c r="W36" s="209"/>
      <c r="X36" s="209"/>
      <c r="Y36" s="209"/>
      <c r="Z36" s="209"/>
      <c r="AA36" s="209"/>
      <c r="AB36" s="209"/>
      <c r="AC36" s="209"/>
      <c r="AD36" s="213"/>
      <c r="AE36" s="202"/>
      <c r="AF36" s="202"/>
    </row>
    <row r="37" spans="1:32" ht="25.5" customHeight="1">
      <c r="A37" s="256"/>
      <c r="B37" s="478" t="s">
        <v>89</v>
      </c>
      <c r="C37" s="479"/>
      <c r="D37" s="479"/>
      <c r="E37" s="480"/>
      <c r="F37" s="129" t="str">
        <f>IF('TERM 1 SUMMARY'!U15="","",IFERROR(VLOOKUP(C17,'TERM 1 SUMMARY'!$C$15:$U$115,14,0),""))</f>
        <v/>
      </c>
      <c r="G37" s="129" t="str">
        <f>IF('TERM 2 SUMMARY'!T15="","",IFERROR(VLOOKUP(C17,'TERM 2 SUMMARY'!$C$15:$T$115,14,0),""))</f>
        <v/>
      </c>
      <c r="H37" s="129" t="str">
        <f>IF('TERM 3 SUMMARY'!T15="","",IFERROR(VLOOKUP(C17,'TERM 3 SUMMARY'!$C$15:$T$115,14,0),""))</f>
        <v/>
      </c>
      <c r="I37" s="118" t="str">
        <f t="shared" si="2"/>
        <v/>
      </c>
      <c r="J37" s="469" t="str">
        <f>IF(I37="","",IF(I37&gt;=75,"Passed","Failed"))</f>
        <v/>
      </c>
      <c r="K37" s="469"/>
      <c r="L37" s="210"/>
      <c r="M37" s="211"/>
      <c r="N37" s="211"/>
      <c r="O37" s="209"/>
      <c r="P37" s="212"/>
      <c r="Q37" s="239" t="s">
        <v>90</v>
      </c>
      <c r="R37" s="209"/>
      <c r="S37" s="241"/>
      <c r="T37" s="241"/>
      <c r="U37" s="209"/>
      <c r="V37" s="209"/>
      <c r="W37" s="209"/>
      <c r="X37" s="209"/>
      <c r="Y37" s="209"/>
      <c r="Z37" s="209"/>
      <c r="AA37" s="209"/>
      <c r="AB37" s="209"/>
      <c r="AC37" s="209"/>
      <c r="AD37" s="213"/>
      <c r="AE37" s="202"/>
      <c r="AF37" s="202"/>
    </row>
    <row r="38" spans="1:32" ht="25.5" customHeight="1">
      <c r="A38" s="256"/>
      <c r="B38" s="478" t="s">
        <v>123</v>
      </c>
      <c r="C38" s="479"/>
      <c r="D38" s="479"/>
      <c r="E38" s="480"/>
      <c r="F38" s="268" t="str">
        <f>IF('TERM 1 SUMMARY'!U15="","",IFERROR(VLOOKUP(C17,'TERM 1 SUMMARY'!$C$15:$U$115,15,0),""))</f>
        <v/>
      </c>
      <c r="G38" s="268" t="str">
        <f>IF('TERM 2 SUMMARY'!T15="","",IFERROR(VLOOKUP(C17,'TERM 2 SUMMARY'!$C$15:$T$115,15,0),""))</f>
        <v/>
      </c>
      <c r="H38" s="268" t="str">
        <f>IF('TERM 3 SUMMARY'!T15="","",IFERROR(VLOOKUP(C17,'TERM 3 SUMMARY'!$C$15:$T$115,15,0),""))</f>
        <v/>
      </c>
      <c r="I38" s="118" t="str">
        <f t="shared" si="2"/>
        <v/>
      </c>
      <c r="J38" s="469" t="str">
        <f>IF(I38="","",IF(I38&gt;=75,"Passed","Failed"))</f>
        <v/>
      </c>
      <c r="K38" s="469"/>
      <c r="L38" s="210"/>
      <c r="M38" s="211"/>
      <c r="N38" s="211"/>
      <c r="O38" s="209"/>
      <c r="P38" s="212"/>
      <c r="Q38" s="239" t="s">
        <v>91</v>
      </c>
      <c r="R38" s="209"/>
      <c r="S38" s="209"/>
      <c r="T38" s="209"/>
      <c r="U38" s="241"/>
      <c r="V38" s="241"/>
      <c r="W38" s="241"/>
      <c r="X38" s="257"/>
      <c r="Y38" s="211"/>
      <c r="Z38" s="211"/>
      <c r="AA38" s="211"/>
      <c r="AB38" s="211"/>
      <c r="AC38" s="209"/>
      <c r="AD38" s="213"/>
      <c r="AE38" s="202"/>
      <c r="AF38" s="202"/>
    </row>
    <row r="39" spans="1:32" ht="25.5" customHeight="1">
      <c r="A39" s="258"/>
      <c r="B39" s="511" t="s">
        <v>124</v>
      </c>
      <c r="C39" s="512"/>
      <c r="D39" s="512"/>
      <c r="E39" s="512"/>
      <c r="F39" s="130" t="str">
        <f>IF('TERM 1 SUMMARY'!T15="","",IFERROR(VLOOKUP(C17,'TERM 1 SUMMARY'!$C$15:$T$115,18,0),""))</f>
        <v/>
      </c>
      <c r="G39" s="130" t="str">
        <f>IF('TERM 2 SUMMARY'!T15="","",IFERROR(VLOOKUP(C17,'TERM 2 SUMMARY'!$C$15:$T$115,18,0),""))</f>
        <v/>
      </c>
      <c r="H39" s="130" t="str">
        <f>IF('TERM 3 SUMMARY'!T15="","",IFERROR(VLOOKUP(C17,'TERM 3 SUMMARY'!$C$15:$T$115,18,0),""))</f>
        <v/>
      </c>
      <c r="I39" s="118" t="str">
        <f t="shared" si="2"/>
        <v/>
      </c>
      <c r="J39" s="469" t="str">
        <f>IF(I39="","",IF(I39&gt;=75,"Passed","Failed"))</f>
        <v/>
      </c>
      <c r="K39" s="469"/>
      <c r="L39" s="213"/>
      <c r="M39" s="207"/>
      <c r="N39" s="207"/>
      <c r="O39" s="202"/>
      <c r="P39" s="220"/>
      <c r="Q39" s="239"/>
      <c r="R39" s="209"/>
      <c r="S39" s="209"/>
      <c r="T39" s="209"/>
      <c r="U39" s="209"/>
      <c r="V39" s="209"/>
      <c r="W39" s="209"/>
      <c r="X39" s="499"/>
      <c r="Y39" s="500"/>
      <c r="Z39" s="500"/>
      <c r="AA39" s="500"/>
      <c r="AB39" s="500"/>
      <c r="AC39" s="209"/>
      <c r="AD39" s="213"/>
      <c r="AE39" s="202"/>
      <c r="AF39" s="202"/>
    </row>
    <row r="40" spans="1:32" ht="25.5" customHeight="1">
      <c r="A40" s="258"/>
      <c r="B40" s="509" t="s">
        <v>125</v>
      </c>
      <c r="C40" s="510"/>
      <c r="D40" s="510"/>
      <c r="E40" s="510"/>
      <c r="F40" s="130" t="str">
        <f>IF('TERM 1 SUMMARY'!U15="","",IFERROR(VLOOKUP(C17,'TERM 1 SUMMARY'!$C$15:$U$115,16,0),""))</f>
        <v/>
      </c>
      <c r="G40" s="130" t="str">
        <f>IF('TERM 2 SUMMARY'!T15="","",IFERROR(VLOOKUP(C17,'TERM 2 SUMMARY'!$C$15:$T$115,16,0),""))</f>
        <v/>
      </c>
      <c r="H40" s="130" t="str">
        <f>IF('TERM 3 SUMMARY'!T15="","",IFERROR(VLOOKUP(C17,'TERM 3 SUMMARY'!$C$15:$T$115,16,0),""))</f>
        <v/>
      </c>
      <c r="I40" s="118" t="str">
        <f t="shared" si="2"/>
        <v/>
      </c>
      <c r="J40" s="476" t="str">
        <f>IF(I40="","",IF(I40&gt;=75,"Passed","Failed"))</f>
        <v/>
      </c>
      <c r="K40" s="476"/>
      <c r="L40" s="213"/>
      <c r="M40" s="207"/>
      <c r="N40" s="207"/>
      <c r="O40" s="202"/>
      <c r="P40" s="220"/>
      <c r="Q40" s="239" t="s">
        <v>92</v>
      </c>
      <c r="R40" s="501"/>
      <c r="S40" s="502"/>
      <c r="T40" s="502"/>
      <c r="U40" s="502"/>
      <c r="V40" s="209"/>
      <c r="W40" s="209"/>
      <c r="X40" s="465" t="str">
        <f>IF('INPUT DATA'!F26="","",'INPUT DATA'!F26)</f>
        <v/>
      </c>
      <c r="Y40" s="465"/>
      <c r="Z40" s="465"/>
      <c r="AA40" s="465"/>
      <c r="AB40" s="465"/>
      <c r="AC40" s="465"/>
      <c r="AD40" s="213"/>
      <c r="AE40" s="202"/>
      <c r="AF40" s="202"/>
    </row>
    <row r="41" spans="1:32" ht="25.5" customHeight="1">
      <c r="A41" s="259"/>
      <c r="B41" s="509" t="s">
        <v>126</v>
      </c>
      <c r="C41" s="509"/>
      <c r="D41" s="509"/>
      <c r="E41" s="509"/>
      <c r="F41" s="269" t="str">
        <f>IF('TERM 1 SUMMARY'!U15="","",IFERROR(VLOOKUP(C17,'TERM 1 SUMMARY'!$C$15:$U$115,17,0),""))</f>
        <v/>
      </c>
      <c r="G41" s="269" t="str">
        <f>IF('TERM 2 SUMMARY'!T15="","",IFERROR(VLOOKUP(C17,'TERM 2 SUMMARY'!$C$15:$T$115,17,0),""))</f>
        <v/>
      </c>
      <c r="H41" s="269" t="str">
        <f>IF('TERM 3 SUMMARY'!T15="","",IFERROR(VLOOKUP(C17,'TERM 3 SUMMARY'!$C$15:$T$115,17,0),""))</f>
        <v/>
      </c>
      <c r="I41" s="118" t="str">
        <f t="shared" si="2"/>
        <v/>
      </c>
      <c r="J41" s="477" t="str">
        <f>IF(I41="","",IF(I41&gt;=75,"Passed","Failed"))</f>
        <v/>
      </c>
      <c r="K41" s="477"/>
      <c r="L41" s="213"/>
      <c r="M41" s="207"/>
      <c r="N41" s="207"/>
      <c r="O41" s="202"/>
      <c r="P41" s="220"/>
      <c r="Q41" s="495" t="str">
        <f>IF('INPUT DATA'!F19="","",'INPUT DATA'!F19)</f>
        <v/>
      </c>
      <c r="R41" s="495"/>
      <c r="S41" s="495"/>
      <c r="T41" s="495"/>
      <c r="U41" s="495"/>
      <c r="V41" s="495"/>
      <c r="W41" s="209"/>
      <c r="X41" s="497" t="s">
        <v>4</v>
      </c>
      <c r="Y41" s="498"/>
      <c r="Z41" s="498"/>
      <c r="AA41" s="498"/>
      <c r="AB41" s="498"/>
      <c r="AC41" s="498"/>
      <c r="AD41" s="213"/>
      <c r="AE41" s="202"/>
      <c r="AF41" s="202"/>
    </row>
    <row r="42" spans="1:32" ht="15" customHeight="1">
      <c r="A42" s="256"/>
      <c r="B42" s="461" t="s">
        <v>93</v>
      </c>
      <c r="C42" s="461"/>
      <c r="D42" s="461"/>
      <c r="E42" s="461"/>
      <c r="F42" s="461"/>
      <c r="G42" s="461"/>
      <c r="H42" s="461"/>
      <c r="I42" s="462" t="str">
        <f>IF(COUNT(I32:I39)=0,"",ROUND(AVERAGE(I32:I39),0))</f>
        <v/>
      </c>
      <c r="J42" s="463" t="str">
        <f>IF(I42="","",IF(I42&gt;=75,"Passed","Failed"))</f>
        <v/>
      </c>
      <c r="K42" s="463"/>
      <c r="L42" s="213"/>
      <c r="M42" s="207"/>
      <c r="N42" s="207"/>
      <c r="O42" s="202"/>
      <c r="P42" s="220"/>
      <c r="Q42" s="496"/>
      <c r="R42" s="496"/>
      <c r="S42" s="496"/>
      <c r="T42" s="496"/>
      <c r="U42" s="496"/>
      <c r="V42" s="496"/>
      <c r="X42" s="466"/>
      <c r="Y42" s="466"/>
      <c r="Z42" s="466"/>
      <c r="AA42" s="466"/>
      <c r="AB42" s="466"/>
      <c r="AC42" s="466"/>
      <c r="AD42" s="213"/>
      <c r="AE42" s="202"/>
      <c r="AF42" s="202"/>
    </row>
    <row r="43" spans="1:32" ht="15.6">
      <c r="A43" s="260"/>
      <c r="B43" s="461"/>
      <c r="C43" s="461"/>
      <c r="D43" s="461"/>
      <c r="E43" s="461"/>
      <c r="F43" s="461"/>
      <c r="G43" s="461"/>
      <c r="H43" s="461"/>
      <c r="I43" s="462"/>
      <c r="J43" s="463"/>
      <c r="K43" s="463"/>
      <c r="L43" s="213"/>
      <c r="M43" s="207"/>
      <c r="N43" s="207"/>
      <c r="O43" s="202"/>
      <c r="P43" s="220"/>
      <c r="Q43" s="494" t="s">
        <v>120</v>
      </c>
      <c r="R43" s="494"/>
      <c r="S43" s="494"/>
      <c r="T43" s="494"/>
      <c r="U43" s="494"/>
      <c r="V43" s="494"/>
      <c r="W43" s="209"/>
      <c r="X43" s="494"/>
      <c r="Y43" s="466"/>
      <c r="Z43" s="466"/>
      <c r="AA43" s="466"/>
      <c r="AB43" s="466"/>
      <c r="AC43" s="466"/>
      <c r="AD43" s="213"/>
      <c r="AE43" s="202"/>
      <c r="AF43" s="202"/>
    </row>
    <row r="44" spans="1:32" ht="15.6">
      <c r="A44" s="208"/>
      <c r="B44" s="209"/>
      <c r="C44" s="209"/>
      <c r="D44" s="209"/>
      <c r="E44" s="209"/>
      <c r="F44" s="202"/>
      <c r="G44" s="202"/>
      <c r="H44" s="202"/>
      <c r="I44" s="202"/>
      <c r="J44" s="202"/>
      <c r="K44" s="202"/>
      <c r="L44" s="213"/>
      <c r="M44" s="207"/>
      <c r="N44" s="207"/>
      <c r="O44" s="202"/>
      <c r="P44" s="220"/>
      <c r="Q44" s="467"/>
      <c r="R44" s="460"/>
      <c r="S44" s="460"/>
      <c r="T44" s="460"/>
      <c r="U44" s="460"/>
      <c r="V44" s="460"/>
      <c r="W44" s="460"/>
      <c r="X44" s="460"/>
      <c r="Y44" s="460"/>
      <c r="Z44" s="460"/>
      <c r="AA44" s="460"/>
      <c r="AB44" s="460"/>
      <c r="AC44" s="460"/>
      <c r="AD44" s="213"/>
      <c r="AE44" s="202"/>
      <c r="AF44" s="202"/>
    </row>
    <row r="45" spans="1:32" ht="15.6">
      <c r="A45" s="208"/>
      <c r="B45" s="459" t="s">
        <v>94</v>
      </c>
      <c r="C45" s="460"/>
      <c r="D45" s="460"/>
      <c r="E45" s="460"/>
      <c r="F45" s="464"/>
      <c r="G45" s="460"/>
      <c r="H45" s="229"/>
      <c r="I45" s="464"/>
      <c r="J45" s="460"/>
      <c r="L45" s="261"/>
      <c r="M45" s="262"/>
      <c r="N45" s="262"/>
      <c r="O45" s="202"/>
      <c r="P45" s="220"/>
      <c r="Q45" s="467" t="s">
        <v>95</v>
      </c>
      <c r="R45" s="460"/>
      <c r="S45" s="460"/>
      <c r="T45" s="460"/>
      <c r="U45" s="460"/>
      <c r="V45" s="460"/>
      <c r="W45" s="460"/>
      <c r="X45" s="460"/>
      <c r="Y45" s="460"/>
      <c r="Z45" s="460"/>
      <c r="AA45" s="460"/>
      <c r="AB45" s="460"/>
      <c r="AC45" s="460"/>
      <c r="AD45" s="213"/>
      <c r="AE45" s="202"/>
      <c r="AF45" s="202"/>
    </row>
    <row r="46" spans="1:32" ht="15.6">
      <c r="A46" s="208"/>
      <c r="B46" s="209"/>
      <c r="C46" s="464" t="s">
        <v>96</v>
      </c>
      <c r="D46" s="464"/>
      <c r="E46" s="460"/>
      <c r="F46" s="464" t="s">
        <v>97</v>
      </c>
      <c r="G46" s="460"/>
      <c r="H46" s="217"/>
      <c r="I46" s="464" t="s">
        <v>82</v>
      </c>
      <c r="J46" s="460"/>
      <c r="L46" s="261"/>
      <c r="M46" s="262"/>
      <c r="N46" s="262"/>
      <c r="O46" s="202"/>
      <c r="P46" s="220"/>
      <c r="Q46" s="239" t="s">
        <v>98</v>
      </c>
      <c r="R46" s="241"/>
      <c r="S46" s="241"/>
      <c r="T46" s="241"/>
      <c r="U46" s="241"/>
      <c r="V46" s="241"/>
      <c r="W46" s="241"/>
      <c r="X46" s="239" t="s">
        <v>99</v>
      </c>
      <c r="Y46" s="241"/>
      <c r="Z46" s="241"/>
      <c r="AA46" s="241"/>
      <c r="AB46" s="241"/>
      <c r="AD46" s="213"/>
      <c r="AE46" s="202"/>
      <c r="AF46" s="202"/>
    </row>
    <row r="47" spans="1:32" ht="15.6">
      <c r="A47" s="208"/>
      <c r="B47" s="209"/>
      <c r="C47" s="458" t="s">
        <v>100</v>
      </c>
      <c r="D47" s="458"/>
      <c r="E47" s="458"/>
      <c r="F47" s="458" t="s">
        <v>101</v>
      </c>
      <c r="G47" s="458"/>
      <c r="H47" s="217"/>
      <c r="I47" s="458" t="s">
        <v>102</v>
      </c>
      <c r="J47" s="458"/>
      <c r="L47" s="261"/>
      <c r="M47" s="262"/>
      <c r="N47" s="262"/>
      <c r="O47" s="202"/>
      <c r="P47" s="220"/>
      <c r="AC47" s="209"/>
      <c r="AD47" s="213"/>
      <c r="AE47" s="202"/>
      <c r="AF47" s="202"/>
    </row>
    <row r="48" spans="1:32" ht="15.6">
      <c r="A48" s="208"/>
      <c r="B48" s="209"/>
      <c r="C48" s="458" t="s">
        <v>103</v>
      </c>
      <c r="D48" s="458"/>
      <c r="E48" s="458"/>
      <c r="F48" s="458" t="s">
        <v>104</v>
      </c>
      <c r="G48" s="458"/>
      <c r="H48" s="217"/>
      <c r="I48" s="458" t="s">
        <v>102</v>
      </c>
      <c r="J48" s="458"/>
      <c r="L48" s="261"/>
      <c r="M48" s="262"/>
      <c r="N48" s="262"/>
      <c r="O48" s="202"/>
      <c r="P48" s="220"/>
      <c r="Q48" s="209"/>
      <c r="R48" s="209"/>
      <c r="S48" s="209"/>
      <c r="T48" s="209"/>
      <c r="U48" s="209"/>
      <c r="V48" s="209"/>
      <c r="W48" s="209"/>
      <c r="X48" s="209"/>
      <c r="Y48" s="209"/>
      <c r="Z48" s="209"/>
      <c r="AA48" s="209"/>
      <c r="AB48" s="209"/>
      <c r="AC48" s="209"/>
      <c r="AD48" s="213"/>
      <c r="AE48" s="202"/>
      <c r="AF48" s="202"/>
    </row>
    <row r="49" spans="1:32" ht="15.6">
      <c r="A49" s="208"/>
      <c r="B49" s="209"/>
      <c r="C49" s="458" t="s">
        <v>105</v>
      </c>
      <c r="D49" s="458"/>
      <c r="E49" s="458"/>
      <c r="F49" s="458" t="s">
        <v>106</v>
      </c>
      <c r="G49" s="458"/>
      <c r="H49" s="217"/>
      <c r="I49" s="458" t="s">
        <v>102</v>
      </c>
      <c r="J49" s="458"/>
      <c r="L49" s="261"/>
      <c r="M49" s="262"/>
      <c r="N49" s="262"/>
      <c r="O49" s="202"/>
      <c r="P49" s="220"/>
      <c r="Q49" s="465" t="str">
        <f>IF('INPUT DATA'!F19="","",'INPUT DATA'!F19)</f>
        <v/>
      </c>
      <c r="R49" s="465"/>
      <c r="S49" s="465"/>
      <c r="T49" s="465"/>
      <c r="U49" s="465"/>
      <c r="V49" s="465"/>
      <c r="W49" s="209"/>
      <c r="X49" s="209"/>
      <c r="Y49" s="209"/>
      <c r="Z49" s="209"/>
      <c r="AA49" s="209"/>
      <c r="AB49" s="209"/>
      <c r="AC49" s="209"/>
      <c r="AD49" s="213"/>
      <c r="AE49" s="202"/>
      <c r="AF49" s="202"/>
    </row>
    <row r="50" spans="1:32" ht="15.6">
      <c r="A50" s="208"/>
      <c r="B50" s="209"/>
      <c r="C50" s="458" t="s">
        <v>107</v>
      </c>
      <c r="D50" s="458"/>
      <c r="E50" s="458"/>
      <c r="F50" s="458" t="s">
        <v>108</v>
      </c>
      <c r="G50" s="458"/>
      <c r="H50" s="217"/>
      <c r="I50" s="458" t="s">
        <v>109</v>
      </c>
      <c r="J50" s="458"/>
      <c r="L50" s="261"/>
      <c r="M50" s="262"/>
      <c r="N50" s="262"/>
      <c r="O50" s="202"/>
      <c r="P50" s="220"/>
      <c r="Q50" s="466" t="s">
        <v>2</v>
      </c>
      <c r="R50" s="466"/>
      <c r="S50" s="466"/>
      <c r="T50" s="466"/>
      <c r="U50" s="466"/>
      <c r="V50" s="466"/>
      <c r="W50" s="209"/>
      <c r="X50" s="209"/>
      <c r="Y50" s="209"/>
      <c r="Z50" s="209"/>
      <c r="AA50" s="209"/>
      <c r="AB50" s="209"/>
      <c r="AC50" s="209"/>
      <c r="AD50" s="213"/>
      <c r="AE50" s="202"/>
      <c r="AF50" s="202"/>
    </row>
    <row r="51" spans="1:32" ht="15.6">
      <c r="A51" s="221"/>
      <c r="B51" s="202"/>
      <c r="C51" s="458" t="s">
        <v>110</v>
      </c>
      <c r="D51" s="458"/>
      <c r="E51" s="458"/>
      <c r="F51" s="458" t="s">
        <v>111</v>
      </c>
      <c r="G51" s="458"/>
      <c r="H51" s="202"/>
      <c r="I51" s="458" t="s">
        <v>109</v>
      </c>
      <c r="J51" s="458"/>
      <c r="K51" s="202"/>
      <c r="L51" s="213"/>
      <c r="M51" s="207"/>
      <c r="N51" s="207"/>
      <c r="O51" s="202"/>
      <c r="P51" s="220"/>
      <c r="Q51" s="209"/>
      <c r="R51" s="209"/>
      <c r="S51" s="209"/>
      <c r="T51" s="209"/>
      <c r="U51" s="209"/>
      <c r="V51" s="209"/>
      <c r="W51" s="209"/>
      <c r="X51" s="209"/>
      <c r="Y51" s="209"/>
      <c r="Z51" s="209"/>
      <c r="AA51" s="209"/>
      <c r="AB51" s="209"/>
      <c r="AC51" s="209"/>
      <c r="AD51" s="213"/>
      <c r="AE51" s="202"/>
      <c r="AF51" s="202"/>
    </row>
    <row r="52" spans="1:32" ht="15">
      <c r="A52" s="263"/>
      <c r="B52" s="264"/>
      <c r="C52" s="264"/>
      <c r="D52" s="265"/>
      <c r="E52" s="264"/>
      <c r="F52" s="264"/>
      <c r="G52" s="264"/>
      <c r="H52" s="264"/>
      <c r="I52" s="264"/>
      <c r="J52" s="264"/>
      <c r="K52" s="264"/>
      <c r="L52" s="266"/>
      <c r="M52" s="207"/>
      <c r="N52" s="207"/>
      <c r="O52" s="202"/>
      <c r="P52" s="267"/>
      <c r="Q52" s="264"/>
      <c r="R52" s="264"/>
      <c r="S52" s="264"/>
      <c r="T52" s="264"/>
      <c r="U52" s="264"/>
      <c r="V52" s="264"/>
      <c r="W52" s="264"/>
      <c r="X52" s="264"/>
      <c r="Y52" s="264"/>
      <c r="Z52" s="264"/>
      <c r="AA52" s="264"/>
      <c r="AB52" s="264"/>
      <c r="AC52" s="264"/>
      <c r="AD52" s="266"/>
      <c r="AE52" s="202"/>
      <c r="AF52" s="202"/>
    </row>
    <row r="53" spans="1:32" ht="15">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c r="AA53" s="202"/>
      <c r="AB53" s="202"/>
      <c r="AC53" s="202"/>
      <c r="AD53" s="202"/>
      <c r="AE53" s="202"/>
      <c r="AF53" s="202"/>
    </row>
    <row r="54" spans="1:32" ht="15">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row>
    <row r="55" spans="1:32" ht="15">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row>
    <row r="56" spans="1:32" ht="15">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row>
    <row r="57" spans="1:32" ht="15">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row>
    <row r="58" spans="1:32" ht="15">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row>
    <row r="59" spans="1:32" ht="15">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row>
    <row r="60" spans="1:32" ht="15">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row>
    <row r="61" spans="1:32" ht="15">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row>
    <row r="62" spans="1:32" ht="15">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row>
    <row r="63" spans="1:32" ht="15">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row>
    <row r="64" spans="1:32" ht="15">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row>
    <row r="65" spans="1:32" ht="15">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row>
    <row r="66" spans="1:32" ht="15">
      <c r="A66" s="202"/>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row>
    <row r="67" spans="1:32" ht="15">
      <c r="A67" s="202"/>
      <c r="B67" s="202"/>
      <c r="C67" s="202"/>
      <c r="D67" s="202"/>
      <c r="E67" s="202"/>
      <c r="F67" s="202"/>
      <c r="G67" s="202"/>
      <c r="H67" s="202"/>
      <c r="I67" s="202"/>
      <c r="J67" s="202"/>
      <c r="K67" s="202"/>
      <c r="L67" s="202"/>
      <c r="M67" s="202"/>
      <c r="N67" s="202"/>
      <c r="O67" s="202"/>
      <c r="P67" s="202"/>
      <c r="Q67" s="202"/>
      <c r="R67" s="202"/>
      <c r="S67" s="202"/>
      <c r="T67" s="202"/>
      <c r="U67" s="202"/>
      <c r="V67" s="202"/>
      <c r="W67" s="202"/>
      <c r="X67" s="202"/>
      <c r="Y67" s="202"/>
      <c r="Z67" s="202"/>
      <c r="AA67" s="202"/>
      <c r="AB67" s="202"/>
      <c r="AC67" s="202"/>
      <c r="AD67" s="202"/>
      <c r="AE67" s="202"/>
      <c r="AF67" s="202"/>
    </row>
    <row r="68" spans="1:32" ht="15">
      <c r="A68" s="202"/>
      <c r="B68" s="202"/>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c r="AA68" s="202"/>
      <c r="AB68" s="202"/>
      <c r="AC68" s="202"/>
      <c r="AD68" s="202"/>
      <c r="AE68" s="202"/>
      <c r="AF68" s="202"/>
    </row>
    <row r="69" spans="1:32" ht="15">
      <c r="A69" s="202"/>
      <c r="B69" s="202"/>
      <c r="C69" s="202"/>
      <c r="D69" s="202"/>
      <c r="E69" s="202"/>
      <c r="F69" s="202"/>
      <c r="G69" s="202"/>
      <c r="H69" s="202"/>
      <c r="I69" s="202"/>
      <c r="J69" s="202"/>
      <c r="K69" s="202"/>
      <c r="L69" s="202"/>
      <c r="M69" s="202"/>
      <c r="N69" s="202"/>
      <c r="O69" s="202"/>
      <c r="P69" s="202"/>
      <c r="Q69" s="202"/>
      <c r="R69" s="202"/>
      <c r="S69" s="202"/>
      <c r="T69" s="202"/>
      <c r="U69" s="202"/>
      <c r="V69" s="202"/>
      <c r="W69" s="202"/>
      <c r="X69" s="202"/>
      <c r="Y69" s="202"/>
      <c r="Z69" s="202"/>
      <c r="AA69" s="202"/>
      <c r="AB69" s="202"/>
      <c r="AC69" s="202"/>
      <c r="AD69" s="202"/>
      <c r="AE69" s="202"/>
      <c r="AF69" s="202"/>
    </row>
    <row r="70" spans="1:32" ht="15">
      <c r="A70" s="202"/>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row>
    <row r="71" spans="1:32" ht="15">
      <c r="A71" s="202"/>
      <c r="B71" s="202"/>
      <c r="C71" s="202"/>
      <c r="D71" s="202"/>
      <c r="E71" s="202"/>
      <c r="F71" s="202"/>
      <c r="G71" s="202"/>
      <c r="H71" s="202"/>
      <c r="I71" s="202"/>
      <c r="J71" s="202"/>
      <c r="K71" s="202"/>
      <c r="L71" s="202"/>
      <c r="M71" s="202"/>
      <c r="N71" s="202"/>
      <c r="O71" s="202"/>
      <c r="P71" s="202"/>
      <c r="Q71" s="202"/>
      <c r="R71" s="202"/>
      <c r="S71" s="202"/>
      <c r="T71" s="202"/>
      <c r="U71" s="202"/>
      <c r="V71" s="202"/>
      <c r="W71" s="202"/>
      <c r="X71" s="202"/>
      <c r="Y71" s="202"/>
      <c r="Z71" s="202"/>
      <c r="AA71" s="202"/>
      <c r="AB71" s="202"/>
      <c r="AC71" s="202"/>
      <c r="AD71" s="202"/>
      <c r="AE71" s="202"/>
      <c r="AF71" s="202"/>
    </row>
    <row r="72" spans="1:32" ht="15">
      <c r="A72" s="202"/>
      <c r="B72" s="202"/>
      <c r="C72" s="202"/>
      <c r="D72" s="202"/>
      <c r="E72" s="202"/>
      <c r="F72" s="202"/>
      <c r="G72" s="202"/>
      <c r="H72" s="202"/>
      <c r="I72" s="202"/>
      <c r="J72" s="202"/>
      <c r="K72" s="202"/>
      <c r="L72" s="202"/>
      <c r="M72" s="202"/>
      <c r="N72" s="202"/>
      <c r="O72" s="202"/>
      <c r="P72" s="202"/>
      <c r="Q72" s="202"/>
      <c r="R72" s="202"/>
      <c r="S72" s="202"/>
      <c r="T72" s="202"/>
      <c r="U72" s="202"/>
      <c r="V72" s="202"/>
      <c r="W72" s="202"/>
      <c r="X72" s="202"/>
      <c r="Y72" s="202"/>
      <c r="Z72" s="202"/>
      <c r="AA72" s="202"/>
      <c r="AB72" s="202"/>
      <c r="AC72" s="202"/>
      <c r="AD72" s="202"/>
      <c r="AE72" s="202"/>
      <c r="AF72" s="202"/>
    </row>
    <row r="73" spans="1:32" ht="15">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c r="Y73" s="202"/>
      <c r="Z73" s="202"/>
      <c r="AA73" s="202"/>
      <c r="AB73" s="202"/>
      <c r="AC73" s="202"/>
      <c r="AD73" s="202"/>
      <c r="AE73" s="202"/>
      <c r="AF73" s="202"/>
    </row>
    <row r="74" spans="1:32" ht="15">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c r="Y74" s="202"/>
      <c r="Z74" s="202"/>
      <c r="AA74" s="202"/>
      <c r="AB74" s="202"/>
      <c r="AC74" s="202"/>
      <c r="AD74" s="202"/>
      <c r="AE74" s="202"/>
      <c r="AF74" s="202"/>
    </row>
    <row r="75" spans="1:32" ht="15">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row>
    <row r="76" spans="1:32" ht="15">
      <c r="A76" s="202"/>
      <c r="B76" s="202"/>
      <c r="C76" s="202"/>
      <c r="D76" s="202"/>
      <c r="E76" s="202"/>
      <c r="F76" s="202"/>
      <c r="G76" s="202"/>
      <c r="H76" s="202"/>
      <c r="I76" s="202"/>
      <c r="J76" s="202"/>
      <c r="K76" s="202"/>
      <c r="L76" s="202"/>
      <c r="M76" s="202"/>
      <c r="N76" s="202"/>
      <c r="O76" s="202"/>
      <c r="P76" s="202"/>
      <c r="Q76" s="202"/>
      <c r="R76" s="202"/>
      <c r="S76" s="202"/>
      <c r="T76" s="202"/>
      <c r="U76" s="202"/>
      <c r="V76" s="202"/>
      <c r="W76" s="202"/>
      <c r="X76" s="202"/>
      <c r="Y76" s="202"/>
      <c r="Z76" s="202"/>
      <c r="AA76" s="202"/>
      <c r="AB76" s="202"/>
      <c r="AC76" s="202"/>
      <c r="AD76" s="202"/>
      <c r="AE76" s="202"/>
      <c r="AF76" s="202"/>
    </row>
    <row r="77" spans="1:32" ht="15">
      <c r="A77" s="202"/>
      <c r="B77" s="202"/>
      <c r="C77" s="202"/>
      <c r="D77" s="202"/>
      <c r="E77" s="202"/>
      <c r="F77" s="202"/>
      <c r="G77" s="202"/>
      <c r="H77" s="202"/>
      <c r="I77" s="202"/>
      <c r="J77" s="202"/>
      <c r="K77" s="202"/>
      <c r="L77" s="202"/>
      <c r="M77" s="202"/>
      <c r="N77" s="202"/>
      <c r="O77" s="202"/>
      <c r="P77" s="202"/>
      <c r="Q77" s="202"/>
      <c r="R77" s="202"/>
      <c r="S77" s="202"/>
      <c r="T77" s="202"/>
      <c r="U77" s="202"/>
      <c r="V77" s="202"/>
      <c r="W77" s="202"/>
      <c r="X77" s="202"/>
      <c r="Y77" s="202"/>
      <c r="Z77" s="202"/>
      <c r="AA77" s="202"/>
      <c r="AB77" s="202"/>
      <c r="AC77" s="202"/>
      <c r="AD77" s="202"/>
      <c r="AE77" s="202"/>
      <c r="AF77" s="202"/>
    </row>
    <row r="78" spans="1:32" ht="15">
      <c r="A78" s="202"/>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row>
    <row r="79" spans="1:32" ht="15">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row>
    <row r="80" spans="1:32" ht="15">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2"/>
      <c r="Z80" s="202"/>
      <c r="AA80" s="202"/>
      <c r="AB80" s="202"/>
      <c r="AC80" s="202"/>
      <c r="AD80" s="202"/>
      <c r="AE80" s="202"/>
      <c r="AF80" s="202"/>
    </row>
    <row r="81" spans="1:32" ht="15">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2"/>
      <c r="Z81" s="202"/>
      <c r="AA81" s="202"/>
      <c r="AB81" s="202"/>
      <c r="AC81" s="202"/>
      <c r="AD81" s="202"/>
      <c r="AE81" s="202"/>
      <c r="AF81" s="202"/>
    </row>
    <row r="82" spans="1:32" ht="15">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row>
    <row r="83" spans="1:32" ht="15">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row>
    <row r="84" spans="1:32" ht="15">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c r="AA84" s="202"/>
      <c r="AB84" s="202"/>
      <c r="AC84" s="202"/>
      <c r="AD84" s="202"/>
      <c r="AE84" s="202"/>
      <c r="AF84" s="202"/>
    </row>
    <row r="85" spans="1:32" ht="15">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c r="AA85" s="202"/>
      <c r="AB85" s="202"/>
      <c r="AC85" s="202"/>
      <c r="AD85" s="202"/>
      <c r="AE85" s="202"/>
      <c r="AF85" s="202"/>
    </row>
    <row r="86" spans="1:32" ht="15">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2"/>
      <c r="Z86" s="202"/>
      <c r="AA86" s="202"/>
      <c r="AB86" s="202"/>
      <c r="AC86" s="202"/>
      <c r="AD86" s="202"/>
      <c r="AE86" s="202"/>
      <c r="AF86" s="202"/>
    </row>
    <row r="87" spans="1:32" ht="15">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c r="AA87" s="202"/>
      <c r="AB87" s="202"/>
      <c r="AC87" s="202"/>
      <c r="AD87" s="202"/>
      <c r="AE87" s="202"/>
      <c r="AF87" s="202"/>
    </row>
    <row r="88" spans="1:32" ht="15">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c r="AA88" s="202"/>
      <c r="AB88" s="202"/>
      <c r="AC88" s="202"/>
      <c r="AD88" s="202"/>
      <c r="AE88" s="202"/>
      <c r="AF88" s="202"/>
    </row>
    <row r="89" spans="1:32" ht="15">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c r="AA89" s="202"/>
      <c r="AB89" s="202"/>
      <c r="AC89" s="202"/>
      <c r="AD89" s="202"/>
      <c r="AE89" s="202"/>
      <c r="AF89" s="202"/>
    </row>
    <row r="90" spans="1:32" ht="15">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2"/>
      <c r="Z90" s="202"/>
      <c r="AA90" s="202"/>
      <c r="AB90" s="202"/>
      <c r="AC90" s="202"/>
      <c r="AD90" s="202"/>
      <c r="AE90" s="202"/>
      <c r="AF90" s="202"/>
    </row>
    <row r="91" spans="1:32" ht="15">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2"/>
      <c r="Z91" s="202"/>
      <c r="AA91" s="202"/>
      <c r="AB91" s="202"/>
      <c r="AC91" s="202"/>
      <c r="AD91" s="202"/>
      <c r="AE91" s="202"/>
      <c r="AF91" s="202"/>
    </row>
    <row r="92" spans="1:32" ht="15">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2"/>
      <c r="Z92" s="202"/>
      <c r="AA92" s="202"/>
      <c r="AB92" s="202"/>
      <c r="AC92" s="202"/>
      <c r="AD92" s="202"/>
      <c r="AE92" s="202"/>
      <c r="AF92" s="202"/>
    </row>
    <row r="93" spans="1:32" ht="15">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2"/>
      <c r="Z93" s="202"/>
      <c r="AA93" s="202"/>
      <c r="AB93" s="202"/>
      <c r="AC93" s="202"/>
      <c r="AD93" s="202"/>
      <c r="AE93" s="202"/>
      <c r="AF93" s="202"/>
    </row>
    <row r="94" spans="1:32" ht="15">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row>
    <row r="95" spans="1:32" ht="15">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2"/>
      <c r="AA95" s="202"/>
      <c r="AB95" s="202"/>
      <c r="AC95" s="202"/>
      <c r="AD95" s="202"/>
      <c r="AE95" s="202"/>
      <c r="AF95" s="202"/>
    </row>
    <row r="96" spans="1:32" ht="15">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c r="AA96" s="202"/>
      <c r="AB96" s="202"/>
      <c r="AC96" s="202"/>
      <c r="AD96" s="202"/>
      <c r="AE96" s="202"/>
      <c r="AF96" s="202"/>
    </row>
    <row r="97" spans="1:32" ht="15">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c r="AA97" s="202"/>
      <c r="AB97" s="202"/>
      <c r="AC97" s="202"/>
      <c r="AD97" s="202"/>
      <c r="AE97" s="202"/>
      <c r="AF97" s="202"/>
    </row>
    <row r="98" spans="1:32" ht="15">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2"/>
      <c r="AA98" s="202"/>
      <c r="AB98" s="202"/>
      <c r="AC98" s="202"/>
      <c r="AD98" s="202"/>
      <c r="AE98" s="202"/>
      <c r="AF98" s="202"/>
    </row>
    <row r="99" spans="1:32" ht="15">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2"/>
      <c r="Z99" s="202"/>
      <c r="AA99" s="202"/>
      <c r="AB99" s="202"/>
      <c r="AC99" s="202"/>
      <c r="AD99" s="202"/>
      <c r="AE99" s="202"/>
      <c r="AF99" s="202"/>
    </row>
    <row r="100" spans="1:32" ht="15">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2"/>
      <c r="AE100" s="202"/>
      <c r="AF100" s="202"/>
    </row>
    <row r="101" spans="1:32" ht="15">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2"/>
      <c r="AE101" s="202"/>
      <c r="AF101" s="202"/>
    </row>
    <row r="102" spans="1:32" ht="15">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c r="AA102" s="202"/>
      <c r="AB102" s="202"/>
      <c r="AC102" s="202"/>
      <c r="AD102" s="202"/>
      <c r="AE102" s="202"/>
      <c r="AF102" s="202"/>
    </row>
    <row r="103" spans="1:32" ht="15">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2"/>
      <c r="AE103" s="202"/>
      <c r="AF103" s="202"/>
    </row>
    <row r="104" spans="1:32" ht="15">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2"/>
      <c r="AE104" s="202"/>
      <c r="AF104" s="202"/>
    </row>
    <row r="105" spans="1:32" ht="15">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2"/>
      <c r="AE105" s="202"/>
      <c r="AF105" s="202"/>
    </row>
    <row r="106" spans="1:32" ht="15">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c r="AA106" s="202"/>
      <c r="AB106" s="202"/>
      <c r="AC106" s="202"/>
      <c r="AD106" s="202"/>
      <c r="AE106" s="202"/>
      <c r="AF106" s="202"/>
    </row>
    <row r="107" spans="1:32" ht="15">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2"/>
      <c r="AE107" s="202"/>
      <c r="AF107" s="202"/>
    </row>
    <row r="108" spans="1:32" ht="15">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c r="AA108" s="202"/>
      <c r="AB108" s="202"/>
      <c r="AC108" s="202"/>
      <c r="AD108" s="202"/>
      <c r="AE108" s="202"/>
      <c r="AF108" s="202"/>
    </row>
    <row r="109" spans="1:32" ht="15">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2"/>
      <c r="AE109" s="202"/>
      <c r="AF109" s="202"/>
    </row>
    <row r="110" spans="1:32" ht="15">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row>
    <row r="111" spans="1:32" ht="15">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2"/>
      <c r="AE111" s="202"/>
      <c r="AF111" s="202"/>
    </row>
    <row r="112" spans="1:32" ht="15">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2"/>
      <c r="AE112" s="202"/>
      <c r="AF112" s="202"/>
    </row>
    <row r="113" spans="1:32" ht="15">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c r="AA113" s="202"/>
      <c r="AB113" s="202"/>
      <c r="AC113" s="202"/>
      <c r="AD113" s="202"/>
      <c r="AE113" s="202"/>
      <c r="AF113" s="202"/>
    </row>
    <row r="114" spans="1:32" ht="15">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c r="AA114" s="202"/>
      <c r="AB114" s="202"/>
      <c r="AC114" s="202"/>
      <c r="AD114" s="202"/>
      <c r="AE114" s="202"/>
      <c r="AF114" s="202"/>
    </row>
    <row r="115" spans="1:32" ht="15">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2"/>
      <c r="AE115" s="202"/>
      <c r="AF115" s="202"/>
    </row>
    <row r="116" spans="1:32" ht="15">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c r="AA116" s="202"/>
      <c r="AB116" s="202"/>
      <c r="AC116" s="202"/>
      <c r="AD116" s="202"/>
      <c r="AE116" s="202"/>
      <c r="AF116" s="202"/>
    </row>
    <row r="117" spans="1:32" ht="15">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2"/>
      <c r="AE117" s="202"/>
      <c r="AF117" s="202"/>
    </row>
    <row r="118" spans="1:32" ht="15">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2"/>
      <c r="AE118" s="202"/>
      <c r="AF118" s="202"/>
    </row>
    <row r="119" spans="1:32" ht="15">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2"/>
      <c r="AE119" s="202"/>
      <c r="AF119" s="202"/>
    </row>
    <row r="120" spans="1:32" ht="15">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2"/>
      <c r="AE120" s="202"/>
      <c r="AF120" s="202"/>
    </row>
    <row r="121" spans="1:32" ht="15">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2"/>
      <c r="AE121" s="202"/>
      <c r="AF121" s="202"/>
    </row>
    <row r="122" spans="1:32" ht="15">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2"/>
      <c r="AE122" s="202"/>
      <c r="AF122" s="202"/>
    </row>
    <row r="123" spans="1:32" ht="15">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c r="AD123" s="202"/>
      <c r="AE123" s="202"/>
      <c r="AF123" s="202"/>
    </row>
    <row r="124" spans="1:32" ht="15">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c r="AD124" s="202"/>
      <c r="AE124" s="202"/>
      <c r="AF124" s="202"/>
    </row>
    <row r="125" spans="1:32" ht="15">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c r="AD125" s="202"/>
      <c r="AE125" s="202"/>
      <c r="AF125" s="202"/>
    </row>
    <row r="126" spans="1:32" ht="15">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c r="AD126" s="202"/>
      <c r="AE126" s="202"/>
      <c r="AF126" s="202"/>
    </row>
    <row r="127" spans="1:32" ht="15">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c r="AD127" s="202"/>
      <c r="AE127" s="202"/>
      <c r="AF127" s="202"/>
    </row>
    <row r="128" spans="1:32" ht="15">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row>
    <row r="129" spans="1:32" ht="15">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c r="AA129" s="202"/>
      <c r="AB129" s="202"/>
      <c r="AC129" s="202"/>
      <c r="AD129" s="202"/>
      <c r="AE129" s="202"/>
      <c r="AF129" s="202"/>
    </row>
    <row r="130" spans="1:32" ht="15">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c r="AA130" s="202"/>
      <c r="AB130" s="202"/>
      <c r="AC130" s="202"/>
      <c r="AD130" s="202"/>
      <c r="AE130" s="202"/>
      <c r="AF130" s="202"/>
    </row>
    <row r="131" spans="1:32" ht="15">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c r="AA131" s="202"/>
      <c r="AB131" s="202"/>
      <c r="AC131" s="202"/>
      <c r="AD131" s="202"/>
      <c r="AE131" s="202"/>
      <c r="AF131" s="202"/>
    </row>
    <row r="132" spans="1:32" ht="15">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c r="AA132" s="202"/>
      <c r="AB132" s="202"/>
      <c r="AC132" s="202"/>
      <c r="AD132" s="202"/>
      <c r="AE132" s="202"/>
      <c r="AF132" s="202"/>
    </row>
    <row r="133" spans="1:32" ht="15">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c r="AA133" s="202"/>
      <c r="AB133" s="202"/>
      <c r="AC133" s="202"/>
      <c r="AD133" s="202"/>
      <c r="AE133" s="202"/>
      <c r="AF133" s="202"/>
    </row>
    <row r="134" spans="1:32" ht="15">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c r="AA134" s="202"/>
      <c r="AB134" s="202"/>
      <c r="AC134" s="202"/>
      <c r="AD134" s="202"/>
      <c r="AE134" s="202"/>
      <c r="AF134" s="202"/>
    </row>
    <row r="135" spans="1:32" ht="15">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c r="AA135" s="202"/>
      <c r="AB135" s="202"/>
      <c r="AC135" s="202"/>
      <c r="AD135" s="202"/>
      <c r="AE135" s="202"/>
      <c r="AF135" s="202"/>
    </row>
    <row r="136" spans="1:32" ht="15">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2"/>
      <c r="AE136" s="202"/>
      <c r="AF136" s="202"/>
    </row>
    <row r="137" spans="1:32" ht="15">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row>
    <row r="138" spans="1:32" ht="15">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c r="AA138" s="202"/>
      <c r="AB138" s="202"/>
      <c r="AC138" s="202"/>
      <c r="AD138" s="202"/>
      <c r="AE138" s="202"/>
      <c r="AF138" s="202"/>
    </row>
    <row r="139" spans="1:32" ht="15">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c r="AA139" s="202"/>
      <c r="AB139" s="202"/>
      <c r="AC139" s="202"/>
      <c r="AD139" s="202"/>
      <c r="AE139" s="202"/>
      <c r="AF139" s="202"/>
    </row>
    <row r="140" spans="1:32" ht="15">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c r="AA140" s="202"/>
      <c r="AB140" s="202"/>
      <c r="AC140" s="202"/>
      <c r="AD140" s="202"/>
      <c r="AE140" s="202"/>
      <c r="AF140" s="202"/>
    </row>
    <row r="141" spans="1:32" ht="15">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c r="AA141" s="202"/>
      <c r="AB141" s="202"/>
      <c r="AC141" s="202"/>
      <c r="AD141" s="202"/>
      <c r="AE141" s="202"/>
      <c r="AF141" s="202"/>
    </row>
    <row r="142" spans="1:32" ht="15">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c r="AA142" s="202"/>
      <c r="AB142" s="202"/>
      <c r="AC142" s="202"/>
      <c r="AD142" s="202"/>
      <c r="AE142" s="202"/>
      <c r="AF142" s="202"/>
    </row>
    <row r="143" spans="1:32" ht="15">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c r="AA143" s="202"/>
      <c r="AB143" s="202"/>
      <c r="AC143" s="202"/>
      <c r="AD143" s="202"/>
      <c r="AE143" s="202"/>
      <c r="AF143" s="202"/>
    </row>
    <row r="144" spans="1:32" ht="15">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2"/>
      <c r="AE144" s="202"/>
      <c r="AF144" s="202"/>
    </row>
    <row r="145" spans="1:32" ht="15">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row>
    <row r="146" spans="1:32" ht="15">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c r="AA146" s="202"/>
      <c r="AB146" s="202"/>
      <c r="AC146" s="202"/>
      <c r="AD146" s="202"/>
      <c r="AE146" s="202"/>
      <c r="AF146" s="202"/>
    </row>
    <row r="147" spans="1:32" ht="15">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2"/>
      <c r="AE147" s="202"/>
      <c r="AF147" s="202"/>
    </row>
    <row r="148" spans="1:32" ht="15">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c r="AA148" s="202"/>
      <c r="AB148" s="202"/>
      <c r="AC148" s="202"/>
      <c r="AD148" s="202"/>
      <c r="AE148" s="202"/>
      <c r="AF148" s="202"/>
    </row>
    <row r="149" spans="1:32" ht="15">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c r="AA149" s="202"/>
      <c r="AB149" s="202"/>
      <c r="AC149" s="202"/>
      <c r="AD149" s="202"/>
      <c r="AE149" s="202"/>
      <c r="AF149" s="202"/>
    </row>
    <row r="150" spans="1:32" ht="15">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c r="AA150" s="202"/>
      <c r="AB150" s="202"/>
      <c r="AC150" s="202"/>
      <c r="AD150" s="202"/>
      <c r="AE150" s="202"/>
      <c r="AF150" s="202"/>
    </row>
    <row r="151" spans="1:32" ht="15">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c r="AA151" s="202"/>
      <c r="AB151" s="202"/>
      <c r="AC151" s="202"/>
      <c r="AD151" s="202"/>
      <c r="AE151" s="202"/>
      <c r="AF151" s="202"/>
    </row>
    <row r="152" spans="1:32" ht="15">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c r="AA152" s="202"/>
      <c r="AB152" s="202"/>
      <c r="AC152" s="202"/>
      <c r="AD152" s="202"/>
      <c r="AE152" s="202"/>
      <c r="AF152" s="202"/>
    </row>
    <row r="153" spans="1:32" ht="15">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c r="AA153" s="202"/>
      <c r="AB153" s="202"/>
      <c r="AC153" s="202"/>
      <c r="AD153" s="202"/>
      <c r="AE153" s="202"/>
      <c r="AF153" s="202"/>
    </row>
    <row r="154" spans="1:32" ht="15">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c r="AA154" s="202"/>
      <c r="AB154" s="202"/>
      <c r="AC154" s="202"/>
      <c r="AD154" s="202"/>
      <c r="AE154" s="202"/>
      <c r="AF154" s="202"/>
    </row>
    <row r="155" spans="1:32" ht="15">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c r="AA155" s="202"/>
      <c r="AB155" s="202"/>
      <c r="AC155" s="202"/>
      <c r="AD155" s="202"/>
      <c r="AE155" s="202"/>
      <c r="AF155" s="202"/>
    </row>
    <row r="156" spans="1:32" ht="15">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c r="AA156" s="202"/>
      <c r="AB156" s="202"/>
      <c r="AC156" s="202"/>
      <c r="AD156" s="202"/>
      <c r="AE156" s="202"/>
      <c r="AF156" s="202"/>
    </row>
    <row r="157" spans="1:32" ht="15">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c r="AA157" s="202"/>
      <c r="AB157" s="202"/>
      <c r="AC157" s="202"/>
      <c r="AD157" s="202"/>
      <c r="AE157" s="202"/>
      <c r="AF157" s="202"/>
    </row>
    <row r="158" spans="1:32" ht="15">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c r="AA158" s="202"/>
      <c r="AB158" s="202"/>
      <c r="AC158" s="202"/>
      <c r="AD158" s="202"/>
      <c r="AE158" s="202"/>
      <c r="AF158" s="202"/>
    </row>
    <row r="159" spans="1:32" ht="15">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c r="AA159" s="202"/>
      <c r="AB159" s="202"/>
      <c r="AC159" s="202"/>
      <c r="AD159" s="202"/>
      <c r="AE159" s="202"/>
      <c r="AF159" s="202"/>
    </row>
    <row r="160" spans="1:32" ht="15">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c r="AA160" s="202"/>
      <c r="AB160" s="202"/>
      <c r="AC160" s="202"/>
      <c r="AD160" s="202"/>
      <c r="AE160" s="202"/>
      <c r="AF160" s="202"/>
    </row>
    <row r="161" spans="1:32" ht="15">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c r="AA161" s="202"/>
      <c r="AB161" s="202"/>
      <c r="AC161" s="202"/>
      <c r="AD161" s="202"/>
      <c r="AE161" s="202"/>
      <c r="AF161" s="202"/>
    </row>
    <row r="162" spans="1:32" ht="15">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c r="AA162" s="202"/>
      <c r="AB162" s="202"/>
      <c r="AC162" s="202"/>
      <c r="AD162" s="202"/>
      <c r="AE162" s="202"/>
      <c r="AF162" s="202"/>
    </row>
    <row r="163" spans="1:32" ht="15">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c r="AA163" s="202"/>
      <c r="AB163" s="202"/>
      <c r="AC163" s="202"/>
      <c r="AD163" s="202"/>
      <c r="AE163" s="202"/>
      <c r="AF163" s="202"/>
    </row>
    <row r="164" spans="1:32" ht="15">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c r="AA164" s="202"/>
      <c r="AB164" s="202"/>
      <c r="AC164" s="202"/>
      <c r="AD164" s="202"/>
      <c r="AE164" s="202"/>
      <c r="AF164" s="202"/>
    </row>
    <row r="165" spans="1:32" ht="15">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c r="AA165" s="202"/>
      <c r="AB165" s="202"/>
      <c r="AC165" s="202"/>
      <c r="AD165" s="202"/>
      <c r="AE165" s="202"/>
      <c r="AF165" s="202"/>
    </row>
    <row r="166" spans="1:32" ht="15">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c r="AA166" s="202"/>
      <c r="AB166" s="202"/>
      <c r="AC166" s="202"/>
      <c r="AD166" s="202"/>
      <c r="AE166" s="202"/>
      <c r="AF166" s="202"/>
    </row>
    <row r="167" spans="1:32" ht="15">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c r="AA167" s="202"/>
      <c r="AB167" s="202"/>
      <c r="AC167" s="202"/>
      <c r="AD167" s="202"/>
      <c r="AE167" s="202"/>
      <c r="AF167" s="202"/>
    </row>
    <row r="168" spans="1:32" ht="15">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c r="AA168" s="202"/>
      <c r="AB168" s="202"/>
      <c r="AC168" s="202"/>
      <c r="AD168" s="202"/>
      <c r="AE168" s="202"/>
      <c r="AF168" s="202"/>
    </row>
    <row r="169" spans="1:32" ht="15">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c r="AA169" s="202"/>
      <c r="AB169" s="202"/>
      <c r="AC169" s="202"/>
      <c r="AD169" s="202"/>
      <c r="AE169" s="202"/>
      <c r="AF169" s="202"/>
    </row>
    <row r="170" spans="1:32" ht="15">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c r="AA170" s="202"/>
      <c r="AB170" s="202"/>
      <c r="AC170" s="202"/>
      <c r="AD170" s="202"/>
      <c r="AE170" s="202"/>
      <c r="AF170" s="202"/>
    </row>
    <row r="171" spans="1:32" ht="15">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c r="AA171" s="202"/>
      <c r="AB171" s="202"/>
      <c r="AC171" s="202"/>
      <c r="AD171" s="202"/>
      <c r="AE171" s="202"/>
      <c r="AF171" s="202"/>
    </row>
    <row r="172" spans="1:32" ht="15">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c r="AA172" s="202"/>
      <c r="AB172" s="202"/>
      <c r="AC172" s="202"/>
      <c r="AD172" s="202"/>
      <c r="AE172" s="202"/>
      <c r="AF172" s="202"/>
    </row>
    <row r="173" spans="1:32" ht="15">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c r="AF173" s="202"/>
    </row>
    <row r="174" spans="1:32" ht="15">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c r="AA174" s="202"/>
      <c r="AB174" s="202"/>
      <c r="AC174" s="202"/>
      <c r="AD174" s="202"/>
      <c r="AE174" s="202"/>
      <c r="AF174" s="202"/>
    </row>
    <row r="175" spans="1:32" ht="15">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row>
    <row r="176" spans="1:32" ht="15">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c r="AA176" s="202"/>
      <c r="AB176" s="202"/>
      <c r="AC176" s="202"/>
      <c r="AD176" s="202"/>
      <c r="AE176" s="202"/>
      <c r="AF176" s="202"/>
    </row>
    <row r="177" spans="1:32" ht="15">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c r="AA177" s="202"/>
      <c r="AB177" s="202"/>
      <c r="AC177" s="202"/>
      <c r="AD177" s="202"/>
      <c r="AE177" s="202"/>
      <c r="AF177" s="202"/>
    </row>
    <row r="178" spans="1:32" ht="15">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c r="AE178" s="202"/>
      <c r="AF178" s="202"/>
    </row>
    <row r="179" spans="1:32" ht="15">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c r="AA179" s="202"/>
      <c r="AB179" s="202"/>
      <c r="AC179" s="202"/>
      <c r="AD179" s="202"/>
      <c r="AE179" s="202"/>
      <c r="AF179" s="202"/>
    </row>
    <row r="180" spans="1:32" ht="15">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c r="AA180" s="202"/>
      <c r="AB180" s="202"/>
      <c r="AC180" s="202"/>
      <c r="AD180" s="202"/>
      <c r="AE180" s="202"/>
      <c r="AF180" s="202"/>
    </row>
    <row r="181" spans="1:32" ht="15">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c r="AA181" s="202"/>
      <c r="AB181" s="202"/>
      <c r="AC181" s="202"/>
      <c r="AD181" s="202"/>
      <c r="AE181" s="202"/>
      <c r="AF181" s="202"/>
    </row>
    <row r="182" spans="1:32" ht="15">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c r="AA182" s="202"/>
      <c r="AB182" s="202"/>
      <c r="AC182" s="202"/>
      <c r="AD182" s="202"/>
      <c r="AE182" s="202"/>
      <c r="AF182" s="202"/>
    </row>
    <row r="183" spans="1:32" ht="15">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c r="AA183" s="202"/>
      <c r="AB183" s="202"/>
      <c r="AC183" s="202"/>
      <c r="AD183" s="202"/>
      <c r="AE183" s="202"/>
      <c r="AF183" s="202"/>
    </row>
    <row r="184" spans="1:32" ht="15">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c r="AA184" s="202"/>
      <c r="AB184" s="202"/>
      <c r="AC184" s="202"/>
      <c r="AD184" s="202"/>
      <c r="AE184" s="202"/>
      <c r="AF184" s="202"/>
    </row>
    <row r="185" spans="1:32" ht="15">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c r="AA185" s="202"/>
      <c r="AB185" s="202"/>
      <c r="AC185" s="202"/>
      <c r="AD185" s="202"/>
      <c r="AE185" s="202"/>
      <c r="AF185" s="202"/>
    </row>
    <row r="186" spans="1:32" ht="15">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c r="AA186" s="202"/>
      <c r="AB186" s="202"/>
      <c r="AC186" s="202"/>
      <c r="AD186" s="202"/>
      <c r="AE186" s="202"/>
      <c r="AF186" s="202"/>
    </row>
    <row r="187" spans="1:32" ht="15">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row>
    <row r="188" spans="1:32" ht="15">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c r="AA188" s="202"/>
      <c r="AB188" s="202"/>
      <c r="AC188" s="202"/>
      <c r="AD188" s="202"/>
      <c r="AE188" s="202"/>
      <c r="AF188" s="202"/>
    </row>
    <row r="189" spans="1:32" ht="15">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c r="AA189" s="202"/>
      <c r="AB189" s="202"/>
      <c r="AC189" s="202"/>
      <c r="AD189" s="202"/>
      <c r="AE189" s="202"/>
      <c r="AF189" s="202"/>
    </row>
    <row r="190" spans="1:32" ht="15">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c r="AA190" s="202"/>
      <c r="AB190" s="202"/>
      <c r="AC190" s="202"/>
      <c r="AD190" s="202"/>
      <c r="AE190" s="202"/>
      <c r="AF190" s="202"/>
    </row>
    <row r="191" spans="1:32" ht="15">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c r="AA191" s="202"/>
      <c r="AB191" s="202"/>
      <c r="AC191" s="202"/>
      <c r="AD191" s="202"/>
      <c r="AE191" s="202"/>
      <c r="AF191" s="202"/>
    </row>
    <row r="192" spans="1:32" ht="15">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c r="AA192" s="202"/>
      <c r="AB192" s="202"/>
      <c r="AC192" s="202"/>
      <c r="AD192" s="202"/>
      <c r="AE192" s="202"/>
      <c r="AF192" s="202"/>
    </row>
    <row r="193" spans="1:32" ht="15">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c r="AA193" s="202"/>
      <c r="AB193" s="202"/>
      <c r="AC193" s="202"/>
      <c r="AD193" s="202"/>
      <c r="AE193" s="202"/>
      <c r="AF193" s="202"/>
    </row>
    <row r="194" spans="1:32" ht="15">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c r="AA194" s="202"/>
      <c r="AB194" s="202"/>
      <c r="AC194" s="202"/>
      <c r="AD194" s="202"/>
      <c r="AE194" s="202"/>
      <c r="AF194" s="202"/>
    </row>
    <row r="195" spans="1:32" ht="15">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c r="AA195" s="202"/>
      <c r="AB195" s="202"/>
      <c r="AC195" s="202"/>
      <c r="AD195" s="202"/>
      <c r="AE195" s="202"/>
      <c r="AF195" s="202"/>
    </row>
    <row r="196" spans="1:32" ht="15">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c r="AA196" s="202"/>
      <c r="AB196" s="202"/>
      <c r="AC196" s="202"/>
      <c r="AD196" s="202"/>
      <c r="AE196" s="202"/>
      <c r="AF196" s="202"/>
    </row>
    <row r="197" spans="1:32" ht="15">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c r="AA197" s="202"/>
      <c r="AB197" s="202"/>
      <c r="AC197" s="202"/>
      <c r="AD197" s="202"/>
      <c r="AE197" s="202"/>
      <c r="AF197" s="202"/>
    </row>
    <row r="198" spans="1:32" ht="15">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c r="AA198" s="202"/>
      <c r="AB198" s="202"/>
      <c r="AC198" s="202"/>
      <c r="AD198" s="202"/>
      <c r="AE198" s="202"/>
      <c r="AF198" s="202"/>
    </row>
    <row r="199" spans="1:32" ht="15">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c r="AA199" s="202"/>
      <c r="AB199" s="202"/>
      <c r="AC199" s="202"/>
      <c r="AD199" s="202"/>
      <c r="AE199" s="202"/>
      <c r="AF199" s="202"/>
    </row>
    <row r="200" spans="1:32" ht="15">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c r="AA200" s="202"/>
      <c r="AB200" s="202"/>
      <c r="AC200" s="202"/>
      <c r="AD200" s="202"/>
      <c r="AE200" s="202"/>
      <c r="AF200" s="202"/>
    </row>
    <row r="201" spans="1:32" ht="15">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c r="AA201" s="202"/>
      <c r="AB201" s="202"/>
      <c r="AC201" s="202"/>
      <c r="AD201" s="202"/>
      <c r="AE201" s="202"/>
      <c r="AF201" s="202"/>
    </row>
    <row r="202" spans="1:32" ht="15">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c r="AA202" s="202"/>
      <c r="AB202" s="202"/>
      <c r="AC202" s="202"/>
      <c r="AD202" s="202"/>
      <c r="AE202" s="202"/>
      <c r="AF202" s="202"/>
    </row>
    <row r="203" spans="1:32" ht="15">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c r="AA203" s="202"/>
      <c r="AB203" s="202"/>
      <c r="AC203" s="202"/>
      <c r="AD203" s="202"/>
      <c r="AE203" s="202"/>
      <c r="AF203" s="202"/>
    </row>
    <row r="204" spans="1:32" ht="15">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c r="AA204" s="202"/>
      <c r="AB204" s="202"/>
      <c r="AC204" s="202"/>
      <c r="AD204" s="202"/>
      <c r="AE204" s="202"/>
      <c r="AF204" s="202"/>
    </row>
    <row r="205" spans="1:32" ht="15">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c r="AA205" s="202"/>
      <c r="AB205" s="202"/>
      <c r="AC205" s="202"/>
      <c r="AD205" s="202"/>
      <c r="AE205" s="202"/>
      <c r="AF205" s="202"/>
    </row>
    <row r="206" spans="1:32" ht="15">
      <c r="A206" s="202"/>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c r="AA206" s="202"/>
      <c r="AB206" s="202"/>
      <c r="AC206" s="202"/>
      <c r="AD206" s="202"/>
      <c r="AE206" s="202"/>
      <c r="AF206" s="202"/>
    </row>
    <row r="207" spans="1:32" ht="15">
      <c r="A207" s="202"/>
      <c r="B207" s="202"/>
      <c r="C207" s="202"/>
      <c r="D207" s="202"/>
      <c r="E207" s="202"/>
      <c r="F207" s="202"/>
      <c r="G207" s="202"/>
      <c r="H207" s="202"/>
      <c r="I207" s="202"/>
      <c r="J207" s="202"/>
      <c r="K207" s="202"/>
      <c r="L207" s="202"/>
      <c r="M207" s="202"/>
      <c r="N207" s="202"/>
      <c r="O207" s="202"/>
      <c r="P207" s="202"/>
      <c r="Q207" s="202"/>
      <c r="R207" s="202"/>
      <c r="S207" s="202"/>
      <c r="T207" s="202"/>
      <c r="U207" s="202"/>
      <c r="V207" s="202"/>
      <c r="W207" s="202"/>
      <c r="X207" s="202"/>
      <c r="Y207" s="202"/>
      <c r="Z207" s="202"/>
      <c r="AA207" s="202"/>
      <c r="AB207" s="202"/>
      <c r="AC207" s="202"/>
      <c r="AD207" s="202"/>
      <c r="AE207" s="202"/>
      <c r="AF207" s="202"/>
    </row>
    <row r="208" spans="1:32" ht="15">
      <c r="A208" s="202"/>
      <c r="B208" s="202"/>
      <c r="C208" s="202"/>
      <c r="D208" s="202"/>
      <c r="E208" s="202"/>
      <c r="F208" s="202"/>
      <c r="G208" s="202"/>
      <c r="H208" s="202"/>
      <c r="I208" s="202"/>
      <c r="J208" s="202"/>
      <c r="K208" s="202"/>
      <c r="L208" s="202"/>
      <c r="M208" s="202"/>
      <c r="N208" s="202"/>
      <c r="O208" s="202"/>
      <c r="P208" s="202"/>
      <c r="Q208" s="202"/>
      <c r="R208" s="202"/>
      <c r="S208" s="202"/>
      <c r="T208" s="202"/>
      <c r="U208" s="202"/>
      <c r="V208" s="202"/>
      <c r="W208" s="202"/>
      <c r="X208" s="202"/>
      <c r="Y208" s="202"/>
      <c r="Z208" s="202"/>
      <c r="AA208" s="202"/>
      <c r="AB208" s="202"/>
      <c r="AC208" s="202"/>
      <c r="AD208" s="202"/>
      <c r="AE208" s="202"/>
      <c r="AF208" s="202"/>
    </row>
    <row r="209" spans="1:32" ht="15">
      <c r="A209" s="202"/>
      <c r="B209" s="202"/>
      <c r="C209" s="202"/>
      <c r="D209" s="202"/>
      <c r="E209" s="202"/>
      <c r="F209" s="202"/>
      <c r="G209" s="202"/>
      <c r="H209" s="202"/>
      <c r="I209" s="202"/>
      <c r="J209" s="202"/>
      <c r="K209" s="202"/>
      <c r="L209" s="202"/>
      <c r="M209" s="202"/>
      <c r="N209" s="202"/>
      <c r="O209" s="202"/>
      <c r="P209" s="202"/>
      <c r="Q209" s="202"/>
      <c r="R209" s="202"/>
      <c r="S209" s="202"/>
      <c r="T209" s="202"/>
      <c r="U209" s="202"/>
      <c r="V209" s="202"/>
      <c r="W209" s="202"/>
      <c r="X209" s="202"/>
      <c r="Y209" s="202"/>
      <c r="Z209" s="202"/>
      <c r="AA209" s="202"/>
      <c r="AB209" s="202"/>
      <c r="AC209" s="202"/>
      <c r="AD209" s="202"/>
      <c r="AE209" s="202"/>
      <c r="AF209" s="202"/>
    </row>
    <row r="210" spans="1:32" ht="15">
      <c r="A210" s="202"/>
      <c r="B210" s="202"/>
      <c r="C210" s="202"/>
      <c r="D210" s="202"/>
      <c r="E210" s="202"/>
      <c r="F210" s="202"/>
      <c r="G210" s="202"/>
      <c r="H210" s="202"/>
      <c r="I210" s="202"/>
      <c r="J210" s="202"/>
      <c r="K210" s="202"/>
      <c r="L210" s="202"/>
      <c r="M210" s="202"/>
      <c r="N210" s="202"/>
      <c r="O210" s="202"/>
      <c r="P210" s="202"/>
      <c r="Q210" s="202"/>
      <c r="R210" s="202"/>
      <c r="S210" s="202"/>
      <c r="T210" s="202"/>
      <c r="U210" s="202"/>
      <c r="V210" s="202"/>
      <c r="W210" s="202"/>
      <c r="X210" s="202"/>
      <c r="Y210" s="202"/>
      <c r="Z210" s="202"/>
      <c r="AA210" s="202"/>
      <c r="AB210" s="202"/>
      <c r="AC210" s="202"/>
      <c r="AD210" s="202"/>
      <c r="AE210" s="202"/>
      <c r="AF210" s="202"/>
    </row>
    <row r="211" spans="1:32" ht="15">
      <c r="A211" s="202"/>
      <c r="B211" s="202"/>
      <c r="C211" s="202"/>
      <c r="D211" s="202"/>
      <c r="E211" s="202"/>
      <c r="F211" s="202"/>
      <c r="G211" s="202"/>
      <c r="H211" s="202"/>
      <c r="I211" s="202"/>
      <c r="J211" s="202"/>
      <c r="K211" s="202"/>
      <c r="L211" s="202"/>
      <c r="M211" s="202"/>
      <c r="N211" s="202"/>
      <c r="O211" s="202"/>
      <c r="P211" s="202"/>
      <c r="Q211" s="202"/>
      <c r="R211" s="202"/>
      <c r="S211" s="202"/>
      <c r="T211" s="202"/>
      <c r="U211" s="202"/>
      <c r="V211" s="202"/>
      <c r="W211" s="202"/>
      <c r="X211" s="202"/>
      <c r="Y211" s="202"/>
      <c r="Z211" s="202"/>
      <c r="AA211" s="202"/>
      <c r="AB211" s="202"/>
      <c r="AC211" s="202"/>
      <c r="AD211" s="202"/>
      <c r="AE211" s="202"/>
      <c r="AF211" s="202"/>
    </row>
    <row r="212" spans="1:32" ht="15">
      <c r="A212" s="202"/>
      <c r="B212" s="202"/>
      <c r="C212" s="202"/>
      <c r="D212" s="202"/>
      <c r="E212" s="202"/>
      <c r="F212" s="202"/>
      <c r="G212" s="202"/>
      <c r="H212" s="202"/>
      <c r="I212" s="202"/>
      <c r="J212" s="202"/>
      <c r="K212" s="202"/>
      <c r="L212" s="202"/>
      <c r="M212" s="202"/>
      <c r="N212" s="202"/>
      <c r="O212" s="202"/>
      <c r="P212" s="202"/>
      <c r="Q212" s="202"/>
      <c r="R212" s="202"/>
      <c r="S212" s="202"/>
      <c r="T212" s="202"/>
      <c r="U212" s="202"/>
      <c r="V212" s="202"/>
      <c r="W212" s="202"/>
      <c r="X212" s="202"/>
      <c r="Y212" s="202"/>
      <c r="Z212" s="202"/>
      <c r="AA212" s="202"/>
      <c r="AB212" s="202"/>
      <c r="AC212" s="202"/>
      <c r="AD212" s="202"/>
      <c r="AE212" s="202"/>
      <c r="AF212" s="202"/>
    </row>
    <row r="213" spans="1:32" ht="15">
      <c r="A213" s="202"/>
      <c r="B213" s="202"/>
      <c r="C213" s="202"/>
      <c r="D213" s="202"/>
      <c r="E213" s="202"/>
      <c r="F213" s="202"/>
      <c r="G213" s="202"/>
      <c r="H213" s="202"/>
      <c r="I213" s="202"/>
      <c r="J213" s="202"/>
      <c r="K213" s="202"/>
      <c r="L213" s="202"/>
      <c r="M213" s="202"/>
      <c r="N213" s="202"/>
      <c r="O213" s="202"/>
      <c r="P213" s="202"/>
      <c r="Q213" s="202"/>
      <c r="R213" s="202"/>
      <c r="S213" s="202"/>
      <c r="T213" s="202"/>
      <c r="U213" s="202"/>
      <c r="V213" s="202"/>
      <c r="W213" s="202"/>
      <c r="X213" s="202"/>
      <c r="Y213" s="202"/>
      <c r="Z213" s="202"/>
      <c r="AA213" s="202"/>
      <c r="AB213" s="202"/>
      <c r="AC213" s="202"/>
      <c r="AD213" s="202"/>
      <c r="AE213" s="202"/>
      <c r="AF213" s="202"/>
    </row>
    <row r="214" spans="1:32" ht="15">
      <c r="A214" s="202"/>
      <c r="B214" s="202"/>
      <c r="C214" s="202"/>
      <c r="D214" s="202"/>
      <c r="E214" s="202"/>
      <c r="F214" s="202"/>
      <c r="G214" s="202"/>
      <c r="H214" s="202"/>
      <c r="I214" s="202"/>
      <c r="J214" s="202"/>
      <c r="K214" s="202"/>
      <c r="L214" s="202"/>
      <c r="M214" s="202"/>
      <c r="N214" s="202"/>
      <c r="O214" s="202"/>
      <c r="P214" s="202"/>
      <c r="Q214" s="202"/>
      <c r="R214" s="202"/>
      <c r="S214" s="202"/>
      <c r="T214" s="202"/>
      <c r="U214" s="202"/>
      <c r="V214" s="202"/>
      <c r="W214" s="202"/>
      <c r="X214" s="202"/>
      <c r="Y214" s="202"/>
      <c r="Z214" s="202"/>
      <c r="AA214" s="202"/>
      <c r="AB214" s="202"/>
      <c r="AC214" s="202"/>
      <c r="AD214" s="202"/>
      <c r="AE214" s="202"/>
      <c r="AF214" s="202"/>
    </row>
    <row r="215" spans="1:32" ht="15">
      <c r="A215" s="202"/>
      <c r="B215" s="202"/>
      <c r="C215" s="202"/>
      <c r="D215" s="202"/>
      <c r="E215" s="202"/>
      <c r="F215" s="202"/>
      <c r="G215" s="202"/>
      <c r="H215" s="202"/>
      <c r="I215" s="202"/>
      <c r="J215" s="202"/>
      <c r="K215" s="202"/>
      <c r="L215" s="202"/>
      <c r="M215" s="202"/>
      <c r="N215" s="202"/>
      <c r="O215" s="202"/>
      <c r="P215" s="202"/>
      <c r="Q215" s="202"/>
      <c r="R215" s="202"/>
      <c r="S215" s="202"/>
      <c r="T215" s="202"/>
      <c r="U215" s="202"/>
      <c r="V215" s="202"/>
      <c r="W215" s="202"/>
      <c r="X215" s="202"/>
      <c r="Y215" s="202"/>
      <c r="Z215" s="202"/>
      <c r="AA215" s="202"/>
      <c r="AB215" s="202"/>
      <c r="AC215" s="202"/>
      <c r="AD215" s="202"/>
      <c r="AE215" s="202"/>
      <c r="AF215" s="202"/>
    </row>
    <row r="216" spans="1:32" ht="15">
      <c r="A216" s="202"/>
      <c r="B216" s="202"/>
      <c r="C216" s="202"/>
      <c r="D216" s="202"/>
      <c r="E216" s="202"/>
      <c r="F216" s="202"/>
      <c r="G216" s="202"/>
      <c r="H216" s="202"/>
      <c r="I216" s="202"/>
      <c r="J216" s="202"/>
      <c r="K216" s="202"/>
      <c r="L216" s="202"/>
      <c r="M216" s="202"/>
      <c r="N216" s="202"/>
      <c r="O216" s="202"/>
      <c r="P216" s="202"/>
      <c r="Q216" s="202"/>
      <c r="R216" s="202"/>
      <c r="S216" s="202"/>
      <c r="T216" s="202"/>
      <c r="U216" s="202"/>
      <c r="V216" s="202"/>
      <c r="W216" s="202"/>
      <c r="X216" s="202"/>
      <c r="Y216" s="202"/>
      <c r="Z216" s="202"/>
      <c r="AA216" s="202"/>
      <c r="AB216" s="202"/>
      <c r="AC216" s="202"/>
      <c r="AD216" s="202"/>
      <c r="AE216" s="202"/>
      <c r="AF216" s="202"/>
    </row>
    <row r="217" spans="1:32" ht="15">
      <c r="A217" s="202"/>
      <c r="B217" s="202"/>
      <c r="C217" s="202"/>
      <c r="D217" s="202"/>
      <c r="E217" s="202"/>
      <c r="F217" s="202"/>
      <c r="G217" s="202"/>
      <c r="H217" s="202"/>
      <c r="I217" s="202"/>
      <c r="J217" s="202"/>
      <c r="K217" s="202"/>
      <c r="L217" s="202"/>
      <c r="M217" s="202"/>
      <c r="N217" s="202"/>
      <c r="O217" s="202"/>
      <c r="P217" s="202"/>
      <c r="Q217" s="202"/>
      <c r="R217" s="202"/>
      <c r="S217" s="202"/>
      <c r="T217" s="202"/>
      <c r="U217" s="202"/>
      <c r="V217" s="202"/>
      <c r="W217" s="202"/>
      <c r="X217" s="202"/>
      <c r="Y217" s="202"/>
      <c r="Z217" s="202"/>
      <c r="AA217" s="202"/>
      <c r="AB217" s="202"/>
      <c r="AC217" s="202"/>
      <c r="AD217" s="202"/>
      <c r="AE217" s="202"/>
      <c r="AF217" s="202"/>
    </row>
    <row r="218" spans="1:32" ht="15">
      <c r="A218" s="202"/>
      <c r="B218" s="202"/>
      <c r="C218" s="202"/>
      <c r="D218" s="202"/>
      <c r="E218" s="202"/>
      <c r="F218" s="202"/>
      <c r="G218" s="202"/>
      <c r="H218" s="202"/>
      <c r="I218" s="202"/>
      <c r="J218" s="202"/>
      <c r="K218" s="202"/>
      <c r="L218" s="202"/>
      <c r="M218" s="202"/>
      <c r="N218" s="202"/>
      <c r="O218" s="202"/>
      <c r="P218" s="202"/>
      <c r="Q218" s="202"/>
      <c r="R218" s="202"/>
      <c r="S218" s="202"/>
      <c r="T218" s="202"/>
      <c r="U218" s="202"/>
      <c r="V218" s="202"/>
      <c r="W218" s="202"/>
      <c r="X218" s="202"/>
      <c r="Y218" s="202"/>
      <c r="Z218" s="202"/>
      <c r="AA218" s="202"/>
      <c r="AB218" s="202"/>
      <c r="AC218" s="202"/>
      <c r="AD218" s="202"/>
      <c r="AE218" s="202"/>
      <c r="AF218" s="202"/>
    </row>
    <row r="219" spans="1:32" ht="15">
      <c r="A219" s="202"/>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c r="AA219" s="202"/>
      <c r="AB219" s="202"/>
      <c r="AC219" s="202"/>
      <c r="AD219" s="202"/>
      <c r="AE219" s="202"/>
      <c r="AF219" s="202"/>
    </row>
    <row r="220" spans="1:32" ht="15">
      <c r="A220" s="202"/>
      <c r="B220" s="202"/>
      <c r="C220" s="202"/>
      <c r="D220" s="202"/>
      <c r="E220" s="202"/>
      <c r="F220" s="202"/>
      <c r="G220" s="202"/>
      <c r="H220" s="202"/>
      <c r="I220" s="202"/>
      <c r="J220" s="202"/>
      <c r="K220" s="202"/>
      <c r="L220" s="202"/>
      <c r="M220" s="202"/>
      <c r="N220" s="202"/>
      <c r="O220" s="202"/>
      <c r="P220" s="202"/>
      <c r="Q220" s="202"/>
      <c r="R220" s="202"/>
      <c r="S220" s="202"/>
      <c r="T220" s="202"/>
      <c r="U220" s="202"/>
      <c r="V220" s="202"/>
      <c r="W220" s="202"/>
      <c r="X220" s="202"/>
      <c r="Y220" s="202"/>
      <c r="Z220" s="202"/>
      <c r="AA220" s="202"/>
      <c r="AB220" s="202"/>
      <c r="AC220" s="202"/>
      <c r="AD220" s="202"/>
      <c r="AE220" s="202"/>
      <c r="AF220" s="202"/>
    </row>
    <row r="221" spans="1:32" ht="15">
      <c r="A221" s="202"/>
      <c r="B221" s="202"/>
      <c r="C221" s="202"/>
      <c r="D221" s="202"/>
      <c r="E221" s="202"/>
      <c r="F221" s="202"/>
      <c r="G221" s="202"/>
      <c r="H221" s="202"/>
      <c r="I221" s="202"/>
      <c r="J221" s="202"/>
      <c r="K221" s="202"/>
      <c r="L221" s="202"/>
      <c r="M221" s="202"/>
      <c r="N221" s="202"/>
      <c r="O221" s="202"/>
      <c r="P221" s="202"/>
      <c r="Q221" s="202"/>
      <c r="R221" s="202"/>
      <c r="S221" s="202"/>
      <c r="T221" s="202"/>
      <c r="U221" s="202"/>
      <c r="V221" s="202"/>
      <c r="W221" s="202"/>
      <c r="X221" s="202"/>
      <c r="Y221" s="202"/>
      <c r="Z221" s="202"/>
      <c r="AA221" s="202"/>
      <c r="AB221" s="202"/>
      <c r="AC221" s="202"/>
      <c r="AD221" s="202"/>
      <c r="AE221" s="202"/>
      <c r="AF221" s="202"/>
    </row>
    <row r="222" spans="1:32" ht="15">
      <c r="A222" s="202"/>
      <c r="B222" s="202"/>
      <c r="C222" s="202"/>
      <c r="D222" s="202"/>
      <c r="E222" s="202"/>
      <c r="F222" s="202"/>
      <c r="G222" s="202"/>
      <c r="H222" s="202"/>
      <c r="I222" s="202"/>
      <c r="J222" s="202"/>
      <c r="K222" s="202"/>
      <c r="L222" s="202"/>
      <c r="M222" s="202"/>
      <c r="N222" s="202"/>
      <c r="O222" s="202"/>
      <c r="P222" s="202"/>
      <c r="Q222" s="202"/>
      <c r="R222" s="202"/>
      <c r="S222" s="202"/>
      <c r="T222" s="202"/>
      <c r="U222" s="202"/>
      <c r="V222" s="202"/>
      <c r="W222" s="202"/>
      <c r="X222" s="202"/>
      <c r="Y222" s="202"/>
      <c r="Z222" s="202"/>
      <c r="AA222" s="202"/>
      <c r="AB222" s="202"/>
      <c r="AC222" s="202"/>
      <c r="AD222" s="202"/>
      <c r="AE222" s="202"/>
      <c r="AF222" s="202"/>
    </row>
    <row r="223" spans="1:32" ht="15">
      <c r="A223" s="202"/>
      <c r="B223" s="202"/>
      <c r="C223" s="202"/>
      <c r="D223" s="202"/>
      <c r="E223" s="202"/>
      <c r="F223" s="202"/>
      <c r="G223" s="202"/>
      <c r="H223" s="202"/>
      <c r="I223" s="202"/>
      <c r="J223" s="202"/>
      <c r="K223" s="202"/>
      <c r="L223" s="202"/>
      <c r="M223" s="202"/>
      <c r="N223" s="202"/>
      <c r="O223" s="202"/>
      <c r="P223" s="202"/>
      <c r="Q223" s="202"/>
      <c r="R223" s="202"/>
      <c r="S223" s="202"/>
      <c r="T223" s="202"/>
      <c r="U223" s="202"/>
      <c r="V223" s="202"/>
      <c r="W223" s="202"/>
      <c r="X223" s="202"/>
      <c r="Y223" s="202"/>
      <c r="Z223" s="202"/>
      <c r="AA223" s="202"/>
      <c r="AB223" s="202"/>
      <c r="AC223" s="202"/>
      <c r="AD223" s="202"/>
      <c r="AE223" s="202"/>
      <c r="AF223" s="202"/>
    </row>
    <row r="224" spans="1:32" ht="15">
      <c r="A224" s="202"/>
      <c r="B224" s="202"/>
      <c r="C224" s="202"/>
      <c r="D224" s="202"/>
      <c r="E224" s="202"/>
      <c r="F224" s="202"/>
      <c r="G224" s="202"/>
      <c r="H224" s="202"/>
      <c r="I224" s="202"/>
      <c r="J224" s="202"/>
      <c r="K224" s="202"/>
      <c r="L224" s="202"/>
      <c r="M224" s="202"/>
      <c r="N224" s="202"/>
      <c r="O224" s="202"/>
      <c r="P224" s="202"/>
      <c r="Q224" s="202"/>
      <c r="R224" s="202"/>
      <c r="S224" s="202"/>
      <c r="T224" s="202"/>
      <c r="U224" s="202"/>
      <c r="V224" s="202"/>
      <c r="W224" s="202"/>
      <c r="X224" s="202"/>
      <c r="Y224" s="202"/>
      <c r="Z224" s="202"/>
      <c r="AA224" s="202"/>
      <c r="AB224" s="202"/>
      <c r="AC224" s="202"/>
      <c r="AD224" s="202"/>
      <c r="AE224" s="202"/>
      <c r="AF224" s="202"/>
    </row>
    <row r="225" spans="1:32" ht="15">
      <c r="A225" s="202"/>
      <c r="B225" s="202"/>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c r="AA225" s="202"/>
      <c r="AB225" s="202"/>
      <c r="AC225" s="202"/>
      <c r="AD225" s="202"/>
      <c r="AE225" s="202"/>
      <c r="AF225" s="202"/>
    </row>
    <row r="226" spans="1:32" ht="15">
      <c r="A226" s="202"/>
      <c r="B226" s="202"/>
      <c r="C226" s="202"/>
      <c r="D226" s="202"/>
      <c r="E226" s="202"/>
      <c r="F226" s="202"/>
      <c r="G226" s="202"/>
      <c r="H226" s="202"/>
      <c r="I226" s="202"/>
      <c r="J226" s="202"/>
      <c r="K226" s="202"/>
      <c r="L226" s="202"/>
      <c r="M226" s="202"/>
      <c r="N226" s="202"/>
      <c r="O226" s="202"/>
      <c r="P226" s="202"/>
      <c r="Q226" s="202"/>
      <c r="R226" s="202"/>
      <c r="S226" s="202"/>
      <c r="T226" s="202"/>
      <c r="U226" s="202"/>
      <c r="V226" s="202"/>
      <c r="W226" s="202"/>
      <c r="X226" s="202"/>
      <c r="Y226" s="202"/>
      <c r="Z226" s="202"/>
      <c r="AA226" s="202"/>
      <c r="AB226" s="202"/>
      <c r="AC226" s="202"/>
      <c r="AD226" s="202"/>
      <c r="AE226" s="202"/>
      <c r="AF226" s="202"/>
    </row>
    <row r="227" spans="1:32" ht="15">
      <c r="A227" s="202"/>
      <c r="B227" s="202"/>
      <c r="C227" s="202"/>
      <c r="D227" s="202"/>
      <c r="E227" s="202"/>
      <c r="F227" s="202"/>
      <c r="G227" s="202"/>
      <c r="H227" s="202"/>
      <c r="I227" s="202"/>
      <c r="J227" s="202"/>
      <c r="K227" s="202"/>
      <c r="L227" s="202"/>
      <c r="M227" s="202"/>
      <c r="N227" s="202"/>
      <c r="O227" s="202"/>
      <c r="P227" s="202"/>
      <c r="Q227" s="202"/>
      <c r="R227" s="202"/>
      <c r="S227" s="202"/>
      <c r="T227" s="202"/>
      <c r="U227" s="202"/>
      <c r="V227" s="202"/>
      <c r="W227" s="202"/>
      <c r="X227" s="202"/>
      <c r="Y227" s="202"/>
      <c r="Z227" s="202"/>
      <c r="AA227" s="202"/>
      <c r="AB227" s="202"/>
      <c r="AC227" s="202"/>
      <c r="AD227" s="202"/>
      <c r="AE227" s="202"/>
      <c r="AF227" s="202"/>
    </row>
    <row r="228" spans="1:32" ht="15">
      <c r="A228" s="202"/>
      <c r="B228" s="202"/>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c r="AA228" s="202"/>
      <c r="AB228" s="202"/>
      <c r="AC228" s="202"/>
      <c r="AD228" s="202"/>
      <c r="AE228" s="202"/>
      <c r="AF228" s="202"/>
    </row>
    <row r="229" spans="1:32" ht="15">
      <c r="A229" s="202"/>
      <c r="B229" s="202"/>
      <c r="C229" s="202"/>
      <c r="D229" s="202"/>
      <c r="E229" s="202"/>
      <c r="F229" s="202"/>
      <c r="G229" s="202"/>
      <c r="H229" s="202"/>
      <c r="I229" s="202"/>
      <c r="J229" s="202"/>
      <c r="K229" s="202"/>
      <c r="L229" s="202"/>
      <c r="M229" s="202"/>
      <c r="N229" s="202"/>
      <c r="O229" s="202"/>
      <c r="P229" s="202"/>
      <c r="Q229" s="202"/>
      <c r="R229" s="202"/>
      <c r="S229" s="202"/>
      <c r="T229" s="202"/>
      <c r="U229" s="202"/>
      <c r="V229" s="202"/>
      <c r="W229" s="202"/>
      <c r="X229" s="202"/>
      <c r="Y229" s="202"/>
      <c r="Z229" s="202"/>
      <c r="AA229" s="202"/>
      <c r="AB229" s="202"/>
      <c r="AC229" s="202"/>
      <c r="AD229" s="202"/>
      <c r="AE229" s="202"/>
      <c r="AF229" s="202"/>
    </row>
    <row r="230" spans="1:32" ht="15">
      <c r="A230" s="202"/>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c r="AA230" s="202"/>
      <c r="AB230" s="202"/>
      <c r="AC230" s="202"/>
      <c r="AD230" s="202"/>
      <c r="AE230" s="202"/>
      <c r="AF230" s="202"/>
    </row>
    <row r="231" spans="1:32" ht="15">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2"/>
      <c r="W231" s="202"/>
      <c r="X231" s="202"/>
      <c r="Y231" s="202"/>
      <c r="Z231" s="202"/>
      <c r="AA231" s="202"/>
      <c r="AB231" s="202"/>
      <c r="AC231" s="202"/>
      <c r="AD231" s="202"/>
      <c r="AE231" s="202"/>
      <c r="AF231" s="202"/>
    </row>
    <row r="232" spans="1:32" ht="15">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2"/>
      <c r="W232" s="202"/>
      <c r="X232" s="202"/>
      <c r="Y232" s="202"/>
      <c r="Z232" s="202"/>
      <c r="AA232" s="202"/>
      <c r="AB232" s="202"/>
      <c r="AC232" s="202"/>
      <c r="AD232" s="202"/>
      <c r="AE232" s="202"/>
      <c r="AF232" s="202"/>
    </row>
    <row r="233" spans="1:32" ht="15">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2"/>
      <c r="W233" s="202"/>
      <c r="X233" s="202"/>
      <c r="Y233" s="202"/>
      <c r="Z233" s="202"/>
      <c r="AA233" s="202"/>
      <c r="AB233" s="202"/>
      <c r="AC233" s="202"/>
      <c r="AD233" s="202"/>
      <c r="AE233" s="202"/>
      <c r="AF233" s="202"/>
    </row>
    <row r="234" spans="1:32" ht="15">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2"/>
      <c r="W234" s="202"/>
      <c r="X234" s="202"/>
      <c r="Y234" s="202"/>
      <c r="Z234" s="202"/>
      <c r="AA234" s="202"/>
      <c r="AB234" s="202"/>
      <c r="AC234" s="202"/>
      <c r="AD234" s="202"/>
      <c r="AE234" s="202"/>
      <c r="AF234" s="202"/>
    </row>
    <row r="235" spans="1:32" ht="15">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2"/>
      <c r="W235" s="202"/>
      <c r="X235" s="202"/>
      <c r="Y235" s="202"/>
      <c r="Z235" s="202"/>
      <c r="AA235" s="202"/>
      <c r="AB235" s="202"/>
      <c r="AC235" s="202"/>
      <c r="AD235" s="202"/>
      <c r="AE235" s="202"/>
      <c r="AF235" s="202"/>
    </row>
    <row r="236" spans="1:32" ht="15">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2"/>
      <c r="W236" s="202"/>
      <c r="X236" s="202"/>
      <c r="Y236" s="202"/>
      <c r="Z236" s="202"/>
      <c r="AA236" s="202"/>
      <c r="AB236" s="202"/>
      <c r="AC236" s="202"/>
      <c r="AD236" s="202"/>
      <c r="AE236" s="202"/>
      <c r="AF236" s="202"/>
    </row>
    <row r="237" spans="1:32" ht="15">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2"/>
      <c r="W237" s="202"/>
      <c r="X237" s="202"/>
      <c r="Y237" s="202"/>
      <c r="Z237" s="202"/>
      <c r="AA237" s="202"/>
      <c r="AB237" s="202"/>
      <c r="AC237" s="202"/>
      <c r="AD237" s="202"/>
      <c r="AE237" s="202"/>
      <c r="AF237" s="202"/>
    </row>
    <row r="238" spans="1:32" ht="15">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2"/>
      <c r="W238" s="202"/>
      <c r="X238" s="202"/>
      <c r="Y238" s="202"/>
      <c r="Z238" s="202"/>
      <c r="AA238" s="202"/>
      <c r="AB238" s="202"/>
      <c r="AC238" s="202"/>
      <c r="AD238" s="202"/>
      <c r="AE238" s="202"/>
      <c r="AF238" s="202"/>
    </row>
    <row r="239" spans="1:32" ht="15">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2"/>
      <c r="W239" s="202"/>
      <c r="X239" s="202"/>
      <c r="Y239" s="202"/>
      <c r="Z239" s="202"/>
      <c r="AA239" s="202"/>
      <c r="AB239" s="202"/>
      <c r="AC239" s="202"/>
      <c r="AD239" s="202"/>
      <c r="AE239" s="202"/>
      <c r="AF239" s="202"/>
    </row>
    <row r="240" spans="1:32" ht="15">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2"/>
      <c r="W240" s="202"/>
      <c r="X240" s="202"/>
      <c r="Y240" s="202"/>
      <c r="Z240" s="202"/>
      <c r="AA240" s="202"/>
      <c r="AB240" s="202"/>
      <c r="AC240" s="202"/>
      <c r="AD240" s="202"/>
      <c r="AE240" s="202"/>
      <c r="AF240" s="202"/>
    </row>
    <row r="241" spans="1:32" ht="15">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2"/>
      <c r="W241" s="202"/>
      <c r="X241" s="202"/>
      <c r="Y241" s="202"/>
      <c r="Z241" s="202"/>
      <c r="AA241" s="202"/>
      <c r="AB241" s="202"/>
      <c r="AC241" s="202"/>
      <c r="AD241" s="202"/>
      <c r="AE241" s="202"/>
      <c r="AF241" s="202"/>
    </row>
    <row r="242" spans="1:32" ht="15">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2"/>
      <c r="W242" s="202"/>
      <c r="X242" s="202"/>
      <c r="Y242" s="202"/>
      <c r="Z242" s="202"/>
      <c r="AA242" s="202"/>
      <c r="AB242" s="202"/>
      <c r="AC242" s="202"/>
      <c r="AD242" s="202"/>
      <c r="AE242" s="202"/>
      <c r="AF242" s="202"/>
    </row>
    <row r="243" spans="1:32" ht="15">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c r="AA243" s="202"/>
      <c r="AB243" s="202"/>
      <c r="AC243" s="202"/>
      <c r="AD243" s="202"/>
      <c r="AE243" s="202"/>
      <c r="AF243" s="202"/>
    </row>
    <row r="244" spans="1:32" ht="15">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c r="AA244" s="202"/>
      <c r="AB244" s="202"/>
      <c r="AC244" s="202"/>
      <c r="AD244" s="202"/>
      <c r="AE244" s="202"/>
      <c r="AF244" s="202"/>
    </row>
    <row r="245" spans="1:32" ht="15">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c r="AA245" s="202"/>
      <c r="AB245" s="202"/>
      <c r="AC245" s="202"/>
      <c r="AD245" s="202"/>
      <c r="AE245" s="202"/>
      <c r="AF245" s="202"/>
    </row>
    <row r="246" spans="1:32" ht="15">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2"/>
      <c r="W246" s="202"/>
      <c r="X246" s="202"/>
      <c r="Y246" s="202"/>
      <c r="Z246" s="202"/>
      <c r="AA246" s="202"/>
      <c r="AB246" s="202"/>
      <c r="AC246" s="202"/>
      <c r="AD246" s="202"/>
      <c r="AE246" s="202"/>
      <c r="AF246" s="202"/>
    </row>
    <row r="247" spans="1:32" ht="15">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2"/>
      <c r="W247" s="202"/>
      <c r="X247" s="202"/>
      <c r="Y247" s="202"/>
      <c r="Z247" s="202"/>
      <c r="AA247" s="202"/>
      <c r="AB247" s="202"/>
      <c r="AC247" s="202"/>
      <c r="AD247" s="202"/>
      <c r="AE247" s="202"/>
      <c r="AF247" s="202"/>
    </row>
    <row r="248" spans="1:32" ht="15">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2"/>
      <c r="W248" s="202"/>
      <c r="X248" s="202"/>
      <c r="Y248" s="202"/>
      <c r="Z248" s="202"/>
      <c r="AA248" s="202"/>
      <c r="AB248" s="202"/>
      <c r="AC248" s="202"/>
      <c r="AD248" s="202"/>
      <c r="AE248" s="202"/>
      <c r="AF248" s="202"/>
    </row>
    <row r="249" spans="1:32" ht="15">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2"/>
      <c r="W249" s="202"/>
      <c r="X249" s="202"/>
      <c r="Y249" s="202"/>
      <c r="Z249" s="202"/>
      <c r="AA249" s="202"/>
      <c r="AB249" s="202"/>
      <c r="AC249" s="202"/>
      <c r="AD249" s="202"/>
      <c r="AE249" s="202"/>
      <c r="AF249" s="202"/>
    </row>
    <row r="250" spans="1:32" ht="15">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2"/>
      <c r="W250" s="202"/>
      <c r="X250" s="202"/>
      <c r="Y250" s="202"/>
      <c r="Z250" s="202"/>
      <c r="AA250" s="202"/>
      <c r="AB250" s="202"/>
      <c r="AC250" s="202"/>
      <c r="AD250" s="202"/>
      <c r="AE250" s="202"/>
      <c r="AF250" s="202"/>
    </row>
    <row r="251" spans="1:32" ht="15">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c r="AA251" s="202"/>
      <c r="AB251" s="202"/>
      <c r="AC251" s="202"/>
      <c r="AD251" s="202"/>
      <c r="AE251" s="202"/>
      <c r="AF251" s="202"/>
    </row>
    <row r="252" spans="1:32" ht="15">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2"/>
      <c r="W252" s="202"/>
      <c r="X252" s="202"/>
      <c r="Y252" s="202"/>
      <c r="Z252" s="202"/>
      <c r="AA252" s="202"/>
      <c r="AB252" s="202"/>
      <c r="AC252" s="202"/>
      <c r="AD252" s="202"/>
      <c r="AE252" s="202"/>
      <c r="AF252" s="202"/>
    </row>
    <row r="253" spans="1:32" ht="15">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c r="AA253" s="202"/>
      <c r="AB253" s="202"/>
      <c r="AC253" s="202"/>
      <c r="AD253" s="202"/>
      <c r="AE253" s="202"/>
      <c r="AF253" s="202"/>
    </row>
    <row r="254" spans="1:32" ht="15">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c r="AA254" s="202"/>
      <c r="AB254" s="202"/>
      <c r="AC254" s="202"/>
      <c r="AD254" s="202"/>
      <c r="AE254" s="202"/>
      <c r="AF254" s="202"/>
    </row>
    <row r="255" spans="1:32" ht="15">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2"/>
      <c r="W255" s="202"/>
      <c r="X255" s="202"/>
      <c r="Y255" s="202"/>
      <c r="Z255" s="202"/>
      <c r="AA255" s="202"/>
      <c r="AB255" s="202"/>
      <c r="AC255" s="202"/>
      <c r="AD255" s="202"/>
      <c r="AE255" s="202"/>
      <c r="AF255" s="202"/>
    </row>
    <row r="256" spans="1:32" ht="15">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2"/>
      <c r="W256" s="202"/>
      <c r="X256" s="202"/>
      <c r="Y256" s="202"/>
      <c r="Z256" s="202"/>
      <c r="AA256" s="202"/>
      <c r="AB256" s="202"/>
      <c r="AC256" s="202"/>
      <c r="AD256" s="202"/>
      <c r="AE256" s="202"/>
      <c r="AF256" s="202"/>
    </row>
    <row r="257" spans="1:32" ht="15">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2"/>
      <c r="W257" s="202"/>
      <c r="X257" s="202"/>
      <c r="Y257" s="202"/>
      <c r="Z257" s="202"/>
      <c r="AA257" s="202"/>
      <c r="AB257" s="202"/>
      <c r="AC257" s="202"/>
      <c r="AD257" s="202"/>
      <c r="AE257" s="202"/>
      <c r="AF257" s="202"/>
    </row>
    <row r="258" spans="1:32" ht="15">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2"/>
      <c r="W258" s="202"/>
      <c r="X258" s="202"/>
      <c r="Y258" s="202"/>
      <c r="Z258" s="202"/>
      <c r="AA258" s="202"/>
      <c r="AB258" s="202"/>
      <c r="AC258" s="202"/>
      <c r="AD258" s="202"/>
      <c r="AE258" s="202"/>
      <c r="AF258" s="202"/>
    </row>
    <row r="259" spans="1:32" ht="15">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2"/>
      <c r="W259" s="202"/>
      <c r="X259" s="202"/>
      <c r="Y259" s="202"/>
      <c r="Z259" s="202"/>
      <c r="AA259" s="202"/>
      <c r="AB259" s="202"/>
      <c r="AC259" s="202"/>
      <c r="AD259" s="202"/>
      <c r="AE259" s="202"/>
      <c r="AF259" s="202"/>
    </row>
    <row r="260" spans="1:32" ht="15">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2"/>
      <c r="W260" s="202"/>
      <c r="X260" s="202"/>
      <c r="Y260" s="202"/>
      <c r="Z260" s="202"/>
      <c r="AA260" s="202"/>
      <c r="AB260" s="202"/>
      <c r="AC260" s="202"/>
      <c r="AD260" s="202"/>
      <c r="AE260" s="202"/>
      <c r="AF260" s="202"/>
    </row>
    <row r="261" spans="1:32" ht="15">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2"/>
      <c r="W261" s="202"/>
      <c r="X261" s="202"/>
      <c r="Y261" s="202"/>
      <c r="Z261" s="202"/>
      <c r="AA261" s="202"/>
      <c r="AB261" s="202"/>
      <c r="AC261" s="202"/>
      <c r="AD261" s="202"/>
      <c r="AE261" s="202"/>
      <c r="AF261" s="202"/>
    </row>
    <row r="262" spans="1:32" ht="15">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2"/>
      <c r="W262" s="202"/>
      <c r="X262" s="202"/>
      <c r="Y262" s="202"/>
      <c r="Z262" s="202"/>
      <c r="AA262" s="202"/>
      <c r="AB262" s="202"/>
      <c r="AC262" s="202"/>
      <c r="AD262" s="202"/>
      <c r="AE262" s="202"/>
      <c r="AF262" s="202"/>
    </row>
    <row r="263" spans="1:32" ht="15">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2"/>
      <c r="W263" s="202"/>
      <c r="X263" s="202"/>
      <c r="Y263" s="202"/>
      <c r="Z263" s="202"/>
      <c r="AA263" s="202"/>
      <c r="AB263" s="202"/>
      <c r="AC263" s="202"/>
      <c r="AD263" s="202"/>
      <c r="AE263" s="202"/>
      <c r="AF263" s="202"/>
    </row>
    <row r="264" spans="1:32" ht="15">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c r="AA264" s="202"/>
      <c r="AB264" s="202"/>
      <c r="AC264" s="202"/>
      <c r="AD264" s="202"/>
      <c r="AE264" s="202"/>
      <c r="AF264" s="202"/>
    </row>
    <row r="265" spans="1:32" ht="15">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c r="AA265" s="202"/>
      <c r="AB265" s="202"/>
      <c r="AC265" s="202"/>
      <c r="AD265" s="202"/>
      <c r="AE265" s="202"/>
      <c r="AF265" s="202"/>
    </row>
    <row r="266" spans="1:32" ht="15">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2"/>
      <c r="W266" s="202"/>
      <c r="X266" s="202"/>
      <c r="Y266" s="202"/>
      <c r="Z266" s="202"/>
      <c r="AA266" s="202"/>
      <c r="AB266" s="202"/>
      <c r="AC266" s="202"/>
      <c r="AD266" s="202"/>
      <c r="AE266" s="202"/>
      <c r="AF266" s="202"/>
    </row>
    <row r="267" spans="1:32" ht="15">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2"/>
      <c r="W267" s="202"/>
      <c r="X267" s="202"/>
      <c r="Y267" s="202"/>
      <c r="Z267" s="202"/>
      <c r="AA267" s="202"/>
      <c r="AB267" s="202"/>
      <c r="AC267" s="202"/>
      <c r="AD267" s="202"/>
      <c r="AE267" s="202"/>
      <c r="AF267" s="202"/>
    </row>
    <row r="268" spans="1:32" ht="15">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c r="AA268" s="202"/>
      <c r="AB268" s="202"/>
      <c r="AC268" s="202"/>
      <c r="AD268" s="202"/>
      <c r="AE268" s="202"/>
      <c r="AF268" s="202"/>
    </row>
    <row r="269" spans="1:32" ht="15">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c r="AA269" s="202"/>
      <c r="AB269" s="202"/>
      <c r="AC269" s="202"/>
      <c r="AD269" s="202"/>
      <c r="AE269" s="202"/>
      <c r="AF269" s="202"/>
    </row>
    <row r="270" spans="1:32" ht="15">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c r="AA270" s="202"/>
      <c r="AB270" s="202"/>
      <c r="AC270" s="202"/>
      <c r="AD270" s="202"/>
      <c r="AE270" s="202"/>
      <c r="AF270" s="202"/>
    </row>
    <row r="271" spans="1:32" ht="15">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c r="AA271" s="202"/>
      <c r="AB271" s="202"/>
      <c r="AC271" s="202"/>
      <c r="AD271" s="202"/>
      <c r="AE271" s="202"/>
      <c r="AF271" s="202"/>
    </row>
    <row r="272" spans="1:32" ht="15">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c r="AA272" s="202"/>
      <c r="AB272" s="202"/>
      <c r="AC272" s="202"/>
      <c r="AD272" s="202"/>
      <c r="AE272" s="202"/>
      <c r="AF272" s="202"/>
    </row>
    <row r="273" spans="1:32" ht="15">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c r="AA273" s="202"/>
      <c r="AB273" s="202"/>
      <c r="AC273" s="202"/>
      <c r="AD273" s="202"/>
      <c r="AE273" s="202"/>
      <c r="AF273" s="202"/>
    </row>
    <row r="274" spans="1:32" ht="15">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c r="AA274" s="202"/>
      <c r="AB274" s="202"/>
      <c r="AC274" s="202"/>
      <c r="AD274" s="202"/>
      <c r="AE274" s="202"/>
      <c r="AF274" s="202"/>
    </row>
    <row r="275" spans="1:32" ht="15">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c r="AA275" s="202"/>
      <c r="AB275" s="202"/>
      <c r="AC275" s="202"/>
      <c r="AD275" s="202"/>
      <c r="AE275" s="202"/>
      <c r="AF275" s="202"/>
    </row>
    <row r="276" spans="1:32" ht="15">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c r="AA276" s="202"/>
      <c r="AB276" s="202"/>
      <c r="AC276" s="202"/>
      <c r="AD276" s="202"/>
      <c r="AE276" s="202"/>
      <c r="AF276" s="202"/>
    </row>
    <row r="277" spans="1:32" ht="15">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c r="AA277" s="202"/>
      <c r="AB277" s="202"/>
      <c r="AC277" s="202"/>
      <c r="AD277" s="202"/>
      <c r="AE277" s="202"/>
      <c r="AF277" s="202"/>
    </row>
    <row r="278" spans="1:32" ht="15">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c r="AA278" s="202"/>
      <c r="AB278" s="202"/>
      <c r="AC278" s="202"/>
      <c r="AD278" s="202"/>
      <c r="AE278" s="202"/>
      <c r="AF278" s="202"/>
    </row>
    <row r="279" spans="1:32" ht="15">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c r="AA279" s="202"/>
      <c r="AB279" s="202"/>
      <c r="AC279" s="202"/>
      <c r="AD279" s="202"/>
      <c r="AE279" s="202"/>
      <c r="AF279" s="202"/>
    </row>
    <row r="280" spans="1:32" ht="15">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c r="AA280" s="202"/>
      <c r="AB280" s="202"/>
      <c r="AC280" s="202"/>
      <c r="AD280" s="202"/>
      <c r="AE280" s="202"/>
      <c r="AF280" s="202"/>
    </row>
    <row r="281" spans="1:32" ht="15">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c r="AA281" s="202"/>
      <c r="AB281" s="202"/>
      <c r="AC281" s="202"/>
      <c r="AD281" s="202"/>
      <c r="AE281" s="202"/>
      <c r="AF281" s="202"/>
    </row>
    <row r="282" spans="1:32" ht="15">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c r="AA282" s="202"/>
      <c r="AB282" s="202"/>
      <c r="AC282" s="202"/>
      <c r="AD282" s="202"/>
      <c r="AE282" s="202"/>
      <c r="AF282" s="202"/>
    </row>
    <row r="283" spans="1:32" ht="15">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c r="AA283" s="202"/>
      <c r="AB283" s="202"/>
      <c r="AC283" s="202"/>
      <c r="AD283" s="202"/>
      <c r="AE283" s="202"/>
      <c r="AF283" s="202"/>
    </row>
    <row r="284" spans="1:32" ht="15">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c r="AA284" s="202"/>
      <c r="AB284" s="202"/>
      <c r="AC284" s="202"/>
      <c r="AD284" s="202"/>
      <c r="AE284" s="202"/>
      <c r="AF284" s="202"/>
    </row>
    <row r="285" spans="1:32" ht="15">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c r="AA285" s="202"/>
      <c r="AB285" s="202"/>
      <c r="AC285" s="202"/>
      <c r="AD285" s="202"/>
      <c r="AE285" s="202"/>
      <c r="AF285" s="202"/>
    </row>
    <row r="286" spans="1:32" ht="15">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c r="AA286" s="202"/>
      <c r="AB286" s="202"/>
      <c r="AC286" s="202"/>
      <c r="AD286" s="202"/>
      <c r="AE286" s="202"/>
      <c r="AF286" s="202"/>
    </row>
    <row r="287" spans="1:32" ht="15">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c r="AA287" s="202"/>
      <c r="AB287" s="202"/>
      <c r="AC287" s="202"/>
      <c r="AD287" s="202"/>
      <c r="AE287" s="202"/>
      <c r="AF287" s="202"/>
    </row>
    <row r="288" spans="1:32" ht="15">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c r="AA288" s="202"/>
      <c r="AB288" s="202"/>
      <c r="AC288" s="202"/>
      <c r="AD288" s="202"/>
      <c r="AE288" s="202"/>
      <c r="AF288" s="202"/>
    </row>
    <row r="289" spans="1:32" ht="15">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c r="AA289" s="202"/>
      <c r="AB289" s="202"/>
      <c r="AC289" s="202"/>
      <c r="AD289" s="202"/>
      <c r="AE289" s="202"/>
      <c r="AF289" s="202"/>
    </row>
    <row r="290" spans="1:32" ht="15">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c r="AA290" s="202"/>
      <c r="AB290" s="202"/>
      <c r="AC290" s="202"/>
      <c r="AD290" s="202"/>
      <c r="AE290" s="202"/>
      <c r="AF290" s="202"/>
    </row>
    <row r="291" spans="1:32" ht="15">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c r="AA291" s="202"/>
      <c r="AB291" s="202"/>
      <c r="AC291" s="202"/>
      <c r="AD291" s="202"/>
      <c r="AE291" s="202"/>
      <c r="AF291" s="202"/>
    </row>
    <row r="292" spans="1:32" ht="15">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c r="AA292" s="202"/>
      <c r="AB292" s="202"/>
      <c r="AC292" s="202"/>
      <c r="AD292" s="202"/>
      <c r="AE292" s="202"/>
      <c r="AF292" s="202"/>
    </row>
    <row r="293" spans="1:32" ht="15">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c r="AA293" s="202"/>
      <c r="AB293" s="202"/>
      <c r="AC293" s="202"/>
      <c r="AD293" s="202"/>
      <c r="AE293" s="202"/>
      <c r="AF293" s="202"/>
    </row>
    <row r="294" spans="1:32" ht="15">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c r="AA294" s="202"/>
      <c r="AB294" s="202"/>
      <c r="AC294" s="202"/>
      <c r="AD294" s="202"/>
      <c r="AE294" s="202"/>
      <c r="AF294" s="202"/>
    </row>
    <row r="295" spans="1:32" ht="15">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c r="AA295" s="202"/>
      <c r="AB295" s="202"/>
      <c r="AC295" s="202"/>
      <c r="AD295" s="202"/>
      <c r="AE295" s="202"/>
      <c r="AF295" s="202"/>
    </row>
    <row r="296" spans="1:32" ht="15">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c r="AA296" s="202"/>
      <c r="AB296" s="202"/>
      <c r="AC296" s="202"/>
      <c r="AD296" s="202"/>
      <c r="AE296" s="202"/>
      <c r="AF296" s="202"/>
    </row>
    <row r="297" spans="1:32" ht="15">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c r="AA297" s="202"/>
      <c r="AB297" s="202"/>
      <c r="AC297" s="202"/>
      <c r="AD297" s="202"/>
      <c r="AE297" s="202"/>
      <c r="AF297" s="202"/>
    </row>
    <row r="298" spans="1:32" ht="15">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c r="AA298" s="202"/>
      <c r="AB298" s="202"/>
      <c r="AC298" s="202"/>
      <c r="AD298" s="202"/>
      <c r="AE298" s="202"/>
      <c r="AF298" s="202"/>
    </row>
    <row r="299" spans="1:32" ht="15">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c r="AA299" s="202"/>
      <c r="AB299" s="202"/>
      <c r="AC299" s="202"/>
      <c r="AD299" s="202"/>
      <c r="AE299" s="202"/>
      <c r="AF299" s="202"/>
    </row>
    <row r="300" spans="1:32" ht="15">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c r="AA300" s="202"/>
      <c r="AB300" s="202"/>
      <c r="AC300" s="202"/>
      <c r="AD300" s="202"/>
      <c r="AE300" s="202"/>
      <c r="AF300" s="202"/>
    </row>
    <row r="301" spans="1:32" ht="15">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c r="AA301" s="202"/>
      <c r="AB301" s="202"/>
      <c r="AC301" s="202"/>
      <c r="AD301" s="202"/>
      <c r="AE301" s="202"/>
      <c r="AF301" s="202"/>
    </row>
    <row r="302" spans="1:32" ht="15">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c r="AA302" s="202"/>
      <c r="AB302" s="202"/>
      <c r="AC302" s="202"/>
      <c r="AD302" s="202"/>
      <c r="AE302" s="202"/>
      <c r="AF302" s="202"/>
    </row>
    <row r="303" spans="1:32" ht="15">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c r="AA303" s="202"/>
      <c r="AB303" s="202"/>
      <c r="AC303" s="202"/>
      <c r="AD303" s="202"/>
      <c r="AE303" s="202"/>
      <c r="AF303" s="202"/>
    </row>
    <row r="304" spans="1:32" ht="15">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c r="AA304" s="202"/>
      <c r="AB304" s="202"/>
      <c r="AC304" s="202"/>
      <c r="AD304" s="202"/>
      <c r="AE304" s="202"/>
      <c r="AF304" s="202"/>
    </row>
    <row r="305" spans="1:32" ht="15">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c r="AA305" s="202"/>
      <c r="AB305" s="202"/>
      <c r="AC305" s="202"/>
      <c r="AD305" s="202"/>
      <c r="AE305" s="202"/>
      <c r="AF305" s="202"/>
    </row>
    <row r="306" spans="1:32" ht="15">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c r="AA306" s="202"/>
      <c r="AB306" s="202"/>
      <c r="AC306" s="202"/>
      <c r="AD306" s="202"/>
      <c r="AE306" s="202"/>
      <c r="AF306" s="202"/>
    </row>
    <row r="307" spans="1:32" ht="15">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c r="AA307" s="202"/>
      <c r="AB307" s="202"/>
      <c r="AC307" s="202"/>
      <c r="AD307" s="202"/>
      <c r="AE307" s="202"/>
      <c r="AF307" s="202"/>
    </row>
    <row r="308" spans="1:32" ht="15">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c r="AA308" s="202"/>
      <c r="AB308" s="202"/>
      <c r="AC308" s="202"/>
      <c r="AD308" s="202"/>
      <c r="AE308" s="202"/>
      <c r="AF308" s="202"/>
    </row>
    <row r="309" spans="1:32" ht="15">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c r="AA309" s="202"/>
      <c r="AB309" s="202"/>
      <c r="AC309" s="202"/>
      <c r="AD309" s="202"/>
      <c r="AE309" s="202"/>
      <c r="AF309" s="202"/>
    </row>
    <row r="310" spans="1:32" ht="15">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c r="AA310" s="202"/>
      <c r="AB310" s="202"/>
      <c r="AC310" s="202"/>
      <c r="AD310" s="202"/>
      <c r="AE310" s="202"/>
      <c r="AF310" s="202"/>
    </row>
    <row r="311" spans="1:32" ht="15">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c r="AA311" s="202"/>
      <c r="AB311" s="202"/>
      <c r="AC311" s="202"/>
      <c r="AD311" s="202"/>
      <c r="AE311" s="202"/>
      <c r="AF311" s="202"/>
    </row>
    <row r="312" spans="1:32" ht="15">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c r="AA312" s="202"/>
      <c r="AB312" s="202"/>
      <c r="AC312" s="202"/>
      <c r="AD312" s="202"/>
      <c r="AE312" s="202"/>
      <c r="AF312" s="202"/>
    </row>
    <row r="313" spans="1:32" ht="15">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c r="AA313" s="202"/>
      <c r="AB313" s="202"/>
      <c r="AC313" s="202"/>
      <c r="AD313" s="202"/>
      <c r="AE313" s="202"/>
      <c r="AF313" s="202"/>
    </row>
    <row r="314" spans="1:32" ht="15">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c r="AA314" s="202"/>
      <c r="AB314" s="202"/>
      <c r="AC314" s="202"/>
      <c r="AD314" s="202"/>
      <c r="AE314" s="202"/>
      <c r="AF314" s="202"/>
    </row>
    <row r="315" spans="1:32" ht="15">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c r="AA315" s="202"/>
      <c r="AB315" s="202"/>
      <c r="AC315" s="202"/>
      <c r="AD315" s="202"/>
      <c r="AE315" s="202"/>
      <c r="AF315" s="202"/>
    </row>
    <row r="316" spans="1:32" ht="15">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c r="AA316" s="202"/>
      <c r="AB316" s="202"/>
      <c r="AC316" s="202"/>
      <c r="AD316" s="202"/>
      <c r="AE316" s="202"/>
      <c r="AF316" s="202"/>
    </row>
    <row r="317" spans="1:32" ht="15">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c r="AA317" s="202"/>
      <c r="AB317" s="202"/>
      <c r="AC317" s="202"/>
      <c r="AD317" s="202"/>
      <c r="AE317" s="202"/>
      <c r="AF317" s="202"/>
    </row>
    <row r="318" spans="1:32" ht="15">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c r="AA318" s="202"/>
      <c r="AB318" s="202"/>
      <c r="AC318" s="202"/>
      <c r="AD318" s="202"/>
      <c r="AE318" s="202"/>
      <c r="AF318" s="202"/>
    </row>
    <row r="319" spans="1:32" ht="15">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c r="AA319" s="202"/>
      <c r="AB319" s="202"/>
      <c r="AC319" s="202"/>
      <c r="AD319" s="202"/>
      <c r="AE319" s="202"/>
      <c r="AF319" s="202"/>
    </row>
    <row r="320" spans="1:32" ht="15">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c r="AA320" s="202"/>
      <c r="AB320" s="202"/>
      <c r="AC320" s="202"/>
      <c r="AD320" s="202"/>
      <c r="AE320" s="202"/>
      <c r="AF320" s="202"/>
    </row>
    <row r="321" spans="1:32" ht="15">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c r="AA321" s="202"/>
      <c r="AB321" s="202"/>
      <c r="AC321" s="202"/>
      <c r="AD321" s="202"/>
      <c r="AE321" s="202"/>
      <c r="AF321" s="202"/>
    </row>
    <row r="322" spans="1:32" ht="15">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c r="AA322" s="202"/>
      <c r="AB322" s="202"/>
      <c r="AC322" s="202"/>
      <c r="AD322" s="202"/>
      <c r="AE322" s="202"/>
      <c r="AF322" s="202"/>
    </row>
    <row r="323" spans="1:32" ht="15">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c r="AA323" s="202"/>
      <c r="AB323" s="202"/>
      <c r="AC323" s="202"/>
      <c r="AD323" s="202"/>
      <c r="AE323" s="202"/>
      <c r="AF323" s="202"/>
    </row>
    <row r="324" spans="1:32" ht="15">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c r="AA324" s="202"/>
      <c r="AB324" s="202"/>
      <c r="AC324" s="202"/>
      <c r="AD324" s="202"/>
      <c r="AE324" s="202"/>
      <c r="AF324" s="202"/>
    </row>
    <row r="325" spans="1:32" ht="15">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c r="AA325" s="202"/>
      <c r="AB325" s="202"/>
      <c r="AC325" s="202"/>
      <c r="AD325" s="202"/>
      <c r="AE325" s="202"/>
      <c r="AF325" s="202"/>
    </row>
    <row r="326" spans="1:32" ht="15">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c r="AA326" s="202"/>
      <c r="AB326" s="202"/>
      <c r="AC326" s="202"/>
      <c r="AD326" s="202"/>
      <c r="AE326" s="202"/>
      <c r="AF326" s="202"/>
    </row>
    <row r="327" spans="1:32" ht="15">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c r="AA327" s="202"/>
      <c r="AB327" s="202"/>
      <c r="AC327" s="202"/>
      <c r="AD327" s="202"/>
      <c r="AE327" s="202"/>
      <c r="AF327" s="202"/>
    </row>
    <row r="328" spans="1:32" ht="15">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c r="AA328" s="202"/>
      <c r="AB328" s="202"/>
      <c r="AC328" s="202"/>
      <c r="AD328" s="202"/>
      <c r="AE328" s="202"/>
      <c r="AF328" s="202"/>
    </row>
    <row r="329" spans="1:32" ht="15">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c r="AA329" s="202"/>
      <c r="AB329" s="202"/>
      <c r="AC329" s="202"/>
      <c r="AD329" s="202"/>
      <c r="AE329" s="202"/>
      <c r="AF329" s="202"/>
    </row>
    <row r="330" spans="1:32" ht="15">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c r="AA330" s="202"/>
      <c r="AB330" s="202"/>
      <c r="AC330" s="202"/>
      <c r="AD330" s="202"/>
      <c r="AE330" s="202"/>
      <c r="AF330" s="202"/>
    </row>
    <row r="331" spans="1:32" ht="15">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c r="AA331" s="202"/>
      <c r="AB331" s="202"/>
      <c r="AC331" s="202"/>
      <c r="AD331" s="202"/>
      <c r="AE331" s="202"/>
      <c r="AF331" s="202"/>
    </row>
    <row r="332" spans="1:32" ht="15">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c r="AA332" s="202"/>
      <c r="AB332" s="202"/>
      <c r="AC332" s="202"/>
      <c r="AD332" s="202"/>
      <c r="AE332" s="202"/>
      <c r="AF332" s="202"/>
    </row>
    <row r="333" spans="1:32" ht="15">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c r="AA333" s="202"/>
      <c r="AB333" s="202"/>
      <c r="AC333" s="202"/>
      <c r="AD333" s="202"/>
      <c r="AE333" s="202"/>
      <c r="AF333" s="202"/>
    </row>
    <row r="334" spans="1:32" ht="15">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c r="AA334" s="202"/>
      <c r="AB334" s="202"/>
      <c r="AC334" s="202"/>
      <c r="AD334" s="202"/>
      <c r="AE334" s="202"/>
      <c r="AF334" s="202"/>
    </row>
    <row r="335" spans="1:32" ht="15">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c r="AA335" s="202"/>
      <c r="AB335" s="202"/>
      <c r="AC335" s="202"/>
      <c r="AD335" s="202"/>
      <c r="AE335" s="202"/>
      <c r="AF335" s="202"/>
    </row>
    <row r="336" spans="1:32" ht="15">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c r="AA336" s="202"/>
      <c r="AB336" s="202"/>
      <c r="AC336" s="202"/>
      <c r="AD336" s="202"/>
      <c r="AE336" s="202"/>
      <c r="AF336" s="202"/>
    </row>
    <row r="337" spans="1:32" ht="15">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c r="AA337" s="202"/>
      <c r="AB337" s="202"/>
      <c r="AC337" s="202"/>
      <c r="AD337" s="202"/>
      <c r="AE337" s="202"/>
      <c r="AF337" s="202"/>
    </row>
    <row r="338" spans="1:32" ht="15">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c r="AA338" s="202"/>
      <c r="AB338" s="202"/>
      <c r="AC338" s="202"/>
      <c r="AD338" s="202"/>
      <c r="AE338" s="202"/>
      <c r="AF338" s="202"/>
    </row>
    <row r="339" spans="1:32" ht="15">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c r="AA339" s="202"/>
      <c r="AB339" s="202"/>
      <c r="AC339" s="202"/>
      <c r="AD339" s="202"/>
      <c r="AE339" s="202"/>
      <c r="AF339" s="202"/>
    </row>
    <row r="340" spans="1:32" ht="15">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c r="AA340" s="202"/>
      <c r="AB340" s="202"/>
      <c r="AC340" s="202"/>
      <c r="AD340" s="202"/>
      <c r="AE340" s="202"/>
      <c r="AF340" s="202"/>
    </row>
    <row r="341" spans="1:32" ht="15">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c r="AA341" s="202"/>
      <c r="AB341" s="202"/>
      <c r="AC341" s="202"/>
      <c r="AD341" s="202"/>
      <c r="AE341" s="202"/>
      <c r="AF341" s="202"/>
    </row>
    <row r="342" spans="1:32" ht="15">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c r="AA342" s="202"/>
      <c r="AB342" s="202"/>
      <c r="AC342" s="202"/>
      <c r="AD342" s="202"/>
      <c r="AE342" s="202"/>
      <c r="AF342" s="202"/>
    </row>
    <row r="343" spans="1:32" ht="15">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c r="AA343" s="202"/>
      <c r="AB343" s="202"/>
      <c r="AC343" s="202"/>
      <c r="AD343" s="202"/>
      <c r="AE343" s="202"/>
      <c r="AF343" s="202"/>
    </row>
    <row r="344" spans="1:32" ht="15">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c r="AA344" s="202"/>
      <c r="AB344" s="202"/>
      <c r="AC344" s="202"/>
      <c r="AD344" s="202"/>
      <c r="AE344" s="202"/>
      <c r="AF344" s="202"/>
    </row>
    <row r="345" spans="1:32" ht="15">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c r="AA345" s="202"/>
      <c r="AB345" s="202"/>
      <c r="AC345" s="202"/>
      <c r="AD345" s="202"/>
      <c r="AE345" s="202"/>
      <c r="AF345" s="202"/>
    </row>
    <row r="346" spans="1:32" ht="15">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c r="AA346" s="202"/>
      <c r="AB346" s="202"/>
      <c r="AC346" s="202"/>
      <c r="AD346" s="202"/>
      <c r="AE346" s="202"/>
      <c r="AF346" s="202"/>
    </row>
    <row r="347" spans="1:32" ht="15">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c r="AA347" s="202"/>
      <c r="AB347" s="202"/>
      <c r="AC347" s="202"/>
      <c r="AD347" s="202"/>
      <c r="AE347" s="202"/>
      <c r="AF347" s="202"/>
    </row>
    <row r="348" spans="1:32" ht="15">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c r="AA348" s="202"/>
      <c r="AB348" s="202"/>
      <c r="AC348" s="202"/>
      <c r="AD348" s="202"/>
      <c r="AE348" s="202"/>
      <c r="AF348" s="202"/>
    </row>
    <row r="349" spans="1:32" ht="15">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c r="AA349" s="202"/>
      <c r="AB349" s="202"/>
      <c r="AC349" s="202"/>
      <c r="AD349" s="202"/>
      <c r="AE349" s="202"/>
      <c r="AF349" s="202"/>
    </row>
    <row r="350" spans="1:32" ht="15">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c r="AA350" s="202"/>
      <c r="AB350" s="202"/>
      <c r="AC350" s="202"/>
      <c r="AD350" s="202"/>
      <c r="AE350" s="202"/>
      <c r="AF350" s="202"/>
    </row>
    <row r="351" spans="1:32" ht="15">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c r="AA351" s="202"/>
      <c r="AB351" s="202"/>
      <c r="AC351" s="202"/>
      <c r="AD351" s="202"/>
      <c r="AE351" s="202"/>
      <c r="AF351" s="202"/>
    </row>
    <row r="352" spans="1:32" ht="15">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c r="AA352" s="202"/>
      <c r="AB352" s="202"/>
      <c r="AC352" s="202"/>
      <c r="AD352" s="202"/>
      <c r="AE352" s="202"/>
      <c r="AF352" s="202"/>
    </row>
    <row r="353" spans="1:32" ht="15">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c r="AA353" s="202"/>
      <c r="AB353" s="202"/>
      <c r="AC353" s="202"/>
      <c r="AD353" s="202"/>
      <c r="AE353" s="202"/>
      <c r="AF353" s="202"/>
    </row>
    <row r="354" spans="1:32" ht="15">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c r="AA354" s="202"/>
      <c r="AB354" s="202"/>
      <c r="AC354" s="202"/>
      <c r="AD354" s="202"/>
      <c r="AE354" s="202"/>
      <c r="AF354" s="202"/>
    </row>
    <row r="355" spans="1:32" ht="15">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c r="AA355" s="202"/>
      <c r="AB355" s="202"/>
      <c r="AC355" s="202"/>
      <c r="AD355" s="202"/>
      <c r="AE355" s="202"/>
      <c r="AF355" s="202"/>
    </row>
    <row r="356" spans="1:32" ht="15">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c r="AA356" s="202"/>
      <c r="AB356" s="202"/>
      <c r="AC356" s="202"/>
      <c r="AD356" s="202"/>
      <c r="AE356" s="202"/>
      <c r="AF356" s="202"/>
    </row>
    <row r="357" spans="1:32" ht="15">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c r="AA357" s="202"/>
      <c r="AB357" s="202"/>
      <c r="AC357" s="202"/>
      <c r="AD357" s="202"/>
      <c r="AE357" s="202"/>
      <c r="AF357" s="202"/>
    </row>
    <row r="358" spans="1:32" ht="15">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c r="AA358" s="202"/>
      <c r="AB358" s="202"/>
      <c r="AC358" s="202"/>
      <c r="AD358" s="202"/>
      <c r="AE358" s="202"/>
      <c r="AF358" s="202"/>
    </row>
    <row r="359" spans="1:32" ht="15">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c r="AA359" s="202"/>
      <c r="AB359" s="202"/>
      <c r="AC359" s="202"/>
      <c r="AD359" s="202"/>
      <c r="AE359" s="202"/>
      <c r="AF359" s="202"/>
    </row>
    <row r="360" spans="1:32" ht="15">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c r="AA360" s="202"/>
      <c r="AB360" s="202"/>
      <c r="AC360" s="202"/>
      <c r="AD360" s="202"/>
      <c r="AE360" s="202"/>
      <c r="AF360" s="202"/>
    </row>
    <row r="361" spans="1:32" ht="15">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c r="AA361" s="202"/>
      <c r="AB361" s="202"/>
      <c r="AC361" s="202"/>
      <c r="AD361" s="202"/>
      <c r="AE361" s="202"/>
      <c r="AF361" s="202"/>
    </row>
    <row r="362" spans="1:32" ht="15">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c r="AA362" s="202"/>
      <c r="AB362" s="202"/>
      <c r="AC362" s="202"/>
      <c r="AD362" s="202"/>
      <c r="AE362" s="202"/>
      <c r="AF362" s="202"/>
    </row>
    <row r="363" spans="1:32" ht="15">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c r="AA363" s="202"/>
      <c r="AB363" s="202"/>
      <c r="AC363" s="202"/>
      <c r="AD363" s="202"/>
      <c r="AE363" s="202"/>
      <c r="AF363" s="202"/>
    </row>
    <row r="364" spans="1:32" ht="15">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c r="AA364" s="202"/>
      <c r="AB364" s="202"/>
      <c r="AC364" s="202"/>
      <c r="AD364" s="202"/>
      <c r="AE364" s="202"/>
      <c r="AF364" s="202"/>
    </row>
    <row r="365" spans="1:32" ht="15">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c r="AA365" s="202"/>
      <c r="AB365" s="202"/>
      <c r="AC365" s="202"/>
      <c r="AD365" s="202"/>
      <c r="AE365" s="202"/>
      <c r="AF365" s="202"/>
    </row>
    <row r="366" spans="1:32" ht="15">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c r="AA366" s="202"/>
      <c r="AB366" s="202"/>
      <c r="AC366" s="202"/>
      <c r="AD366" s="202"/>
      <c r="AE366" s="202"/>
      <c r="AF366" s="202"/>
    </row>
    <row r="367" spans="1:32" ht="15">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c r="AA367" s="202"/>
      <c r="AB367" s="202"/>
      <c r="AC367" s="202"/>
      <c r="AD367" s="202"/>
      <c r="AE367" s="202"/>
      <c r="AF367" s="202"/>
    </row>
    <row r="368" spans="1:32" ht="15">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c r="AA368" s="202"/>
      <c r="AB368" s="202"/>
      <c r="AC368" s="202"/>
      <c r="AD368" s="202"/>
      <c r="AE368" s="202"/>
      <c r="AF368" s="202"/>
    </row>
    <row r="369" spans="1:32" ht="15">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c r="AA369" s="202"/>
      <c r="AB369" s="202"/>
      <c r="AC369" s="202"/>
      <c r="AD369" s="202"/>
      <c r="AE369" s="202"/>
      <c r="AF369" s="202"/>
    </row>
    <row r="370" spans="1:32" ht="15">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c r="AA370" s="202"/>
      <c r="AB370" s="202"/>
      <c r="AC370" s="202"/>
      <c r="AD370" s="202"/>
      <c r="AE370" s="202"/>
      <c r="AF370" s="202"/>
    </row>
    <row r="371" spans="1:32" ht="15">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c r="AA371" s="202"/>
      <c r="AB371" s="202"/>
      <c r="AC371" s="202"/>
      <c r="AD371" s="202"/>
      <c r="AE371" s="202"/>
      <c r="AF371" s="202"/>
    </row>
    <row r="372" spans="1:32" ht="15">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c r="AA372" s="202"/>
      <c r="AB372" s="202"/>
      <c r="AC372" s="202"/>
      <c r="AD372" s="202"/>
      <c r="AE372" s="202"/>
      <c r="AF372" s="202"/>
    </row>
    <row r="373" spans="1:32" ht="15">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c r="AA373" s="202"/>
      <c r="AB373" s="202"/>
      <c r="AC373" s="202"/>
      <c r="AD373" s="202"/>
      <c r="AE373" s="202"/>
      <c r="AF373" s="202"/>
    </row>
    <row r="374" spans="1:32" ht="15">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c r="AA374" s="202"/>
      <c r="AB374" s="202"/>
      <c r="AC374" s="202"/>
      <c r="AD374" s="202"/>
      <c r="AE374" s="202"/>
      <c r="AF374" s="202"/>
    </row>
    <row r="375" spans="1:32" ht="15">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c r="AA375" s="202"/>
      <c r="AB375" s="202"/>
      <c r="AC375" s="202"/>
      <c r="AD375" s="202"/>
      <c r="AE375" s="202"/>
      <c r="AF375" s="202"/>
    </row>
    <row r="376" spans="1:32" ht="15">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c r="AA376" s="202"/>
      <c r="AB376" s="202"/>
      <c r="AC376" s="202"/>
      <c r="AD376" s="202"/>
      <c r="AE376" s="202"/>
      <c r="AF376" s="202"/>
    </row>
    <row r="377" spans="1:32" ht="15">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c r="AA377" s="202"/>
      <c r="AB377" s="202"/>
      <c r="AC377" s="202"/>
      <c r="AD377" s="202"/>
      <c r="AE377" s="202"/>
      <c r="AF377" s="202"/>
    </row>
    <row r="378" spans="1:32" ht="15">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c r="AA378" s="202"/>
      <c r="AB378" s="202"/>
      <c r="AC378" s="202"/>
      <c r="AD378" s="202"/>
      <c r="AE378" s="202"/>
      <c r="AF378" s="202"/>
    </row>
    <row r="379" spans="1:32" ht="15">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c r="AA379" s="202"/>
      <c r="AB379" s="202"/>
      <c r="AC379" s="202"/>
      <c r="AD379" s="202"/>
      <c r="AE379" s="202"/>
      <c r="AF379" s="202"/>
    </row>
    <row r="380" spans="1:32" ht="15">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c r="AA380" s="202"/>
      <c r="AB380" s="202"/>
      <c r="AC380" s="202"/>
      <c r="AD380" s="202"/>
      <c r="AE380" s="202"/>
      <c r="AF380" s="202"/>
    </row>
    <row r="381" spans="1:32" ht="15">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c r="AA381" s="202"/>
      <c r="AB381" s="202"/>
      <c r="AC381" s="202"/>
      <c r="AD381" s="202"/>
      <c r="AE381" s="202"/>
      <c r="AF381" s="202"/>
    </row>
    <row r="382" spans="1:32" ht="15">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c r="AA382" s="202"/>
      <c r="AB382" s="202"/>
      <c r="AC382" s="202"/>
      <c r="AD382" s="202"/>
      <c r="AE382" s="202"/>
      <c r="AF382" s="202"/>
    </row>
    <row r="383" spans="1:32" ht="15">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c r="AA383" s="202"/>
      <c r="AB383" s="202"/>
      <c r="AC383" s="202"/>
      <c r="AD383" s="202"/>
      <c r="AE383" s="202"/>
      <c r="AF383" s="202"/>
    </row>
    <row r="384" spans="1:32" ht="15">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c r="AA384" s="202"/>
      <c r="AB384" s="202"/>
      <c r="AC384" s="202"/>
      <c r="AD384" s="202"/>
      <c r="AE384" s="202"/>
      <c r="AF384" s="202"/>
    </row>
    <row r="385" spans="1:32" ht="15">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c r="AA385" s="202"/>
      <c r="AB385" s="202"/>
      <c r="AC385" s="202"/>
      <c r="AD385" s="202"/>
      <c r="AE385" s="202"/>
      <c r="AF385" s="202"/>
    </row>
    <row r="386" spans="1:32" ht="15">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c r="AA386" s="202"/>
      <c r="AB386" s="202"/>
      <c r="AC386" s="202"/>
      <c r="AD386" s="202"/>
      <c r="AE386" s="202"/>
      <c r="AF386" s="202"/>
    </row>
    <row r="387" spans="1:32" ht="15">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c r="AA387" s="202"/>
      <c r="AB387" s="202"/>
      <c r="AC387" s="202"/>
      <c r="AD387" s="202"/>
      <c r="AE387" s="202"/>
      <c r="AF387" s="202"/>
    </row>
    <row r="388" spans="1:32" ht="15">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c r="AA388" s="202"/>
      <c r="AB388" s="202"/>
      <c r="AC388" s="202"/>
      <c r="AD388" s="202"/>
      <c r="AE388" s="202"/>
      <c r="AF388" s="202"/>
    </row>
    <row r="389" spans="1:32" ht="15">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c r="AA389" s="202"/>
      <c r="AB389" s="202"/>
      <c r="AC389" s="202"/>
      <c r="AD389" s="202"/>
      <c r="AE389" s="202"/>
      <c r="AF389" s="202"/>
    </row>
    <row r="390" spans="1:32" ht="15">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c r="AA390" s="202"/>
      <c r="AB390" s="202"/>
      <c r="AC390" s="202"/>
      <c r="AD390" s="202"/>
      <c r="AE390" s="202"/>
      <c r="AF390" s="202"/>
    </row>
    <row r="391" spans="1:32" ht="15">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c r="AA391" s="202"/>
      <c r="AB391" s="202"/>
      <c r="AC391" s="202"/>
      <c r="AD391" s="202"/>
      <c r="AE391" s="202"/>
      <c r="AF391" s="202"/>
    </row>
    <row r="392" spans="1:32" ht="15">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c r="AA392" s="202"/>
      <c r="AB392" s="202"/>
      <c r="AC392" s="202"/>
      <c r="AD392" s="202"/>
      <c r="AE392" s="202"/>
      <c r="AF392" s="202"/>
    </row>
    <row r="393" spans="1:32" ht="15">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c r="AA393" s="202"/>
      <c r="AB393" s="202"/>
      <c r="AC393" s="202"/>
      <c r="AD393" s="202"/>
      <c r="AE393" s="202"/>
      <c r="AF393" s="202"/>
    </row>
    <row r="394" spans="1:32" ht="15">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c r="AA394" s="202"/>
      <c r="AB394" s="202"/>
      <c r="AC394" s="202"/>
      <c r="AD394" s="202"/>
      <c r="AE394" s="202"/>
      <c r="AF394" s="202"/>
    </row>
    <row r="395" spans="1:32" ht="15">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c r="AA395" s="202"/>
      <c r="AB395" s="202"/>
      <c r="AC395" s="202"/>
      <c r="AD395" s="202"/>
      <c r="AE395" s="202"/>
      <c r="AF395" s="202"/>
    </row>
    <row r="396" spans="1:32" ht="15">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c r="AA396" s="202"/>
      <c r="AB396" s="202"/>
      <c r="AC396" s="202"/>
      <c r="AD396" s="202"/>
      <c r="AE396" s="202"/>
      <c r="AF396" s="202"/>
    </row>
    <row r="397" spans="1:32" ht="15">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c r="AA397" s="202"/>
      <c r="AB397" s="202"/>
      <c r="AC397" s="202"/>
      <c r="AD397" s="202"/>
      <c r="AE397" s="202"/>
      <c r="AF397" s="202"/>
    </row>
    <row r="398" spans="1:32" ht="15">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c r="AA398" s="202"/>
      <c r="AB398" s="202"/>
      <c r="AC398" s="202"/>
      <c r="AD398" s="202"/>
      <c r="AE398" s="202"/>
      <c r="AF398" s="202"/>
    </row>
    <row r="399" spans="1:32" ht="15">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c r="AA399" s="202"/>
      <c r="AB399" s="202"/>
      <c r="AC399" s="202"/>
      <c r="AD399" s="202"/>
      <c r="AE399" s="202"/>
      <c r="AF399" s="202"/>
    </row>
    <row r="400" spans="1:32" ht="15">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c r="AA400" s="202"/>
      <c r="AB400" s="202"/>
      <c r="AC400" s="202"/>
      <c r="AD400" s="202"/>
      <c r="AE400" s="202"/>
      <c r="AF400" s="202"/>
    </row>
    <row r="401" spans="1:32" ht="15">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c r="AA401" s="202"/>
      <c r="AB401" s="202"/>
      <c r="AC401" s="202"/>
      <c r="AD401" s="202"/>
      <c r="AE401" s="202"/>
      <c r="AF401" s="202"/>
    </row>
    <row r="402" spans="1:32" ht="15">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c r="AA402" s="202"/>
      <c r="AB402" s="202"/>
      <c r="AC402" s="202"/>
      <c r="AD402" s="202"/>
      <c r="AE402" s="202"/>
      <c r="AF402" s="202"/>
    </row>
    <row r="403" spans="1:32" ht="15">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c r="AA403" s="202"/>
      <c r="AB403" s="202"/>
      <c r="AC403" s="202"/>
      <c r="AD403" s="202"/>
      <c r="AE403" s="202"/>
      <c r="AF403" s="202"/>
    </row>
    <row r="404" spans="1:32" ht="15">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c r="AA404" s="202"/>
      <c r="AB404" s="202"/>
      <c r="AC404" s="202"/>
      <c r="AD404" s="202"/>
      <c r="AE404" s="202"/>
      <c r="AF404" s="202"/>
    </row>
    <row r="405" spans="1:32" ht="15">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c r="AA405" s="202"/>
      <c r="AB405" s="202"/>
      <c r="AC405" s="202"/>
      <c r="AD405" s="202"/>
      <c r="AE405" s="202"/>
      <c r="AF405" s="202"/>
    </row>
    <row r="406" spans="1:32" ht="15">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c r="AA406" s="202"/>
      <c r="AB406" s="202"/>
      <c r="AC406" s="202"/>
      <c r="AD406" s="202"/>
      <c r="AE406" s="202"/>
      <c r="AF406" s="202"/>
    </row>
    <row r="407" spans="1:32" ht="15">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c r="AA407" s="202"/>
      <c r="AB407" s="202"/>
      <c r="AC407" s="202"/>
      <c r="AD407" s="202"/>
      <c r="AE407" s="202"/>
      <c r="AF407" s="202"/>
    </row>
    <row r="408" spans="1:32" ht="15">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c r="AA408" s="202"/>
      <c r="AB408" s="202"/>
      <c r="AC408" s="202"/>
      <c r="AD408" s="202"/>
      <c r="AE408" s="202"/>
      <c r="AF408" s="202"/>
    </row>
    <row r="409" spans="1:32" ht="15">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c r="AA409" s="202"/>
      <c r="AB409" s="202"/>
      <c r="AC409" s="202"/>
      <c r="AD409" s="202"/>
      <c r="AE409" s="202"/>
      <c r="AF409" s="202"/>
    </row>
    <row r="410" spans="1:32" ht="15">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c r="AA410" s="202"/>
      <c r="AB410" s="202"/>
      <c r="AC410" s="202"/>
      <c r="AD410" s="202"/>
      <c r="AE410" s="202"/>
      <c r="AF410" s="202"/>
    </row>
    <row r="411" spans="1:32" ht="15">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c r="AA411" s="202"/>
      <c r="AB411" s="202"/>
      <c r="AC411" s="202"/>
      <c r="AD411" s="202"/>
      <c r="AE411" s="202"/>
      <c r="AF411" s="202"/>
    </row>
    <row r="412" spans="1:32" ht="15">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c r="AA412" s="202"/>
      <c r="AB412" s="202"/>
      <c r="AC412" s="202"/>
      <c r="AD412" s="202"/>
      <c r="AE412" s="202"/>
      <c r="AF412" s="202"/>
    </row>
    <row r="413" spans="1:32" ht="15">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c r="AA413" s="202"/>
      <c r="AB413" s="202"/>
      <c r="AC413" s="202"/>
      <c r="AD413" s="202"/>
      <c r="AE413" s="202"/>
      <c r="AF413" s="202"/>
    </row>
    <row r="414" spans="1:32" ht="15">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c r="AA414" s="202"/>
      <c r="AB414" s="202"/>
      <c r="AC414" s="202"/>
      <c r="AD414" s="202"/>
      <c r="AE414" s="202"/>
      <c r="AF414" s="202"/>
    </row>
    <row r="415" spans="1:32" ht="15">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c r="AA415" s="202"/>
      <c r="AB415" s="202"/>
      <c r="AC415" s="202"/>
      <c r="AD415" s="202"/>
      <c r="AE415" s="202"/>
      <c r="AF415" s="202"/>
    </row>
    <row r="416" spans="1:32" ht="15">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c r="AA416" s="202"/>
      <c r="AB416" s="202"/>
      <c r="AC416" s="202"/>
      <c r="AD416" s="202"/>
      <c r="AE416" s="202"/>
      <c r="AF416" s="202"/>
    </row>
    <row r="417" spans="1:32" ht="15">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c r="AA417" s="202"/>
      <c r="AB417" s="202"/>
      <c r="AC417" s="202"/>
      <c r="AD417" s="202"/>
      <c r="AE417" s="202"/>
      <c r="AF417" s="202"/>
    </row>
    <row r="418" spans="1:32" ht="15">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c r="AA418" s="202"/>
      <c r="AB418" s="202"/>
      <c r="AC418" s="202"/>
      <c r="AD418" s="202"/>
      <c r="AE418" s="202"/>
      <c r="AF418" s="202"/>
    </row>
    <row r="419" spans="1:32" ht="15">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c r="AA419" s="202"/>
      <c r="AB419" s="202"/>
      <c r="AC419" s="202"/>
      <c r="AD419" s="202"/>
      <c r="AE419" s="202"/>
      <c r="AF419" s="202"/>
    </row>
    <row r="420" spans="1:32" ht="15">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c r="AA420" s="202"/>
      <c r="AB420" s="202"/>
      <c r="AC420" s="202"/>
      <c r="AD420" s="202"/>
      <c r="AE420" s="202"/>
      <c r="AF420" s="202"/>
    </row>
    <row r="421" spans="1:32" ht="15">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c r="AA421" s="202"/>
      <c r="AB421" s="202"/>
      <c r="AC421" s="202"/>
      <c r="AD421" s="202"/>
      <c r="AE421" s="202"/>
      <c r="AF421" s="202"/>
    </row>
    <row r="422" spans="1:32" ht="15">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c r="AA422" s="202"/>
      <c r="AB422" s="202"/>
      <c r="AC422" s="202"/>
      <c r="AD422" s="202"/>
      <c r="AE422" s="202"/>
      <c r="AF422" s="202"/>
    </row>
    <row r="423" spans="1:32" ht="15">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c r="AA423" s="202"/>
      <c r="AB423" s="202"/>
      <c r="AC423" s="202"/>
      <c r="AD423" s="202"/>
      <c r="AE423" s="202"/>
      <c r="AF423" s="202"/>
    </row>
    <row r="424" spans="1:32" ht="15">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c r="AA424" s="202"/>
      <c r="AB424" s="202"/>
      <c r="AC424" s="202"/>
      <c r="AD424" s="202"/>
      <c r="AE424" s="202"/>
      <c r="AF424" s="202"/>
    </row>
    <row r="425" spans="1:32" ht="15">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c r="AA425" s="202"/>
      <c r="AB425" s="202"/>
      <c r="AC425" s="202"/>
      <c r="AD425" s="202"/>
      <c r="AE425" s="202"/>
      <c r="AF425" s="202"/>
    </row>
    <row r="426" spans="1:32" ht="15">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c r="AA426" s="202"/>
      <c r="AB426" s="202"/>
      <c r="AC426" s="202"/>
      <c r="AD426" s="202"/>
      <c r="AE426" s="202"/>
      <c r="AF426" s="202"/>
    </row>
    <row r="427" spans="1:32" ht="15">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c r="AA427" s="202"/>
      <c r="AB427" s="202"/>
      <c r="AC427" s="202"/>
      <c r="AD427" s="202"/>
      <c r="AE427" s="202"/>
      <c r="AF427" s="202"/>
    </row>
    <row r="428" spans="1:32" ht="15">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c r="AA428" s="202"/>
      <c r="AB428" s="202"/>
      <c r="AC428" s="202"/>
      <c r="AD428" s="202"/>
      <c r="AE428" s="202"/>
      <c r="AF428" s="202"/>
    </row>
    <row r="429" spans="1:32" ht="15">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c r="AA429" s="202"/>
      <c r="AB429" s="202"/>
      <c r="AC429" s="202"/>
      <c r="AD429" s="202"/>
      <c r="AE429" s="202"/>
      <c r="AF429" s="202"/>
    </row>
    <row r="430" spans="1:32" ht="15">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c r="AA430" s="202"/>
      <c r="AB430" s="202"/>
      <c r="AC430" s="202"/>
      <c r="AD430" s="202"/>
      <c r="AE430" s="202"/>
      <c r="AF430" s="202"/>
    </row>
    <row r="431" spans="1:32" ht="15">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c r="AA431" s="202"/>
      <c r="AB431" s="202"/>
      <c r="AC431" s="202"/>
      <c r="AD431" s="202"/>
      <c r="AE431" s="202"/>
      <c r="AF431" s="202"/>
    </row>
    <row r="432" spans="1:32" ht="15">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c r="AA432" s="202"/>
      <c r="AB432" s="202"/>
      <c r="AC432" s="202"/>
      <c r="AD432" s="202"/>
      <c r="AE432" s="202"/>
      <c r="AF432" s="202"/>
    </row>
    <row r="433" spans="1:32" ht="15">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c r="AA433" s="202"/>
      <c r="AB433" s="202"/>
      <c r="AC433" s="202"/>
      <c r="AD433" s="202"/>
      <c r="AE433" s="202"/>
      <c r="AF433" s="202"/>
    </row>
    <row r="434" spans="1:32" ht="15">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c r="AA434" s="202"/>
      <c r="AB434" s="202"/>
      <c r="AC434" s="202"/>
      <c r="AD434" s="202"/>
      <c r="AE434" s="202"/>
      <c r="AF434" s="202"/>
    </row>
    <row r="435" spans="1:32" ht="15">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c r="AA435" s="202"/>
      <c r="AB435" s="202"/>
      <c r="AC435" s="202"/>
      <c r="AD435" s="202"/>
      <c r="AE435" s="202"/>
      <c r="AF435" s="202"/>
    </row>
    <row r="436" spans="1:32" ht="15">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c r="AA436" s="202"/>
      <c r="AB436" s="202"/>
      <c r="AC436" s="202"/>
      <c r="AD436" s="202"/>
      <c r="AE436" s="202"/>
      <c r="AF436" s="202"/>
    </row>
    <row r="437" spans="1:32" ht="15">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c r="AA437" s="202"/>
      <c r="AB437" s="202"/>
      <c r="AC437" s="202"/>
      <c r="AD437" s="202"/>
      <c r="AE437" s="202"/>
      <c r="AF437" s="202"/>
    </row>
    <row r="438" spans="1:32" ht="15">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c r="AA438" s="202"/>
      <c r="AB438" s="202"/>
      <c r="AC438" s="202"/>
      <c r="AD438" s="202"/>
      <c r="AE438" s="202"/>
      <c r="AF438" s="202"/>
    </row>
    <row r="439" spans="1:32" ht="15">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c r="AA439" s="202"/>
      <c r="AB439" s="202"/>
      <c r="AC439" s="202"/>
      <c r="AD439" s="202"/>
      <c r="AE439" s="202"/>
      <c r="AF439" s="202"/>
    </row>
    <row r="440" spans="1:32" ht="15">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c r="AA440" s="202"/>
      <c r="AB440" s="202"/>
      <c r="AC440" s="202"/>
      <c r="AD440" s="202"/>
      <c r="AE440" s="202"/>
      <c r="AF440" s="202"/>
    </row>
    <row r="441" spans="1:32" ht="15">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c r="AA441" s="202"/>
      <c r="AB441" s="202"/>
      <c r="AC441" s="202"/>
      <c r="AD441" s="202"/>
      <c r="AE441" s="202"/>
      <c r="AF441" s="202"/>
    </row>
    <row r="442" spans="1:32" ht="15">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c r="AA442" s="202"/>
      <c r="AB442" s="202"/>
      <c r="AC442" s="202"/>
      <c r="AD442" s="202"/>
      <c r="AE442" s="202"/>
      <c r="AF442" s="202"/>
    </row>
    <row r="443" spans="1:32" ht="15">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c r="AA443" s="202"/>
      <c r="AB443" s="202"/>
      <c r="AC443" s="202"/>
      <c r="AD443" s="202"/>
      <c r="AE443" s="202"/>
      <c r="AF443" s="202"/>
    </row>
    <row r="444" spans="1:32" ht="15">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c r="AA444" s="202"/>
      <c r="AB444" s="202"/>
      <c r="AC444" s="202"/>
      <c r="AD444" s="202"/>
      <c r="AE444" s="202"/>
      <c r="AF444" s="202"/>
    </row>
    <row r="445" spans="1:32" ht="15">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c r="AA445" s="202"/>
      <c r="AB445" s="202"/>
      <c r="AC445" s="202"/>
      <c r="AD445" s="202"/>
      <c r="AE445" s="202"/>
      <c r="AF445" s="202"/>
    </row>
    <row r="446" spans="1:32" ht="15">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c r="AA446" s="202"/>
      <c r="AB446" s="202"/>
      <c r="AC446" s="202"/>
      <c r="AD446" s="202"/>
      <c r="AE446" s="202"/>
      <c r="AF446" s="202"/>
    </row>
    <row r="447" spans="1:32" ht="15">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c r="AA447" s="202"/>
      <c r="AB447" s="202"/>
      <c r="AC447" s="202"/>
      <c r="AD447" s="202"/>
      <c r="AE447" s="202"/>
      <c r="AF447" s="202"/>
    </row>
    <row r="448" spans="1:32" ht="15">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c r="AA448" s="202"/>
      <c r="AB448" s="202"/>
      <c r="AC448" s="202"/>
      <c r="AD448" s="202"/>
      <c r="AE448" s="202"/>
      <c r="AF448" s="202"/>
    </row>
    <row r="449" spans="1:32" ht="15">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c r="AA449" s="202"/>
      <c r="AB449" s="202"/>
      <c r="AC449" s="202"/>
      <c r="AD449" s="202"/>
      <c r="AE449" s="202"/>
      <c r="AF449" s="202"/>
    </row>
    <row r="450" spans="1:32" ht="15">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c r="AA450" s="202"/>
      <c r="AB450" s="202"/>
      <c r="AC450" s="202"/>
      <c r="AD450" s="202"/>
      <c r="AE450" s="202"/>
      <c r="AF450" s="202"/>
    </row>
    <row r="451" spans="1:32" ht="15">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c r="AA451" s="202"/>
      <c r="AB451" s="202"/>
      <c r="AC451" s="202"/>
      <c r="AD451" s="202"/>
      <c r="AE451" s="202"/>
      <c r="AF451" s="202"/>
    </row>
    <row r="452" spans="1:32" ht="15">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c r="AA452" s="202"/>
      <c r="AB452" s="202"/>
      <c r="AC452" s="202"/>
      <c r="AD452" s="202"/>
      <c r="AE452" s="202"/>
      <c r="AF452" s="202"/>
    </row>
    <row r="453" spans="1:32" ht="15">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c r="AA453" s="202"/>
      <c r="AB453" s="202"/>
      <c r="AC453" s="202"/>
      <c r="AD453" s="202"/>
      <c r="AE453" s="202"/>
      <c r="AF453" s="202"/>
    </row>
    <row r="454" spans="1:32" ht="15">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c r="AA454" s="202"/>
      <c r="AB454" s="202"/>
      <c r="AC454" s="202"/>
      <c r="AD454" s="202"/>
      <c r="AE454" s="202"/>
      <c r="AF454" s="202"/>
    </row>
    <row r="455" spans="1:32" ht="15">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c r="AA455" s="202"/>
      <c r="AB455" s="202"/>
      <c r="AC455" s="202"/>
      <c r="AD455" s="202"/>
      <c r="AE455" s="202"/>
      <c r="AF455" s="202"/>
    </row>
    <row r="456" spans="1:32" ht="15">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c r="AD456" s="202"/>
      <c r="AE456" s="202"/>
      <c r="AF456" s="202"/>
    </row>
    <row r="457" spans="1:32" ht="15">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c r="AA457" s="202"/>
      <c r="AB457" s="202"/>
      <c r="AC457" s="202"/>
      <c r="AD457" s="202"/>
      <c r="AE457" s="202"/>
      <c r="AF457" s="202"/>
    </row>
    <row r="458" spans="1:32" ht="15">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c r="AA458" s="202"/>
      <c r="AB458" s="202"/>
      <c r="AC458" s="202"/>
      <c r="AD458" s="202"/>
      <c r="AE458" s="202"/>
      <c r="AF458" s="202"/>
    </row>
    <row r="459" spans="1:32" ht="15">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c r="AA459" s="202"/>
      <c r="AB459" s="202"/>
      <c r="AC459" s="202"/>
      <c r="AD459" s="202"/>
      <c r="AE459" s="202"/>
      <c r="AF459" s="202"/>
    </row>
    <row r="460" spans="1:32" ht="15">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c r="AA460" s="202"/>
      <c r="AB460" s="202"/>
      <c r="AC460" s="202"/>
      <c r="AD460" s="202"/>
      <c r="AE460" s="202"/>
      <c r="AF460" s="202"/>
    </row>
    <row r="461" spans="1:32" ht="15">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c r="AA461" s="202"/>
      <c r="AB461" s="202"/>
      <c r="AC461" s="202"/>
      <c r="AD461" s="202"/>
      <c r="AE461" s="202"/>
      <c r="AF461" s="202"/>
    </row>
    <row r="462" spans="1:32" ht="15">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c r="AA462" s="202"/>
      <c r="AB462" s="202"/>
      <c r="AC462" s="202"/>
      <c r="AD462" s="202"/>
      <c r="AE462" s="202"/>
      <c r="AF462" s="202"/>
    </row>
    <row r="463" spans="1:32" ht="15">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c r="AA463" s="202"/>
      <c r="AB463" s="202"/>
      <c r="AC463" s="202"/>
      <c r="AD463" s="202"/>
      <c r="AE463" s="202"/>
      <c r="AF463" s="202"/>
    </row>
    <row r="464" spans="1:32" ht="15">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c r="AA464" s="202"/>
      <c r="AB464" s="202"/>
      <c r="AC464" s="202"/>
      <c r="AD464" s="202"/>
      <c r="AE464" s="202"/>
      <c r="AF464" s="202"/>
    </row>
    <row r="465" spans="1:32" ht="15">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c r="AA465" s="202"/>
      <c r="AB465" s="202"/>
      <c r="AC465" s="202"/>
      <c r="AD465" s="202"/>
      <c r="AE465" s="202"/>
      <c r="AF465" s="202"/>
    </row>
    <row r="466" spans="1:32" ht="15">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c r="AA466" s="202"/>
      <c r="AB466" s="202"/>
      <c r="AC466" s="202"/>
      <c r="AD466" s="202"/>
      <c r="AE466" s="202"/>
      <c r="AF466" s="202"/>
    </row>
    <row r="467" spans="1:32" ht="15">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c r="AA467" s="202"/>
      <c r="AB467" s="202"/>
      <c r="AC467" s="202"/>
      <c r="AD467" s="202"/>
      <c r="AE467" s="202"/>
      <c r="AF467" s="202"/>
    </row>
    <row r="468" spans="1:32" ht="15">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c r="AA468" s="202"/>
      <c r="AB468" s="202"/>
      <c r="AC468" s="202"/>
      <c r="AD468" s="202"/>
      <c r="AE468" s="202"/>
      <c r="AF468" s="202"/>
    </row>
    <row r="469" spans="1:32" ht="15">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02"/>
    </row>
    <row r="470" spans="1:32" ht="15">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row>
    <row r="471" spans="1:32" ht="15">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c r="AA471" s="202"/>
      <c r="AB471" s="202"/>
      <c r="AC471" s="202"/>
      <c r="AD471" s="202"/>
      <c r="AE471" s="202"/>
      <c r="AF471" s="202"/>
    </row>
    <row r="472" spans="1:32" ht="15">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c r="AA472" s="202"/>
      <c r="AB472" s="202"/>
      <c r="AC472" s="202"/>
      <c r="AD472" s="202"/>
      <c r="AE472" s="202"/>
      <c r="AF472" s="202"/>
    </row>
    <row r="473" spans="1:32" ht="15">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c r="AA473" s="202"/>
      <c r="AB473" s="202"/>
      <c r="AC473" s="202"/>
      <c r="AD473" s="202"/>
      <c r="AE473" s="202"/>
      <c r="AF473" s="202"/>
    </row>
    <row r="474" spans="1:32" ht="15">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c r="AA474" s="202"/>
      <c r="AB474" s="202"/>
      <c r="AC474" s="202"/>
      <c r="AD474" s="202"/>
      <c r="AE474" s="202"/>
      <c r="AF474" s="202"/>
    </row>
    <row r="475" spans="1:32" ht="15">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c r="AA475" s="202"/>
      <c r="AB475" s="202"/>
      <c r="AC475" s="202"/>
      <c r="AD475" s="202"/>
      <c r="AE475" s="202"/>
      <c r="AF475" s="202"/>
    </row>
    <row r="476" spans="1:32" ht="15">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c r="AA476" s="202"/>
      <c r="AB476" s="202"/>
      <c r="AC476" s="202"/>
      <c r="AD476" s="202"/>
      <c r="AE476" s="202"/>
      <c r="AF476" s="202"/>
    </row>
    <row r="477" spans="1:32" ht="15">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c r="AA477" s="202"/>
      <c r="AB477" s="202"/>
      <c r="AC477" s="202"/>
      <c r="AD477" s="202"/>
      <c r="AE477" s="202"/>
      <c r="AF477" s="202"/>
    </row>
    <row r="478" spans="1:32" ht="15">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c r="AA478" s="202"/>
      <c r="AB478" s="202"/>
      <c r="AC478" s="202"/>
      <c r="AD478" s="202"/>
      <c r="AE478" s="202"/>
      <c r="AF478" s="202"/>
    </row>
    <row r="479" spans="1:32" ht="15">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c r="AA479" s="202"/>
      <c r="AB479" s="202"/>
      <c r="AC479" s="202"/>
      <c r="AD479" s="202"/>
      <c r="AE479" s="202"/>
      <c r="AF479" s="202"/>
    </row>
    <row r="480" spans="1:32" ht="15">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c r="AA480" s="202"/>
      <c r="AB480" s="202"/>
      <c r="AC480" s="202"/>
      <c r="AD480" s="202"/>
      <c r="AE480" s="202"/>
      <c r="AF480" s="202"/>
    </row>
    <row r="481" spans="1:32" ht="15">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c r="AA481" s="202"/>
      <c r="AB481" s="202"/>
      <c r="AC481" s="202"/>
      <c r="AD481" s="202"/>
      <c r="AE481" s="202"/>
      <c r="AF481" s="202"/>
    </row>
    <row r="482" spans="1:32" ht="15">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c r="AA482" s="202"/>
      <c r="AB482" s="202"/>
      <c r="AC482" s="202"/>
      <c r="AD482" s="202"/>
      <c r="AE482" s="202"/>
      <c r="AF482" s="202"/>
    </row>
    <row r="483" spans="1:32" ht="15">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c r="AA483" s="202"/>
      <c r="AB483" s="202"/>
      <c r="AC483" s="202"/>
      <c r="AD483" s="202"/>
      <c r="AE483" s="202"/>
      <c r="AF483" s="202"/>
    </row>
    <row r="484" spans="1:32" ht="15">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c r="AA484" s="202"/>
      <c r="AB484" s="202"/>
      <c r="AC484" s="202"/>
      <c r="AD484" s="202"/>
      <c r="AE484" s="202"/>
      <c r="AF484" s="202"/>
    </row>
    <row r="485" spans="1:32" ht="15">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c r="AA485" s="202"/>
      <c r="AB485" s="202"/>
      <c r="AC485" s="202"/>
      <c r="AD485" s="202"/>
      <c r="AE485" s="202"/>
      <c r="AF485" s="202"/>
    </row>
    <row r="486" spans="1:32" ht="15">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c r="AA486" s="202"/>
      <c r="AB486" s="202"/>
      <c r="AC486" s="202"/>
      <c r="AD486" s="202"/>
      <c r="AE486" s="202"/>
      <c r="AF486" s="202"/>
    </row>
    <row r="487" spans="1:32" ht="15">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c r="AA487" s="202"/>
      <c r="AB487" s="202"/>
      <c r="AC487" s="202"/>
      <c r="AD487" s="202"/>
      <c r="AE487" s="202"/>
      <c r="AF487" s="202"/>
    </row>
    <row r="488" spans="1:32" ht="15">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c r="AA488" s="202"/>
      <c r="AB488" s="202"/>
      <c r="AC488" s="202"/>
      <c r="AD488" s="202"/>
      <c r="AE488" s="202"/>
      <c r="AF488" s="202"/>
    </row>
    <row r="489" spans="1:32" ht="15">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c r="AA489" s="202"/>
      <c r="AB489" s="202"/>
      <c r="AC489" s="202"/>
      <c r="AD489" s="202"/>
      <c r="AE489" s="202"/>
      <c r="AF489" s="202"/>
    </row>
    <row r="490" spans="1:32" ht="15">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c r="AA490" s="202"/>
      <c r="AB490" s="202"/>
      <c r="AC490" s="202"/>
      <c r="AD490" s="202"/>
      <c r="AE490" s="202"/>
      <c r="AF490" s="202"/>
    </row>
    <row r="491" spans="1:32" ht="15">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c r="AA491" s="202"/>
      <c r="AB491" s="202"/>
      <c r="AC491" s="202"/>
      <c r="AD491" s="202"/>
      <c r="AE491" s="202"/>
      <c r="AF491" s="202"/>
    </row>
    <row r="492" spans="1:32" ht="15">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c r="AA492" s="202"/>
      <c r="AB492" s="202"/>
      <c r="AC492" s="202"/>
      <c r="AD492" s="202"/>
      <c r="AE492" s="202"/>
      <c r="AF492" s="202"/>
    </row>
    <row r="493" spans="1:32" ht="15">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c r="AA493" s="202"/>
      <c r="AB493" s="202"/>
      <c r="AC493" s="202"/>
      <c r="AD493" s="202"/>
      <c r="AE493" s="202"/>
      <c r="AF493" s="202"/>
    </row>
    <row r="494" spans="1:32" ht="15">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c r="AA494" s="202"/>
      <c r="AB494" s="202"/>
      <c r="AC494" s="202"/>
      <c r="AD494" s="202"/>
      <c r="AE494" s="202"/>
      <c r="AF494" s="202"/>
    </row>
    <row r="495" spans="1:32" ht="15">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c r="AA495" s="202"/>
      <c r="AB495" s="202"/>
      <c r="AC495" s="202"/>
      <c r="AD495" s="202"/>
      <c r="AE495" s="202"/>
      <c r="AF495" s="202"/>
    </row>
    <row r="496" spans="1:32" ht="15">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c r="AA496" s="202"/>
      <c r="AB496" s="202"/>
      <c r="AC496" s="202"/>
      <c r="AD496" s="202"/>
      <c r="AE496" s="202"/>
      <c r="AF496" s="202"/>
    </row>
    <row r="497" spans="1:32" ht="15">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c r="AA497" s="202"/>
      <c r="AB497" s="202"/>
      <c r="AC497" s="202"/>
      <c r="AD497" s="202"/>
      <c r="AE497" s="202"/>
      <c r="AF497" s="202"/>
    </row>
    <row r="498" spans="1:32" ht="15">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c r="AA498" s="202"/>
      <c r="AB498" s="202"/>
      <c r="AC498" s="202"/>
      <c r="AD498" s="202"/>
      <c r="AE498" s="202"/>
      <c r="AF498" s="202"/>
    </row>
    <row r="499" spans="1:32" ht="15">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c r="AA499" s="202"/>
      <c r="AB499" s="202"/>
      <c r="AC499" s="202"/>
      <c r="AD499" s="202"/>
      <c r="AE499" s="202"/>
      <c r="AF499" s="202"/>
    </row>
    <row r="500" spans="1:32" ht="15">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c r="AA500" s="202"/>
      <c r="AB500" s="202"/>
      <c r="AC500" s="202"/>
      <c r="AD500" s="202"/>
      <c r="AE500" s="202"/>
      <c r="AF500" s="202"/>
    </row>
    <row r="501" spans="1:32" ht="15">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c r="AA501" s="202"/>
      <c r="AB501" s="202"/>
      <c r="AC501" s="202"/>
      <c r="AD501" s="202"/>
      <c r="AE501" s="202"/>
      <c r="AF501" s="202"/>
    </row>
    <row r="502" spans="1:32" ht="15">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c r="AA502" s="202"/>
      <c r="AB502" s="202"/>
      <c r="AC502" s="202"/>
      <c r="AD502" s="202"/>
      <c r="AE502" s="202"/>
      <c r="AF502" s="202"/>
    </row>
    <row r="503" spans="1:32" ht="15">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c r="AA503" s="202"/>
      <c r="AB503" s="202"/>
      <c r="AC503" s="202"/>
      <c r="AD503" s="202"/>
      <c r="AE503" s="202"/>
      <c r="AF503" s="202"/>
    </row>
    <row r="504" spans="1:32" ht="15">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c r="AA504" s="202"/>
      <c r="AB504" s="202"/>
      <c r="AC504" s="202"/>
      <c r="AD504" s="202"/>
      <c r="AE504" s="202"/>
      <c r="AF504" s="202"/>
    </row>
    <row r="505" spans="1:32" ht="15">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c r="AA505" s="202"/>
      <c r="AB505" s="202"/>
      <c r="AC505" s="202"/>
      <c r="AD505" s="202"/>
      <c r="AE505" s="202"/>
      <c r="AF505" s="202"/>
    </row>
    <row r="506" spans="1:32" ht="15">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c r="AA506" s="202"/>
      <c r="AB506" s="202"/>
      <c r="AC506" s="202"/>
      <c r="AD506" s="202"/>
      <c r="AE506" s="202"/>
      <c r="AF506" s="202"/>
    </row>
    <row r="507" spans="1:32" ht="15">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c r="AA507" s="202"/>
      <c r="AB507" s="202"/>
      <c r="AC507" s="202"/>
      <c r="AD507" s="202"/>
      <c r="AE507" s="202"/>
      <c r="AF507" s="202"/>
    </row>
    <row r="508" spans="1:32" ht="15">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c r="AA508" s="202"/>
      <c r="AB508" s="202"/>
      <c r="AC508" s="202"/>
      <c r="AD508" s="202"/>
      <c r="AE508" s="202"/>
      <c r="AF508" s="202"/>
    </row>
    <row r="509" spans="1:32" ht="15">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c r="AA509" s="202"/>
      <c r="AB509" s="202"/>
      <c r="AC509" s="202"/>
      <c r="AD509" s="202"/>
      <c r="AE509" s="202"/>
      <c r="AF509" s="202"/>
    </row>
    <row r="510" spans="1:32" ht="15">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c r="AA510" s="202"/>
      <c r="AB510" s="202"/>
      <c r="AC510" s="202"/>
      <c r="AD510" s="202"/>
      <c r="AE510" s="202"/>
      <c r="AF510" s="202"/>
    </row>
    <row r="511" spans="1:32" ht="15">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c r="AA511" s="202"/>
      <c r="AB511" s="202"/>
      <c r="AC511" s="202"/>
      <c r="AD511" s="202"/>
      <c r="AE511" s="202"/>
      <c r="AF511" s="202"/>
    </row>
    <row r="512" spans="1:32" ht="15">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c r="AA512" s="202"/>
      <c r="AB512" s="202"/>
      <c r="AC512" s="202"/>
      <c r="AD512" s="202"/>
      <c r="AE512" s="202"/>
      <c r="AF512" s="202"/>
    </row>
    <row r="513" spans="1:32" ht="15">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c r="AA513" s="202"/>
      <c r="AB513" s="202"/>
      <c r="AC513" s="202"/>
      <c r="AD513" s="202"/>
      <c r="AE513" s="202"/>
      <c r="AF513" s="202"/>
    </row>
    <row r="514" spans="1:32" ht="15">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c r="AA514" s="202"/>
      <c r="AB514" s="202"/>
      <c r="AC514" s="202"/>
      <c r="AD514" s="202"/>
      <c r="AE514" s="202"/>
      <c r="AF514" s="202"/>
    </row>
    <row r="515" spans="1:32" ht="15">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c r="AA515" s="202"/>
      <c r="AB515" s="202"/>
      <c r="AC515" s="202"/>
      <c r="AD515" s="202"/>
      <c r="AE515" s="202"/>
      <c r="AF515" s="202"/>
    </row>
    <row r="516" spans="1:32" ht="15">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c r="AA516" s="202"/>
      <c r="AB516" s="202"/>
      <c r="AC516" s="202"/>
      <c r="AD516" s="202"/>
      <c r="AE516" s="202"/>
      <c r="AF516" s="202"/>
    </row>
    <row r="517" spans="1:32" ht="15">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c r="AA517" s="202"/>
      <c r="AB517" s="202"/>
      <c r="AC517" s="202"/>
      <c r="AD517" s="202"/>
      <c r="AE517" s="202"/>
      <c r="AF517" s="202"/>
    </row>
    <row r="518" spans="1:32" ht="15">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c r="AA518" s="202"/>
      <c r="AB518" s="202"/>
      <c r="AC518" s="202"/>
      <c r="AD518" s="202"/>
      <c r="AE518" s="202"/>
      <c r="AF518" s="202"/>
    </row>
    <row r="519" spans="1:32" ht="15">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c r="AA519" s="202"/>
      <c r="AB519" s="202"/>
      <c r="AC519" s="202"/>
      <c r="AD519" s="202"/>
      <c r="AE519" s="202"/>
      <c r="AF519" s="202"/>
    </row>
    <row r="520" spans="1:32" ht="15">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c r="AA520" s="202"/>
      <c r="AB520" s="202"/>
      <c r="AC520" s="202"/>
      <c r="AD520" s="202"/>
      <c r="AE520" s="202"/>
      <c r="AF520" s="202"/>
    </row>
    <row r="521" spans="1:32" ht="15">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c r="AA521" s="202"/>
      <c r="AB521" s="202"/>
      <c r="AC521" s="202"/>
      <c r="AD521" s="202"/>
      <c r="AE521" s="202"/>
      <c r="AF521" s="202"/>
    </row>
    <row r="522" spans="1:32" ht="15">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c r="AA522" s="202"/>
      <c r="AB522" s="202"/>
      <c r="AC522" s="202"/>
      <c r="AD522" s="202"/>
      <c r="AE522" s="202"/>
      <c r="AF522" s="202"/>
    </row>
    <row r="523" spans="1:32" ht="15">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c r="AA523" s="202"/>
      <c r="AB523" s="202"/>
      <c r="AC523" s="202"/>
      <c r="AD523" s="202"/>
      <c r="AE523" s="202"/>
      <c r="AF523" s="202"/>
    </row>
    <row r="524" spans="1:32" ht="15">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c r="AA524" s="202"/>
      <c r="AB524" s="202"/>
      <c r="AC524" s="202"/>
      <c r="AD524" s="202"/>
      <c r="AE524" s="202"/>
      <c r="AF524" s="202"/>
    </row>
    <row r="525" spans="1:32" ht="15">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c r="AA525" s="202"/>
      <c r="AB525" s="202"/>
      <c r="AC525" s="202"/>
      <c r="AD525" s="202"/>
      <c r="AE525" s="202"/>
      <c r="AF525" s="202"/>
    </row>
    <row r="526" spans="1:32" ht="15">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c r="AA526" s="202"/>
      <c r="AB526" s="202"/>
      <c r="AC526" s="202"/>
      <c r="AD526" s="202"/>
      <c r="AE526" s="202"/>
      <c r="AF526" s="202"/>
    </row>
    <row r="527" spans="1:32" ht="15">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c r="AA527" s="202"/>
      <c r="AB527" s="202"/>
      <c r="AC527" s="202"/>
      <c r="AD527" s="202"/>
      <c r="AE527" s="202"/>
      <c r="AF527" s="202"/>
    </row>
    <row r="528" spans="1:32" ht="15">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c r="AA528" s="202"/>
      <c r="AB528" s="202"/>
      <c r="AC528" s="202"/>
      <c r="AD528" s="202"/>
      <c r="AE528" s="202"/>
      <c r="AF528" s="202"/>
    </row>
    <row r="529" spans="1:32" ht="15">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c r="AA529" s="202"/>
      <c r="AB529" s="202"/>
      <c r="AC529" s="202"/>
      <c r="AD529" s="202"/>
      <c r="AE529" s="202"/>
      <c r="AF529" s="202"/>
    </row>
    <row r="530" spans="1:32" ht="15">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c r="AA530" s="202"/>
      <c r="AB530" s="202"/>
      <c r="AC530" s="202"/>
      <c r="AD530" s="202"/>
      <c r="AE530" s="202"/>
      <c r="AF530" s="202"/>
    </row>
    <row r="531" spans="1:32" ht="15">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c r="AA531" s="202"/>
      <c r="AB531" s="202"/>
      <c r="AC531" s="202"/>
      <c r="AD531" s="202"/>
      <c r="AE531" s="202"/>
      <c r="AF531" s="202"/>
    </row>
    <row r="532" spans="1:32" ht="15">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c r="AA532" s="202"/>
      <c r="AB532" s="202"/>
      <c r="AC532" s="202"/>
      <c r="AD532" s="202"/>
      <c r="AE532" s="202"/>
      <c r="AF532" s="202"/>
    </row>
    <row r="533" spans="1:32" ht="15">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c r="AA533" s="202"/>
      <c r="AB533" s="202"/>
      <c r="AC533" s="202"/>
      <c r="AD533" s="202"/>
      <c r="AE533" s="202"/>
      <c r="AF533" s="202"/>
    </row>
    <row r="534" spans="1:32" ht="15">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c r="AA534" s="202"/>
      <c r="AB534" s="202"/>
      <c r="AC534" s="202"/>
      <c r="AD534" s="202"/>
      <c r="AE534" s="202"/>
      <c r="AF534" s="202"/>
    </row>
    <row r="535" spans="1:32" ht="15">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c r="AA535" s="202"/>
      <c r="AB535" s="202"/>
      <c r="AC535" s="202"/>
      <c r="AD535" s="202"/>
      <c r="AE535" s="202"/>
      <c r="AF535" s="202"/>
    </row>
    <row r="536" spans="1:32" ht="15">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c r="AA536" s="202"/>
      <c r="AB536" s="202"/>
      <c r="AC536" s="202"/>
      <c r="AD536" s="202"/>
      <c r="AE536" s="202"/>
      <c r="AF536" s="202"/>
    </row>
    <row r="537" spans="1:32" ht="15">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c r="AA537" s="202"/>
      <c r="AB537" s="202"/>
      <c r="AC537" s="202"/>
      <c r="AD537" s="202"/>
      <c r="AE537" s="202"/>
      <c r="AF537" s="202"/>
    </row>
    <row r="538" spans="1:32" ht="15">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c r="AA538" s="202"/>
      <c r="AB538" s="202"/>
      <c r="AC538" s="202"/>
      <c r="AD538" s="202"/>
      <c r="AE538" s="202"/>
      <c r="AF538" s="202"/>
    </row>
    <row r="539" spans="1:32" ht="15">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c r="AA539" s="202"/>
      <c r="AB539" s="202"/>
      <c r="AC539" s="202"/>
      <c r="AD539" s="202"/>
      <c r="AE539" s="202"/>
      <c r="AF539" s="202"/>
    </row>
    <row r="540" spans="1:32" ht="15">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c r="AA540" s="202"/>
      <c r="AB540" s="202"/>
      <c r="AC540" s="202"/>
      <c r="AD540" s="202"/>
      <c r="AE540" s="202"/>
      <c r="AF540" s="202"/>
    </row>
    <row r="541" spans="1:32" ht="15">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c r="AA541" s="202"/>
      <c r="AB541" s="202"/>
      <c r="AC541" s="202"/>
      <c r="AD541" s="202"/>
      <c r="AE541" s="202"/>
      <c r="AF541" s="202"/>
    </row>
    <row r="542" spans="1:32" ht="15">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c r="AA542" s="202"/>
      <c r="AB542" s="202"/>
      <c r="AC542" s="202"/>
      <c r="AD542" s="202"/>
      <c r="AE542" s="202"/>
      <c r="AF542" s="202"/>
    </row>
    <row r="543" spans="1:32" ht="15">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c r="AA543" s="202"/>
      <c r="AB543" s="202"/>
      <c r="AC543" s="202"/>
      <c r="AD543" s="202"/>
      <c r="AE543" s="202"/>
      <c r="AF543" s="202"/>
    </row>
    <row r="544" spans="1:32" ht="15">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c r="AA544" s="202"/>
      <c r="AB544" s="202"/>
      <c r="AC544" s="202"/>
      <c r="AD544" s="202"/>
      <c r="AE544" s="202"/>
      <c r="AF544" s="202"/>
    </row>
    <row r="545" spans="1:32" ht="15">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c r="AA545" s="202"/>
      <c r="AB545" s="202"/>
      <c r="AC545" s="202"/>
      <c r="AD545" s="202"/>
      <c r="AE545" s="202"/>
      <c r="AF545" s="202"/>
    </row>
    <row r="546" spans="1:32" ht="15">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c r="AA546" s="202"/>
      <c r="AB546" s="202"/>
      <c r="AC546" s="202"/>
      <c r="AD546" s="202"/>
      <c r="AE546" s="202"/>
      <c r="AF546" s="202"/>
    </row>
    <row r="547" spans="1:32" ht="15">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c r="AA547" s="202"/>
      <c r="AB547" s="202"/>
      <c r="AC547" s="202"/>
      <c r="AD547" s="202"/>
      <c r="AE547" s="202"/>
      <c r="AF547" s="202"/>
    </row>
    <row r="548" spans="1:32" ht="15">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c r="AA548" s="202"/>
      <c r="AB548" s="202"/>
      <c r="AC548" s="202"/>
      <c r="AD548" s="202"/>
      <c r="AE548" s="202"/>
      <c r="AF548" s="202"/>
    </row>
    <row r="549" spans="1:32" ht="15">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c r="AA549" s="202"/>
      <c r="AB549" s="202"/>
      <c r="AC549" s="202"/>
      <c r="AD549" s="202"/>
      <c r="AE549" s="202"/>
      <c r="AF549" s="202"/>
    </row>
    <row r="550" spans="1:32" ht="15">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c r="AA550" s="202"/>
      <c r="AB550" s="202"/>
      <c r="AC550" s="202"/>
      <c r="AD550" s="202"/>
      <c r="AE550" s="202"/>
      <c r="AF550" s="202"/>
    </row>
    <row r="551" spans="1:32" ht="15">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c r="AA551" s="202"/>
      <c r="AB551" s="202"/>
      <c r="AC551" s="202"/>
      <c r="AD551" s="202"/>
      <c r="AE551" s="202"/>
      <c r="AF551" s="202"/>
    </row>
    <row r="552" spans="1:32" ht="15">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c r="AA552" s="202"/>
      <c r="AB552" s="202"/>
      <c r="AC552" s="202"/>
      <c r="AD552" s="202"/>
      <c r="AE552" s="202"/>
      <c r="AF552" s="202"/>
    </row>
    <row r="553" spans="1:32" ht="15">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c r="AA553" s="202"/>
      <c r="AB553" s="202"/>
      <c r="AC553" s="202"/>
      <c r="AD553" s="202"/>
      <c r="AE553" s="202"/>
      <c r="AF553" s="202"/>
    </row>
    <row r="554" spans="1:32" ht="15">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c r="AA554" s="202"/>
      <c r="AB554" s="202"/>
      <c r="AC554" s="202"/>
      <c r="AD554" s="202"/>
      <c r="AE554" s="202"/>
      <c r="AF554" s="202"/>
    </row>
    <row r="555" spans="1:32" ht="15">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c r="AA555" s="202"/>
      <c r="AB555" s="202"/>
      <c r="AC555" s="202"/>
      <c r="AD555" s="202"/>
      <c r="AE555" s="202"/>
      <c r="AF555" s="202"/>
    </row>
    <row r="556" spans="1:32" ht="15">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c r="AA556" s="202"/>
      <c r="AB556" s="202"/>
      <c r="AC556" s="202"/>
      <c r="AD556" s="202"/>
      <c r="AE556" s="202"/>
      <c r="AF556" s="202"/>
    </row>
    <row r="557" spans="1:32" ht="15">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c r="AA557" s="202"/>
      <c r="AB557" s="202"/>
      <c r="AC557" s="202"/>
      <c r="AD557" s="202"/>
      <c r="AE557" s="202"/>
      <c r="AF557" s="202"/>
    </row>
    <row r="558" spans="1:32" ht="15">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c r="AA558" s="202"/>
      <c r="AB558" s="202"/>
      <c r="AC558" s="202"/>
      <c r="AD558" s="202"/>
      <c r="AE558" s="202"/>
      <c r="AF558" s="202"/>
    </row>
    <row r="559" spans="1:32" ht="15">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c r="AA559" s="202"/>
      <c r="AB559" s="202"/>
      <c r="AC559" s="202"/>
      <c r="AD559" s="202"/>
      <c r="AE559" s="202"/>
      <c r="AF559" s="202"/>
    </row>
    <row r="560" spans="1:32" ht="15">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c r="AA560" s="202"/>
      <c r="AB560" s="202"/>
      <c r="AC560" s="202"/>
      <c r="AD560" s="202"/>
      <c r="AE560" s="202"/>
      <c r="AF560" s="202"/>
    </row>
    <row r="561" spans="1:32" ht="15">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c r="AA561" s="202"/>
      <c r="AB561" s="202"/>
      <c r="AC561" s="202"/>
      <c r="AD561" s="202"/>
      <c r="AE561" s="202"/>
      <c r="AF561" s="202"/>
    </row>
    <row r="562" spans="1:32" ht="15">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c r="AA562" s="202"/>
      <c r="AB562" s="202"/>
      <c r="AC562" s="202"/>
      <c r="AD562" s="202"/>
      <c r="AE562" s="202"/>
      <c r="AF562" s="202"/>
    </row>
    <row r="563" spans="1:32" ht="15">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c r="AA563" s="202"/>
      <c r="AB563" s="202"/>
      <c r="AC563" s="202"/>
      <c r="AD563" s="202"/>
      <c r="AE563" s="202"/>
      <c r="AF563" s="202"/>
    </row>
    <row r="564" spans="1:32" ht="15">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c r="AA564" s="202"/>
      <c r="AB564" s="202"/>
      <c r="AC564" s="202"/>
      <c r="AD564" s="202"/>
      <c r="AE564" s="202"/>
      <c r="AF564" s="202"/>
    </row>
    <row r="565" spans="1:32" ht="15">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c r="AA565" s="202"/>
      <c r="AB565" s="202"/>
      <c r="AC565" s="202"/>
      <c r="AD565" s="202"/>
      <c r="AE565" s="202"/>
      <c r="AF565" s="202"/>
    </row>
    <row r="566" spans="1:32" ht="15">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c r="AA566" s="202"/>
      <c r="AB566" s="202"/>
      <c r="AC566" s="202"/>
      <c r="AD566" s="202"/>
      <c r="AE566" s="202"/>
      <c r="AF566" s="202"/>
    </row>
    <row r="567" spans="1:32" ht="15">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c r="AA567" s="202"/>
      <c r="AB567" s="202"/>
      <c r="AC567" s="202"/>
      <c r="AD567" s="202"/>
      <c r="AE567" s="202"/>
      <c r="AF567" s="202"/>
    </row>
    <row r="568" spans="1:32" ht="15">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c r="AA568" s="202"/>
      <c r="AB568" s="202"/>
      <c r="AC568" s="202"/>
      <c r="AD568" s="202"/>
      <c r="AE568" s="202"/>
      <c r="AF568" s="202"/>
    </row>
    <row r="569" spans="1:32" ht="15">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c r="AA569" s="202"/>
      <c r="AB569" s="202"/>
      <c r="AC569" s="202"/>
      <c r="AD569" s="202"/>
      <c r="AE569" s="202"/>
      <c r="AF569" s="202"/>
    </row>
    <row r="570" spans="1:32" ht="15">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c r="AA570" s="202"/>
      <c r="AB570" s="202"/>
      <c r="AC570" s="202"/>
      <c r="AD570" s="202"/>
      <c r="AE570" s="202"/>
      <c r="AF570" s="202"/>
    </row>
    <row r="571" spans="1:32" ht="15">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c r="AA571" s="202"/>
      <c r="AB571" s="202"/>
      <c r="AC571" s="202"/>
      <c r="AD571" s="202"/>
      <c r="AE571" s="202"/>
      <c r="AF571" s="202"/>
    </row>
    <row r="572" spans="1:32" ht="15">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c r="AA572" s="202"/>
      <c r="AB572" s="202"/>
      <c r="AC572" s="202"/>
      <c r="AD572" s="202"/>
      <c r="AE572" s="202"/>
      <c r="AF572" s="202"/>
    </row>
    <row r="573" spans="1:32" ht="15">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c r="AA573" s="202"/>
      <c r="AB573" s="202"/>
      <c r="AC573" s="202"/>
      <c r="AD573" s="202"/>
      <c r="AE573" s="202"/>
      <c r="AF573" s="202"/>
    </row>
    <row r="574" spans="1:32" ht="15">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c r="AA574" s="202"/>
      <c r="AB574" s="202"/>
      <c r="AC574" s="202"/>
      <c r="AD574" s="202"/>
      <c r="AE574" s="202"/>
      <c r="AF574" s="202"/>
    </row>
    <row r="575" spans="1:32" ht="15">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c r="AA575" s="202"/>
      <c r="AB575" s="202"/>
      <c r="AC575" s="202"/>
      <c r="AD575" s="202"/>
      <c r="AE575" s="202"/>
      <c r="AF575" s="202"/>
    </row>
    <row r="576" spans="1:32" ht="15">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c r="AA576" s="202"/>
      <c r="AB576" s="202"/>
      <c r="AC576" s="202"/>
      <c r="AD576" s="202"/>
      <c r="AE576" s="202"/>
      <c r="AF576" s="202"/>
    </row>
    <row r="577" spans="1:32" ht="15">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c r="AA577" s="202"/>
      <c r="AB577" s="202"/>
      <c r="AC577" s="202"/>
      <c r="AD577" s="202"/>
      <c r="AE577" s="202"/>
      <c r="AF577" s="202"/>
    </row>
    <row r="578" spans="1:32" ht="15">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c r="AA578" s="202"/>
      <c r="AB578" s="202"/>
      <c r="AC578" s="202"/>
      <c r="AD578" s="202"/>
      <c r="AE578" s="202"/>
      <c r="AF578" s="202"/>
    </row>
    <row r="579" spans="1:32" ht="15">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c r="AA579" s="202"/>
      <c r="AB579" s="202"/>
      <c r="AC579" s="202"/>
      <c r="AD579" s="202"/>
      <c r="AE579" s="202"/>
      <c r="AF579" s="202"/>
    </row>
    <row r="580" spans="1:32" ht="15">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c r="AA580" s="202"/>
      <c r="AB580" s="202"/>
      <c r="AC580" s="202"/>
      <c r="AD580" s="202"/>
      <c r="AE580" s="202"/>
      <c r="AF580" s="202"/>
    </row>
    <row r="581" spans="1:32" ht="15">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c r="AA581" s="202"/>
      <c r="AB581" s="202"/>
      <c r="AC581" s="202"/>
      <c r="AD581" s="202"/>
      <c r="AE581" s="202"/>
      <c r="AF581" s="202"/>
    </row>
    <row r="582" spans="1:32" ht="15">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c r="AA582" s="202"/>
      <c r="AB582" s="202"/>
      <c r="AC582" s="202"/>
      <c r="AD582" s="202"/>
      <c r="AE582" s="202"/>
      <c r="AF582" s="202"/>
    </row>
    <row r="583" spans="1:32" ht="15">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c r="AA583" s="202"/>
      <c r="AB583" s="202"/>
      <c r="AC583" s="202"/>
      <c r="AD583" s="202"/>
      <c r="AE583" s="202"/>
      <c r="AF583" s="202"/>
    </row>
    <row r="584" spans="1:32" ht="15">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c r="AA584" s="202"/>
      <c r="AB584" s="202"/>
      <c r="AC584" s="202"/>
      <c r="AD584" s="202"/>
      <c r="AE584" s="202"/>
      <c r="AF584" s="202"/>
    </row>
    <row r="585" spans="1:32" ht="15">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c r="AA585" s="202"/>
      <c r="AB585" s="202"/>
      <c r="AC585" s="202"/>
      <c r="AD585" s="202"/>
      <c r="AE585" s="202"/>
      <c r="AF585" s="202"/>
    </row>
    <row r="586" spans="1:32" ht="15">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c r="AA586" s="202"/>
      <c r="AB586" s="202"/>
      <c r="AC586" s="202"/>
      <c r="AD586" s="202"/>
      <c r="AE586" s="202"/>
      <c r="AF586" s="202"/>
    </row>
    <row r="587" spans="1:32" ht="15">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c r="AA587" s="202"/>
      <c r="AB587" s="202"/>
      <c r="AC587" s="202"/>
      <c r="AD587" s="202"/>
      <c r="AE587" s="202"/>
      <c r="AF587" s="202"/>
    </row>
    <row r="588" spans="1:32" ht="15">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c r="AA588" s="202"/>
      <c r="AB588" s="202"/>
      <c r="AC588" s="202"/>
      <c r="AD588" s="202"/>
      <c r="AE588" s="202"/>
      <c r="AF588" s="202"/>
    </row>
    <row r="589" spans="1:32" ht="15">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c r="AA589" s="202"/>
      <c r="AB589" s="202"/>
      <c r="AC589" s="202"/>
      <c r="AD589" s="202"/>
      <c r="AE589" s="202"/>
      <c r="AF589" s="202"/>
    </row>
    <row r="590" spans="1:32" ht="15">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c r="AA590" s="202"/>
      <c r="AB590" s="202"/>
      <c r="AC590" s="202"/>
      <c r="AD590" s="202"/>
      <c r="AE590" s="202"/>
      <c r="AF590" s="202"/>
    </row>
    <row r="591" spans="1:32" ht="15">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c r="AA591" s="202"/>
      <c r="AB591" s="202"/>
      <c r="AC591" s="202"/>
      <c r="AD591" s="202"/>
      <c r="AE591" s="202"/>
      <c r="AF591" s="202"/>
    </row>
    <row r="592" spans="1:32" ht="15">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c r="AA592" s="202"/>
      <c r="AB592" s="202"/>
      <c r="AC592" s="202"/>
      <c r="AD592" s="202"/>
      <c r="AE592" s="202"/>
      <c r="AF592" s="202"/>
    </row>
    <row r="593" spans="1:32" ht="15">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c r="AA593" s="202"/>
      <c r="AB593" s="202"/>
      <c r="AC593" s="202"/>
      <c r="AD593" s="202"/>
      <c r="AE593" s="202"/>
      <c r="AF593" s="202"/>
    </row>
    <row r="594" spans="1:32" ht="15">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c r="AA594" s="202"/>
      <c r="AB594" s="202"/>
      <c r="AC594" s="202"/>
      <c r="AD594" s="202"/>
      <c r="AE594" s="202"/>
      <c r="AF594" s="202"/>
    </row>
    <row r="595" spans="1:32" ht="15">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c r="AA595" s="202"/>
      <c r="AB595" s="202"/>
      <c r="AC595" s="202"/>
      <c r="AD595" s="202"/>
      <c r="AE595" s="202"/>
      <c r="AF595" s="202"/>
    </row>
    <row r="596" spans="1:32" ht="15">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c r="AA596" s="202"/>
      <c r="AB596" s="202"/>
      <c r="AC596" s="202"/>
      <c r="AD596" s="202"/>
      <c r="AE596" s="202"/>
      <c r="AF596" s="202"/>
    </row>
    <row r="597" spans="1:32" ht="15">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c r="AA597" s="202"/>
      <c r="AB597" s="202"/>
      <c r="AC597" s="202"/>
      <c r="AD597" s="202"/>
      <c r="AE597" s="202"/>
      <c r="AF597" s="202"/>
    </row>
    <row r="598" spans="1:32" ht="15">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c r="AA598" s="202"/>
      <c r="AB598" s="202"/>
      <c r="AC598" s="202"/>
      <c r="AD598" s="202"/>
      <c r="AE598" s="202"/>
      <c r="AF598" s="202"/>
    </row>
    <row r="599" spans="1:32" ht="15">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c r="AA599" s="202"/>
      <c r="AB599" s="202"/>
      <c r="AC599" s="202"/>
      <c r="AD599" s="202"/>
      <c r="AE599" s="202"/>
      <c r="AF599" s="202"/>
    </row>
    <row r="600" spans="1:32" ht="15">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c r="AA600" s="202"/>
      <c r="AB600" s="202"/>
      <c r="AC600" s="202"/>
      <c r="AD600" s="202"/>
      <c r="AE600" s="202"/>
      <c r="AF600" s="202"/>
    </row>
    <row r="601" spans="1:32" ht="15">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c r="AA601" s="202"/>
      <c r="AB601" s="202"/>
      <c r="AC601" s="202"/>
      <c r="AD601" s="202"/>
      <c r="AE601" s="202"/>
      <c r="AF601" s="202"/>
    </row>
    <row r="602" spans="1:32" ht="15">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c r="AA602" s="202"/>
      <c r="AB602" s="202"/>
      <c r="AC602" s="202"/>
      <c r="AD602" s="202"/>
      <c r="AE602" s="202"/>
      <c r="AF602" s="202"/>
    </row>
    <row r="603" spans="1:32" ht="15">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c r="AA603" s="202"/>
      <c r="AB603" s="202"/>
      <c r="AC603" s="202"/>
      <c r="AD603" s="202"/>
      <c r="AE603" s="202"/>
      <c r="AF603" s="202"/>
    </row>
    <row r="604" spans="1:32" ht="15">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c r="AA604" s="202"/>
      <c r="AB604" s="202"/>
      <c r="AC604" s="202"/>
      <c r="AD604" s="202"/>
      <c r="AE604" s="202"/>
      <c r="AF604" s="202"/>
    </row>
    <row r="605" spans="1:32" ht="15">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c r="AA605" s="202"/>
      <c r="AB605" s="202"/>
      <c r="AC605" s="202"/>
      <c r="AD605" s="202"/>
      <c r="AE605" s="202"/>
      <c r="AF605" s="202"/>
    </row>
    <row r="606" spans="1:32" ht="15">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c r="AA606" s="202"/>
      <c r="AB606" s="202"/>
      <c r="AC606" s="202"/>
      <c r="AD606" s="202"/>
      <c r="AE606" s="202"/>
      <c r="AF606" s="202"/>
    </row>
    <row r="607" spans="1:32" ht="15">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c r="AA607" s="202"/>
      <c r="AB607" s="202"/>
      <c r="AC607" s="202"/>
      <c r="AD607" s="202"/>
      <c r="AE607" s="202"/>
      <c r="AF607" s="202"/>
    </row>
    <row r="608" spans="1:32" ht="15">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c r="AA608" s="202"/>
      <c r="AB608" s="202"/>
      <c r="AC608" s="202"/>
      <c r="AD608" s="202"/>
      <c r="AE608" s="202"/>
      <c r="AF608" s="202"/>
    </row>
    <row r="609" spans="1:32" ht="15">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c r="AA609" s="202"/>
      <c r="AB609" s="202"/>
      <c r="AC609" s="202"/>
      <c r="AD609" s="202"/>
      <c r="AE609" s="202"/>
      <c r="AF609" s="202"/>
    </row>
    <row r="610" spans="1:32" ht="15">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c r="AA610" s="202"/>
      <c r="AB610" s="202"/>
      <c r="AC610" s="202"/>
      <c r="AD610" s="202"/>
      <c r="AE610" s="202"/>
      <c r="AF610" s="202"/>
    </row>
    <row r="611" spans="1:32" ht="15">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c r="AA611" s="202"/>
      <c r="AB611" s="202"/>
      <c r="AC611" s="202"/>
      <c r="AD611" s="202"/>
      <c r="AE611" s="202"/>
      <c r="AF611" s="202"/>
    </row>
    <row r="612" spans="1:32" ht="15">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c r="AA612" s="202"/>
      <c r="AB612" s="202"/>
      <c r="AC612" s="202"/>
      <c r="AD612" s="202"/>
      <c r="AE612" s="202"/>
      <c r="AF612" s="202"/>
    </row>
    <row r="613" spans="1:32" ht="15">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c r="AA613" s="202"/>
      <c r="AB613" s="202"/>
      <c r="AC613" s="202"/>
      <c r="AD613" s="202"/>
      <c r="AE613" s="202"/>
      <c r="AF613" s="202"/>
    </row>
    <row r="614" spans="1:32" ht="15">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c r="AA614" s="202"/>
      <c r="AB614" s="202"/>
      <c r="AC614" s="202"/>
      <c r="AD614" s="202"/>
      <c r="AE614" s="202"/>
      <c r="AF614" s="202"/>
    </row>
    <row r="615" spans="1:32" ht="15">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c r="AA615" s="202"/>
      <c r="AB615" s="202"/>
      <c r="AC615" s="202"/>
      <c r="AD615" s="202"/>
      <c r="AE615" s="202"/>
      <c r="AF615" s="202"/>
    </row>
    <row r="616" spans="1:32" ht="15">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c r="AA616" s="202"/>
      <c r="AB616" s="202"/>
      <c r="AC616" s="202"/>
      <c r="AD616" s="202"/>
      <c r="AE616" s="202"/>
      <c r="AF616" s="202"/>
    </row>
    <row r="617" spans="1:32" ht="15">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c r="AA617" s="202"/>
      <c r="AB617" s="202"/>
      <c r="AC617" s="202"/>
      <c r="AD617" s="202"/>
      <c r="AE617" s="202"/>
      <c r="AF617" s="202"/>
    </row>
    <row r="618" spans="1:32" ht="15">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c r="AA618" s="202"/>
      <c r="AB618" s="202"/>
      <c r="AC618" s="202"/>
      <c r="AD618" s="202"/>
      <c r="AE618" s="202"/>
      <c r="AF618" s="202"/>
    </row>
    <row r="619" spans="1:32" ht="15">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c r="AA619" s="202"/>
      <c r="AB619" s="202"/>
      <c r="AC619" s="202"/>
      <c r="AD619" s="202"/>
      <c r="AE619" s="202"/>
      <c r="AF619" s="202"/>
    </row>
    <row r="620" spans="1:32" ht="15">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c r="AA620" s="202"/>
      <c r="AB620" s="202"/>
      <c r="AC620" s="202"/>
      <c r="AD620" s="202"/>
      <c r="AE620" s="202"/>
      <c r="AF620" s="202"/>
    </row>
    <row r="621" spans="1:32" ht="15">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c r="AA621" s="202"/>
      <c r="AB621" s="202"/>
      <c r="AC621" s="202"/>
      <c r="AD621" s="202"/>
      <c r="AE621" s="202"/>
      <c r="AF621" s="202"/>
    </row>
    <row r="622" spans="1:32" ht="15">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c r="AA622" s="202"/>
      <c r="AB622" s="202"/>
      <c r="AC622" s="202"/>
      <c r="AD622" s="202"/>
      <c r="AE622" s="202"/>
      <c r="AF622" s="202"/>
    </row>
    <row r="623" spans="1:32" ht="15">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c r="AA623" s="202"/>
      <c r="AB623" s="202"/>
      <c r="AC623" s="202"/>
      <c r="AD623" s="202"/>
      <c r="AE623" s="202"/>
      <c r="AF623" s="202"/>
    </row>
    <row r="624" spans="1:32" ht="15">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c r="AA624" s="202"/>
      <c r="AB624" s="202"/>
      <c r="AC624" s="202"/>
      <c r="AD624" s="202"/>
      <c r="AE624" s="202"/>
      <c r="AF624" s="202"/>
    </row>
    <row r="625" spans="1:32" ht="15">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c r="AA625" s="202"/>
      <c r="AB625" s="202"/>
      <c r="AC625" s="202"/>
      <c r="AD625" s="202"/>
      <c r="AE625" s="202"/>
      <c r="AF625" s="202"/>
    </row>
    <row r="626" spans="1:32" ht="15">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c r="AA626" s="202"/>
      <c r="AB626" s="202"/>
      <c r="AC626" s="202"/>
      <c r="AD626" s="202"/>
      <c r="AE626" s="202"/>
      <c r="AF626" s="202"/>
    </row>
    <row r="627" spans="1:32" ht="15">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c r="AA627" s="202"/>
      <c r="AB627" s="202"/>
      <c r="AC627" s="202"/>
      <c r="AD627" s="202"/>
      <c r="AE627" s="202"/>
      <c r="AF627" s="202"/>
    </row>
    <row r="628" spans="1:32" ht="15">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c r="AA628" s="202"/>
      <c r="AB628" s="202"/>
      <c r="AC628" s="202"/>
      <c r="AD628" s="202"/>
      <c r="AE628" s="202"/>
      <c r="AF628" s="202"/>
    </row>
    <row r="629" spans="1:32" ht="15">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c r="AA629" s="202"/>
      <c r="AB629" s="202"/>
      <c r="AC629" s="202"/>
      <c r="AD629" s="202"/>
      <c r="AE629" s="202"/>
      <c r="AF629" s="202"/>
    </row>
    <row r="630" spans="1:32" ht="15">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c r="AA630" s="202"/>
      <c r="AB630" s="202"/>
      <c r="AC630" s="202"/>
      <c r="AD630" s="202"/>
      <c r="AE630" s="202"/>
      <c r="AF630" s="202"/>
    </row>
    <row r="631" spans="1:32" ht="15">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c r="AA631" s="202"/>
      <c r="AB631" s="202"/>
      <c r="AC631" s="202"/>
      <c r="AD631" s="202"/>
      <c r="AE631" s="202"/>
      <c r="AF631" s="202"/>
    </row>
    <row r="632" spans="1:32" ht="15">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c r="AA632" s="202"/>
      <c r="AB632" s="202"/>
      <c r="AC632" s="202"/>
      <c r="AD632" s="202"/>
      <c r="AE632" s="202"/>
      <c r="AF632" s="202"/>
    </row>
    <row r="633" spans="1:32" ht="15">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c r="AA633" s="202"/>
      <c r="AB633" s="202"/>
      <c r="AC633" s="202"/>
      <c r="AD633" s="202"/>
      <c r="AE633" s="202"/>
      <c r="AF633" s="202"/>
    </row>
    <row r="634" spans="1:32" ht="15">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c r="AA634" s="202"/>
      <c r="AB634" s="202"/>
      <c r="AC634" s="202"/>
      <c r="AD634" s="202"/>
      <c r="AE634" s="202"/>
      <c r="AF634" s="202"/>
    </row>
    <row r="635" spans="1:32" ht="15">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c r="AA635" s="202"/>
      <c r="AB635" s="202"/>
      <c r="AC635" s="202"/>
      <c r="AD635" s="202"/>
      <c r="AE635" s="202"/>
      <c r="AF635" s="202"/>
    </row>
    <row r="636" spans="1:32" ht="15">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c r="AA636" s="202"/>
      <c r="AB636" s="202"/>
      <c r="AC636" s="202"/>
      <c r="AD636" s="202"/>
      <c r="AE636" s="202"/>
      <c r="AF636" s="202"/>
    </row>
    <row r="637" spans="1:32" ht="15">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c r="AA637" s="202"/>
      <c r="AB637" s="202"/>
      <c r="AC637" s="202"/>
      <c r="AD637" s="202"/>
      <c r="AE637" s="202"/>
      <c r="AF637" s="202"/>
    </row>
    <row r="638" spans="1:32" ht="15">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c r="AA638" s="202"/>
      <c r="AB638" s="202"/>
      <c r="AC638" s="202"/>
      <c r="AD638" s="202"/>
      <c r="AE638" s="202"/>
      <c r="AF638" s="202"/>
    </row>
    <row r="639" spans="1:32" ht="15">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c r="AA639" s="202"/>
      <c r="AB639" s="202"/>
      <c r="AC639" s="202"/>
      <c r="AD639" s="202"/>
      <c r="AE639" s="202"/>
      <c r="AF639" s="202"/>
    </row>
    <row r="640" spans="1:32" ht="15">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c r="AA640" s="202"/>
      <c r="AB640" s="202"/>
      <c r="AC640" s="202"/>
      <c r="AD640" s="202"/>
      <c r="AE640" s="202"/>
      <c r="AF640" s="202"/>
    </row>
    <row r="641" spans="1:32" ht="15">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c r="AA641" s="202"/>
      <c r="AB641" s="202"/>
      <c r="AC641" s="202"/>
      <c r="AD641" s="202"/>
      <c r="AE641" s="202"/>
      <c r="AF641" s="202"/>
    </row>
    <row r="642" spans="1:32" ht="15">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c r="AA642" s="202"/>
      <c r="AB642" s="202"/>
      <c r="AC642" s="202"/>
      <c r="AD642" s="202"/>
      <c r="AE642" s="202"/>
      <c r="AF642" s="202"/>
    </row>
    <row r="643" spans="1:32" ht="15">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c r="AA643" s="202"/>
      <c r="AB643" s="202"/>
      <c r="AC643" s="202"/>
      <c r="AD643" s="202"/>
      <c r="AE643" s="202"/>
      <c r="AF643" s="202"/>
    </row>
    <row r="644" spans="1:32" ht="15">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c r="AA644" s="202"/>
      <c r="AB644" s="202"/>
      <c r="AC644" s="202"/>
      <c r="AD644" s="202"/>
      <c r="AE644" s="202"/>
      <c r="AF644" s="202"/>
    </row>
    <row r="645" spans="1:32" ht="15">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c r="AA645" s="202"/>
      <c r="AB645" s="202"/>
      <c r="AC645" s="202"/>
      <c r="AD645" s="202"/>
      <c r="AE645" s="202"/>
      <c r="AF645" s="202"/>
    </row>
    <row r="646" spans="1:32" ht="15">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c r="AA646" s="202"/>
      <c r="AB646" s="202"/>
      <c r="AC646" s="202"/>
      <c r="AD646" s="202"/>
      <c r="AE646" s="202"/>
      <c r="AF646" s="202"/>
    </row>
    <row r="647" spans="1:32" ht="15">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c r="AA647" s="202"/>
      <c r="AB647" s="202"/>
      <c r="AC647" s="202"/>
      <c r="AD647" s="202"/>
      <c r="AE647" s="202"/>
      <c r="AF647" s="202"/>
    </row>
    <row r="648" spans="1:32" ht="15">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c r="AA648" s="202"/>
      <c r="AB648" s="202"/>
      <c r="AC648" s="202"/>
      <c r="AD648" s="202"/>
      <c r="AE648" s="202"/>
      <c r="AF648" s="202"/>
    </row>
    <row r="649" spans="1:32" ht="15">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c r="AA649" s="202"/>
      <c r="AB649" s="202"/>
      <c r="AC649" s="202"/>
      <c r="AD649" s="202"/>
      <c r="AE649" s="202"/>
      <c r="AF649" s="202"/>
    </row>
    <row r="650" spans="1:32" ht="15">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c r="AA650" s="202"/>
      <c r="AB650" s="202"/>
      <c r="AC650" s="202"/>
      <c r="AD650" s="202"/>
      <c r="AE650" s="202"/>
      <c r="AF650" s="202"/>
    </row>
    <row r="651" spans="1:32" ht="15">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c r="AA651" s="202"/>
      <c r="AB651" s="202"/>
      <c r="AC651" s="202"/>
      <c r="AD651" s="202"/>
      <c r="AE651" s="202"/>
      <c r="AF651" s="202"/>
    </row>
    <row r="652" spans="1:32" ht="15">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c r="AA652" s="202"/>
      <c r="AB652" s="202"/>
      <c r="AC652" s="202"/>
      <c r="AD652" s="202"/>
      <c r="AE652" s="202"/>
      <c r="AF652" s="202"/>
    </row>
    <row r="653" spans="1:32" ht="15">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c r="AA653" s="202"/>
      <c r="AB653" s="202"/>
      <c r="AC653" s="202"/>
      <c r="AD653" s="202"/>
      <c r="AE653" s="202"/>
      <c r="AF653" s="202"/>
    </row>
    <row r="654" spans="1:32" ht="15">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c r="AA654" s="202"/>
      <c r="AB654" s="202"/>
      <c r="AC654" s="202"/>
      <c r="AD654" s="202"/>
      <c r="AE654" s="202"/>
      <c r="AF654" s="202"/>
    </row>
    <row r="655" spans="1:32" ht="15">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c r="AA655" s="202"/>
      <c r="AB655" s="202"/>
      <c r="AC655" s="202"/>
      <c r="AD655" s="202"/>
      <c r="AE655" s="202"/>
      <c r="AF655" s="202"/>
    </row>
    <row r="656" spans="1:32" ht="15">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c r="AA656" s="202"/>
      <c r="AB656" s="202"/>
      <c r="AC656" s="202"/>
      <c r="AD656" s="202"/>
      <c r="AE656" s="202"/>
      <c r="AF656" s="202"/>
    </row>
    <row r="657" spans="1:32" ht="15">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c r="AA657" s="202"/>
      <c r="AB657" s="202"/>
      <c r="AC657" s="202"/>
      <c r="AD657" s="202"/>
      <c r="AE657" s="202"/>
      <c r="AF657" s="202"/>
    </row>
    <row r="658" spans="1:32" ht="15">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c r="AA658" s="202"/>
      <c r="AB658" s="202"/>
      <c r="AC658" s="202"/>
      <c r="AD658" s="202"/>
      <c r="AE658" s="202"/>
      <c r="AF658" s="202"/>
    </row>
    <row r="659" spans="1:32" ht="15">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c r="AA659" s="202"/>
      <c r="AB659" s="202"/>
      <c r="AC659" s="202"/>
      <c r="AD659" s="202"/>
      <c r="AE659" s="202"/>
      <c r="AF659" s="202"/>
    </row>
    <row r="660" spans="1:32" ht="15">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c r="AA660" s="202"/>
      <c r="AB660" s="202"/>
      <c r="AC660" s="202"/>
      <c r="AD660" s="202"/>
      <c r="AE660" s="202"/>
      <c r="AF660" s="202"/>
    </row>
    <row r="661" spans="1:32" ht="15">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c r="AA661" s="202"/>
      <c r="AB661" s="202"/>
      <c r="AC661" s="202"/>
      <c r="AD661" s="202"/>
      <c r="AE661" s="202"/>
      <c r="AF661" s="202"/>
    </row>
    <row r="662" spans="1:32" ht="15">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c r="AA662" s="202"/>
      <c r="AB662" s="202"/>
      <c r="AC662" s="202"/>
      <c r="AD662" s="202"/>
      <c r="AE662" s="202"/>
      <c r="AF662" s="202"/>
    </row>
    <row r="663" spans="1:32" ht="15">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c r="AA663" s="202"/>
      <c r="AB663" s="202"/>
      <c r="AC663" s="202"/>
      <c r="AD663" s="202"/>
      <c r="AE663" s="202"/>
      <c r="AF663" s="202"/>
    </row>
    <row r="664" spans="1:32" ht="15">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c r="AA664" s="202"/>
      <c r="AB664" s="202"/>
      <c r="AC664" s="202"/>
      <c r="AD664" s="202"/>
      <c r="AE664" s="202"/>
      <c r="AF664" s="202"/>
    </row>
    <row r="665" spans="1:32" ht="15">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c r="AA665" s="202"/>
      <c r="AB665" s="202"/>
      <c r="AC665" s="202"/>
      <c r="AD665" s="202"/>
      <c r="AE665" s="202"/>
      <c r="AF665" s="202"/>
    </row>
    <row r="666" spans="1:32" ht="15">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c r="AA666" s="202"/>
      <c r="AB666" s="202"/>
      <c r="AC666" s="202"/>
      <c r="AD666" s="202"/>
      <c r="AE666" s="202"/>
      <c r="AF666" s="202"/>
    </row>
    <row r="667" spans="1:32" ht="15">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c r="AA667" s="202"/>
      <c r="AB667" s="202"/>
      <c r="AC667" s="202"/>
      <c r="AD667" s="202"/>
      <c r="AE667" s="202"/>
      <c r="AF667" s="202"/>
    </row>
    <row r="668" spans="1:32" ht="15">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c r="AA668" s="202"/>
      <c r="AB668" s="202"/>
      <c r="AC668" s="202"/>
      <c r="AD668" s="202"/>
      <c r="AE668" s="202"/>
      <c r="AF668" s="202"/>
    </row>
    <row r="669" spans="1:32" ht="15">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c r="AA669" s="202"/>
      <c r="AB669" s="202"/>
      <c r="AC669" s="202"/>
      <c r="AD669" s="202"/>
      <c r="AE669" s="202"/>
      <c r="AF669" s="202"/>
    </row>
    <row r="670" spans="1:32" ht="15">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c r="AA670" s="202"/>
      <c r="AB670" s="202"/>
      <c r="AC670" s="202"/>
      <c r="AD670" s="202"/>
      <c r="AE670" s="202"/>
      <c r="AF670" s="202"/>
    </row>
    <row r="671" spans="1:32" ht="15">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c r="AA671" s="202"/>
      <c r="AB671" s="202"/>
      <c r="AC671" s="202"/>
      <c r="AD671" s="202"/>
      <c r="AE671" s="202"/>
      <c r="AF671" s="202"/>
    </row>
    <row r="672" spans="1:32" ht="15">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c r="AA672" s="202"/>
      <c r="AB672" s="202"/>
      <c r="AC672" s="202"/>
      <c r="AD672" s="202"/>
      <c r="AE672" s="202"/>
      <c r="AF672" s="202"/>
    </row>
    <row r="673" spans="1:32" ht="15">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c r="AA673" s="202"/>
      <c r="AB673" s="202"/>
      <c r="AC673" s="202"/>
      <c r="AD673" s="202"/>
      <c r="AE673" s="202"/>
      <c r="AF673" s="202"/>
    </row>
    <row r="674" spans="1:32" ht="15">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c r="AA674" s="202"/>
      <c r="AB674" s="202"/>
      <c r="AC674" s="202"/>
      <c r="AD674" s="202"/>
      <c r="AE674" s="202"/>
      <c r="AF674" s="202"/>
    </row>
    <row r="675" spans="1:32" ht="15">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c r="AA675" s="202"/>
      <c r="AB675" s="202"/>
      <c r="AC675" s="202"/>
      <c r="AD675" s="202"/>
      <c r="AE675" s="202"/>
      <c r="AF675" s="202"/>
    </row>
    <row r="676" spans="1:32" ht="15">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c r="AA676" s="202"/>
      <c r="AB676" s="202"/>
      <c r="AC676" s="202"/>
      <c r="AD676" s="202"/>
      <c r="AE676" s="202"/>
      <c r="AF676" s="202"/>
    </row>
    <row r="677" spans="1:32" ht="15">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c r="AA677" s="202"/>
      <c r="AB677" s="202"/>
      <c r="AC677" s="202"/>
      <c r="AD677" s="202"/>
      <c r="AE677" s="202"/>
      <c r="AF677" s="202"/>
    </row>
    <row r="678" spans="1:32" ht="15">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c r="AA678" s="202"/>
      <c r="AB678" s="202"/>
      <c r="AC678" s="202"/>
      <c r="AD678" s="202"/>
      <c r="AE678" s="202"/>
      <c r="AF678" s="202"/>
    </row>
    <row r="679" spans="1:32" ht="15">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c r="AA679" s="202"/>
      <c r="AB679" s="202"/>
      <c r="AC679" s="202"/>
      <c r="AD679" s="202"/>
      <c r="AE679" s="202"/>
      <c r="AF679" s="202"/>
    </row>
    <row r="680" spans="1:32" ht="15">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c r="AA680" s="202"/>
      <c r="AB680" s="202"/>
      <c r="AC680" s="202"/>
      <c r="AD680" s="202"/>
      <c r="AE680" s="202"/>
      <c r="AF680" s="202"/>
    </row>
    <row r="681" spans="1:32" ht="15">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c r="AA681" s="202"/>
      <c r="AB681" s="202"/>
      <c r="AC681" s="202"/>
      <c r="AD681" s="202"/>
      <c r="AE681" s="202"/>
      <c r="AF681" s="202"/>
    </row>
    <row r="682" spans="1:32" ht="15">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c r="AA682" s="202"/>
      <c r="AB682" s="202"/>
      <c r="AC682" s="202"/>
      <c r="AD682" s="202"/>
      <c r="AE682" s="202"/>
      <c r="AF682" s="202"/>
    </row>
    <row r="683" spans="1:32" ht="15">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c r="AA683" s="202"/>
      <c r="AB683" s="202"/>
      <c r="AC683" s="202"/>
      <c r="AD683" s="202"/>
      <c r="AE683" s="202"/>
      <c r="AF683" s="202"/>
    </row>
    <row r="684" spans="1:32" ht="15">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c r="AA684" s="202"/>
      <c r="AB684" s="202"/>
      <c r="AC684" s="202"/>
      <c r="AD684" s="202"/>
      <c r="AE684" s="202"/>
      <c r="AF684" s="202"/>
    </row>
    <row r="685" spans="1:32" ht="15">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c r="AA685" s="202"/>
      <c r="AB685" s="202"/>
      <c r="AC685" s="202"/>
      <c r="AD685" s="202"/>
      <c r="AE685" s="202"/>
      <c r="AF685" s="202"/>
    </row>
    <row r="686" spans="1:32" ht="15">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c r="AA686" s="202"/>
      <c r="AB686" s="202"/>
      <c r="AC686" s="202"/>
      <c r="AD686" s="202"/>
      <c r="AE686" s="202"/>
      <c r="AF686" s="202"/>
    </row>
    <row r="687" spans="1:32" ht="15">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c r="AA687" s="202"/>
      <c r="AB687" s="202"/>
      <c r="AC687" s="202"/>
      <c r="AD687" s="202"/>
      <c r="AE687" s="202"/>
      <c r="AF687" s="202"/>
    </row>
    <row r="688" spans="1:32" ht="15">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c r="AA688" s="202"/>
      <c r="AB688" s="202"/>
      <c r="AC688" s="202"/>
      <c r="AD688" s="202"/>
      <c r="AE688" s="202"/>
      <c r="AF688" s="202"/>
    </row>
    <row r="689" spans="1:32" ht="15">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c r="AA689" s="202"/>
      <c r="AB689" s="202"/>
      <c r="AC689" s="202"/>
      <c r="AD689" s="202"/>
      <c r="AE689" s="202"/>
      <c r="AF689" s="202"/>
    </row>
    <row r="690" spans="1:32" ht="15">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c r="AA690" s="202"/>
      <c r="AB690" s="202"/>
      <c r="AC690" s="202"/>
      <c r="AD690" s="202"/>
      <c r="AE690" s="202"/>
      <c r="AF690" s="202"/>
    </row>
    <row r="691" spans="1:32" ht="15">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c r="AA691" s="202"/>
      <c r="AB691" s="202"/>
      <c r="AC691" s="202"/>
      <c r="AD691" s="202"/>
      <c r="AE691" s="202"/>
      <c r="AF691" s="202"/>
    </row>
    <row r="692" spans="1:32" ht="15">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c r="AA692" s="202"/>
      <c r="AB692" s="202"/>
      <c r="AC692" s="202"/>
      <c r="AD692" s="202"/>
      <c r="AE692" s="202"/>
      <c r="AF692" s="202"/>
    </row>
    <row r="693" spans="1:32" ht="15">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c r="AA693" s="202"/>
      <c r="AB693" s="202"/>
      <c r="AC693" s="202"/>
      <c r="AD693" s="202"/>
      <c r="AE693" s="202"/>
      <c r="AF693" s="202"/>
    </row>
    <row r="694" spans="1:32" ht="15">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c r="AA694" s="202"/>
      <c r="AB694" s="202"/>
      <c r="AC694" s="202"/>
      <c r="AD694" s="202"/>
      <c r="AE694" s="202"/>
      <c r="AF694" s="202"/>
    </row>
    <row r="695" spans="1:32" ht="15">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c r="AA695" s="202"/>
      <c r="AB695" s="202"/>
      <c r="AC695" s="202"/>
      <c r="AD695" s="202"/>
      <c r="AE695" s="202"/>
      <c r="AF695" s="202"/>
    </row>
    <row r="696" spans="1:32" ht="15">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c r="AA696" s="202"/>
      <c r="AB696" s="202"/>
      <c r="AC696" s="202"/>
      <c r="AD696" s="202"/>
      <c r="AE696" s="202"/>
      <c r="AF696" s="202"/>
    </row>
    <row r="697" spans="1:32" ht="15">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c r="AA697" s="202"/>
      <c r="AB697" s="202"/>
      <c r="AC697" s="202"/>
      <c r="AD697" s="202"/>
      <c r="AE697" s="202"/>
      <c r="AF697" s="202"/>
    </row>
    <row r="698" spans="1:32" ht="15">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c r="AA698" s="202"/>
      <c r="AB698" s="202"/>
      <c r="AC698" s="202"/>
      <c r="AD698" s="202"/>
      <c r="AE698" s="202"/>
      <c r="AF698" s="202"/>
    </row>
    <row r="699" spans="1:32" ht="15">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c r="AA699" s="202"/>
      <c r="AB699" s="202"/>
      <c r="AC699" s="202"/>
      <c r="AD699" s="202"/>
      <c r="AE699" s="202"/>
      <c r="AF699" s="202"/>
    </row>
    <row r="700" spans="1:32" ht="15">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c r="AA700" s="202"/>
      <c r="AB700" s="202"/>
      <c r="AC700" s="202"/>
      <c r="AD700" s="202"/>
      <c r="AE700" s="202"/>
      <c r="AF700" s="202"/>
    </row>
    <row r="701" spans="1:32" ht="15">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c r="AA701" s="202"/>
      <c r="AB701" s="202"/>
      <c r="AC701" s="202"/>
      <c r="AD701" s="202"/>
      <c r="AE701" s="202"/>
      <c r="AF701" s="202"/>
    </row>
    <row r="702" spans="1:32" ht="15">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c r="AA702" s="202"/>
      <c r="AB702" s="202"/>
      <c r="AC702" s="202"/>
      <c r="AD702" s="202"/>
      <c r="AE702" s="202"/>
      <c r="AF702" s="202"/>
    </row>
    <row r="703" spans="1:32" ht="15">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c r="AA703" s="202"/>
      <c r="AB703" s="202"/>
      <c r="AC703" s="202"/>
      <c r="AD703" s="202"/>
      <c r="AE703" s="202"/>
      <c r="AF703" s="202"/>
    </row>
    <row r="704" spans="1:32" ht="15">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c r="AA704" s="202"/>
      <c r="AB704" s="202"/>
      <c r="AC704" s="202"/>
      <c r="AD704" s="202"/>
      <c r="AE704" s="202"/>
      <c r="AF704" s="202"/>
    </row>
    <row r="705" spans="1:32" ht="15">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c r="AA705" s="202"/>
      <c r="AB705" s="202"/>
      <c r="AC705" s="202"/>
      <c r="AD705" s="202"/>
      <c r="AE705" s="202"/>
      <c r="AF705" s="202"/>
    </row>
    <row r="706" spans="1:32" ht="15">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c r="AA706" s="202"/>
      <c r="AB706" s="202"/>
      <c r="AC706" s="202"/>
      <c r="AD706" s="202"/>
      <c r="AE706" s="202"/>
      <c r="AF706" s="202"/>
    </row>
    <row r="707" spans="1:32" ht="15">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c r="AA707" s="202"/>
      <c r="AB707" s="202"/>
      <c r="AC707" s="202"/>
      <c r="AD707" s="202"/>
      <c r="AE707" s="202"/>
      <c r="AF707" s="202"/>
    </row>
    <row r="708" spans="1:32" ht="15">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c r="AA708" s="202"/>
      <c r="AB708" s="202"/>
      <c r="AC708" s="202"/>
      <c r="AD708" s="202"/>
      <c r="AE708" s="202"/>
      <c r="AF708" s="202"/>
    </row>
    <row r="709" spans="1:32" ht="15">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c r="AA709" s="202"/>
      <c r="AB709" s="202"/>
      <c r="AC709" s="202"/>
      <c r="AD709" s="202"/>
      <c r="AE709" s="202"/>
      <c r="AF709" s="202"/>
    </row>
    <row r="710" spans="1:32" ht="15">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c r="AA710" s="202"/>
      <c r="AB710" s="202"/>
      <c r="AC710" s="202"/>
      <c r="AD710" s="202"/>
      <c r="AE710" s="202"/>
      <c r="AF710" s="202"/>
    </row>
    <row r="711" spans="1:32" ht="15">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c r="AA711" s="202"/>
      <c r="AB711" s="202"/>
      <c r="AC711" s="202"/>
      <c r="AD711" s="202"/>
      <c r="AE711" s="202"/>
      <c r="AF711" s="202"/>
    </row>
    <row r="712" spans="1:32" ht="15">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c r="AA712" s="202"/>
      <c r="AB712" s="202"/>
      <c r="AC712" s="202"/>
      <c r="AD712" s="202"/>
      <c r="AE712" s="202"/>
      <c r="AF712" s="202"/>
    </row>
    <row r="713" spans="1:32" ht="15">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c r="AA713" s="202"/>
      <c r="AB713" s="202"/>
      <c r="AC713" s="202"/>
      <c r="AD713" s="202"/>
      <c r="AE713" s="202"/>
      <c r="AF713" s="202"/>
    </row>
    <row r="714" spans="1:32" ht="15">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c r="AA714" s="202"/>
      <c r="AB714" s="202"/>
      <c r="AC714" s="202"/>
      <c r="AD714" s="202"/>
      <c r="AE714" s="202"/>
      <c r="AF714" s="202"/>
    </row>
    <row r="715" spans="1:32" ht="15">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c r="AA715" s="202"/>
      <c r="AB715" s="202"/>
      <c r="AC715" s="202"/>
      <c r="AD715" s="202"/>
      <c r="AE715" s="202"/>
      <c r="AF715" s="202"/>
    </row>
    <row r="716" spans="1:32" ht="15">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c r="AA716" s="202"/>
      <c r="AB716" s="202"/>
      <c r="AC716" s="202"/>
      <c r="AD716" s="202"/>
      <c r="AE716" s="202"/>
      <c r="AF716" s="202"/>
    </row>
    <row r="717" spans="1:32" ht="15">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c r="AA717" s="202"/>
      <c r="AB717" s="202"/>
      <c r="AC717" s="202"/>
      <c r="AD717" s="202"/>
      <c r="AE717" s="202"/>
      <c r="AF717" s="202"/>
    </row>
    <row r="718" spans="1:32" ht="15">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c r="AA718" s="202"/>
      <c r="AB718" s="202"/>
      <c r="AC718" s="202"/>
      <c r="AD718" s="202"/>
      <c r="AE718" s="202"/>
      <c r="AF718" s="202"/>
    </row>
    <row r="719" spans="1:32" ht="15">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c r="AA719" s="202"/>
      <c r="AB719" s="202"/>
      <c r="AC719" s="202"/>
      <c r="AD719" s="202"/>
      <c r="AE719" s="202"/>
      <c r="AF719" s="202"/>
    </row>
    <row r="720" spans="1:32" ht="15">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c r="AA720" s="202"/>
      <c r="AB720" s="202"/>
      <c r="AC720" s="202"/>
      <c r="AD720" s="202"/>
      <c r="AE720" s="202"/>
      <c r="AF720" s="202"/>
    </row>
    <row r="721" spans="1:32" ht="15">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c r="AA721" s="202"/>
      <c r="AB721" s="202"/>
      <c r="AC721" s="202"/>
      <c r="AD721" s="202"/>
      <c r="AE721" s="202"/>
      <c r="AF721" s="202"/>
    </row>
    <row r="722" spans="1:32" ht="15">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c r="AA722" s="202"/>
      <c r="AB722" s="202"/>
      <c r="AC722" s="202"/>
      <c r="AD722" s="202"/>
      <c r="AE722" s="202"/>
      <c r="AF722" s="202"/>
    </row>
    <row r="723" spans="1:32" ht="15">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c r="AA723" s="202"/>
      <c r="AB723" s="202"/>
      <c r="AC723" s="202"/>
      <c r="AD723" s="202"/>
      <c r="AE723" s="202"/>
      <c r="AF723" s="202"/>
    </row>
    <row r="724" spans="1:32" ht="15">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c r="AA724" s="202"/>
      <c r="AB724" s="202"/>
      <c r="AC724" s="202"/>
      <c r="AD724" s="202"/>
      <c r="AE724" s="202"/>
      <c r="AF724" s="202"/>
    </row>
    <row r="725" spans="1:32" ht="15">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c r="AA725" s="202"/>
      <c r="AB725" s="202"/>
      <c r="AC725" s="202"/>
      <c r="AD725" s="202"/>
      <c r="AE725" s="202"/>
      <c r="AF725" s="202"/>
    </row>
    <row r="726" spans="1:32" ht="15">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c r="AA726" s="202"/>
      <c r="AB726" s="202"/>
      <c r="AC726" s="202"/>
      <c r="AD726" s="202"/>
      <c r="AE726" s="202"/>
      <c r="AF726" s="202"/>
    </row>
    <row r="727" spans="1:32" ht="15">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c r="AA727" s="202"/>
      <c r="AB727" s="202"/>
      <c r="AC727" s="202"/>
      <c r="AD727" s="202"/>
      <c r="AE727" s="202"/>
      <c r="AF727" s="202"/>
    </row>
    <row r="728" spans="1:32" ht="15">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c r="AA728" s="202"/>
      <c r="AB728" s="202"/>
      <c r="AC728" s="202"/>
      <c r="AD728" s="202"/>
      <c r="AE728" s="202"/>
      <c r="AF728" s="202"/>
    </row>
    <row r="729" spans="1:32" ht="15">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c r="AA729" s="202"/>
      <c r="AB729" s="202"/>
      <c r="AC729" s="202"/>
      <c r="AD729" s="202"/>
      <c r="AE729" s="202"/>
      <c r="AF729" s="202"/>
    </row>
    <row r="730" spans="1:32" ht="15">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c r="AA730" s="202"/>
      <c r="AB730" s="202"/>
      <c r="AC730" s="202"/>
      <c r="AD730" s="202"/>
      <c r="AE730" s="202"/>
      <c r="AF730" s="202"/>
    </row>
    <row r="731" spans="1:32" ht="15">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c r="AA731" s="202"/>
      <c r="AB731" s="202"/>
      <c r="AC731" s="202"/>
      <c r="AD731" s="202"/>
      <c r="AE731" s="202"/>
      <c r="AF731" s="202"/>
    </row>
    <row r="732" spans="1:32" ht="15">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c r="AA732" s="202"/>
      <c r="AB732" s="202"/>
      <c r="AC732" s="202"/>
      <c r="AD732" s="202"/>
      <c r="AE732" s="202"/>
      <c r="AF732" s="202"/>
    </row>
    <row r="733" spans="1:32" ht="15">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c r="AA733" s="202"/>
      <c r="AB733" s="202"/>
      <c r="AC733" s="202"/>
      <c r="AD733" s="202"/>
      <c r="AE733" s="202"/>
      <c r="AF733" s="202"/>
    </row>
    <row r="734" spans="1:32" ht="15">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c r="AA734" s="202"/>
      <c r="AB734" s="202"/>
      <c r="AC734" s="202"/>
      <c r="AD734" s="202"/>
      <c r="AE734" s="202"/>
      <c r="AF734" s="202"/>
    </row>
    <row r="735" spans="1:32" ht="15">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c r="AA735" s="202"/>
      <c r="AB735" s="202"/>
      <c r="AC735" s="202"/>
      <c r="AD735" s="202"/>
      <c r="AE735" s="202"/>
      <c r="AF735" s="202"/>
    </row>
    <row r="736" spans="1:32" ht="15">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c r="AA736" s="202"/>
      <c r="AB736" s="202"/>
      <c r="AC736" s="202"/>
      <c r="AD736" s="202"/>
      <c r="AE736" s="202"/>
      <c r="AF736" s="202"/>
    </row>
    <row r="737" spans="1:32" ht="15">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c r="AA737" s="202"/>
      <c r="AB737" s="202"/>
      <c r="AC737" s="202"/>
      <c r="AD737" s="202"/>
      <c r="AE737" s="202"/>
      <c r="AF737" s="202"/>
    </row>
    <row r="738" spans="1:32" ht="15">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c r="AA738" s="202"/>
      <c r="AB738" s="202"/>
      <c r="AC738" s="202"/>
      <c r="AD738" s="202"/>
      <c r="AE738" s="202"/>
      <c r="AF738" s="202"/>
    </row>
    <row r="739" spans="1:32" ht="15">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c r="AA739" s="202"/>
      <c r="AB739" s="202"/>
      <c r="AC739" s="202"/>
      <c r="AD739" s="202"/>
      <c r="AE739" s="202"/>
      <c r="AF739" s="202"/>
    </row>
    <row r="740" spans="1:32" ht="15">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c r="AA740" s="202"/>
      <c r="AB740" s="202"/>
      <c r="AC740" s="202"/>
      <c r="AD740" s="202"/>
      <c r="AE740" s="202"/>
      <c r="AF740" s="202"/>
    </row>
    <row r="741" spans="1:32" ht="15">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c r="AA741" s="202"/>
      <c r="AB741" s="202"/>
      <c r="AC741" s="202"/>
      <c r="AD741" s="202"/>
      <c r="AE741" s="202"/>
      <c r="AF741" s="202"/>
    </row>
    <row r="742" spans="1:32" ht="15">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c r="AA742" s="202"/>
      <c r="AB742" s="202"/>
      <c r="AC742" s="202"/>
      <c r="AD742" s="202"/>
      <c r="AE742" s="202"/>
      <c r="AF742" s="202"/>
    </row>
    <row r="743" spans="1:32" ht="15">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c r="AA743" s="202"/>
      <c r="AB743" s="202"/>
      <c r="AC743" s="202"/>
      <c r="AD743" s="202"/>
      <c r="AE743" s="202"/>
      <c r="AF743" s="202"/>
    </row>
    <row r="744" spans="1:32" ht="15">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c r="AA744" s="202"/>
      <c r="AB744" s="202"/>
      <c r="AC744" s="202"/>
      <c r="AD744" s="202"/>
      <c r="AE744" s="202"/>
      <c r="AF744" s="202"/>
    </row>
    <row r="745" spans="1:32" ht="15">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c r="AA745" s="202"/>
      <c r="AB745" s="202"/>
      <c r="AC745" s="202"/>
      <c r="AD745" s="202"/>
      <c r="AE745" s="202"/>
      <c r="AF745" s="202"/>
    </row>
    <row r="746" spans="1:32" ht="15">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c r="AA746" s="202"/>
      <c r="AB746" s="202"/>
      <c r="AC746" s="202"/>
      <c r="AD746" s="202"/>
      <c r="AE746" s="202"/>
      <c r="AF746" s="202"/>
    </row>
    <row r="747" spans="1:32" ht="15">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c r="AA747" s="202"/>
      <c r="AB747" s="202"/>
      <c r="AC747" s="202"/>
      <c r="AD747" s="202"/>
      <c r="AE747" s="202"/>
      <c r="AF747" s="202"/>
    </row>
    <row r="748" spans="1:32" ht="15">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c r="AA748" s="202"/>
      <c r="AB748" s="202"/>
      <c r="AC748" s="202"/>
      <c r="AD748" s="202"/>
      <c r="AE748" s="202"/>
      <c r="AF748" s="202"/>
    </row>
    <row r="749" spans="1:32" ht="15">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c r="AA749" s="202"/>
      <c r="AB749" s="202"/>
      <c r="AC749" s="202"/>
      <c r="AD749" s="202"/>
      <c r="AE749" s="202"/>
      <c r="AF749" s="202"/>
    </row>
    <row r="750" spans="1:32" ht="15">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c r="AA750" s="202"/>
      <c r="AB750" s="202"/>
      <c r="AC750" s="202"/>
      <c r="AD750" s="202"/>
      <c r="AE750" s="202"/>
      <c r="AF750" s="202"/>
    </row>
    <row r="751" spans="1:32" ht="15">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c r="AA751" s="202"/>
      <c r="AB751" s="202"/>
      <c r="AC751" s="202"/>
      <c r="AD751" s="202"/>
      <c r="AE751" s="202"/>
      <c r="AF751" s="202"/>
    </row>
    <row r="752" spans="1:32" ht="15">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c r="AA752" s="202"/>
      <c r="AB752" s="202"/>
      <c r="AC752" s="202"/>
      <c r="AD752" s="202"/>
      <c r="AE752" s="202"/>
      <c r="AF752" s="202"/>
    </row>
    <row r="753" spans="1:32" ht="15">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c r="AA753" s="202"/>
      <c r="AB753" s="202"/>
      <c r="AC753" s="202"/>
      <c r="AD753" s="202"/>
      <c r="AE753" s="202"/>
      <c r="AF753" s="202"/>
    </row>
    <row r="754" spans="1:32" ht="15">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c r="AA754" s="202"/>
      <c r="AB754" s="202"/>
      <c r="AC754" s="202"/>
      <c r="AD754" s="202"/>
      <c r="AE754" s="202"/>
      <c r="AF754" s="202"/>
    </row>
    <row r="755" spans="1:32" ht="15">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c r="AA755" s="202"/>
      <c r="AB755" s="202"/>
      <c r="AC755" s="202"/>
      <c r="AD755" s="202"/>
      <c r="AE755" s="202"/>
      <c r="AF755" s="202"/>
    </row>
    <row r="756" spans="1:32" ht="15">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c r="AA756" s="202"/>
      <c r="AB756" s="202"/>
      <c r="AC756" s="202"/>
      <c r="AD756" s="202"/>
      <c r="AE756" s="202"/>
      <c r="AF756" s="202"/>
    </row>
    <row r="757" spans="1:32" ht="15">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c r="AA757" s="202"/>
      <c r="AB757" s="202"/>
      <c r="AC757" s="202"/>
      <c r="AD757" s="202"/>
      <c r="AE757" s="202"/>
      <c r="AF757" s="202"/>
    </row>
    <row r="758" spans="1:32" ht="15">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c r="AA758" s="202"/>
      <c r="AB758" s="202"/>
      <c r="AC758" s="202"/>
      <c r="AD758" s="202"/>
      <c r="AE758" s="202"/>
      <c r="AF758" s="202"/>
    </row>
    <row r="759" spans="1:32" ht="15">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c r="AA759" s="202"/>
      <c r="AB759" s="202"/>
      <c r="AC759" s="202"/>
      <c r="AD759" s="202"/>
      <c r="AE759" s="202"/>
      <c r="AF759" s="202"/>
    </row>
    <row r="760" spans="1:32" ht="15">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c r="AA760" s="202"/>
      <c r="AB760" s="202"/>
      <c r="AC760" s="202"/>
      <c r="AD760" s="202"/>
      <c r="AE760" s="202"/>
      <c r="AF760" s="202"/>
    </row>
    <row r="761" spans="1:32" ht="15">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c r="AA761" s="202"/>
      <c r="AB761" s="202"/>
      <c r="AC761" s="202"/>
      <c r="AD761" s="202"/>
      <c r="AE761" s="202"/>
      <c r="AF761" s="202"/>
    </row>
    <row r="762" spans="1:32" ht="15">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c r="AA762" s="202"/>
      <c r="AB762" s="202"/>
      <c r="AC762" s="202"/>
      <c r="AD762" s="202"/>
      <c r="AE762" s="202"/>
      <c r="AF762" s="202"/>
    </row>
    <row r="763" spans="1:32" ht="15">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c r="AA763" s="202"/>
      <c r="AB763" s="202"/>
      <c r="AC763" s="202"/>
      <c r="AD763" s="202"/>
      <c r="AE763" s="202"/>
      <c r="AF763" s="202"/>
    </row>
    <row r="764" spans="1:32" ht="15">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c r="AA764" s="202"/>
      <c r="AB764" s="202"/>
      <c r="AC764" s="202"/>
      <c r="AD764" s="202"/>
      <c r="AE764" s="202"/>
      <c r="AF764" s="202"/>
    </row>
    <row r="765" spans="1:32" ht="15">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c r="AA765" s="202"/>
      <c r="AB765" s="202"/>
      <c r="AC765" s="202"/>
      <c r="AD765" s="202"/>
      <c r="AE765" s="202"/>
      <c r="AF765" s="202"/>
    </row>
    <row r="766" spans="1:32" ht="15">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c r="AA766" s="202"/>
      <c r="AB766" s="202"/>
      <c r="AC766" s="202"/>
      <c r="AD766" s="202"/>
      <c r="AE766" s="202"/>
      <c r="AF766" s="202"/>
    </row>
    <row r="767" spans="1:32" ht="15">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c r="AA767" s="202"/>
      <c r="AB767" s="202"/>
      <c r="AC767" s="202"/>
      <c r="AD767" s="202"/>
      <c r="AE767" s="202"/>
      <c r="AF767" s="202"/>
    </row>
    <row r="768" spans="1:32" ht="15">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c r="AA768" s="202"/>
      <c r="AB768" s="202"/>
      <c r="AC768" s="202"/>
      <c r="AD768" s="202"/>
      <c r="AE768" s="202"/>
      <c r="AF768" s="202"/>
    </row>
    <row r="769" spans="1:32" ht="15">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c r="AA769" s="202"/>
      <c r="AB769" s="202"/>
      <c r="AC769" s="202"/>
      <c r="AD769" s="202"/>
      <c r="AE769" s="202"/>
      <c r="AF769" s="202"/>
    </row>
    <row r="770" spans="1:32" ht="15">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c r="AA770" s="202"/>
      <c r="AB770" s="202"/>
      <c r="AC770" s="202"/>
      <c r="AD770" s="202"/>
      <c r="AE770" s="202"/>
      <c r="AF770" s="202"/>
    </row>
    <row r="771" spans="1:32" ht="15">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c r="AA771" s="202"/>
      <c r="AB771" s="202"/>
      <c r="AC771" s="202"/>
      <c r="AD771" s="202"/>
      <c r="AE771" s="202"/>
      <c r="AF771" s="202"/>
    </row>
    <row r="772" spans="1:32" ht="15">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c r="AA772" s="202"/>
      <c r="AB772" s="202"/>
      <c r="AC772" s="202"/>
      <c r="AD772" s="202"/>
      <c r="AE772" s="202"/>
      <c r="AF772" s="202"/>
    </row>
    <row r="773" spans="1:32" ht="15">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c r="AA773" s="202"/>
      <c r="AB773" s="202"/>
      <c r="AC773" s="202"/>
      <c r="AD773" s="202"/>
      <c r="AE773" s="202"/>
      <c r="AF773" s="202"/>
    </row>
    <row r="774" spans="1:32" ht="15">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c r="AA774" s="202"/>
      <c r="AB774" s="202"/>
      <c r="AC774" s="202"/>
      <c r="AD774" s="202"/>
      <c r="AE774" s="202"/>
      <c r="AF774" s="202"/>
    </row>
    <row r="775" spans="1:32" ht="15">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c r="AA775" s="202"/>
      <c r="AB775" s="202"/>
      <c r="AC775" s="202"/>
      <c r="AD775" s="202"/>
      <c r="AE775" s="202"/>
      <c r="AF775" s="202"/>
    </row>
    <row r="776" spans="1:32" ht="15">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c r="AA776" s="202"/>
      <c r="AB776" s="202"/>
      <c r="AC776" s="202"/>
      <c r="AD776" s="202"/>
      <c r="AE776" s="202"/>
      <c r="AF776" s="202"/>
    </row>
    <row r="777" spans="1:32" ht="15">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c r="AA777" s="202"/>
      <c r="AB777" s="202"/>
      <c r="AC777" s="202"/>
      <c r="AD777" s="202"/>
      <c r="AE777" s="202"/>
      <c r="AF777" s="202"/>
    </row>
    <row r="778" spans="1:32" ht="15">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c r="AA778" s="202"/>
      <c r="AB778" s="202"/>
      <c r="AC778" s="202"/>
      <c r="AD778" s="202"/>
      <c r="AE778" s="202"/>
      <c r="AF778" s="202"/>
    </row>
    <row r="779" spans="1:32" ht="15">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c r="AA779" s="202"/>
      <c r="AB779" s="202"/>
      <c r="AC779" s="202"/>
      <c r="AD779" s="202"/>
      <c r="AE779" s="202"/>
      <c r="AF779" s="202"/>
    </row>
    <row r="780" spans="1:32" ht="15">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c r="AA780" s="202"/>
      <c r="AB780" s="202"/>
      <c r="AC780" s="202"/>
      <c r="AD780" s="202"/>
      <c r="AE780" s="202"/>
      <c r="AF780" s="202"/>
    </row>
    <row r="781" spans="1:32" ht="15">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c r="AA781" s="202"/>
      <c r="AB781" s="202"/>
      <c r="AC781" s="202"/>
      <c r="AD781" s="202"/>
      <c r="AE781" s="202"/>
      <c r="AF781" s="202"/>
    </row>
    <row r="782" spans="1:32" ht="15">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c r="AA782" s="202"/>
      <c r="AB782" s="202"/>
      <c r="AC782" s="202"/>
      <c r="AD782" s="202"/>
      <c r="AE782" s="202"/>
      <c r="AF782" s="202"/>
    </row>
    <row r="783" spans="1:32" ht="15">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c r="AA783" s="202"/>
      <c r="AB783" s="202"/>
      <c r="AC783" s="202"/>
      <c r="AD783" s="202"/>
      <c r="AE783" s="202"/>
      <c r="AF783" s="202"/>
    </row>
    <row r="784" spans="1:32" ht="15">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c r="AA784" s="202"/>
      <c r="AB784" s="202"/>
      <c r="AC784" s="202"/>
      <c r="AD784" s="202"/>
      <c r="AE784" s="202"/>
      <c r="AF784" s="202"/>
    </row>
    <row r="785" spans="1:32" ht="15">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c r="AA785" s="202"/>
      <c r="AB785" s="202"/>
      <c r="AC785" s="202"/>
      <c r="AD785" s="202"/>
      <c r="AE785" s="202"/>
      <c r="AF785" s="202"/>
    </row>
    <row r="786" spans="1:32" ht="15">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c r="AA786" s="202"/>
      <c r="AB786" s="202"/>
      <c r="AC786" s="202"/>
      <c r="AD786" s="202"/>
      <c r="AE786" s="202"/>
      <c r="AF786" s="202"/>
    </row>
    <row r="787" spans="1:32" ht="15">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c r="AA787" s="202"/>
      <c r="AB787" s="202"/>
      <c r="AC787" s="202"/>
      <c r="AD787" s="202"/>
      <c r="AE787" s="202"/>
      <c r="AF787" s="202"/>
    </row>
    <row r="788" spans="1:32" ht="15">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c r="AA788" s="202"/>
      <c r="AB788" s="202"/>
      <c r="AC788" s="202"/>
      <c r="AD788" s="202"/>
      <c r="AE788" s="202"/>
      <c r="AF788" s="202"/>
    </row>
    <row r="789" spans="1:32" ht="15">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c r="AA789" s="202"/>
      <c r="AB789" s="202"/>
      <c r="AC789" s="202"/>
      <c r="AD789" s="202"/>
      <c r="AE789" s="202"/>
      <c r="AF789" s="202"/>
    </row>
    <row r="790" spans="1:32" ht="15">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c r="AA790" s="202"/>
      <c r="AB790" s="202"/>
      <c r="AC790" s="202"/>
      <c r="AD790" s="202"/>
      <c r="AE790" s="202"/>
      <c r="AF790" s="202"/>
    </row>
    <row r="791" spans="1:32" ht="15">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c r="AA791" s="202"/>
      <c r="AB791" s="202"/>
      <c r="AC791" s="202"/>
      <c r="AD791" s="202"/>
      <c r="AE791" s="202"/>
      <c r="AF791" s="202"/>
    </row>
    <row r="792" spans="1:32" ht="15">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c r="AA792" s="202"/>
      <c r="AB792" s="202"/>
      <c r="AC792" s="202"/>
      <c r="AD792" s="202"/>
      <c r="AE792" s="202"/>
      <c r="AF792" s="202"/>
    </row>
    <row r="793" spans="1:32" ht="15">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c r="AA793" s="202"/>
      <c r="AB793" s="202"/>
      <c r="AC793" s="202"/>
      <c r="AD793" s="202"/>
      <c r="AE793" s="202"/>
      <c r="AF793" s="202"/>
    </row>
    <row r="794" spans="1:32" ht="15">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c r="AA794" s="202"/>
      <c r="AB794" s="202"/>
      <c r="AC794" s="202"/>
      <c r="AD794" s="202"/>
      <c r="AE794" s="202"/>
      <c r="AF794" s="202"/>
    </row>
    <row r="795" spans="1:32" ht="15">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c r="AA795" s="202"/>
      <c r="AB795" s="202"/>
      <c r="AC795" s="202"/>
      <c r="AD795" s="202"/>
      <c r="AE795" s="202"/>
      <c r="AF795" s="202"/>
    </row>
    <row r="796" spans="1:32" ht="15">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c r="AA796" s="202"/>
      <c r="AB796" s="202"/>
      <c r="AC796" s="202"/>
      <c r="AD796" s="202"/>
      <c r="AE796" s="202"/>
      <c r="AF796" s="202"/>
    </row>
    <row r="797" spans="1:32" ht="15">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c r="AA797" s="202"/>
      <c r="AB797" s="202"/>
      <c r="AC797" s="202"/>
      <c r="AD797" s="202"/>
      <c r="AE797" s="202"/>
      <c r="AF797" s="202"/>
    </row>
    <row r="798" spans="1:32" ht="15">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c r="AA798" s="202"/>
      <c r="AB798" s="202"/>
      <c r="AC798" s="202"/>
      <c r="AD798" s="202"/>
      <c r="AE798" s="202"/>
      <c r="AF798" s="202"/>
    </row>
    <row r="799" spans="1:32" ht="15">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c r="AA799" s="202"/>
      <c r="AB799" s="202"/>
      <c r="AC799" s="202"/>
      <c r="AD799" s="202"/>
      <c r="AE799" s="202"/>
      <c r="AF799" s="202"/>
    </row>
    <row r="800" spans="1:32" ht="15">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c r="AA800" s="202"/>
      <c r="AB800" s="202"/>
      <c r="AC800" s="202"/>
      <c r="AD800" s="202"/>
      <c r="AE800" s="202"/>
      <c r="AF800" s="202"/>
    </row>
    <row r="801" spans="1:32" ht="15">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c r="AA801" s="202"/>
      <c r="AB801" s="202"/>
      <c r="AC801" s="202"/>
      <c r="AD801" s="202"/>
      <c r="AE801" s="202"/>
      <c r="AF801" s="202"/>
    </row>
    <row r="802" spans="1:32" ht="15">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c r="AA802" s="202"/>
      <c r="AB802" s="202"/>
      <c r="AC802" s="202"/>
      <c r="AD802" s="202"/>
      <c r="AE802" s="202"/>
      <c r="AF802" s="202"/>
    </row>
    <row r="803" spans="1:32" ht="15">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c r="AA803" s="202"/>
      <c r="AB803" s="202"/>
      <c r="AC803" s="202"/>
      <c r="AD803" s="202"/>
      <c r="AE803" s="202"/>
      <c r="AF803" s="202"/>
    </row>
    <row r="804" spans="1:32" ht="15">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c r="AA804" s="202"/>
      <c r="AB804" s="202"/>
      <c r="AC804" s="202"/>
      <c r="AD804" s="202"/>
      <c r="AE804" s="202"/>
      <c r="AF804" s="202"/>
    </row>
    <row r="805" spans="1:32" ht="15">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c r="AA805" s="202"/>
      <c r="AB805" s="202"/>
      <c r="AC805" s="202"/>
      <c r="AD805" s="202"/>
      <c r="AE805" s="202"/>
      <c r="AF805" s="202"/>
    </row>
    <row r="806" spans="1:32" ht="15">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c r="AA806" s="202"/>
      <c r="AB806" s="202"/>
      <c r="AC806" s="202"/>
      <c r="AD806" s="202"/>
      <c r="AE806" s="202"/>
      <c r="AF806" s="202"/>
    </row>
    <row r="807" spans="1:32" ht="15">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c r="AA807" s="202"/>
      <c r="AB807" s="202"/>
      <c r="AC807" s="202"/>
      <c r="AD807" s="202"/>
      <c r="AE807" s="202"/>
      <c r="AF807" s="202"/>
    </row>
    <row r="808" spans="1:32" ht="15">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c r="AA808" s="202"/>
      <c r="AB808" s="202"/>
      <c r="AC808" s="202"/>
      <c r="AD808" s="202"/>
      <c r="AE808" s="202"/>
      <c r="AF808" s="202"/>
    </row>
    <row r="809" spans="1:32" ht="15">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c r="AA809" s="202"/>
      <c r="AB809" s="202"/>
      <c r="AC809" s="202"/>
      <c r="AD809" s="202"/>
      <c r="AE809" s="202"/>
      <c r="AF809" s="202"/>
    </row>
    <row r="810" spans="1:32" ht="15">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c r="AA810" s="202"/>
      <c r="AB810" s="202"/>
      <c r="AC810" s="202"/>
      <c r="AD810" s="202"/>
      <c r="AE810" s="202"/>
      <c r="AF810" s="202"/>
    </row>
    <row r="811" spans="1:32" ht="15">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c r="AA811" s="202"/>
      <c r="AB811" s="202"/>
      <c r="AC811" s="202"/>
      <c r="AD811" s="202"/>
      <c r="AE811" s="202"/>
      <c r="AF811" s="202"/>
    </row>
    <row r="812" spans="1:32" ht="15">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c r="AA812" s="202"/>
      <c r="AB812" s="202"/>
      <c r="AC812" s="202"/>
      <c r="AD812" s="202"/>
      <c r="AE812" s="202"/>
      <c r="AF812" s="202"/>
    </row>
    <row r="813" spans="1:32" ht="15">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c r="AA813" s="202"/>
      <c r="AB813" s="202"/>
      <c r="AC813" s="202"/>
      <c r="AD813" s="202"/>
      <c r="AE813" s="202"/>
      <c r="AF813" s="202"/>
    </row>
    <row r="814" spans="1:32" ht="15">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c r="AA814" s="202"/>
      <c r="AB814" s="202"/>
      <c r="AC814" s="202"/>
      <c r="AD814" s="202"/>
      <c r="AE814" s="202"/>
      <c r="AF814" s="202"/>
    </row>
    <row r="815" spans="1:32" ht="15">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c r="AA815" s="202"/>
      <c r="AB815" s="202"/>
      <c r="AC815" s="202"/>
      <c r="AD815" s="202"/>
      <c r="AE815" s="202"/>
      <c r="AF815" s="202"/>
    </row>
    <row r="816" spans="1:32" ht="15">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c r="AA816" s="202"/>
      <c r="AB816" s="202"/>
      <c r="AC816" s="202"/>
      <c r="AD816" s="202"/>
      <c r="AE816" s="202"/>
      <c r="AF816" s="202"/>
    </row>
    <row r="817" spans="1:32" ht="15">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c r="AA817" s="202"/>
      <c r="AB817" s="202"/>
      <c r="AC817" s="202"/>
      <c r="AD817" s="202"/>
      <c r="AE817" s="202"/>
      <c r="AF817" s="202"/>
    </row>
    <row r="818" spans="1:32" ht="15">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c r="AA818" s="202"/>
      <c r="AB818" s="202"/>
      <c r="AC818" s="202"/>
      <c r="AD818" s="202"/>
      <c r="AE818" s="202"/>
      <c r="AF818" s="202"/>
    </row>
    <row r="819" spans="1:32" ht="15">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c r="AA819" s="202"/>
      <c r="AB819" s="202"/>
      <c r="AC819" s="202"/>
      <c r="AD819" s="202"/>
      <c r="AE819" s="202"/>
      <c r="AF819" s="202"/>
    </row>
    <row r="820" spans="1:32" ht="15">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c r="AA820" s="202"/>
      <c r="AB820" s="202"/>
      <c r="AC820" s="202"/>
      <c r="AD820" s="202"/>
      <c r="AE820" s="202"/>
      <c r="AF820" s="202"/>
    </row>
    <row r="821" spans="1:32" ht="15">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c r="AA821" s="202"/>
      <c r="AB821" s="202"/>
      <c r="AC821" s="202"/>
      <c r="AD821" s="202"/>
      <c r="AE821" s="202"/>
      <c r="AF821" s="202"/>
    </row>
    <row r="822" spans="1:32" ht="15">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c r="AA822" s="202"/>
      <c r="AB822" s="202"/>
      <c r="AC822" s="202"/>
      <c r="AD822" s="202"/>
      <c r="AE822" s="202"/>
      <c r="AF822" s="202"/>
    </row>
    <row r="823" spans="1:32" ht="15">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c r="AA823" s="202"/>
      <c r="AB823" s="202"/>
      <c r="AC823" s="202"/>
      <c r="AD823" s="202"/>
      <c r="AE823" s="202"/>
      <c r="AF823" s="202"/>
    </row>
    <row r="824" spans="1:32" ht="15">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c r="AA824" s="202"/>
      <c r="AB824" s="202"/>
      <c r="AC824" s="202"/>
      <c r="AD824" s="202"/>
      <c r="AE824" s="202"/>
      <c r="AF824" s="202"/>
    </row>
    <row r="825" spans="1:32" ht="15">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c r="AA825" s="202"/>
      <c r="AB825" s="202"/>
      <c r="AC825" s="202"/>
      <c r="AD825" s="202"/>
      <c r="AE825" s="202"/>
      <c r="AF825" s="202"/>
    </row>
    <row r="826" spans="1:32" ht="15">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c r="AA826" s="202"/>
      <c r="AB826" s="202"/>
      <c r="AC826" s="202"/>
      <c r="AD826" s="202"/>
      <c r="AE826" s="202"/>
      <c r="AF826" s="202"/>
    </row>
    <row r="827" spans="1:32" ht="15">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c r="AA827" s="202"/>
      <c r="AB827" s="202"/>
      <c r="AC827" s="202"/>
      <c r="AD827" s="202"/>
      <c r="AE827" s="202"/>
      <c r="AF827" s="202"/>
    </row>
    <row r="828" spans="1:32" ht="15">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c r="AA828" s="202"/>
      <c r="AB828" s="202"/>
      <c r="AC828" s="202"/>
      <c r="AD828" s="202"/>
      <c r="AE828" s="202"/>
      <c r="AF828" s="202"/>
    </row>
    <row r="829" spans="1:32" ht="15">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c r="AA829" s="202"/>
      <c r="AB829" s="202"/>
      <c r="AC829" s="202"/>
      <c r="AD829" s="202"/>
      <c r="AE829" s="202"/>
      <c r="AF829" s="202"/>
    </row>
    <row r="830" spans="1:32" ht="15">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c r="AA830" s="202"/>
      <c r="AB830" s="202"/>
      <c r="AC830" s="202"/>
      <c r="AD830" s="202"/>
      <c r="AE830" s="202"/>
      <c r="AF830" s="202"/>
    </row>
    <row r="831" spans="1:32" ht="15">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c r="AA831" s="202"/>
      <c r="AB831" s="202"/>
      <c r="AC831" s="202"/>
      <c r="AD831" s="202"/>
      <c r="AE831" s="202"/>
      <c r="AF831" s="202"/>
    </row>
    <row r="832" spans="1:32" ht="15">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c r="AA832" s="202"/>
      <c r="AB832" s="202"/>
      <c r="AC832" s="202"/>
      <c r="AD832" s="202"/>
      <c r="AE832" s="202"/>
      <c r="AF832" s="202"/>
    </row>
    <row r="833" spans="1:32" ht="15">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c r="AA833" s="202"/>
      <c r="AB833" s="202"/>
      <c r="AC833" s="202"/>
      <c r="AD833" s="202"/>
      <c r="AE833" s="202"/>
      <c r="AF833" s="202"/>
    </row>
    <row r="834" spans="1:32" ht="15">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c r="AA834" s="202"/>
      <c r="AB834" s="202"/>
      <c r="AC834" s="202"/>
      <c r="AD834" s="202"/>
      <c r="AE834" s="202"/>
      <c r="AF834" s="202"/>
    </row>
    <row r="835" spans="1:32" ht="15">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c r="AA835" s="202"/>
      <c r="AB835" s="202"/>
      <c r="AC835" s="202"/>
      <c r="AD835" s="202"/>
      <c r="AE835" s="202"/>
      <c r="AF835" s="202"/>
    </row>
    <row r="836" spans="1:32" ht="15">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c r="AA836" s="202"/>
      <c r="AB836" s="202"/>
      <c r="AC836" s="202"/>
      <c r="AD836" s="202"/>
      <c r="AE836" s="202"/>
      <c r="AF836" s="202"/>
    </row>
    <row r="837" spans="1:32" ht="15">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c r="AA837" s="202"/>
      <c r="AB837" s="202"/>
      <c r="AC837" s="202"/>
      <c r="AD837" s="202"/>
      <c r="AE837" s="202"/>
      <c r="AF837" s="202"/>
    </row>
    <row r="838" spans="1:32" ht="15">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c r="AA838" s="202"/>
      <c r="AB838" s="202"/>
      <c r="AC838" s="202"/>
      <c r="AD838" s="202"/>
      <c r="AE838" s="202"/>
      <c r="AF838" s="202"/>
    </row>
    <row r="839" spans="1:32" ht="15">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c r="AA839" s="202"/>
      <c r="AB839" s="202"/>
      <c r="AC839" s="202"/>
      <c r="AD839" s="202"/>
      <c r="AE839" s="202"/>
      <c r="AF839" s="202"/>
    </row>
    <row r="840" spans="1:32" ht="15">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c r="AA840" s="202"/>
      <c r="AB840" s="202"/>
      <c r="AC840" s="202"/>
      <c r="AD840" s="202"/>
      <c r="AE840" s="202"/>
      <c r="AF840" s="202"/>
    </row>
    <row r="841" spans="1:32" ht="15">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c r="AA841" s="202"/>
      <c r="AB841" s="202"/>
      <c r="AC841" s="202"/>
      <c r="AD841" s="202"/>
      <c r="AE841" s="202"/>
      <c r="AF841" s="202"/>
    </row>
    <row r="842" spans="1:32" ht="15">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c r="AA842" s="202"/>
      <c r="AB842" s="202"/>
      <c r="AC842" s="202"/>
      <c r="AD842" s="202"/>
      <c r="AE842" s="202"/>
      <c r="AF842" s="202"/>
    </row>
    <row r="843" spans="1:32" ht="15">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c r="AA843" s="202"/>
      <c r="AB843" s="202"/>
      <c r="AC843" s="202"/>
      <c r="AD843" s="202"/>
      <c r="AE843" s="202"/>
      <c r="AF843" s="202"/>
    </row>
    <row r="844" spans="1:32" ht="15">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c r="AA844" s="202"/>
      <c r="AB844" s="202"/>
      <c r="AC844" s="202"/>
      <c r="AD844" s="202"/>
      <c r="AE844" s="202"/>
      <c r="AF844" s="202"/>
    </row>
    <row r="845" spans="1:32" ht="15">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c r="AA845" s="202"/>
      <c r="AB845" s="202"/>
      <c r="AC845" s="202"/>
      <c r="AD845" s="202"/>
      <c r="AE845" s="202"/>
      <c r="AF845" s="202"/>
    </row>
    <row r="846" spans="1:32" ht="15">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c r="AA846" s="202"/>
      <c r="AB846" s="202"/>
      <c r="AC846" s="202"/>
      <c r="AD846" s="202"/>
      <c r="AE846" s="202"/>
      <c r="AF846" s="202"/>
    </row>
    <row r="847" spans="1:32" ht="15">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c r="AA847" s="202"/>
      <c r="AB847" s="202"/>
      <c r="AC847" s="202"/>
      <c r="AD847" s="202"/>
      <c r="AE847" s="202"/>
      <c r="AF847" s="202"/>
    </row>
    <row r="848" spans="1:32" ht="15">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c r="AA848" s="202"/>
      <c r="AB848" s="202"/>
      <c r="AC848" s="202"/>
      <c r="AD848" s="202"/>
      <c r="AE848" s="202"/>
      <c r="AF848" s="202"/>
    </row>
    <row r="849" spans="1:32" ht="15">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c r="AA849" s="202"/>
      <c r="AB849" s="202"/>
      <c r="AC849" s="202"/>
      <c r="AD849" s="202"/>
      <c r="AE849" s="202"/>
      <c r="AF849" s="202"/>
    </row>
    <row r="850" spans="1:32" ht="15">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c r="AA850" s="202"/>
      <c r="AB850" s="202"/>
      <c r="AC850" s="202"/>
      <c r="AD850" s="202"/>
      <c r="AE850" s="202"/>
      <c r="AF850" s="202"/>
    </row>
    <row r="851" spans="1:32" ht="15">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c r="AA851" s="202"/>
      <c r="AB851" s="202"/>
      <c r="AC851" s="202"/>
      <c r="AD851" s="202"/>
      <c r="AE851" s="202"/>
      <c r="AF851" s="202"/>
    </row>
    <row r="852" spans="1:32" ht="15">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c r="AA852" s="202"/>
      <c r="AB852" s="202"/>
      <c r="AC852" s="202"/>
      <c r="AD852" s="202"/>
      <c r="AE852" s="202"/>
      <c r="AF852" s="202"/>
    </row>
    <row r="853" spans="1:32" ht="15">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c r="AA853" s="202"/>
      <c r="AB853" s="202"/>
      <c r="AC853" s="202"/>
      <c r="AD853" s="202"/>
      <c r="AE853" s="202"/>
      <c r="AF853" s="202"/>
    </row>
    <row r="854" spans="1:32" ht="15">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c r="AA854" s="202"/>
      <c r="AB854" s="202"/>
      <c r="AC854" s="202"/>
      <c r="AD854" s="202"/>
      <c r="AE854" s="202"/>
      <c r="AF854" s="202"/>
    </row>
    <row r="855" spans="1:32" ht="15">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c r="AA855" s="202"/>
      <c r="AB855" s="202"/>
      <c r="AC855" s="202"/>
      <c r="AD855" s="202"/>
      <c r="AE855" s="202"/>
      <c r="AF855" s="202"/>
    </row>
    <row r="856" spans="1:32" ht="15">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c r="AA856" s="202"/>
      <c r="AB856" s="202"/>
      <c r="AC856" s="202"/>
      <c r="AD856" s="202"/>
      <c r="AE856" s="202"/>
      <c r="AF856" s="202"/>
    </row>
    <row r="857" spans="1:32" ht="15">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c r="AA857" s="202"/>
      <c r="AB857" s="202"/>
      <c r="AC857" s="202"/>
      <c r="AD857" s="202"/>
      <c r="AE857" s="202"/>
      <c r="AF857" s="202"/>
    </row>
    <row r="858" spans="1:32" ht="15">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c r="AA858" s="202"/>
      <c r="AB858" s="202"/>
      <c r="AC858" s="202"/>
      <c r="AD858" s="202"/>
      <c r="AE858" s="202"/>
      <c r="AF858" s="202"/>
    </row>
    <row r="859" spans="1:32" ht="15">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c r="AA859" s="202"/>
      <c r="AB859" s="202"/>
      <c r="AC859" s="202"/>
      <c r="AD859" s="202"/>
      <c r="AE859" s="202"/>
      <c r="AF859" s="202"/>
    </row>
    <row r="860" spans="1:32" ht="15">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c r="AA860" s="202"/>
      <c r="AB860" s="202"/>
      <c r="AC860" s="202"/>
      <c r="AD860" s="202"/>
      <c r="AE860" s="202"/>
      <c r="AF860" s="202"/>
    </row>
    <row r="861" spans="1:32" ht="15">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c r="AA861" s="202"/>
      <c r="AB861" s="202"/>
      <c r="AC861" s="202"/>
      <c r="AD861" s="202"/>
      <c r="AE861" s="202"/>
      <c r="AF861" s="202"/>
    </row>
    <row r="862" spans="1:32" ht="15">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c r="AA862" s="202"/>
      <c r="AB862" s="202"/>
      <c r="AC862" s="202"/>
      <c r="AD862" s="202"/>
      <c r="AE862" s="202"/>
      <c r="AF862" s="202"/>
    </row>
    <row r="863" spans="1:32" ht="15">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c r="AA863" s="202"/>
      <c r="AB863" s="202"/>
      <c r="AC863" s="202"/>
      <c r="AD863" s="202"/>
      <c r="AE863" s="202"/>
      <c r="AF863" s="202"/>
    </row>
    <row r="864" spans="1:32" ht="15">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c r="AA864" s="202"/>
      <c r="AB864" s="202"/>
      <c r="AC864" s="202"/>
      <c r="AD864" s="202"/>
      <c r="AE864" s="202"/>
      <c r="AF864" s="202"/>
    </row>
    <row r="865" spans="1:32" ht="15">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c r="AA865" s="202"/>
      <c r="AB865" s="202"/>
      <c r="AC865" s="202"/>
      <c r="AD865" s="202"/>
      <c r="AE865" s="202"/>
      <c r="AF865" s="202"/>
    </row>
    <row r="866" spans="1:32" ht="15">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c r="AA866" s="202"/>
      <c r="AB866" s="202"/>
      <c r="AC866" s="202"/>
      <c r="AD866" s="202"/>
      <c r="AE866" s="202"/>
      <c r="AF866" s="202"/>
    </row>
    <row r="867" spans="1:32" ht="15">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c r="AA867" s="202"/>
      <c r="AB867" s="202"/>
      <c r="AC867" s="202"/>
      <c r="AD867" s="202"/>
      <c r="AE867" s="202"/>
      <c r="AF867" s="202"/>
    </row>
    <row r="868" spans="1:32" ht="15">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c r="AA868" s="202"/>
      <c r="AB868" s="202"/>
      <c r="AC868" s="202"/>
      <c r="AD868" s="202"/>
      <c r="AE868" s="202"/>
      <c r="AF868" s="202"/>
    </row>
    <row r="869" spans="1:32" ht="15">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c r="AA869" s="202"/>
      <c r="AB869" s="202"/>
      <c r="AC869" s="202"/>
      <c r="AD869" s="202"/>
      <c r="AE869" s="202"/>
      <c r="AF869" s="202"/>
    </row>
    <row r="870" spans="1:32" ht="15">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c r="AA870" s="202"/>
      <c r="AB870" s="202"/>
      <c r="AC870" s="202"/>
      <c r="AD870" s="202"/>
      <c r="AE870" s="202"/>
      <c r="AF870" s="202"/>
    </row>
    <row r="871" spans="1:32" ht="15">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c r="AA871" s="202"/>
      <c r="AB871" s="202"/>
      <c r="AC871" s="202"/>
      <c r="AD871" s="202"/>
      <c r="AE871" s="202"/>
      <c r="AF871" s="202"/>
    </row>
    <row r="872" spans="1:32" ht="15">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c r="AA872" s="202"/>
      <c r="AB872" s="202"/>
      <c r="AC872" s="202"/>
      <c r="AD872" s="202"/>
      <c r="AE872" s="202"/>
      <c r="AF872" s="202"/>
    </row>
    <row r="873" spans="1:32" ht="15">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c r="AA873" s="202"/>
      <c r="AB873" s="202"/>
      <c r="AC873" s="202"/>
      <c r="AD873" s="202"/>
      <c r="AE873" s="202"/>
      <c r="AF873" s="202"/>
    </row>
    <row r="874" spans="1:32" ht="15">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c r="AA874" s="202"/>
      <c r="AB874" s="202"/>
      <c r="AC874" s="202"/>
      <c r="AD874" s="202"/>
      <c r="AE874" s="202"/>
      <c r="AF874" s="202"/>
    </row>
    <row r="875" spans="1:32" ht="15">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c r="AA875" s="202"/>
      <c r="AB875" s="202"/>
      <c r="AC875" s="202"/>
      <c r="AD875" s="202"/>
      <c r="AE875" s="202"/>
      <c r="AF875" s="202"/>
    </row>
    <row r="876" spans="1:32" ht="15">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c r="AA876" s="202"/>
      <c r="AB876" s="202"/>
      <c r="AC876" s="202"/>
      <c r="AD876" s="202"/>
      <c r="AE876" s="202"/>
      <c r="AF876" s="202"/>
    </row>
    <row r="877" spans="1:32" ht="15">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c r="AA877" s="202"/>
      <c r="AB877" s="202"/>
      <c r="AC877" s="202"/>
      <c r="AD877" s="202"/>
      <c r="AE877" s="202"/>
      <c r="AF877" s="202"/>
    </row>
    <row r="878" spans="1:32" ht="15">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c r="AA878" s="202"/>
      <c r="AB878" s="202"/>
      <c r="AC878" s="202"/>
      <c r="AD878" s="202"/>
      <c r="AE878" s="202"/>
      <c r="AF878" s="202"/>
    </row>
    <row r="879" spans="1:32" ht="15">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c r="AA879" s="202"/>
      <c r="AB879" s="202"/>
      <c r="AC879" s="202"/>
      <c r="AD879" s="202"/>
      <c r="AE879" s="202"/>
      <c r="AF879" s="202"/>
    </row>
    <row r="880" spans="1:32" ht="15">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c r="AA880" s="202"/>
      <c r="AB880" s="202"/>
      <c r="AC880" s="202"/>
      <c r="AD880" s="202"/>
      <c r="AE880" s="202"/>
      <c r="AF880" s="202"/>
    </row>
    <row r="881" spans="1:32" ht="15">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c r="AA881" s="202"/>
      <c r="AB881" s="202"/>
      <c r="AC881" s="202"/>
      <c r="AD881" s="202"/>
      <c r="AE881" s="202"/>
      <c r="AF881" s="202"/>
    </row>
    <row r="882" spans="1:32" ht="15">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c r="AA882" s="202"/>
      <c r="AB882" s="202"/>
      <c r="AC882" s="202"/>
      <c r="AD882" s="202"/>
      <c r="AE882" s="202"/>
      <c r="AF882" s="202"/>
    </row>
    <row r="883" spans="1:32" ht="15">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c r="AA883" s="202"/>
      <c r="AB883" s="202"/>
      <c r="AC883" s="202"/>
      <c r="AD883" s="202"/>
      <c r="AE883" s="202"/>
      <c r="AF883" s="202"/>
    </row>
    <row r="884" spans="1:32" ht="15">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c r="AA884" s="202"/>
      <c r="AB884" s="202"/>
      <c r="AC884" s="202"/>
      <c r="AD884" s="202"/>
      <c r="AE884" s="202"/>
      <c r="AF884" s="202"/>
    </row>
    <row r="885" spans="1:32" ht="15">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c r="AA885" s="202"/>
      <c r="AB885" s="202"/>
      <c r="AC885" s="202"/>
      <c r="AD885" s="202"/>
      <c r="AE885" s="202"/>
      <c r="AF885" s="202"/>
    </row>
    <row r="886" spans="1:32" ht="15">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c r="AA886" s="202"/>
      <c r="AB886" s="202"/>
      <c r="AC886" s="202"/>
      <c r="AD886" s="202"/>
      <c r="AE886" s="202"/>
      <c r="AF886" s="202"/>
    </row>
    <row r="887" spans="1:32" ht="15">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c r="AA887" s="202"/>
      <c r="AB887" s="202"/>
      <c r="AC887" s="202"/>
      <c r="AD887" s="202"/>
      <c r="AE887" s="202"/>
      <c r="AF887" s="202"/>
    </row>
    <row r="888" spans="1:32" ht="15">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c r="AA888" s="202"/>
      <c r="AB888" s="202"/>
      <c r="AC888" s="202"/>
      <c r="AD888" s="202"/>
      <c r="AE888" s="202"/>
      <c r="AF888" s="202"/>
    </row>
    <row r="889" spans="1:32" ht="15">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c r="AA889" s="202"/>
      <c r="AB889" s="202"/>
      <c r="AC889" s="202"/>
      <c r="AD889" s="202"/>
      <c r="AE889" s="202"/>
      <c r="AF889" s="202"/>
    </row>
    <row r="890" spans="1:32" ht="15">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c r="AA890" s="202"/>
      <c r="AB890" s="202"/>
      <c r="AC890" s="202"/>
      <c r="AD890" s="202"/>
      <c r="AE890" s="202"/>
      <c r="AF890" s="202"/>
    </row>
    <row r="891" spans="1:32" ht="15">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c r="AA891" s="202"/>
      <c r="AB891" s="202"/>
      <c r="AC891" s="202"/>
      <c r="AD891" s="202"/>
      <c r="AE891" s="202"/>
      <c r="AF891" s="202"/>
    </row>
    <row r="892" spans="1:32" ht="15">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c r="AA892" s="202"/>
      <c r="AB892" s="202"/>
      <c r="AC892" s="202"/>
      <c r="AD892" s="202"/>
      <c r="AE892" s="202"/>
      <c r="AF892" s="202"/>
    </row>
    <row r="893" spans="1:32" ht="15">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c r="AA893" s="202"/>
      <c r="AB893" s="202"/>
      <c r="AC893" s="202"/>
      <c r="AD893" s="202"/>
      <c r="AE893" s="202"/>
      <c r="AF893" s="202"/>
    </row>
    <row r="894" spans="1:32" ht="15">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c r="AA894" s="202"/>
      <c r="AB894" s="202"/>
      <c r="AC894" s="202"/>
      <c r="AD894" s="202"/>
      <c r="AE894" s="202"/>
      <c r="AF894" s="202"/>
    </row>
    <row r="895" spans="1:32" ht="15">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c r="AA895" s="202"/>
      <c r="AB895" s="202"/>
      <c r="AC895" s="202"/>
      <c r="AD895" s="202"/>
      <c r="AE895" s="202"/>
      <c r="AF895" s="202"/>
    </row>
    <row r="896" spans="1:32" ht="15">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c r="AA896" s="202"/>
      <c r="AB896" s="202"/>
      <c r="AC896" s="202"/>
      <c r="AD896" s="202"/>
      <c r="AE896" s="202"/>
      <c r="AF896" s="202"/>
    </row>
    <row r="897" spans="1:32" ht="15">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c r="AA897" s="202"/>
      <c r="AB897" s="202"/>
      <c r="AC897" s="202"/>
      <c r="AD897" s="202"/>
      <c r="AE897" s="202"/>
      <c r="AF897" s="202"/>
    </row>
    <row r="898" spans="1:32" ht="15">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c r="AA898" s="202"/>
      <c r="AB898" s="202"/>
      <c r="AC898" s="202"/>
      <c r="AD898" s="202"/>
      <c r="AE898" s="202"/>
      <c r="AF898" s="202"/>
    </row>
    <row r="899" spans="1:32" ht="15">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c r="AA899" s="202"/>
      <c r="AB899" s="202"/>
      <c r="AC899" s="202"/>
      <c r="AD899" s="202"/>
      <c r="AE899" s="202"/>
      <c r="AF899" s="202"/>
    </row>
    <row r="900" spans="1:32" ht="15">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c r="AA900" s="202"/>
      <c r="AB900" s="202"/>
      <c r="AC900" s="202"/>
      <c r="AD900" s="202"/>
      <c r="AE900" s="202"/>
      <c r="AF900" s="202"/>
    </row>
    <row r="901" spans="1:32" ht="15">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c r="AA901" s="202"/>
      <c r="AB901" s="202"/>
      <c r="AC901" s="202"/>
      <c r="AD901" s="202"/>
      <c r="AE901" s="202"/>
      <c r="AF901" s="202"/>
    </row>
    <row r="902" spans="1:32" ht="15">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c r="AA902" s="202"/>
      <c r="AB902" s="202"/>
      <c r="AC902" s="202"/>
      <c r="AD902" s="202"/>
      <c r="AE902" s="202"/>
      <c r="AF902" s="202"/>
    </row>
    <row r="903" spans="1:32" ht="15">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c r="AA903" s="202"/>
      <c r="AB903" s="202"/>
      <c r="AC903" s="202"/>
      <c r="AD903" s="202"/>
      <c r="AE903" s="202"/>
      <c r="AF903" s="202"/>
    </row>
    <row r="904" spans="1:32" ht="15">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c r="AA904" s="202"/>
      <c r="AB904" s="202"/>
      <c r="AC904" s="202"/>
      <c r="AD904" s="202"/>
      <c r="AE904" s="202"/>
      <c r="AF904" s="202"/>
    </row>
    <row r="905" spans="1:32" ht="15">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c r="AA905" s="202"/>
      <c r="AB905" s="202"/>
      <c r="AC905" s="202"/>
      <c r="AD905" s="202"/>
      <c r="AE905" s="202"/>
      <c r="AF905" s="202"/>
    </row>
    <row r="906" spans="1:32" ht="15">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c r="AA906" s="202"/>
      <c r="AB906" s="202"/>
      <c r="AC906" s="202"/>
      <c r="AD906" s="202"/>
      <c r="AE906" s="202"/>
      <c r="AF906" s="202"/>
    </row>
    <row r="907" spans="1:32" ht="15">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c r="AA907" s="202"/>
      <c r="AB907" s="202"/>
      <c r="AC907" s="202"/>
      <c r="AD907" s="202"/>
      <c r="AE907" s="202"/>
      <c r="AF907" s="202"/>
    </row>
    <row r="908" spans="1:32" ht="15">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c r="AA908" s="202"/>
      <c r="AB908" s="202"/>
      <c r="AC908" s="202"/>
      <c r="AD908" s="202"/>
      <c r="AE908" s="202"/>
      <c r="AF908" s="202"/>
    </row>
    <row r="909" spans="1:32" ht="15">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c r="AA909" s="202"/>
      <c r="AB909" s="202"/>
      <c r="AC909" s="202"/>
      <c r="AD909" s="202"/>
      <c r="AE909" s="202"/>
      <c r="AF909" s="202"/>
    </row>
    <row r="910" spans="1:32" ht="15">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c r="AA910" s="202"/>
      <c r="AB910" s="202"/>
      <c r="AC910" s="202"/>
      <c r="AD910" s="202"/>
      <c r="AE910" s="202"/>
      <c r="AF910" s="202"/>
    </row>
    <row r="911" spans="1:32" ht="15">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c r="AA911" s="202"/>
      <c r="AB911" s="202"/>
      <c r="AC911" s="202"/>
      <c r="AD911" s="202"/>
      <c r="AE911" s="202"/>
      <c r="AF911" s="202"/>
    </row>
    <row r="912" spans="1:32" ht="15">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c r="AA912" s="202"/>
      <c r="AB912" s="202"/>
      <c r="AC912" s="202"/>
      <c r="AD912" s="202"/>
      <c r="AE912" s="202"/>
      <c r="AF912" s="202"/>
    </row>
    <row r="913" spans="1:32" ht="15">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c r="AA913" s="202"/>
      <c r="AB913" s="202"/>
      <c r="AC913" s="202"/>
      <c r="AD913" s="202"/>
      <c r="AE913" s="202"/>
      <c r="AF913" s="202"/>
    </row>
    <row r="914" spans="1:32" ht="15">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c r="AA914" s="202"/>
      <c r="AB914" s="202"/>
      <c r="AC914" s="202"/>
      <c r="AD914" s="202"/>
      <c r="AE914" s="202"/>
      <c r="AF914" s="202"/>
    </row>
    <row r="915" spans="1:32" ht="15">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c r="AA915" s="202"/>
      <c r="AB915" s="202"/>
      <c r="AC915" s="202"/>
      <c r="AD915" s="202"/>
      <c r="AE915" s="202"/>
      <c r="AF915" s="202"/>
    </row>
    <row r="916" spans="1:32" ht="15">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c r="AA916" s="202"/>
      <c r="AB916" s="202"/>
      <c r="AC916" s="202"/>
      <c r="AD916" s="202"/>
      <c r="AE916" s="202"/>
      <c r="AF916" s="202"/>
    </row>
    <row r="917" spans="1:32" ht="15">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c r="AA917" s="202"/>
      <c r="AB917" s="202"/>
      <c r="AC917" s="202"/>
      <c r="AD917" s="202"/>
      <c r="AE917" s="202"/>
      <c r="AF917" s="202"/>
    </row>
    <row r="918" spans="1:32" ht="15">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c r="AA918" s="202"/>
      <c r="AB918" s="202"/>
      <c r="AC918" s="202"/>
      <c r="AD918" s="202"/>
      <c r="AE918" s="202"/>
      <c r="AF918" s="202"/>
    </row>
    <row r="919" spans="1:32" ht="15">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c r="AA919" s="202"/>
      <c r="AB919" s="202"/>
      <c r="AC919" s="202"/>
      <c r="AD919" s="202"/>
      <c r="AE919" s="202"/>
      <c r="AF919" s="202"/>
    </row>
    <row r="920" spans="1:32" ht="15">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c r="AA920" s="202"/>
      <c r="AB920" s="202"/>
      <c r="AC920" s="202"/>
      <c r="AD920" s="202"/>
      <c r="AE920" s="202"/>
      <c r="AF920" s="202"/>
    </row>
    <row r="921" spans="1:32" ht="15">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c r="AA921" s="202"/>
      <c r="AB921" s="202"/>
      <c r="AC921" s="202"/>
      <c r="AD921" s="202"/>
      <c r="AE921" s="202"/>
      <c r="AF921" s="202"/>
    </row>
    <row r="922" spans="1:32" ht="15">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c r="AA922" s="202"/>
      <c r="AB922" s="202"/>
      <c r="AC922" s="202"/>
      <c r="AD922" s="202"/>
      <c r="AE922" s="202"/>
      <c r="AF922" s="202"/>
    </row>
    <row r="923" spans="1:32" ht="15">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c r="AA923" s="202"/>
      <c r="AB923" s="202"/>
      <c r="AC923" s="202"/>
      <c r="AD923" s="202"/>
      <c r="AE923" s="202"/>
      <c r="AF923" s="202"/>
    </row>
    <row r="924" spans="1:32" ht="15">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c r="AA924" s="202"/>
      <c r="AB924" s="202"/>
      <c r="AC924" s="202"/>
      <c r="AD924" s="202"/>
      <c r="AE924" s="202"/>
      <c r="AF924" s="202"/>
    </row>
    <row r="925" spans="1:32" ht="15">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c r="AA925" s="202"/>
      <c r="AB925" s="202"/>
      <c r="AC925" s="202"/>
      <c r="AD925" s="202"/>
      <c r="AE925" s="202"/>
      <c r="AF925" s="202"/>
    </row>
    <row r="926" spans="1:32" ht="15">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c r="AA926" s="202"/>
      <c r="AB926" s="202"/>
      <c r="AC926" s="202"/>
      <c r="AD926" s="202"/>
      <c r="AE926" s="202"/>
      <c r="AF926" s="202"/>
    </row>
    <row r="927" spans="1:32" ht="15">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c r="AA927" s="202"/>
      <c r="AB927" s="202"/>
      <c r="AC927" s="202"/>
      <c r="AD927" s="202"/>
      <c r="AE927" s="202"/>
      <c r="AF927" s="202"/>
    </row>
    <row r="928" spans="1:32" ht="15">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c r="AA928" s="202"/>
      <c r="AB928" s="202"/>
      <c r="AC928" s="202"/>
      <c r="AD928" s="202"/>
      <c r="AE928" s="202"/>
      <c r="AF928" s="202"/>
    </row>
    <row r="929" spans="1:32" ht="15">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c r="AA929" s="202"/>
      <c r="AB929" s="202"/>
      <c r="AC929" s="202"/>
      <c r="AD929" s="202"/>
      <c r="AE929" s="202"/>
      <c r="AF929" s="202"/>
    </row>
    <row r="930" spans="1:32" ht="15">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c r="AA930" s="202"/>
      <c r="AB930" s="202"/>
      <c r="AC930" s="202"/>
      <c r="AD930" s="202"/>
      <c r="AE930" s="202"/>
      <c r="AF930" s="202"/>
    </row>
    <row r="931" spans="1:32" ht="15">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c r="AA931" s="202"/>
      <c r="AB931" s="202"/>
      <c r="AC931" s="202"/>
      <c r="AD931" s="202"/>
      <c r="AE931" s="202"/>
      <c r="AF931" s="202"/>
    </row>
    <row r="932" spans="1:32" ht="15">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c r="AA932" s="202"/>
      <c r="AB932" s="202"/>
      <c r="AC932" s="202"/>
      <c r="AD932" s="202"/>
      <c r="AE932" s="202"/>
      <c r="AF932" s="202"/>
    </row>
    <row r="933" spans="1:32" ht="15">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c r="AA933" s="202"/>
      <c r="AB933" s="202"/>
      <c r="AC933" s="202"/>
      <c r="AD933" s="202"/>
      <c r="AE933" s="202"/>
      <c r="AF933" s="202"/>
    </row>
    <row r="934" spans="1:32" ht="15">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c r="AA934" s="202"/>
      <c r="AB934" s="202"/>
      <c r="AC934" s="202"/>
      <c r="AD934" s="202"/>
      <c r="AE934" s="202"/>
      <c r="AF934" s="202"/>
    </row>
    <row r="935" spans="1:32" ht="15">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c r="AA935" s="202"/>
      <c r="AB935" s="202"/>
      <c r="AC935" s="202"/>
      <c r="AD935" s="202"/>
      <c r="AE935" s="202"/>
      <c r="AF935" s="202"/>
    </row>
    <row r="936" spans="1:32" ht="15">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c r="AA936" s="202"/>
      <c r="AB936" s="202"/>
      <c r="AC936" s="202"/>
      <c r="AD936" s="202"/>
      <c r="AE936" s="202"/>
      <c r="AF936" s="202"/>
    </row>
    <row r="937" spans="1:32" ht="15">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c r="AA937" s="202"/>
      <c r="AB937" s="202"/>
      <c r="AC937" s="202"/>
      <c r="AD937" s="202"/>
      <c r="AE937" s="202"/>
      <c r="AF937" s="202"/>
    </row>
    <row r="938" spans="1:32" ht="15">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c r="AA938" s="202"/>
      <c r="AB938" s="202"/>
      <c r="AC938" s="202"/>
      <c r="AD938" s="202"/>
      <c r="AE938" s="202"/>
      <c r="AF938" s="202"/>
    </row>
    <row r="939" spans="1:32" ht="15">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c r="AA939" s="202"/>
      <c r="AB939" s="202"/>
      <c r="AC939" s="202"/>
      <c r="AD939" s="202"/>
      <c r="AE939" s="202"/>
      <c r="AF939" s="202"/>
    </row>
    <row r="940" spans="1:32" ht="15">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c r="AA940" s="202"/>
      <c r="AB940" s="202"/>
      <c r="AC940" s="202"/>
      <c r="AD940" s="202"/>
      <c r="AE940" s="202"/>
      <c r="AF940" s="202"/>
    </row>
    <row r="941" spans="1:32" ht="15">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c r="AA941" s="202"/>
      <c r="AB941" s="202"/>
      <c r="AC941" s="202"/>
      <c r="AD941" s="202"/>
      <c r="AE941" s="202"/>
      <c r="AF941" s="202"/>
    </row>
    <row r="942" spans="1:32" ht="15">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c r="AA942" s="202"/>
      <c r="AB942" s="202"/>
      <c r="AC942" s="202"/>
      <c r="AD942" s="202"/>
      <c r="AE942" s="202"/>
      <c r="AF942" s="202"/>
    </row>
    <row r="943" spans="1:32" ht="15">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c r="AA943" s="202"/>
      <c r="AB943" s="202"/>
      <c r="AC943" s="202"/>
      <c r="AD943" s="202"/>
      <c r="AE943" s="202"/>
      <c r="AF943" s="202"/>
    </row>
    <row r="944" spans="1:32" ht="15">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c r="AA944" s="202"/>
      <c r="AB944" s="202"/>
      <c r="AC944" s="202"/>
      <c r="AD944" s="202"/>
      <c r="AE944" s="202"/>
      <c r="AF944" s="202"/>
    </row>
    <row r="945" spans="1:32" ht="15">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c r="AA945" s="202"/>
      <c r="AB945" s="202"/>
      <c r="AC945" s="202"/>
      <c r="AD945" s="202"/>
      <c r="AE945" s="202"/>
      <c r="AF945" s="202"/>
    </row>
    <row r="946" spans="1:32" ht="15">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c r="AA946" s="202"/>
      <c r="AB946" s="202"/>
      <c r="AC946" s="202"/>
      <c r="AD946" s="202"/>
      <c r="AE946" s="202"/>
      <c r="AF946" s="202"/>
    </row>
    <row r="947" spans="1:32" ht="15">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c r="AA947" s="202"/>
      <c r="AB947" s="202"/>
      <c r="AC947" s="202"/>
      <c r="AD947" s="202"/>
      <c r="AE947" s="202"/>
      <c r="AF947" s="202"/>
    </row>
    <row r="948" spans="1:32" ht="15">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c r="AA948" s="202"/>
      <c r="AB948" s="202"/>
      <c r="AC948" s="202"/>
      <c r="AD948" s="202"/>
      <c r="AE948" s="202"/>
      <c r="AF948" s="202"/>
    </row>
    <row r="949" spans="1:32" ht="15">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c r="AA949" s="202"/>
      <c r="AB949" s="202"/>
      <c r="AC949" s="202"/>
      <c r="AD949" s="202"/>
      <c r="AE949" s="202"/>
      <c r="AF949" s="202"/>
    </row>
    <row r="950" spans="1:32" ht="15">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c r="AA950" s="202"/>
      <c r="AB950" s="202"/>
      <c r="AC950" s="202"/>
      <c r="AD950" s="202"/>
      <c r="AE950" s="202"/>
      <c r="AF950" s="202"/>
    </row>
    <row r="951" spans="1:32" ht="15">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c r="AA951" s="202"/>
      <c r="AB951" s="202"/>
      <c r="AC951" s="202"/>
      <c r="AD951" s="202"/>
      <c r="AE951" s="202"/>
      <c r="AF951" s="202"/>
    </row>
    <row r="952" spans="1:32" ht="15">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c r="AA952" s="202"/>
      <c r="AB952" s="202"/>
      <c r="AC952" s="202"/>
      <c r="AD952" s="202"/>
      <c r="AE952" s="202"/>
      <c r="AF952" s="202"/>
    </row>
  </sheetData>
  <sheetProtection algorithmName="SHA-512" hashValue="Yh7t1hR+wBfe1ebHSLv07TgzGdCuuwWgEz7i96x9fs878SApkmEcg7ySqACw2LrFP+qHybB0R5THSf4TmfgkcQ==" saltValue="kOPYoYC3Zoow4vPKQCIRHw==" spinCount="100000" sheet="1" objects="1" scenarios="1" formatCells="0" formatColumns="0" formatRows="0"/>
  <mergeCells count="125">
    <mergeCell ref="Q44:AC44"/>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 ref="AC9:AC10"/>
    <mergeCell ref="Q9:Q10"/>
    <mergeCell ref="R9:R10"/>
    <mergeCell ref="S9:S10"/>
    <mergeCell ref="T9:T10"/>
    <mergeCell ref="U9:U10"/>
    <mergeCell ref="V9:V10"/>
    <mergeCell ref="W9:W10"/>
    <mergeCell ref="Q14:AC14"/>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Q15:AC18"/>
    <mergeCell ref="Q19:AC22"/>
    <mergeCell ref="Q23:AC26"/>
    <mergeCell ref="Q28:AC28"/>
    <mergeCell ref="R29:S29"/>
    <mergeCell ref="R30:S30"/>
    <mergeCell ref="Q43:V43"/>
    <mergeCell ref="Q41:V42"/>
    <mergeCell ref="X43:AC43"/>
    <mergeCell ref="X42:AC42"/>
    <mergeCell ref="X40:AC40"/>
    <mergeCell ref="X41:AC41"/>
    <mergeCell ref="R31:S31"/>
    <mergeCell ref="Q33:AC33"/>
    <mergeCell ref="X39:AB39"/>
    <mergeCell ref="R40:U40"/>
    <mergeCell ref="X5:X6"/>
    <mergeCell ref="Y5:Y6"/>
    <mergeCell ref="Z5:Z6"/>
    <mergeCell ref="AA5:AA6"/>
    <mergeCell ref="AB5:AB6"/>
    <mergeCell ref="B8:K8"/>
    <mergeCell ref="X9:X10"/>
    <mergeCell ref="Y9:Y10"/>
    <mergeCell ref="Z9:Z10"/>
    <mergeCell ref="AA9:AA10"/>
    <mergeCell ref="AB9:AB10"/>
    <mergeCell ref="Q49:V49"/>
    <mergeCell ref="Q50:V50"/>
    <mergeCell ref="Q45:AC45"/>
    <mergeCell ref="B9:K9"/>
    <mergeCell ref="C18:E18"/>
    <mergeCell ref="J33:K33"/>
    <mergeCell ref="J34:K34"/>
    <mergeCell ref="J35:K35"/>
    <mergeCell ref="J36:K36"/>
    <mergeCell ref="J37:K37"/>
    <mergeCell ref="B14:K14"/>
    <mergeCell ref="C17:G17"/>
    <mergeCell ref="B21:C21"/>
    <mergeCell ref="B15:K15"/>
    <mergeCell ref="B12:K12"/>
    <mergeCell ref="B10:K10"/>
    <mergeCell ref="F45:G45"/>
    <mergeCell ref="I45:J45"/>
    <mergeCell ref="J40:K40"/>
    <mergeCell ref="J41:K41"/>
    <mergeCell ref="B33:E33"/>
    <mergeCell ref="I47:J47"/>
    <mergeCell ref="I48:J48"/>
    <mergeCell ref="I49:J49"/>
    <mergeCell ref="C51:E51"/>
    <mergeCell ref="F51:G51"/>
    <mergeCell ref="I51:J51"/>
    <mergeCell ref="B45:E45"/>
    <mergeCell ref="B42:H43"/>
    <mergeCell ref="I42:I43"/>
    <mergeCell ref="J42:K43"/>
    <mergeCell ref="I50:J50"/>
    <mergeCell ref="C49:E49"/>
    <mergeCell ref="F49:G49"/>
    <mergeCell ref="C50:E50"/>
    <mergeCell ref="F50:G50"/>
    <mergeCell ref="C46:E46"/>
    <mergeCell ref="F46:G46"/>
    <mergeCell ref="I46:J46"/>
    <mergeCell ref="C47:E47"/>
    <mergeCell ref="F47:G47"/>
    <mergeCell ref="C48:E48"/>
    <mergeCell ref="F48:G48"/>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B13" sqref="B13:P13"/>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38" t="s">
        <v>31</v>
      </c>
      <c r="B1" s="538"/>
      <c r="C1" s="538"/>
      <c r="D1" s="538"/>
      <c r="E1" s="538"/>
      <c r="F1" s="538"/>
      <c r="G1" s="538"/>
      <c r="H1" s="538"/>
      <c r="I1" s="538"/>
      <c r="J1" s="538"/>
      <c r="K1" s="538"/>
      <c r="L1" s="538"/>
      <c r="M1" s="538"/>
      <c r="N1" s="538"/>
      <c r="O1" s="538"/>
      <c r="P1" s="538"/>
      <c r="Q1" s="2"/>
      <c r="R1" s="2"/>
      <c r="S1" s="2"/>
      <c r="T1" s="2"/>
      <c r="U1" s="2"/>
      <c r="V1" s="2"/>
      <c r="W1" s="2"/>
      <c r="X1" s="2"/>
    </row>
    <row r="2" spans="1:24" ht="13.2">
      <c r="A2" s="538"/>
      <c r="B2" s="538"/>
      <c r="C2" s="538"/>
      <c r="D2" s="538"/>
      <c r="E2" s="538"/>
      <c r="F2" s="538"/>
      <c r="G2" s="538"/>
      <c r="H2" s="538"/>
      <c r="I2" s="538"/>
      <c r="J2" s="538"/>
      <c r="K2" s="538"/>
      <c r="L2" s="538"/>
      <c r="M2" s="538"/>
      <c r="N2" s="538"/>
      <c r="O2" s="538"/>
      <c r="P2" s="538"/>
      <c r="Q2" s="2"/>
      <c r="R2" s="2"/>
      <c r="S2" s="2"/>
      <c r="T2" s="2"/>
      <c r="U2" s="2"/>
      <c r="V2" s="2"/>
      <c r="W2" s="2"/>
      <c r="X2" s="2"/>
    </row>
    <row r="3" spans="1:24" ht="13.2">
      <c r="A3" s="538"/>
      <c r="B3" s="538"/>
      <c r="C3" s="538"/>
      <c r="D3" s="538"/>
      <c r="E3" s="538"/>
      <c r="F3" s="538"/>
      <c r="G3" s="538"/>
      <c r="H3" s="538"/>
      <c r="I3" s="538"/>
      <c r="J3" s="538"/>
      <c r="K3" s="538"/>
      <c r="L3" s="538"/>
      <c r="M3" s="538"/>
      <c r="N3" s="538"/>
      <c r="O3" s="538"/>
      <c r="P3" s="538"/>
      <c r="Q3" s="2"/>
      <c r="R3" s="2"/>
      <c r="S3" s="2"/>
      <c r="T3" s="2"/>
      <c r="U3" s="2"/>
      <c r="V3" s="2"/>
      <c r="W3" s="2"/>
      <c r="X3" s="2"/>
    </row>
    <row r="4" spans="1:24" ht="13.8" thickBot="1">
      <c r="A4" s="538"/>
      <c r="B4" s="538"/>
      <c r="C4" s="538"/>
      <c r="D4" s="538"/>
      <c r="E4" s="538"/>
      <c r="F4" s="538"/>
      <c r="G4" s="538"/>
      <c r="H4" s="538"/>
      <c r="I4" s="538"/>
      <c r="J4" s="538"/>
      <c r="K4" s="538"/>
      <c r="L4" s="538"/>
      <c r="M4" s="538"/>
      <c r="N4" s="538"/>
      <c r="O4" s="538"/>
      <c r="P4" s="538"/>
      <c r="Q4" s="3"/>
      <c r="R4" s="3"/>
      <c r="S4" s="3"/>
      <c r="T4" s="3"/>
      <c r="U4" s="3"/>
      <c r="V4" s="3"/>
      <c r="W4" s="3"/>
      <c r="X4" s="3"/>
    </row>
    <row r="5" spans="1:24" ht="13.8" thickBot="1">
      <c r="A5" s="3"/>
      <c r="B5" s="16"/>
      <c r="C5" s="57"/>
      <c r="D5" s="110" t="s">
        <v>3</v>
      </c>
      <c r="E5" s="523" t="str">
        <f>IF('INPUT DATA'!F10="","",'INPUT DATA'!F10)</f>
        <v/>
      </c>
      <c r="F5" s="524"/>
      <c r="G5" s="110"/>
      <c r="H5" s="110" t="s">
        <v>6</v>
      </c>
      <c r="I5" s="523" t="str">
        <f>IF('INPUT DATA'!F11="","",'INPUT DATA'!F11)</f>
        <v/>
      </c>
      <c r="J5" s="540"/>
      <c r="K5" s="541"/>
      <c r="L5" s="102"/>
      <c r="M5" s="102"/>
      <c r="N5" s="102"/>
      <c r="O5" s="102"/>
      <c r="P5" s="3"/>
      <c r="Q5" s="3"/>
      <c r="R5" s="3"/>
      <c r="S5" s="3"/>
      <c r="T5" s="3"/>
      <c r="U5" s="3"/>
      <c r="V5" s="3"/>
      <c r="W5" s="3"/>
      <c r="X5" s="3"/>
    </row>
    <row r="6" spans="1:24" ht="4.2" customHeight="1" thickBot="1">
      <c r="A6" s="3"/>
      <c r="B6" s="16"/>
      <c r="C6" s="58"/>
      <c r="D6" s="110"/>
      <c r="E6" s="539"/>
      <c r="F6" s="539"/>
      <c r="G6" s="539"/>
      <c r="H6" s="110"/>
      <c r="I6" s="542"/>
      <c r="J6" s="542"/>
      <c r="K6" s="106"/>
      <c r="L6" s="544"/>
      <c r="M6" s="545"/>
      <c r="N6" s="543"/>
      <c r="O6" s="543"/>
      <c r="P6" s="103"/>
      <c r="Q6" s="3"/>
      <c r="R6" s="3"/>
      <c r="S6" s="3"/>
      <c r="T6" s="3"/>
      <c r="U6" s="3"/>
      <c r="V6" s="3"/>
      <c r="W6" s="3"/>
      <c r="X6" s="3"/>
    </row>
    <row r="7" spans="1:24" ht="13.8" thickBot="1">
      <c r="A7" s="3"/>
      <c r="B7" s="16"/>
      <c r="C7" s="18"/>
      <c r="D7" s="110" t="s">
        <v>7</v>
      </c>
      <c r="E7" s="523" t="str">
        <f>IF('INPUT DATA'!F16="","",'INPUT DATA'!F16)</f>
        <v/>
      </c>
      <c r="F7" s="540"/>
      <c r="G7" s="541"/>
      <c r="H7" s="110" t="s">
        <v>8</v>
      </c>
      <c r="I7" s="546" t="str">
        <f>IF('INPUT DATA'!F15="","",'INPUT DATA'!F15)</f>
        <v/>
      </c>
      <c r="J7" s="524"/>
      <c r="K7" s="106"/>
      <c r="L7" s="544" t="s">
        <v>10</v>
      </c>
      <c r="M7" s="545"/>
      <c r="N7" s="523" t="str">
        <f>IF('INPUT DATA'!F18="","",'INPUT DATA'!F18)</f>
        <v/>
      </c>
      <c r="O7" s="541"/>
      <c r="P7" s="3"/>
      <c r="Q7" s="3"/>
      <c r="R7" s="3"/>
      <c r="S7" s="3"/>
      <c r="T7" s="3"/>
      <c r="U7" s="3"/>
      <c r="V7" s="3"/>
      <c r="W7" s="3"/>
      <c r="X7" s="3"/>
    </row>
    <row r="8" spans="1:24" s="100" customFormat="1" ht="13.8" thickBot="1">
      <c r="A8" s="101"/>
      <c r="B8" s="16"/>
      <c r="C8" s="23"/>
      <c r="D8" s="110"/>
      <c r="E8" s="107"/>
      <c r="F8" s="107"/>
      <c r="G8" s="107"/>
      <c r="H8" s="110"/>
      <c r="I8" s="109"/>
      <c r="J8" s="109"/>
      <c r="K8" s="106"/>
      <c r="L8" s="111"/>
      <c r="M8" s="110"/>
      <c r="N8" s="108"/>
      <c r="O8" s="108"/>
      <c r="P8" s="101"/>
      <c r="Q8" s="101"/>
      <c r="R8" s="101"/>
      <c r="S8" s="101"/>
      <c r="T8" s="101"/>
      <c r="U8" s="101"/>
      <c r="V8" s="101"/>
      <c r="W8" s="101"/>
      <c r="X8" s="101"/>
    </row>
    <row r="9" spans="1:24" ht="13.8" thickBot="1">
      <c r="A9" s="3"/>
      <c r="B9" s="322"/>
      <c r="C9" s="323"/>
      <c r="D9" s="323"/>
      <c r="E9" s="323"/>
      <c r="F9" s="323"/>
      <c r="G9" s="323"/>
      <c r="H9" s="323"/>
      <c r="I9" s="323"/>
      <c r="J9" s="323"/>
      <c r="K9" s="323"/>
      <c r="L9" s="323"/>
      <c r="M9" s="323"/>
      <c r="N9" s="323"/>
      <c r="O9" s="323"/>
      <c r="P9" s="324"/>
      <c r="Q9" s="3"/>
      <c r="R9" s="3"/>
      <c r="S9" s="3"/>
      <c r="T9" s="3"/>
      <c r="U9" s="3"/>
      <c r="V9" s="3"/>
      <c r="W9" s="3"/>
      <c r="X9" s="3"/>
    </row>
    <row r="10" spans="1:24" ht="13.8" thickBot="1">
      <c r="A10" s="2"/>
      <c r="B10" s="531" t="s">
        <v>21</v>
      </c>
      <c r="C10" s="413"/>
      <c r="D10" s="413"/>
      <c r="E10" s="532"/>
      <c r="F10" s="112" t="s">
        <v>16</v>
      </c>
      <c r="G10" s="517" t="str">
        <f>IF('INPUT DATA'!F27="","",'INPUT DATA'!F27)</f>
        <v/>
      </c>
      <c r="H10" s="518"/>
      <c r="I10" s="518"/>
      <c r="J10" s="518"/>
      <c r="K10" s="519" t="s">
        <v>18</v>
      </c>
      <c r="L10" s="525" t="str">
        <f>IF('INPUT DATA'!F26="","",'INPUT DATA'!F26)</f>
        <v/>
      </c>
      <c r="M10" s="526"/>
      <c r="N10" s="526"/>
      <c r="O10" s="526"/>
      <c r="P10" s="527"/>
      <c r="Q10" s="2"/>
      <c r="R10" s="2"/>
      <c r="S10" s="2"/>
      <c r="T10" s="2"/>
      <c r="U10" s="2"/>
      <c r="V10" s="2"/>
      <c r="W10" s="2"/>
      <c r="X10" s="2"/>
    </row>
    <row r="11" spans="1:24" ht="13.8" thickBot="1">
      <c r="A11" s="2"/>
      <c r="B11" s="533"/>
      <c r="C11" s="283"/>
      <c r="D11" s="283"/>
      <c r="E11" s="534"/>
      <c r="F11" s="59" t="s">
        <v>20</v>
      </c>
      <c r="G11" s="521" t="str">
        <f>IF('INPUT DATA'!F28="","",'INPUT DATA'!F28)</f>
        <v/>
      </c>
      <c r="H11" s="522"/>
      <c r="I11" s="522"/>
      <c r="J11" s="522"/>
      <c r="K11" s="520"/>
      <c r="L11" s="528"/>
      <c r="M11" s="529"/>
      <c r="N11" s="529"/>
      <c r="O11" s="529"/>
      <c r="P11" s="530"/>
      <c r="Q11" s="2"/>
      <c r="R11" s="2"/>
      <c r="S11" s="2"/>
      <c r="T11" s="2"/>
      <c r="U11" s="2"/>
      <c r="V11" s="2"/>
      <c r="W11" s="2"/>
      <c r="X11" s="2"/>
    </row>
    <row r="12" spans="1:24" ht="15.6">
      <c r="A12" s="3"/>
      <c r="B12" s="535"/>
      <c r="C12" s="536"/>
      <c r="D12" s="536"/>
      <c r="E12" s="537"/>
      <c r="F12" s="60" t="s">
        <v>32</v>
      </c>
      <c r="G12" s="60" t="s">
        <v>33</v>
      </c>
      <c r="H12" s="60" t="s">
        <v>34</v>
      </c>
      <c r="I12" s="60" t="s">
        <v>35</v>
      </c>
      <c r="J12" s="60" t="s">
        <v>36</v>
      </c>
      <c r="K12" s="60" t="s">
        <v>37</v>
      </c>
      <c r="L12" s="33" t="s">
        <v>38</v>
      </c>
      <c r="M12" s="33" t="s">
        <v>39</v>
      </c>
      <c r="N12" s="60" t="s">
        <v>40</v>
      </c>
      <c r="O12" s="60" t="s">
        <v>41</v>
      </c>
      <c r="P12" s="60" t="s">
        <v>42</v>
      </c>
      <c r="Q12" s="3"/>
      <c r="R12" s="3"/>
      <c r="S12" s="3"/>
      <c r="T12" s="3"/>
      <c r="U12" s="3"/>
      <c r="V12" s="3"/>
      <c r="W12" s="3"/>
      <c r="X12" s="3"/>
    </row>
    <row r="13" spans="1:24" ht="13.2">
      <c r="A13" s="3"/>
      <c r="B13" s="547" t="s">
        <v>11</v>
      </c>
      <c r="C13" s="410"/>
      <c r="D13" s="410"/>
      <c r="E13" s="410"/>
      <c r="F13" s="410"/>
      <c r="G13" s="410"/>
      <c r="H13" s="410"/>
      <c r="I13" s="410"/>
      <c r="J13" s="410"/>
      <c r="K13" s="410"/>
      <c r="L13" s="410"/>
      <c r="M13" s="410"/>
      <c r="N13" s="410"/>
      <c r="O13" s="410"/>
      <c r="P13" s="414"/>
      <c r="Q13" s="3"/>
      <c r="R13" s="3"/>
      <c r="S13" s="3"/>
      <c r="T13" s="3"/>
      <c r="U13" s="3"/>
      <c r="V13" s="3"/>
      <c r="W13" s="3"/>
      <c r="X13" s="3"/>
    </row>
    <row r="14" spans="1:24" ht="13.8">
      <c r="A14" s="3"/>
      <c r="B14" s="62">
        <v>1</v>
      </c>
      <c r="C14" s="548" t="str">
        <f>IF('INPUT DATA'!L11="","",'INPUT DATA'!L11)</f>
        <v/>
      </c>
      <c r="D14" s="549"/>
      <c r="E14" s="550"/>
      <c r="F14" s="63"/>
      <c r="G14" s="64"/>
      <c r="H14" s="64"/>
      <c r="I14" s="64"/>
      <c r="J14" s="64"/>
      <c r="K14" s="64"/>
      <c r="L14" s="64"/>
      <c r="M14" s="64"/>
      <c r="N14" s="64"/>
      <c r="O14" s="64"/>
      <c r="P14" s="65"/>
      <c r="Q14" s="3"/>
      <c r="R14" s="3"/>
      <c r="S14" s="3"/>
      <c r="T14" s="3"/>
      <c r="U14" s="3"/>
      <c r="V14" s="3"/>
      <c r="W14" s="3"/>
      <c r="X14" s="3"/>
    </row>
    <row r="15" spans="1:24" ht="13.8">
      <c r="A15" s="3"/>
      <c r="B15" s="66">
        <v>2</v>
      </c>
      <c r="C15" s="548" t="str">
        <f>IF('INPUT DATA'!L12="","",'INPUT DATA'!L12)</f>
        <v/>
      </c>
      <c r="D15" s="549"/>
      <c r="E15" s="550"/>
      <c r="F15" s="67"/>
      <c r="G15" s="68"/>
      <c r="H15" s="68"/>
      <c r="I15" s="68"/>
      <c r="J15" s="68"/>
      <c r="K15" s="68"/>
      <c r="L15" s="68"/>
      <c r="M15" s="68"/>
      <c r="N15" s="68"/>
      <c r="O15" s="68"/>
      <c r="P15" s="69"/>
      <c r="Q15" s="3"/>
      <c r="R15" s="3"/>
      <c r="S15" s="3"/>
      <c r="T15" s="3"/>
      <c r="U15" s="3"/>
      <c r="V15" s="3"/>
      <c r="W15" s="3"/>
      <c r="X15" s="3"/>
    </row>
    <row r="16" spans="1:24" ht="13.8">
      <c r="A16" s="3"/>
      <c r="B16" s="66">
        <v>3</v>
      </c>
      <c r="C16" s="548" t="str">
        <f>IF('INPUT DATA'!L13="","",'INPUT DATA'!L13)</f>
        <v/>
      </c>
      <c r="D16" s="549"/>
      <c r="E16" s="550"/>
      <c r="F16" s="68"/>
      <c r="G16" s="68"/>
      <c r="H16" s="68"/>
      <c r="I16" s="68"/>
      <c r="J16" s="68"/>
      <c r="K16" s="68"/>
      <c r="L16" s="68"/>
      <c r="M16" s="68"/>
      <c r="N16" s="68"/>
      <c r="O16" s="68"/>
      <c r="P16" s="69"/>
      <c r="Q16" s="3"/>
      <c r="R16" s="3"/>
      <c r="S16" s="3"/>
      <c r="T16" s="3"/>
      <c r="U16" s="3"/>
      <c r="V16" s="3"/>
      <c r="W16" s="3"/>
      <c r="X16" s="3"/>
    </row>
    <row r="17" spans="1:24" ht="13.8">
      <c r="A17" s="3"/>
      <c r="B17" s="66">
        <v>4</v>
      </c>
      <c r="C17" s="548" t="str">
        <f>IF('INPUT DATA'!L14="","",'INPUT DATA'!L14)</f>
        <v/>
      </c>
      <c r="D17" s="549"/>
      <c r="E17" s="550"/>
      <c r="F17" s="67"/>
      <c r="G17" s="68"/>
      <c r="H17" s="68"/>
      <c r="I17" s="68"/>
      <c r="J17" s="68"/>
      <c r="K17" s="68"/>
      <c r="L17" s="68"/>
      <c r="M17" s="68"/>
      <c r="N17" s="68"/>
      <c r="O17" s="68"/>
      <c r="P17" s="70"/>
      <c r="Q17" s="3"/>
      <c r="R17" s="3"/>
      <c r="S17" s="3"/>
      <c r="T17" s="3"/>
      <c r="U17" s="3"/>
      <c r="V17" s="3"/>
      <c r="W17" s="3"/>
      <c r="X17" s="3"/>
    </row>
    <row r="18" spans="1:24" ht="13.8">
      <c r="A18" s="3"/>
      <c r="B18" s="66">
        <v>5</v>
      </c>
      <c r="C18" s="548" t="str">
        <f>IF('INPUT DATA'!L15="","",'INPUT DATA'!L15)</f>
        <v/>
      </c>
      <c r="D18" s="549"/>
      <c r="E18" s="550"/>
      <c r="F18" s="67"/>
      <c r="G18" s="68"/>
      <c r="H18" s="68"/>
      <c r="I18" s="68"/>
      <c r="J18" s="68"/>
      <c r="K18" s="68"/>
      <c r="L18" s="68"/>
      <c r="M18" s="68"/>
      <c r="N18" s="68"/>
      <c r="O18" s="68"/>
      <c r="P18" s="70"/>
      <c r="Q18" s="3"/>
      <c r="R18" s="3"/>
      <c r="S18" s="3"/>
      <c r="T18" s="3"/>
      <c r="U18" s="3"/>
      <c r="V18" s="3"/>
      <c r="W18" s="3"/>
      <c r="X18" s="3"/>
    </row>
    <row r="19" spans="1:24" ht="13.8">
      <c r="A19" s="3"/>
      <c r="B19" s="66">
        <v>6</v>
      </c>
      <c r="C19" s="548" t="str">
        <f>IF('INPUT DATA'!L16="","",'INPUT DATA'!L16)</f>
        <v/>
      </c>
      <c r="D19" s="549"/>
      <c r="E19" s="550"/>
      <c r="F19" s="67"/>
      <c r="G19" s="68"/>
      <c r="H19" s="68"/>
      <c r="I19" s="68"/>
      <c r="J19" s="68"/>
      <c r="K19" s="68"/>
      <c r="L19" s="68"/>
      <c r="M19" s="68"/>
      <c r="N19" s="68"/>
      <c r="O19" s="68"/>
      <c r="P19" s="70"/>
      <c r="Q19" s="3"/>
      <c r="R19" s="3"/>
      <c r="S19" s="3"/>
      <c r="T19" s="3"/>
      <c r="U19" s="3"/>
      <c r="V19" s="3"/>
      <c r="W19" s="3"/>
      <c r="X19" s="3"/>
    </row>
    <row r="20" spans="1:24" ht="13.8">
      <c r="A20" s="3"/>
      <c r="B20" s="66">
        <v>7</v>
      </c>
      <c r="C20" s="548" t="str">
        <f>IF('INPUT DATA'!L17="","",'INPUT DATA'!L17)</f>
        <v/>
      </c>
      <c r="D20" s="549"/>
      <c r="E20" s="550"/>
      <c r="F20" s="67"/>
      <c r="G20" s="68"/>
      <c r="H20" s="68"/>
      <c r="I20" s="68"/>
      <c r="J20" s="68"/>
      <c r="K20" s="68"/>
      <c r="L20" s="68"/>
      <c r="M20" s="68"/>
      <c r="N20" s="68"/>
      <c r="O20" s="68"/>
      <c r="P20" s="70"/>
      <c r="Q20" s="3"/>
      <c r="R20" s="3"/>
      <c r="S20" s="3"/>
      <c r="T20" s="3"/>
      <c r="U20" s="3"/>
      <c r="V20" s="3"/>
      <c r="W20" s="3"/>
      <c r="X20" s="3"/>
    </row>
    <row r="21" spans="1:24" ht="13.8">
      <c r="A21" s="3"/>
      <c r="B21" s="66">
        <v>8</v>
      </c>
      <c r="C21" s="548" t="str">
        <f>IF('INPUT DATA'!L18="","",'INPUT DATA'!L18)</f>
        <v/>
      </c>
      <c r="D21" s="549"/>
      <c r="E21" s="550"/>
      <c r="F21" s="67"/>
      <c r="G21" s="68"/>
      <c r="H21" s="68"/>
      <c r="I21" s="68"/>
      <c r="J21" s="68"/>
      <c r="K21" s="68"/>
      <c r="L21" s="68"/>
      <c r="M21" s="68"/>
      <c r="N21" s="68"/>
      <c r="O21" s="68"/>
      <c r="P21" s="70"/>
      <c r="Q21" s="3"/>
      <c r="R21" s="3"/>
      <c r="S21" s="3"/>
      <c r="T21" s="3"/>
      <c r="U21" s="3"/>
      <c r="V21" s="3"/>
      <c r="W21" s="3"/>
      <c r="X21" s="3"/>
    </row>
    <row r="22" spans="1:24" ht="13.8">
      <c r="A22" s="3"/>
      <c r="B22" s="66">
        <v>9</v>
      </c>
      <c r="C22" s="548" t="str">
        <f>IF('INPUT DATA'!L19="","",'INPUT DATA'!L19)</f>
        <v/>
      </c>
      <c r="D22" s="549"/>
      <c r="E22" s="550"/>
      <c r="F22" s="67"/>
      <c r="G22" s="68"/>
      <c r="H22" s="68"/>
      <c r="I22" s="68"/>
      <c r="J22" s="68"/>
      <c r="K22" s="68"/>
      <c r="L22" s="68"/>
      <c r="M22" s="68"/>
      <c r="N22" s="68"/>
      <c r="O22" s="68"/>
      <c r="P22" s="70"/>
      <c r="Q22" s="3"/>
      <c r="R22" s="3"/>
      <c r="S22" s="3"/>
      <c r="T22" s="3"/>
      <c r="U22" s="3"/>
      <c r="V22" s="3"/>
      <c r="W22" s="3"/>
      <c r="X22" s="3"/>
    </row>
    <row r="23" spans="1:24" ht="13.8">
      <c r="A23" s="3"/>
      <c r="B23" s="66">
        <v>10</v>
      </c>
      <c r="C23" s="548" t="str">
        <f>IF('INPUT DATA'!L20="","",'INPUT DATA'!L20)</f>
        <v/>
      </c>
      <c r="D23" s="549"/>
      <c r="E23" s="550"/>
      <c r="F23" s="67"/>
      <c r="G23" s="68"/>
      <c r="H23" s="68"/>
      <c r="I23" s="68"/>
      <c r="J23" s="68"/>
      <c r="K23" s="68"/>
      <c r="L23" s="68"/>
      <c r="M23" s="68"/>
      <c r="N23" s="68"/>
      <c r="O23" s="68"/>
      <c r="P23" s="70"/>
      <c r="Q23" s="3"/>
      <c r="R23" s="3"/>
      <c r="S23" s="3"/>
      <c r="T23" s="3"/>
      <c r="U23" s="3"/>
      <c r="V23" s="3"/>
      <c r="W23" s="3"/>
      <c r="X23" s="3"/>
    </row>
    <row r="24" spans="1:24" ht="13.8">
      <c r="A24" s="3"/>
      <c r="B24" s="66">
        <v>11</v>
      </c>
      <c r="C24" s="548" t="str">
        <f>IF('INPUT DATA'!L21="","",'INPUT DATA'!L21)</f>
        <v/>
      </c>
      <c r="D24" s="549"/>
      <c r="E24" s="550"/>
      <c r="F24" s="67"/>
      <c r="G24" s="68"/>
      <c r="H24" s="68"/>
      <c r="I24" s="68"/>
      <c r="J24" s="68"/>
      <c r="K24" s="68"/>
      <c r="L24" s="68"/>
      <c r="M24" s="68"/>
      <c r="N24" s="68"/>
      <c r="O24" s="68"/>
      <c r="P24" s="70"/>
      <c r="Q24" s="3"/>
      <c r="R24" s="3"/>
      <c r="S24" s="3"/>
      <c r="T24" s="3"/>
      <c r="U24" s="3"/>
      <c r="V24" s="3"/>
      <c r="W24" s="3"/>
      <c r="X24" s="3"/>
    </row>
    <row r="25" spans="1:24" ht="13.8">
      <c r="A25" s="3"/>
      <c r="B25" s="66">
        <v>12</v>
      </c>
      <c r="C25" s="548" t="str">
        <f>IF('INPUT DATA'!L22="","",'INPUT DATA'!L22)</f>
        <v/>
      </c>
      <c r="D25" s="549"/>
      <c r="E25" s="550"/>
      <c r="F25" s="67"/>
      <c r="G25" s="68"/>
      <c r="H25" s="68"/>
      <c r="I25" s="68"/>
      <c r="J25" s="68"/>
      <c r="K25" s="68"/>
      <c r="L25" s="68"/>
      <c r="M25" s="68"/>
      <c r="N25" s="68"/>
      <c r="O25" s="68"/>
      <c r="P25" s="70"/>
      <c r="Q25" s="3"/>
      <c r="R25" s="3"/>
      <c r="S25" s="3"/>
      <c r="T25" s="3"/>
      <c r="U25" s="3"/>
      <c r="V25" s="3"/>
      <c r="W25" s="3"/>
      <c r="X25" s="3"/>
    </row>
    <row r="26" spans="1:24" ht="13.8">
      <c r="A26" s="3"/>
      <c r="B26" s="66">
        <v>13</v>
      </c>
      <c r="C26" s="548" t="str">
        <f>IF('INPUT DATA'!L23="","",'INPUT DATA'!L23)</f>
        <v/>
      </c>
      <c r="D26" s="549"/>
      <c r="E26" s="550"/>
      <c r="F26" s="67"/>
      <c r="G26" s="68"/>
      <c r="H26" s="68"/>
      <c r="I26" s="68"/>
      <c r="J26" s="68"/>
      <c r="K26" s="68"/>
      <c r="L26" s="68"/>
      <c r="M26" s="68"/>
      <c r="N26" s="68"/>
      <c r="O26" s="68"/>
      <c r="P26" s="70"/>
      <c r="Q26" s="3"/>
      <c r="R26" s="3"/>
      <c r="S26" s="3"/>
      <c r="T26" s="3"/>
      <c r="U26" s="3"/>
      <c r="V26" s="3"/>
      <c r="W26" s="3"/>
      <c r="X26" s="3"/>
    </row>
    <row r="27" spans="1:24" ht="13.8">
      <c r="A27" s="3"/>
      <c r="B27" s="66">
        <v>14</v>
      </c>
      <c r="C27" s="548" t="str">
        <f>IF('INPUT DATA'!L24="","",'INPUT DATA'!L24)</f>
        <v/>
      </c>
      <c r="D27" s="549"/>
      <c r="E27" s="550"/>
      <c r="F27" s="67"/>
      <c r="G27" s="68"/>
      <c r="H27" s="68"/>
      <c r="I27" s="68"/>
      <c r="J27" s="68"/>
      <c r="K27" s="68"/>
      <c r="L27" s="68"/>
      <c r="M27" s="68"/>
      <c r="N27" s="68"/>
      <c r="O27" s="68"/>
      <c r="P27" s="70"/>
      <c r="Q27" s="3"/>
      <c r="R27" s="3"/>
      <c r="S27" s="3"/>
      <c r="T27" s="3"/>
      <c r="U27" s="3"/>
      <c r="V27" s="3"/>
      <c r="W27" s="3"/>
      <c r="X27" s="3"/>
    </row>
    <row r="28" spans="1:24" ht="13.8">
      <c r="A28" s="3"/>
      <c r="B28" s="66">
        <v>15</v>
      </c>
      <c r="C28" s="548" t="str">
        <f>IF('INPUT DATA'!L25="","",'INPUT DATA'!L25)</f>
        <v/>
      </c>
      <c r="D28" s="549"/>
      <c r="E28" s="550"/>
      <c r="F28" s="67"/>
      <c r="G28" s="68"/>
      <c r="H28" s="68"/>
      <c r="I28" s="68"/>
      <c r="J28" s="68"/>
      <c r="K28" s="68"/>
      <c r="L28" s="68"/>
      <c r="M28" s="68"/>
      <c r="N28" s="68"/>
      <c r="O28" s="68"/>
      <c r="P28" s="70"/>
      <c r="Q28" s="3"/>
      <c r="R28" s="3"/>
      <c r="S28" s="3"/>
      <c r="T28" s="3"/>
      <c r="U28" s="3"/>
      <c r="V28" s="3"/>
      <c r="W28" s="3"/>
      <c r="X28" s="3"/>
    </row>
    <row r="29" spans="1:24" ht="13.8">
      <c r="A29" s="3"/>
      <c r="B29" s="66">
        <v>16</v>
      </c>
      <c r="C29" s="548" t="str">
        <f>IF('INPUT DATA'!L26="","",'INPUT DATA'!L26)</f>
        <v/>
      </c>
      <c r="D29" s="549"/>
      <c r="E29" s="550"/>
      <c r="F29" s="67"/>
      <c r="G29" s="68"/>
      <c r="H29" s="68"/>
      <c r="I29" s="68"/>
      <c r="J29" s="68"/>
      <c r="K29" s="68"/>
      <c r="L29" s="68"/>
      <c r="M29" s="68"/>
      <c r="N29" s="68"/>
      <c r="O29" s="68"/>
      <c r="P29" s="70"/>
      <c r="Q29" s="3"/>
      <c r="R29" s="3"/>
      <c r="S29" s="3"/>
      <c r="T29" s="3"/>
      <c r="U29" s="3"/>
      <c r="V29" s="3"/>
      <c r="W29" s="3"/>
      <c r="X29" s="3"/>
    </row>
    <row r="30" spans="1:24" ht="13.8">
      <c r="A30" s="3"/>
      <c r="B30" s="66">
        <v>17</v>
      </c>
      <c r="C30" s="548" t="str">
        <f>IF('INPUT DATA'!L27="","",'INPUT DATA'!L27)</f>
        <v/>
      </c>
      <c r="D30" s="549"/>
      <c r="E30" s="550"/>
      <c r="F30" s="67"/>
      <c r="G30" s="68"/>
      <c r="H30" s="68"/>
      <c r="I30" s="68"/>
      <c r="J30" s="68"/>
      <c r="K30" s="68"/>
      <c r="L30" s="68"/>
      <c r="M30" s="68"/>
      <c r="N30" s="68"/>
      <c r="O30" s="68"/>
      <c r="P30" s="70"/>
      <c r="Q30" s="3"/>
      <c r="R30" s="3"/>
      <c r="S30" s="3"/>
      <c r="T30" s="3"/>
      <c r="U30" s="3"/>
      <c r="V30" s="3"/>
      <c r="W30" s="3"/>
      <c r="X30" s="3"/>
    </row>
    <row r="31" spans="1:24" ht="13.8">
      <c r="A31" s="3"/>
      <c r="B31" s="66">
        <v>18</v>
      </c>
      <c r="C31" s="548" t="str">
        <f>IF('INPUT DATA'!L28="","",'INPUT DATA'!L28)</f>
        <v/>
      </c>
      <c r="D31" s="549"/>
      <c r="E31" s="550"/>
      <c r="F31" s="67"/>
      <c r="G31" s="68"/>
      <c r="H31" s="68"/>
      <c r="I31" s="68"/>
      <c r="J31" s="68"/>
      <c r="K31" s="68"/>
      <c r="L31" s="68"/>
      <c r="M31" s="68"/>
      <c r="N31" s="68"/>
      <c r="O31" s="68"/>
      <c r="P31" s="70"/>
      <c r="Q31" s="3"/>
      <c r="R31" s="3"/>
      <c r="S31" s="3"/>
      <c r="T31" s="3"/>
      <c r="U31" s="3"/>
      <c r="V31" s="3"/>
      <c r="W31" s="3"/>
      <c r="X31" s="3"/>
    </row>
    <row r="32" spans="1:24" ht="13.8">
      <c r="A32" s="3"/>
      <c r="B32" s="66">
        <v>19</v>
      </c>
      <c r="C32" s="548" t="str">
        <f>IF('INPUT DATA'!L29="","",'INPUT DATA'!L29)</f>
        <v/>
      </c>
      <c r="D32" s="549"/>
      <c r="E32" s="550"/>
      <c r="F32" s="67"/>
      <c r="G32" s="68"/>
      <c r="H32" s="68"/>
      <c r="I32" s="68"/>
      <c r="J32" s="68"/>
      <c r="K32" s="68"/>
      <c r="L32" s="68"/>
      <c r="M32" s="68"/>
      <c r="N32" s="68"/>
      <c r="O32" s="68"/>
      <c r="P32" s="70"/>
      <c r="Q32" s="3"/>
      <c r="R32" s="3"/>
      <c r="S32" s="3"/>
      <c r="T32" s="3"/>
      <c r="U32" s="3"/>
      <c r="V32" s="3"/>
      <c r="W32" s="3"/>
      <c r="X32" s="3"/>
    </row>
    <row r="33" spans="1:24" ht="13.8">
      <c r="A33" s="3"/>
      <c r="B33" s="71">
        <v>20</v>
      </c>
      <c r="C33" s="548" t="str">
        <f>IF('INPUT DATA'!L30="","",'INPUT DATA'!L30)</f>
        <v/>
      </c>
      <c r="D33" s="549"/>
      <c r="E33" s="550"/>
      <c r="F33" s="67"/>
      <c r="G33" s="68"/>
      <c r="H33" s="68"/>
      <c r="I33" s="68"/>
      <c r="J33" s="68"/>
      <c r="K33" s="68"/>
      <c r="L33" s="68"/>
      <c r="M33" s="68"/>
      <c r="N33" s="68"/>
      <c r="O33" s="68"/>
      <c r="P33" s="70"/>
      <c r="Q33" s="3"/>
      <c r="R33" s="3"/>
      <c r="S33" s="3"/>
      <c r="T33" s="3"/>
      <c r="U33" s="3"/>
      <c r="V33" s="3"/>
      <c r="W33" s="3"/>
      <c r="X33" s="3"/>
    </row>
    <row r="34" spans="1:24" ht="13.8">
      <c r="A34" s="3"/>
      <c r="B34" s="72">
        <v>21</v>
      </c>
      <c r="C34" s="548" t="str">
        <f>IF('INPUT DATA'!L31="","",'INPUT DATA'!L31)</f>
        <v/>
      </c>
      <c r="D34" s="549"/>
      <c r="E34" s="550"/>
      <c r="F34" s="67"/>
      <c r="G34" s="68"/>
      <c r="H34" s="68"/>
      <c r="I34" s="68"/>
      <c r="J34" s="68"/>
      <c r="K34" s="68"/>
      <c r="L34" s="68"/>
      <c r="M34" s="68"/>
      <c r="N34" s="68"/>
      <c r="O34" s="68"/>
      <c r="P34" s="70"/>
      <c r="Q34" s="3"/>
      <c r="R34" s="3"/>
      <c r="S34" s="3"/>
      <c r="T34" s="3"/>
      <c r="U34" s="3"/>
      <c r="V34" s="3"/>
      <c r="W34" s="3"/>
      <c r="X34" s="3"/>
    </row>
    <row r="35" spans="1:24" ht="13.8">
      <c r="A35" s="3"/>
      <c r="B35" s="72">
        <v>22</v>
      </c>
      <c r="C35" s="548" t="str">
        <f>IF('INPUT DATA'!L32="","",'INPUT DATA'!L32)</f>
        <v/>
      </c>
      <c r="D35" s="549"/>
      <c r="E35" s="550"/>
      <c r="F35" s="67"/>
      <c r="G35" s="68"/>
      <c r="H35" s="68"/>
      <c r="I35" s="68"/>
      <c r="J35" s="68"/>
      <c r="K35" s="68"/>
      <c r="L35" s="68"/>
      <c r="M35" s="68"/>
      <c r="N35" s="68"/>
      <c r="O35" s="68"/>
      <c r="P35" s="70"/>
      <c r="Q35" s="3"/>
      <c r="R35" s="3"/>
      <c r="S35" s="3"/>
      <c r="T35" s="3"/>
      <c r="U35" s="3"/>
      <c r="V35" s="3"/>
      <c r="W35" s="3"/>
      <c r="X35" s="3"/>
    </row>
    <row r="36" spans="1:24" ht="13.8">
      <c r="A36" s="3"/>
      <c r="B36" s="72">
        <v>23</v>
      </c>
      <c r="C36" s="548" t="str">
        <f>IF('INPUT DATA'!L33="","",'INPUT DATA'!L33)</f>
        <v/>
      </c>
      <c r="D36" s="549"/>
      <c r="E36" s="550"/>
      <c r="F36" s="67"/>
      <c r="G36" s="68"/>
      <c r="H36" s="68"/>
      <c r="I36" s="68"/>
      <c r="J36" s="68"/>
      <c r="K36" s="68"/>
      <c r="L36" s="68"/>
      <c r="M36" s="68"/>
      <c r="N36" s="68"/>
      <c r="O36" s="68"/>
      <c r="P36" s="70"/>
      <c r="Q36" s="3"/>
      <c r="R36" s="3"/>
      <c r="S36" s="3"/>
      <c r="T36" s="3"/>
      <c r="U36" s="3"/>
      <c r="V36" s="3"/>
      <c r="W36" s="3"/>
      <c r="X36" s="3"/>
    </row>
    <row r="37" spans="1:24" ht="13.8">
      <c r="A37" s="3"/>
      <c r="B37" s="72">
        <v>24</v>
      </c>
      <c r="C37" s="548" t="str">
        <f>IF('INPUT DATA'!L34="","",'INPUT DATA'!L34)</f>
        <v/>
      </c>
      <c r="D37" s="549"/>
      <c r="E37" s="550"/>
      <c r="F37" s="67"/>
      <c r="G37" s="68"/>
      <c r="H37" s="68"/>
      <c r="I37" s="68"/>
      <c r="J37" s="68"/>
      <c r="K37" s="68"/>
      <c r="L37" s="68"/>
      <c r="M37" s="68"/>
      <c r="N37" s="68"/>
      <c r="O37" s="68"/>
      <c r="P37" s="70"/>
      <c r="Q37" s="3"/>
      <c r="R37" s="3"/>
      <c r="S37" s="3"/>
      <c r="T37" s="3"/>
      <c r="U37" s="3"/>
      <c r="V37" s="3"/>
      <c r="W37" s="3"/>
      <c r="X37" s="3"/>
    </row>
    <row r="38" spans="1:24" ht="13.8">
      <c r="A38" s="3"/>
      <c r="B38" s="72">
        <v>25</v>
      </c>
      <c r="C38" s="548" t="str">
        <f>IF('INPUT DATA'!L35="","",'INPUT DATA'!L35)</f>
        <v/>
      </c>
      <c r="D38" s="549"/>
      <c r="E38" s="550"/>
      <c r="F38" s="67"/>
      <c r="G38" s="68"/>
      <c r="H38" s="68"/>
      <c r="I38" s="68"/>
      <c r="J38" s="68"/>
      <c r="K38" s="68"/>
      <c r="L38" s="68"/>
      <c r="M38" s="68"/>
      <c r="N38" s="68"/>
      <c r="O38" s="68"/>
      <c r="P38" s="70"/>
      <c r="Q38" s="3"/>
      <c r="R38" s="3"/>
      <c r="S38" s="3"/>
      <c r="T38" s="3"/>
      <c r="U38" s="3"/>
      <c r="V38" s="3"/>
      <c r="W38" s="3"/>
      <c r="X38" s="3"/>
    </row>
    <row r="39" spans="1:24" ht="13.8">
      <c r="A39" s="3"/>
      <c r="B39" s="72">
        <v>26</v>
      </c>
      <c r="C39" s="548" t="str">
        <f>IF('INPUT DATA'!L36="","",'INPUT DATA'!L36)</f>
        <v/>
      </c>
      <c r="D39" s="549"/>
      <c r="E39" s="550"/>
      <c r="F39" s="67"/>
      <c r="G39" s="68"/>
      <c r="H39" s="68"/>
      <c r="I39" s="68"/>
      <c r="J39" s="68"/>
      <c r="K39" s="68"/>
      <c r="L39" s="68"/>
      <c r="M39" s="68"/>
      <c r="N39" s="68"/>
      <c r="O39" s="68"/>
      <c r="P39" s="70"/>
      <c r="Q39" s="3"/>
      <c r="R39" s="3"/>
      <c r="S39" s="3"/>
      <c r="T39" s="3"/>
      <c r="U39" s="3"/>
      <c r="V39" s="3"/>
      <c r="W39" s="3"/>
      <c r="X39" s="3"/>
    </row>
    <row r="40" spans="1:24" ht="13.8">
      <c r="A40" s="3"/>
      <c r="B40" s="72">
        <v>27</v>
      </c>
      <c r="C40" s="548" t="str">
        <f>IF('INPUT DATA'!L37="","",'INPUT DATA'!L37)</f>
        <v/>
      </c>
      <c r="D40" s="549"/>
      <c r="E40" s="550"/>
      <c r="F40" s="67"/>
      <c r="G40" s="68"/>
      <c r="H40" s="68"/>
      <c r="I40" s="68"/>
      <c r="J40" s="68"/>
      <c r="K40" s="68"/>
      <c r="L40" s="68"/>
      <c r="M40" s="68"/>
      <c r="N40" s="68"/>
      <c r="O40" s="68"/>
      <c r="P40" s="70"/>
      <c r="Q40" s="3"/>
      <c r="R40" s="3"/>
      <c r="S40" s="3"/>
      <c r="T40" s="3"/>
      <c r="U40" s="3"/>
      <c r="V40" s="3"/>
      <c r="W40" s="3"/>
      <c r="X40" s="3"/>
    </row>
    <row r="41" spans="1:24" ht="13.8">
      <c r="A41" s="3"/>
      <c r="B41" s="72">
        <v>28</v>
      </c>
      <c r="C41" s="548" t="str">
        <f>IF('INPUT DATA'!L38="","",'INPUT DATA'!L38)</f>
        <v/>
      </c>
      <c r="D41" s="549"/>
      <c r="E41" s="550"/>
      <c r="F41" s="67"/>
      <c r="G41" s="68"/>
      <c r="H41" s="68"/>
      <c r="I41" s="68"/>
      <c r="J41" s="68"/>
      <c r="K41" s="68"/>
      <c r="L41" s="68"/>
      <c r="M41" s="68"/>
      <c r="N41" s="68"/>
      <c r="O41" s="68"/>
      <c r="P41" s="70"/>
      <c r="Q41" s="3"/>
      <c r="R41" s="3"/>
      <c r="S41" s="3"/>
      <c r="T41" s="3"/>
      <c r="U41" s="3"/>
      <c r="V41" s="3"/>
      <c r="W41" s="3"/>
      <c r="X41" s="3"/>
    </row>
    <row r="42" spans="1:24" ht="13.8">
      <c r="A42" s="3"/>
      <c r="B42" s="72">
        <v>29</v>
      </c>
      <c r="C42" s="548" t="str">
        <f>IF('INPUT DATA'!L39="","",'INPUT DATA'!L39)</f>
        <v/>
      </c>
      <c r="D42" s="549"/>
      <c r="E42" s="550"/>
      <c r="F42" s="67"/>
      <c r="G42" s="68"/>
      <c r="H42" s="68"/>
      <c r="I42" s="68"/>
      <c r="J42" s="68"/>
      <c r="K42" s="68"/>
      <c r="L42" s="68"/>
      <c r="M42" s="68"/>
      <c r="N42" s="68"/>
      <c r="O42" s="68"/>
      <c r="P42" s="70"/>
      <c r="Q42" s="3"/>
      <c r="R42" s="3"/>
      <c r="S42" s="3"/>
      <c r="T42" s="3"/>
      <c r="U42" s="3"/>
      <c r="V42" s="3"/>
      <c r="W42" s="3"/>
      <c r="X42" s="3"/>
    </row>
    <row r="43" spans="1:24" ht="13.8">
      <c r="A43" s="3"/>
      <c r="B43" s="72">
        <v>30</v>
      </c>
      <c r="C43" s="548" t="str">
        <f>IF('INPUT DATA'!L40="","",'INPUT DATA'!L40)</f>
        <v/>
      </c>
      <c r="D43" s="549"/>
      <c r="E43" s="550"/>
      <c r="F43" s="67"/>
      <c r="G43" s="68"/>
      <c r="H43" s="68"/>
      <c r="I43" s="68"/>
      <c r="J43" s="68"/>
      <c r="K43" s="68"/>
      <c r="L43" s="68"/>
      <c r="M43" s="68"/>
      <c r="N43" s="68"/>
      <c r="O43" s="68"/>
      <c r="P43" s="70"/>
      <c r="Q43" s="3"/>
      <c r="R43" s="3"/>
      <c r="S43" s="3"/>
      <c r="T43" s="3"/>
      <c r="U43" s="3"/>
      <c r="V43" s="3"/>
      <c r="W43" s="3"/>
      <c r="X43" s="3"/>
    </row>
    <row r="44" spans="1:24" ht="13.8">
      <c r="A44" s="3"/>
      <c r="B44" s="72">
        <v>31</v>
      </c>
      <c r="C44" s="548" t="str">
        <f>IF('INPUT DATA'!L41="","",'INPUT DATA'!L41)</f>
        <v/>
      </c>
      <c r="D44" s="549"/>
      <c r="E44" s="550"/>
      <c r="F44" s="67"/>
      <c r="G44" s="68"/>
      <c r="H44" s="68"/>
      <c r="I44" s="68"/>
      <c r="J44" s="68"/>
      <c r="K44" s="68"/>
      <c r="L44" s="68"/>
      <c r="M44" s="68"/>
      <c r="N44" s="68"/>
      <c r="O44" s="68"/>
      <c r="P44" s="70"/>
      <c r="Q44" s="3"/>
      <c r="R44" s="3"/>
      <c r="S44" s="3"/>
      <c r="T44" s="3"/>
      <c r="U44" s="3"/>
      <c r="V44" s="3"/>
      <c r="W44" s="3"/>
      <c r="X44" s="3"/>
    </row>
    <row r="45" spans="1:24" ht="13.8">
      <c r="A45" s="3"/>
      <c r="B45" s="72">
        <v>32</v>
      </c>
      <c r="C45" s="548" t="str">
        <f>IF('INPUT DATA'!L42="","",'INPUT DATA'!L42)</f>
        <v/>
      </c>
      <c r="D45" s="549"/>
      <c r="E45" s="550"/>
      <c r="F45" s="67"/>
      <c r="G45" s="68"/>
      <c r="H45" s="68"/>
      <c r="I45" s="68"/>
      <c r="J45" s="68"/>
      <c r="K45" s="68"/>
      <c r="L45" s="68"/>
      <c r="M45" s="68"/>
      <c r="N45" s="68"/>
      <c r="O45" s="68"/>
      <c r="P45" s="70"/>
      <c r="Q45" s="3"/>
      <c r="R45" s="3"/>
      <c r="S45" s="3"/>
      <c r="T45" s="3"/>
      <c r="U45" s="3"/>
      <c r="V45" s="3"/>
      <c r="W45" s="3"/>
      <c r="X45" s="3"/>
    </row>
    <row r="46" spans="1:24" ht="13.8">
      <c r="A46" s="3"/>
      <c r="B46" s="72">
        <v>33</v>
      </c>
      <c r="C46" s="548" t="str">
        <f>IF('INPUT DATA'!L43="","",'INPUT DATA'!L43)</f>
        <v/>
      </c>
      <c r="D46" s="549"/>
      <c r="E46" s="550"/>
      <c r="F46" s="67"/>
      <c r="G46" s="68"/>
      <c r="H46" s="68"/>
      <c r="I46" s="68"/>
      <c r="J46" s="68"/>
      <c r="K46" s="68"/>
      <c r="L46" s="68"/>
      <c r="M46" s="68"/>
      <c r="N46" s="68"/>
      <c r="O46" s="68"/>
      <c r="P46" s="70"/>
      <c r="Q46" s="3"/>
      <c r="R46" s="3"/>
      <c r="S46" s="3"/>
      <c r="T46" s="3"/>
      <c r="U46" s="3"/>
      <c r="V46" s="3"/>
      <c r="W46" s="3"/>
      <c r="X46" s="3"/>
    </row>
    <row r="47" spans="1:24" ht="13.8">
      <c r="A47" s="3"/>
      <c r="B47" s="72">
        <v>34</v>
      </c>
      <c r="C47" s="548" t="str">
        <f>IF('INPUT DATA'!L44="","",'INPUT DATA'!L44)</f>
        <v/>
      </c>
      <c r="D47" s="549"/>
      <c r="E47" s="550"/>
      <c r="F47" s="67"/>
      <c r="G47" s="68"/>
      <c r="H47" s="68"/>
      <c r="I47" s="68"/>
      <c r="J47" s="68"/>
      <c r="K47" s="68"/>
      <c r="L47" s="68"/>
      <c r="M47" s="68"/>
      <c r="N47" s="68"/>
      <c r="O47" s="68"/>
      <c r="P47" s="70"/>
      <c r="Q47" s="3"/>
      <c r="R47" s="3"/>
      <c r="S47" s="3"/>
      <c r="T47" s="3"/>
      <c r="U47" s="3"/>
      <c r="V47" s="3"/>
      <c r="W47" s="3"/>
      <c r="X47" s="3"/>
    </row>
    <row r="48" spans="1:24" ht="13.8">
      <c r="A48" s="3"/>
      <c r="B48" s="72">
        <v>35</v>
      </c>
      <c r="C48" s="548" t="str">
        <f>IF('INPUT DATA'!L45="","",'INPUT DATA'!L45)</f>
        <v/>
      </c>
      <c r="D48" s="549"/>
      <c r="E48" s="550"/>
      <c r="F48" s="67"/>
      <c r="G48" s="68"/>
      <c r="H48" s="68"/>
      <c r="I48" s="68"/>
      <c r="J48" s="68"/>
      <c r="K48" s="68"/>
      <c r="L48" s="68"/>
      <c r="M48" s="68"/>
      <c r="N48" s="68"/>
      <c r="O48" s="68"/>
      <c r="P48" s="70"/>
      <c r="Q48" s="3"/>
      <c r="R48" s="3"/>
      <c r="S48" s="3"/>
      <c r="T48" s="3"/>
      <c r="U48" s="3"/>
      <c r="V48" s="3"/>
      <c r="W48" s="3"/>
      <c r="X48" s="3"/>
    </row>
    <row r="49" spans="1:24" ht="13.8">
      <c r="A49" s="3"/>
      <c r="B49" s="72">
        <v>36</v>
      </c>
      <c r="C49" s="548" t="str">
        <f>IF('INPUT DATA'!L46="","",'INPUT DATA'!L46)</f>
        <v/>
      </c>
      <c r="D49" s="549"/>
      <c r="E49" s="550"/>
      <c r="F49" s="67"/>
      <c r="G49" s="68"/>
      <c r="H49" s="68"/>
      <c r="I49" s="68"/>
      <c r="J49" s="68"/>
      <c r="K49" s="68"/>
      <c r="L49" s="68"/>
      <c r="M49" s="68"/>
      <c r="N49" s="68"/>
      <c r="O49" s="68"/>
      <c r="P49" s="70"/>
      <c r="Q49" s="3"/>
      <c r="R49" s="3"/>
      <c r="S49" s="3"/>
      <c r="T49" s="3"/>
      <c r="U49" s="3"/>
      <c r="V49" s="3"/>
      <c r="W49" s="3"/>
      <c r="X49" s="3"/>
    </row>
    <row r="50" spans="1:24" ht="13.8">
      <c r="A50" s="3"/>
      <c r="B50" s="72">
        <v>37</v>
      </c>
      <c r="C50" s="548" t="str">
        <f>IF('INPUT DATA'!L47="","",'INPUT DATA'!L47)</f>
        <v/>
      </c>
      <c r="D50" s="549"/>
      <c r="E50" s="550"/>
      <c r="F50" s="67"/>
      <c r="G50" s="68"/>
      <c r="H50" s="68"/>
      <c r="I50" s="68"/>
      <c r="J50" s="68"/>
      <c r="K50" s="68"/>
      <c r="L50" s="68"/>
      <c r="M50" s="68"/>
      <c r="N50" s="68"/>
      <c r="O50" s="68"/>
      <c r="P50" s="70"/>
      <c r="Q50" s="3"/>
      <c r="R50" s="3"/>
      <c r="S50" s="3"/>
      <c r="T50" s="3"/>
      <c r="U50" s="3"/>
      <c r="V50" s="3"/>
      <c r="W50" s="3"/>
      <c r="X50" s="3"/>
    </row>
    <row r="51" spans="1:24" ht="13.8">
      <c r="A51" s="3"/>
      <c r="B51" s="72">
        <v>38</v>
      </c>
      <c r="C51" s="548" t="str">
        <f>IF('INPUT DATA'!L48="","",'INPUT DATA'!L48)</f>
        <v/>
      </c>
      <c r="D51" s="549"/>
      <c r="E51" s="550"/>
      <c r="F51" s="67"/>
      <c r="G51" s="68"/>
      <c r="H51" s="68"/>
      <c r="I51" s="68"/>
      <c r="J51" s="68"/>
      <c r="K51" s="68"/>
      <c r="L51" s="68"/>
      <c r="M51" s="68"/>
      <c r="N51" s="68"/>
      <c r="O51" s="68"/>
      <c r="P51" s="70"/>
      <c r="Q51" s="3"/>
      <c r="R51" s="3"/>
      <c r="S51" s="3"/>
      <c r="T51" s="3"/>
      <c r="U51" s="3"/>
      <c r="V51" s="3"/>
      <c r="W51" s="3"/>
      <c r="X51" s="3"/>
    </row>
    <row r="52" spans="1:24" ht="13.8">
      <c r="A52" s="3"/>
      <c r="B52" s="72">
        <v>39</v>
      </c>
      <c r="C52" s="548" t="str">
        <f>IF('INPUT DATA'!L49="","",'INPUT DATA'!L49)</f>
        <v/>
      </c>
      <c r="D52" s="549"/>
      <c r="E52" s="550"/>
      <c r="F52" s="67"/>
      <c r="G52" s="68"/>
      <c r="H52" s="68"/>
      <c r="I52" s="68"/>
      <c r="J52" s="68"/>
      <c r="K52" s="68"/>
      <c r="L52" s="68"/>
      <c r="M52" s="68"/>
      <c r="N52" s="68"/>
      <c r="O52" s="68"/>
      <c r="P52" s="70"/>
      <c r="Q52" s="3"/>
      <c r="R52" s="3"/>
      <c r="S52" s="3"/>
      <c r="T52" s="3"/>
      <c r="U52" s="3"/>
      <c r="V52" s="3"/>
      <c r="W52" s="3"/>
      <c r="X52" s="3"/>
    </row>
    <row r="53" spans="1:24" ht="13.8">
      <c r="A53" s="3"/>
      <c r="B53" s="72">
        <v>40</v>
      </c>
      <c r="C53" s="548" t="str">
        <f>IF('INPUT DATA'!L50="","",'INPUT DATA'!L50)</f>
        <v/>
      </c>
      <c r="D53" s="549"/>
      <c r="E53" s="550"/>
      <c r="F53" s="67"/>
      <c r="G53" s="68"/>
      <c r="H53" s="68"/>
      <c r="I53" s="68"/>
      <c r="J53" s="68"/>
      <c r="K53" s="68"/>
      <c r="L53" s="68"/>
      <c r="M53" s="68"/>
      <c r="N53" s="68"/>
      <c r="O53" s="68"/>
      <c r="P53" s="70"/>
      <c r="Q53" s="3"/>
      <c r="R53" s="3"/>
      <c r="S53" s="3"/>
      <c r="T53" s="3"/>
      <c r="U53" s="3"/>
      <c r="V53" s="3"/>
      <c r="W53" s="3"/>
      <c r="X53" s="3"/>
    </row>
    <row r="54" spans="1:24" ht="13.8">
      <c r="A54" s="3"/>
      <c r="B54" s="72">
        <v>41</v>
      </c>
      <c r="C54" s="548" t="str">
        <f>IF('INPUT DATA'!L51="","",'INPUT DATA'!L51)</f>
        <v/>
      </c>
      <c r="D54" s="549"/>
      <c r="E54" s="550"/>
      <c r="F54" s="67"/>
      <c r="G54" s="68"/>
      <c r="H54" s="68"/>
      <c r="I54" s="68"/>
      <c r="J54" s="68"/>
      <c r="K54" s="68"/>
      <c r="L54" s="68"/>
      <c r="M54" s="68"/>
      <c r="N54" s="68"/>
      <c r="O54" s="68"/>
      <c r="P54" s="70"/>
      <c r="Q54" s="3"/>
      <c r="R54" s="3"/>
      <c r="S54" s="3"/>
      <c r="T54" s="3"/>
      <c r="U54" s="3"/>
      <c r="V54" s="3"/>
      <c r="W54" s="3"/>
      <c r="X54" s="3"/>
    </row>
    <row r="55" spans="1:24" ht="13.8">
      <c r="A55" s="3"/>
      <c r="B55" s="72">
        <v>42</v>
      </c>
      <c r="C55" s="548" t="str">
        <f>IF('INPUT DATA'!L52="","",'INPUT DATA'!L52)</f>
        <v/>
      </c>
      <c r="D55" s="549"/>
      <c r="E55" s="550"/>
      <c r="F55" s="67"/>
      <c r="G55" s="68"/>
      <c r="H55" s="68"/>
      <c r="I55" s="68"/>
      <c r="J55" s="68"/>
      <c r="K55" s="68"/>
      <c r="L55" s="68"/>
      <c r="M55" s="68"/>
      <c r="N55" s="68"/>
      <c r="O55" s="68"/>
      <c r="P55" s="70"/>
      <c r="Q55" s="3"/>
      <c r="R55" s="3"/>
      <c r="S55" s="3"/>
      <c r="T55" s="3"/>
      <c r="U55" s="3"/>
      <c r="V55" s="3"/>
      <c r="W55" s="3"/>
      <c r="X55" s="3"/>
    </row>
    <row r="56" spans="1:24" ht="13.8">
      <c r="A56" s="3"/>
      <c r="B56" s="72">
        <v>43</v>
      </c>
      <c r="C56" s="548" t="str">
        <f>IF('INPUT DATA'!L53="","",'INPUT DATA'!L53)</f>
        <v/>
      </c>
      <c r="D56" s="549"/>
      <c r="E56" s="550"/>
      <c r="F56" s="67"/>
      <c r="G56" s="68"/>
      <c r="H56" s="68"/>
      <c r="I56" s="68"/>
      <c r="J56" s="68"/>
      <c r="K56" s="68"/>
      <c r="L56" s="68"/>
      <c r="M56" s="68"/>
      <c r="N56" s="68"/>
      <c r="O56" s="68"/>
      <c r="P56" s="70"/>
      <c r="Q56" s="3"/>
      <c r="R56" s="3"/>
      <c r="S56" s="3"/>
      <c r="T56" s="3"/>
      <c r="U56" s="3"/>
      <c r="V56" s="3"/>
      <c r="W56" s="3"/>
      <c r="X56" s="3"/>
    </row>
    <row r="57" spans="1:24" ht="13.8">
      <c r="A57" s="3"/>
      <c r="B57" s="72">
        <v>44</v>
      </c>
      <c r="C57" s="548" t="str">
        <f>IF('INPUT DATA'!L54="","",'INPUT DATA'!L54)</f>
        <v/>
      </c>
      <c r="D57" s="549"/>
      <c r="E57" s="550"/>
      <c r="F57" s="67"/>
      <c r="G57" s="68"/>
      <c r="H57" s="68"/>
      <c r="I57" s="68"/>
      <c r="J57" s="68"/>
      <c r="K57" s="68"/>
      <c r="L57" s="68"/>
      <c r="M57" s="68"/>
      <c r="N57" s="68"/>
      <c r="O57" s="68"/>
      <c r="P57" s="70"/>
      <c r="Q57" s="3"/>
      <c r="R57" s="3"/>
      <c r="S57" s="3"/>
      <c r="T57" s="3"/>
      <c r="U57" s="3"/>
      <c r="V57" s="3"/>
      <c r="W57" s="3"/>
      <c r="X57" s="3"/>
    </row>
    <row r="58" spans="1:24" ht="13.8">
      <c r="A58" s="3"/>
      <c r="B58" s="72">
        <v>45</v>
      </c>
      <c r="C58" s="548" t="str">
        <f>IF('INPUT DATA'!L55="","",'INPUT DATA'!L55)</f>
        <v/>
      </c>
      <c r="D58" s="549"/>
      <c r="E58" s="550"/>
      <c r="F58" s="67"/>
      <c r="G58" s="68"/>
      <c r="H58" s="68"/>
      <c r="I58" s="68"/>
      <c r="J58" s="68"/>
      <c r="K58" s="68"/>
      <c r="L58" s="68"/>
      <c r="M58" s="68"/>
      <c r="N58" s="68"/>
      <c r="O58" s="68"/>
      <c r="P58" s="70"/>
      <c r="Q58" s="3"/>
      <c r="R58" s="3"/>
      <c r="S58" s="3"/>
      <c r="T58" s="3"/>
      <c r="U58" s="3"/>
      <c r="V58" s="3"/>
      <c r="W58" s="3"/>
      <c r="X58" s="3"/>
    </row>
    <row r="59" spans="1:24" ht="13.8">
      <c r="A59" s="3"/>
      <c r="B59" s="72">
        <v>46</v>
      </c>
      <c r="C59" s="548" t="str">
        <f>IF('INPUT DATA'!L56="","",'INPUT DATA'!L56)</f>
        <v/>
      </c>
      <c r="D59" s="549"/>
      <c r="E59" s="550"/>
      <c r="F59" s="67"/>
      <c r="G59" s="68"/>
      <c r="H59" s="68"/>
      <c r="I59" s="68"/>
      <c r="J59" s="68"/>
      <c r="K59" s="68"/>
      <c r="L59" s="68"/>
      <c r="M59" s="68"/>
      <c r="N59" s="68"/>
      <c r="O59" s="68"/>
      <c r="P59" s="70"/>
      <c r="Q59" s="3"/>
      <c r="R59" s="3"/>
      <c r="S59" s="3"/>
      <c r="T59" s="3"/>
      <c r="U59" s="3"/>
      <c r="V59" s="3"/>
      <c r="W59" s="3"/>
      <c r="X59" s="3"/>
    </row>
    <row r="60" spans="1:24" ht="13.8">
      <c r="A60" s="3"/>
      <c r="B60" s="72">
        <v>47</v>
      </c>
      <c r="C60" s="548" t="str">
        <f>IF('INPUT DATA'!L57="","",'INPUT DATA'!L57)</f>
        <v/>
      </c>
      <c r="D60" s="549"/>
      <c r="E60" s="550"/>
      <c r="F60" s="67"/>
      <c r="G60" s="68"/>
      <c r="H60" s="68"/>
      <c r="I60" s="68"/>
      <c r="J60" s="68"/>
      <c r="K60" s="68"/>
      <c r="L60" s="68"/>
      <c r="M60" s="68"/>
      <c r="N60" s="68"/>
      <c r="O60" s="68"/>
      <c r="P60" s="70"/>
      <c r="Q60" s="3"/>
      <c r="R60" s="3"/>
      <c r="S60" s="3"/>
      <c r="T60" s="3"/>
      <c r="U60" s="3"/>
      <c r="V60" s="3"/>
      <c r="W60" s="3"/>
      <c r="X60" s="3"/>
    </row>
    <row r="61" spans="1:24" ht="13.8">
      <c r="A61" s="3"/>
      <c r="B61" s="72">
        <v>48</v>
      </c>
      <c r="C61" s="548" t="str">
        <f>IF('INPUT DATA'!L58="","",'INPUT DATA'!L58)</f>
        <v/>
      </c>
      <c r="D61" s="549"/>
      <c r="E61" s="550"/>
      <c r="F61" s="67"/>
      <c r="G61" s="68"/>
      <c r="H61" s="68"/>
      <c r="I61" s="68"/>
      <c r="J61" s="68"/>
      <c r="K61" s="68"/>
      <c r="L61" s="68"/>
      <c r="M61" s="68"/>
      <c r="N61" s="68"/>
      <c r="O61" s="68"/>
      <c r="P61" s="70"/>
      <c r="Q61" s="3"/>
      <c r="R61" s="3"/>
      <c r="S61" s="3"/>
      <c r="T61" s="3"/>
      <c r="U61" s="3"/>
      <c r="V61" s="3"/>
      <c r="W61" s="3"/>
      <c r="X61" s="3"/>
    </row>
    <row r="62" spans="1:24" ht="13.8">
      <c r="A62" s="3"/>
      <c r="B62" s="72">
        <v>49</v>
      </c>
      <c r="C62" s="548" t="str">
        <f>IF('INPUT DATA'!L59="","",'INPUT DATA'!L59)</f>
        <v/>
      </c>
      <c r="D62" s="549"/>
      <c r="E62" s="550"/>
      <c r="F62" s="67"/>
      <c r="G62" s="68"/>
      <c r="H62" s="68"/>
      <c r="I62" s="68"/>
      <c r="J62" s="68"/>
      <c r="K62" s="68"/>
      <c r="L62" s="68"/>
      <c r="M62" s="68"/>
      <c r="N62" s="68"/>
      <c r="O62" s="68"/>
      <c r="P62" s="70"/>
      <c r="Q62" s="3"/>
      <c r="R62" s="3"/>
      <c r="S62" s="3"/>
      <c r="T62" s="3"/>
      <c r="U62" s="3"/>
      <c r="V62" s="3"/>
      <c r="W62" s="3"/>
      <c r="X62" s="3"/>
    </row>
    <row r="63" spans="1:24" ht="13.8">
      <c r="A63" s="3"/>
      <c r="B63" s="72">
        <v>50</v>
      </c>
      <c r="C63" s="548" t="str">
        <f>IF('INPUT DATA'!L60="","",'INPUT DATA'!L60)</f>
        <v/>
      </c>
      <c r="D63" s="549"/>
      <c r="E63" s="550"/>
      <c r="F63" s="73"/>
      <c r="G63" s="74"/>
      <c r="H63" s="74"/>
      <c r="I63" s="74"/>
      <c r="J63" s="74"/>
      <c r="K63" s="74"/>
      <c r="L63" s="74"/>
      <c r="M63" s="74"/>
      <c r="N63" s="74"/>
      <c r="O63" s="74"/>
      <c r="P63" s="75"/>
      <c r="Q63" s="3"/>
      <c r="R63" s="3"/>
      <c r="S63" s="3"/>
      <c r="T63" s="3"/>
      <c r="U63" s="3"/>
      <c r="V63" s="3"/>
      <c r="W63" s="3"/>
      <c r="X63" s="3"/>
    </row>
    <row r="64" spans="1:24" ht="13.2">
      <c r="A64" s="3"/>
      <c r="B64" s="61" t="s">
        <v>14</v>
      </c>
      <c r="C64" s="76"/>
      <c r="D64" s="76"/>
      <c r="E64" s="551"/>
      <c r="F64" s="410"/>
      <c r="G64" s="410"/>
      <c r="H64" s="410"/>
      <c r="I64" s="410"/>
      <c r="J64" s="410"/>
      <c r="K64" s="410"/>
      <c r="L64" s="410"/>
      <c r="M64" s="410"/>
      <c r="N64" s="410"/>
      <c r="O64" s="410"/>
      <c r="P64" s="414"/>
      <c r="Q64" s="3"/>
      <c r="R64" s="3"/>
      <c r="S64" s="3"/>
      <c r="T64" s="3"/>
      <c r="U64" s="3"/>
      <c r="V64" s="3"/>
      <c r="W64" s="3"/>
      <c r="X64" s="3"/>
    </row>
    <row r="65" spans="1:24" ht="13.8">
      <c r="A65" s="3"/>
      <c r="B65" s="62">
        <v>1</v>
      </c>
      <c r="C65" s="548" t="str">
        <f>IF('INPUT DATA'!Q11="","",'INPUT DATA'!Q11)</f>
        <v/>
      </c>
      <c r="D65" s="549"/>
      <c r="E65" s="550"/>
      <c r="F65" s="68">
        <v>15</v>
      </c>
      <c r="G65" s="68">
        <v>20</v>
      </c>
      <c r="H65" s="68">
        <v>20</v>
      </c>
      <c r="I65" s="68">
        <v>20</v>
      </c>
      <c r="J65" s="68">
        <v>17</v>
      </c>
      <c r="K65" s="68">
        <v>20</v>
      </c>
      <c r="L65" s="68">
        <v>20</v>
      </c>
      <c r="M65" s="68">
        <v>18</v>
      </c>
      <c r="N65" s="68">
        <v>18</v>
      </c>
      <c r="O65" s="68">
        <v>20</v>
      </c>
      <c r="P65" s="69">
        <v>2</v>
      </c>
      <c r="Q65" s="3"/>
      <c r="R65" s="3"/>
      <c r="S65" s="3"/>
      <c r="T65" s="3"/>
      <c r="U65" s="3"/>
      <c r="V65" s="3"/>
      <c r="W65" s="3"/>
      <c r="X65" s="3"/>
    </row>
    <row r="66" spans="1:24" ht="13.8">
      <c r="A66" s="3"/>
      <c r="B66" s="66">
        <v>2</v>
      </c>
      <c r="C66" s="548" t="str">
        <f>IF('INPUT DATA'!Q12="","",'INPUT DATA'!Q12)</f>
        <v/>
      </c>
      <c r="D66" s="549"/>
      <c r="E66" s="550"/>
      <c r="F66" s="68">
        <v>20</v>
      </c>
      <c r="G66" s="68">
        <v>16</v>
      </c>
      <c r="H66" s="68">
        <v>20</v>
      </c>
      <c r="I66" s="68">
        <v>19</v>
      </c>
      <c r="J66" s="68">
        <v>20</v>
      </c>
      <c r="K66" s="68">
        <v>20</v>
      </c>
      <c r="L66" s="68">
        <v>20</v>
      </c>
      <c r="M66" s="68">
        <v>18</v>
      </c>
      <c r="N66" s="68">
        <v>18</v>
      </c>
      <c r="O66" s="68">
        <v>20</v>
      </c>
      <c r="P66" s="69">
        <v>5</v>
      </c>
      <c r="Q66" s="3"/>
      <c r="R66" s="3"/>
      <c r="S66" s="3"/>
      <c r="T66" s="3"/>
      <c r="U66" s="3"/>
      <c r="V66" s="3"/>
      <c r="W66" s="3"/>
      <c r="X66" s="3"/>
    </row>
    <row r="67" spans="1:24" ht="13.8">
      <c r="A67" s="3"/>
      <c r="B67" s="66">
        <v>3</v>
      </c>
      <c r="C67" s="548" t="str">
        <f>IF('INPUT DATA'!Q13="","",'INPUT DATA'!Q13)</f>
        <v/>
      </c>
      <c r="D67" s="549"/>
      <c r="E67" s="550"/>
      <c r="F67" s="68">
        <v>18</v>
      </c>
      <c r="G67" s="68">
        <v>20</v>
      </c>
      <c r="H67" s="68">
        <v>20</v>
      </c>
      <c r="I67" s="68">
        <v>20</v>
      </c>
      <c r="J67" s="68">
        <v>20</v>
      </c>
      <c r="K67" s="68">
        <v>19</v>
      </c>
      <c r="L67" s="68">
        <v>20</v>
      </c>
      <c r="M67" s="68">
        <v>18</v>
      </c>
      <c r="N67" s="68">
        <v>18</v>
      </c>
      <c r="O67" s="68">
        <v>20</v>
      </c>
      <c r="P67" s="69">
        <v>3</v>
      </c>
      <c r="Q67" s="3"/>
      <c r="R67" s="3"/>
      <c r="S67" s="3"/>
      <c r="T67" s="3"/>
      <c r="U67" s="3"/>
      <c r="V67" s="3"/>
      <c r="W67" s="3"/>
      <c r="X67" s="3"/>
    </row>
    <row r="68" spans="1:24" ht="13.8">
      <c r="A68" s="3"/>
      <c r="B68" s="66">
        <v>4</v>
      </c>
      <c r="C68" s="548" t="str">
        <f>IF('INPUT DATA'!Q14="","",'INPUT DATA'!Q14)</f>
        <v/>
      </c>
      <c r="D68" s="549"/>
      <c r="E68" s="550"/>
      <c r="F68" s="67"/>
      <c r="G68" s="68"/>
      <c r="H68" s="68"/>
      <c r="I68" s="68"/>
      <c r="J68" s="68"/>
      <c r="K68" s="68"/>
      <c r="L68" s="68"/>
      <c r="M68" s="68"/>
      <c r="N68" s="68"/>
      <c r="O68" s="68"/>
      <c r="P68" s="70"/>
      <c r="Q68" s="3"/>
      <c r="R68" s="3"/>
      <c r="S68" s="3"/>
      <c r="T68" s="3"/>
      <c r="U68" s="3"/>
      <c r="V68" s="3"/>
      <c r="W68" s="3"/>
      <c r="X68" s="3"/>
    </row>
    <row r="69" spans="1:24" ht="13.8">
      <c r="A69" s="3"/>
      <c r="B69" s="66">
        <v>5</v>
      </c>
      <c r="C69" s="548" t="str">
        <f>IF('INPUT DATA'!Q15="","",'INPUT DATA'!Q15)</f>
        <v/>
      </c>
      <c r="D69" s="549"/>
      <c r="E69" s="550"/>
      <c r="F69" s="67"/>
      <c r="G69" s="68"/>
      <c r="H69" s="68"/>
      <c r="I69" s="68"/>
      <c r="J69" s="68"/>
      <c r="K69" s="68"/>
      <c r="L69" s="68"/>
      <c r="M69" s="68"/>
      <c r="N69" s="68"/>
      <c r="O69" s="68"/>
      <c r="P69" s="70"/>
      <c r="Q69" s="3"/>
      <c r="R69" s="3"/>
      <c r="S69" s="3"/>
      <c r="T69" s="3"/>
      <c r="U69" s="3"/>
      <c r="V69" s="3"/>
      <c r="W69" s="3"/>
      <c r="X69" s="3"/>
    </row>
    <row r="70" spans="1:24" ht="13.8">
      <c r="A70" s="3"/>
      <c r="B70" s="66">
        <v>6</v>
      </c>
      <c r="C70" s="548" t="str">
        <f>IF('INPUT DATA'!Q16="","",'INPUT DATA'!Q16)</f>
        <v/>
      </c>
      <c r="D70" s="549"/>
      <c r="E70" s="550"/>
      <c r="F70" s="67"/>
      <c r="G70" s="68"/>
      <c r="H70" s="68"/>
      <c r="I70" s="68"/>
      <c r="J70" s="68"/>
      <c r="K70" s="68"/>
      <c r="L70" s="68"/>
      <c r="M70" s="68"/>
      <c r="N70" s="68"/>
      <c r="O70" s="68"/>
      <c r="P70" s="70"/>
      <c r="Q70" s="3"/>
      <c r="R70" s="3"/>
      <c r="S70" s="3"/>
      <c r="T70" s="3"/>
      <c r="U70" s="3"/>
      <c r="V70" s="3"/>
      <c r="W70" s="3"/>
      <c r="X70" s="3"/>
    </row>
    <row r="71" spans="1:24" ht="13.8">
      <c r="A71" s="3"/>
      <c r="B71" s="66">
        <v>7</v>
      </c>
      <c r="C71" s="548" t="str">
        <f>IF('INPUT DATA'!Q17="","",'INPUT DATA'!Q17)</f>
        <v/>
      </c>
      <c r="D71" s="549"/>
      <c r="E71" s="550"/>
      <c r="F71" s="67"/>
      <c r="G71" s="68"/>
      <c r="H71" s="68"/>
      <c r="I71" s="68"/>
      <c r="J71" s="68"/>
      <c r="K71" s="68"/>
      <c r="L71" s="68"/>
      <c r="M71" s="68"/>
      <c r="N71" s="68"/>
      <c r="O71" s="68"/>
      <c r="P71" s="70"/>
      <c r="Q71" s="3"/>
      <c r="R71" s="3"/>
      <c r="S71" s="3"/>
      <c r="T71" s="3"/>
      <c r="U71" s="3"/>
      <c r="V71" s="3"/>
      <c r="W71" s="3"/>
      <c r="X71" s="3"/>
    </row>
    <row r="72" spans="1:24" ht="13.8">
      <c r="A72" s="3"/>
      <c r="B72" s="66">
        <v>8</v>
      </c>
      <c r="C72" s="548" t="str">
        <f>IF('INPUT DATA'!Q18="","",'INPUT DATA'!Q18)</f>
        <v/>
      </c>
      <c r="D72" s="549"/>
      <c r="E72" s="550"/>
      <c r="F72" s="67"/>
      <c r="G72" s="68"/>
      <c r="H72" s="68"/>
      <c r="I72" s="68"/>
      <c r="J72" s="68"/>
      <c r="K72" s="68"/>
      <c r="L72" s="68"/>
      <c r="M72" s="68"/>
      <c r="N72" s="68"/>
      <c r="O72" s="68"/>
      <c r="P72" s="70"/>
      <c r="Q72" s="3"/>
      <c r="R72" s="3"/>
      <c r="S72" s="3"/>
      <c r="T72" s="3"/>
      <c r="U72" s="3"/>
      <c r="V72" s="3"/>
      <c r="W72" s="3"/>
      <c r="X72" s="3"/>
    </row>
    <row r="73" spans="1:24" ht="13.8">
      <c r="A73" s="3"/>
      <c r="B73" s="66">
        <v>9</v>
      </c>
      <c r="C73" s="548" t="str">
        <f>IF('INPUT DATA'!Q19="","",'INPUT DATA'!Q19)</f>
        <v/>
      </c>
      <c r="D73" s="549"/>
      <c r="E73" s="550"/>
      <c r="F73" s="67"/>
      <c r="G73" s="68"/>
      <c r="H73" s="68"/>
      <c r="I73" s="68"/>
      <c r="J73" s="68"/>
      <c r="K73" s="68"/>
      <c r="L73" s="68"/>
      <c r="M73" s="68"/>
      <c r="N73" s="68"/>
      <c r="O73" s="68"/>
      <c r="P73" s="70"/>
      <c r="Q73" s="3"/>
      <c r="R73" s="3"/>
      <c r="S73" s="3"/>
      <c r="T73" s="3"/>
      <c r="U73" s="3"/>
      <c r="V73" s="3"/>
      <c r="W73" s="3"/>
      <c r="X73" s="3"/>
    </row>
    <row r="74" spans="1:24" ht="13.8">
      <c r="A74" s="3"/>
      <c r="B74" s="66">
        <v>10</v>
      </c>
      <c r="C74" s="548" t="str">
        <f>IF('INPUT DATA'!Q20="","",'INPUT DATA'!Q20)</f>
        <v/>
      </c>
      <c r="D74" s="549"/>
      <c r="E74" s="550"/>
      <c r="F74" s="67"/>
      <c r="G74" s="68"/>
      <c r="H74" s="68"/>
      <c r="I74" s="68"/>
      <c r="J74" s="68"/>
      <c r="K74" s="68"/>
      <c r="L74" s="68"/>
      <c r="M74" s="68"/>
      <c r="N74" s="68"/>
      <c r="O74" s="68"/>
      <c r="P74" s="70"/>
      <c r="Q74" s="3"/>
      <c r="R74" s="3"/>
      <c r="S74" s="3"/>
      <c r="T74" s="3"/>
      <c r="U74" s="3"/>
      <c r="V74" s="3"/>
      <c r="W74" s="3"/>
      <c r="X74" s="3"/>
    </row>
    <row r="75" spans="1:24" ht="13.8">
      <c r="A75" s="3"/>
      <c r="B75" s="66">
        <v>11</v>
      </c>
      <c r="C75" s="548" t="str">
        <f>IF('INPUT DATA'!Q21="","",'INPUT DATA'!Q21)</f>
        <v/>
      </c>
      <c r="D75" s="549"/>
      <c r="E75" s="550"/>
      <c r="F75" s="67"/>
      <c r="G75" s="68"/>
      <c r="H75" s="68"/>
      <c r="I75" s="68"/>
      <c r="J75" s="68"/>
      <c r="K75" s="68"/>
      <c r="L75" s="68"/>
      <c r="M75" s="68"/>
      <c r="N75" s="68"/>
      <c r="O75" s="68"/>
      <c r="P75" s="70"/>
      <c r="Q75" s="3"/>
      <c r="R75" s="3"/>
      <c r="S75" s="3"/>
      <c r="T75" s="3"/>
      <c r="U75" s="3"/>
      <c r="V75" s="3"/>
      <c r="W75" s="3"/>
      <c r="X75" s="3"/>
    </row>
    <row r="76" spans="1:24" ht="13.8">
      <c r="A76" s="3"/>
      <c r="B76" s="66">
        <v>12</v>
      </c>
      <c r="C76" s="548" t="str">
        <f>IF('INPUT DATA'!Q22="","",'INPUT DATA'!Q22)</f>
        <v/>
      </c>
      <c r="D76" s="549"/>
      <c r="E76" s="550"/>
      <c r="F76" s="67"/>
      <c r="G76" s="68"/>
      <c r="H76" s="68"/>
      <c r="I76" s="68"/>
      <c r="J76" s="68"/>
      <c r="K76" s="68"/>
      <c r="L76" s="68"/>
      <c r="M76" s="68"/>
      <c r="N76" s="68"/>
      <c r="O76" s="68"/>
      <c r="P76" s="70"/>
      <c r="Q76" s="3"/>
      <c r="R76" s="3"/>
      <c r="S76" s="3"/>
      <c r="T76" s="3"/>
      <c r="U76" s="3"/>
      <c r="V76" s="3"/>
      <c r="W76" s="3"/>
      <c r="X76" s="3"/>
    </row>
    <row r="77" spans="1:24" ht="13.8">
      <c r="A77" s="3"/>
      <c r="B77" s="66">
        <v>13</v>
      </c>
      <c r="C77" s="548" t="str">
        <f>IF('INPUT DATA'!Q23="","",'INPUT DATA'!Q23)</f>
        <v/>
      </c>
      <c r="D77" s="549"/>
      <c r="E77" s="550"/>
      <c r="F77" s="67"/>
      <c r="G77" s="68"/>
      <c r="H77" s="68"/>
      <c r="I77" s="68"/>
      <c r="J77" s="68"/>
      <c r="K77" s="68"/>
      <c r="L77" s="68"/>
      <c r="M77" s="68"/>
      <c r="N77" s="68"/>
      <c r="O77" s="68"/>
      <c r="P77" s="70"/>
      <c r="Q77" s="3"/>
      <c r="R77" s="3"/>
      <c r="S77" s="3"/>
      <c r="T77" s="3"/>
      <c r="U77" s="3"/>
      <c r="V77" s="3"/>
      <c r="W77" s="3"/>
      <c r="X77" s="3"/>
    </row>
    <row r="78" spans="1:24" ht="13.8">
      <c r="A78" s="3"/>
      <c r="B78" s="66">
        <v>14</v>
      </c>
      <c r="C78" s="548" t="str">
        <f>IF('INPUT DATA'!Q24="","",'INPUT DATA'!Q24)</f>
        <v/>
      </c>
      <c r="D78" s="549"/>
      <c r="E78" s="550"/>
      <c r="F78" s="67"/>
      <c r="G78" s="68"/>
      <c r="H78" s="68"/>
      <c r="I78" s="68"/>
      <c r="J78" s="68"/>
      <c r="K78" s="68"/>
      <c r="L78" s="68"/>
      <c r="M78" s="68"/>
      <c r="N78" s="68"/>
      <c r="O78" s="68"/>
      <c r="P78" s="70"/>
      <c r="Q78" s="3"/>
      <c r="R78" s="3"/>
      <c r="S78" s="3"/>
      <c r="T78" s="3"/>
      <c r="U78" s="3"/>
      <c r="V78" s="3"/>
      <c r="W78" s="3"/>
      <c r="X78" s="3"/>
    </row>
    <row r="79" spans="1:24" ht="13.8">
      <c r="A79" s="3"/>
      <c r="B79" s="66">
        <v>15</v>
      </c>
      <c r="C79" s="548" t="str">
        <f>IF('INPUT DATA'!Q25="","",'INPUT DATA'!Q25)</f>
        <v/>
      </c>
      <c r="D79" s="549"/>
      <c r="E79" s="550"/>
      <c r="F79" s="67"/>
      <c r="G79" s="68"/>
      <c r="H79" s="68"/>
      <c r="I79" s="68"/>
      <c r="J79" s="68"/>
      <c r="K79" s="68"/>
      <c r="L79" s="68"/>
      <c r="M79" s="68"/>
      <c r="N79" s="68"/>
      <c r="O79" s="68"/>
      <c r="P79" s="70"/>
      <c r="Q79" s="3"/>
      <c r="R79" s="3"/>
      <c r="S79" s="3"/>
      <c r="T79" s="3"/>
      <c r="U79" s="3"/>
      <c r="V79" s="3"/>
      <c r="W79" s="3"/>
      <c r="X79" s="3"/>
    </row>
    <row r="80" spans="1:24" ht="13.8">
      <c r="A80" s="3"/>
      <c r="B80" s="66">
        <v>16</v>
      </c>
      <c r="C80" s="548" t="str">
        <f>IF('INPUT DATA'!Q26="","",'INPUT DATA'!Q26)</f>
        <v/>
      </c>
      <c r="D80" s="549"/>
      <c r="E80" s="550"/>
      <c r="F80" s="67"/>
      <c r="G80" s="68"/>
      <c r="H80" s="68"/>
      <c r="I80" s="68"/>
      <c r="J80" s="68"/>
      <c r="K80" s="68"/>
      <c r="L80" s="68"/>
      <c r="M80" s="68"/>
      <c r="N80" s="68"/>
      <c r="O80" s="68"/>
      <c r="P80" s="70"/>
      <c r="Q80" s="3"/>
      <c r="R80" s="3"/>
      <c r="S80" s="3"/>
      <c r="T80" s="3"/>
      <c r="U80" s="3"/>
      <c r="V80" s="3"/>
      <c r="W80" s="3"/>
      <c r="X80" s="3"/>
    </row>
    <row r="81" spans="1:24" ht="13.8">
      <c r="A81" s="3"/>
      <c r="B81" s="66">
        <v>17</v>
      </c>
      <c r="C81" s="548" t="str">
        <f>IF('INPUT DATA'!Q27="","",'INPUT DATA'!Q27)</f>
        <v/>
      </c>
      <c r="D81" s="549"/>
      <c r="E81" s="550"/>
      <c r="F81" s="67"/>
      <c r="G81" s="68"/>
      <c r="H81" s="68"/>
      <c r="I81" s="68"/>
      <c r="J81" s="68"/>
      <c r="K81" s="68"/>
      <c r="L81" s="68"/>
      <c r="M81" s="68"/>
      <c r="N81" s="68"/>
      <c r="O81" s="68"/>
      <c r="P81" s="70"/>
      <c r="Q81" s="3"/>
      <c r="R81" s="3"/>
      <c r="S81" s="3"/>
      <c r="T81" s="3"/>
      <c r="U81" s="3"/>
      <c r="V81" s="3"/>
      <c r="W81" s="3"/>
      <c r="X81" s="3"/>
    </row>
    <row r="82" spans="1:24" ht="13.8">
      <c r="A82" s="3"/>
      <c r="B82" s="66">
        <v>18</v>
      </c>
      <c r="C82" s="548" t="str">
        <f>IF('INPUT DATA'!Q28="","",'INPUT DATA'!Q28)</f>
        <v/>
      </c>
      <c r="D82" s="549"/>
      <c r="E82" s="550"/>
      <c r="F82" s="67"/>
      <c r="G82" s="68"/>
      <c r="H82" s="68"/>
      <c r="I82" s="68"/>
      <c r="J82" s="68"/>
      <c r="K82" s="68"/>
      <c r="L82" s="68"/>
      <c r="M82" s="68"/>
      <c r="N82" s="68"/>
      <c r="O82" s="68"/>
      <c r="P82" s="70"/>
      <c r="Q82" s="3"/>
      <c r="R82" s="3"/>
      <c r="S82" s="3"/>
      <c r="T82" s="3"/>
      <c r="U82" s="3"/>
      <c r="V82" s="3"/>
      <c r="W82" s="3"/>
      <c r="X82" s="3"/>
    </row>
    <row r="83" spans="1:24" ht="13.8">
      <c r="A83" s="3"/>
      <c r="B83" s="66">
        <v>19</v>
      </c>
      <c r="C83" s="548" t="str">
        <f>IF('INPUT DATA'!Q29="","",'INPUT DATA'!Q29)</f>
        <v/>
      </c>
      <c r="D83" s="549"/>
      <c r="E83" s="550"/>
      <c r="F83" s="67"/>
      <c r="G83" s="68"/>
      <c r="H83" s="68"/>
      <c r="I83" s="68"/>
      <c r="J83" s="68"/>
      <c r="K83" s="68"/>
      <c r="L83" s="68"/>
      <c r="M83" s="68"/>
      <c r="N83" s="68"/>
      <c r="O83" s="68"/>
      <c r="P83" s="70"/>
      <c r="Q83" s="3"/>
      <c r="R83" s="3"/>
      <c r="S83" s="3"/>
      <c r="T83" s="3"/>
      <c r="U83" s="3"/>
      <c r="V83" s="3"/>
      <c r="W83" s="3"/>
      <c r="X83" s="3"/>
    </row>
    <row r="84" spans="1:24" ht="13.8">
      <c r="A84" s="3"/>
      <c r="B84" s="71">
        <v>20</v>
      </c>
      <c r="C84" s="548" t="str">
        <f>IF('INPUT DATA'!Q30="","",'INPUT DATA'!Q30)</f>
        <v/>
      </c>
      <c r="D84" s="549"/>
      <c r="E84" s="550"/>
      <c r="F84" s="67"/>
      <c r="G84" s="68"/>
      <c r="H84" s="68"/>
      <c r="I84" s="68"/>
      <c r="J84" s="68"/>
      <c r="K84" s="68"/>
      <c r="L84" s="68"/>
      <c r="M84" s="68"/>
      <c r="N84" s="68"/>
      <c r="O84" s="68"/>
      <c r="P84" s="70"/>
      <c r="Q84" s="3"/>
      <c r="R84" s="3"/>
      <c r="S84" s="3"/>
      <c r="T84" s="3"/>
      <c r="U84" s="3"/>
      <c r="V84" s="3"/>
      <c r="W84" s="3"/>
      <c r="X84" s="3"/>
    </row>
    <row r="85" spans="1:24" ht="13.8">
      <c r="A85" s="3"/>
      <c r="B85" s="72">
        <v>21</v>
      </c>
      <c r="C85" s="548" t="str">
        <f>IF('INPUT DATA'!Q31="","",'INPUT DATA'!Q31)</f>
        <v/>
      </c>
      <c r="D85" s="549"/>
      <c r="E85" s="550"/>
      <c r="F85" s="67"/>
      <c r="G85" s="68"/>
      <c r="H85" s="68"/>
      <c r="I85" s="68"/>
      <c r="J85" s="68"/>
      <c r="K85" s="68"/>
      <c r="L85" s="68"/>
      <c r="M85" s="68"/>
      <c r="N85" s="68"/>
      <c r="O85" s="68"/>
      <c r="P85" s="70"/>
      <c r="Q85" s="3"/>
      <c r="R85" s="3"/>
      <c r="S85" s="3"/>
      <c r="T85" s="3"/>
      <c r="U85" s="3"/>
      <c r="V85" s="3"/>
      <c r="W85" s="3"/>
      <c r="X85" s="3"/>
    </row>
    <row r="86" spans="1:24" ht="13.8">
      <c r="A86" s="3"/>
      <c r="B86" s="72">
        <v>22</v>
      </c>
      <c r="C86" s="548" t="str">
        <f>IF('INPUT DATA'!Q32="","",'INPUT DATA'!Q32)</f>
        <v/>
      </c>
      <c r="D86" s="549"/>
      <c r="E86" s="550"/>
      <c r="F86" s="67"/>
      <c r="G86" s="68"/>
      <c r="H86" s="68"/>
      <c r="I86" s="68"/>
      <c r="J86" s="68"/>
      <c r="K86" s="68"/>
      <c r="L86" s="68"/>
      <c r="M86" s="68"/>
      <c r="N86" s="68"/>
      <c r="O86" s="68"/>
      <c r="P86" s="70"/>
      <c r="Q86" s="3"/>
      <c r="R86" s="3"/>
      <c r="S86" s="3"/>
      <c r="T86" s="3"/>
      <c r="U86" s="3"/>
      <c r="V86" s="3"/>
      <c r="W86" s="3"/>
      <c r="X86" s="3"/>
    </row>
    <row r="87" spans="1:24" ht="13.8">
      <c r="A87" s="3"/>
      <c r="B87" s="72">
        <v>23</v>
      </c>
      <c r="C87" s="548" t="str">
        <f>IF('INPUT DATA'!Q33="","",'INPUT DATA'!Q33)</f>
        <v/>
      </c>
      <c r="D87" s="549"/>
      <c r="E87" s="550"/>
      <c r="F87" s="67"/>
      <c r="G87" s="68"/>
      <c r="H87" s="68"/>
      <c r="I87" s="68"/>
      <c r="J87" s="68"/>
      <c r="K87" s="68"/>
      <c r="L87" s="68"/>
      <c r="M87" s="68"/>
      <c r="N87" s="68"/>
      <c r="O87" s="68"/>
      <c r="P87" s="70"/>
      <c r="Q87" s="3"/>
      <c r="R87" s="3"/>
      <c r="S87" s="3"/>
      <c r="T87" s="3"/>
      <c r="U87" s="3"/>
      <c r="V87" s="3"/>
      <c r="W87" s="3"/>
      <c r="X87" s="3"/>
    </row>
    <row r="88" spans="1:24" ht="13.8">
      <c r="A88" s="3"/>
      <c r="B88" s="72">
        <v>24</v>
      </c>
      <c r="C88" s="548" t="str">
        <f>IF('INPUT DATA'!Q34="","",'INPUT DATA'!Q34)</f>
        <v/>
      </c>
      <c r="D88" s="549"/>
      <c r="E88" s="550"/>
      <c r="F88" s="67"/>
      <c r="G88" s="68"/>
      <c r="H88" s="68"/>
      <c r="I88" s="68"/>
      <c r="J88" s="68"/>
      <c r="K88" s="68"/>
      <c r="L88" s="68"/>
      <c r="M88" s="68"/>
      <c r="N88" s="68"/>
      <c r="O88" s="68"/>
      <c r="P88" s="70"/>
      <c r="Q88" s="3"/>
      <c r="R88" s="3"/>
      <c r="S88" s="3"/>
      <c r="T88" s="3"/>
      <c r="U88" s="3"/>
      <c r="V88" s="3"/>
      <c r="W88" s="3"/>
      <c r="X88" s="3"/>
    </row>
    <row r="89" spans="1:24" ht="13.8">
      <c r="A89" s="3"/>
      <c r="B89" s="72">
        <v>25</v>
      </c>
      <c r="C89" s="548" t="str">
        <f>IF('INPUT DATA'!Q35="","",'INPUT DATA'!Q35)</f>
        <v/>
      </c>
      <c r="D89" s="549"/>
      <c r="E89" s="550"/>
      <c r="F89" s="67"/>
      <c r="G89" s="68"/>
      <c r="H89" s="68"/>
      <c r="I89" s="68"/>
      <c r="J89" s="68"/>
      <c r="K89" s="68"/>
      <c r="L89" s="68"/>
      <c r="M89" s="68"/>
      <c r="N89" s="68"/>
      <c r="O89" s="68"/>
      <c r="P89" s="70"/>
      <c r="Q89" s="3"/>
      <c r="R89" s="3"/>
      <c r="S89" s="3"/>
      <c r="T89" s="3"/>
      <c r="U89" s="3"/>
      <c r="V89" s="3"/>
      <c r="W89" s="3"/>
      <c r="X89" s="3"/>
    </row>
    <row r="90" spans="1:24" ht="13.8">
      <c r="A90" s="3"/>
      <c r="B90" s="72">
        <v>26</v>
      </c>
      <c r="C90" s="548" t="str">
        <f>IF('INPUT DATA'!Q36="","",'INPUT DATA'!Q36)</f>
        <v/>
      </c>
      <c r="D90" s="549"/>
      <c r="E90" s="550"/>
      <c r="F90" s="67"/>
      <c r="G90" s="68"/>
      <c r="H90" s="68"/>
      <c r="I90" s="68"/>
      <c r="J90" s="68"/>
      <c r="K90" s="68"/>
      <c r="L90" s="68"/>
      <c r="M90" s="68"/>
      <c r="N90" s="68"/>
      <c r="O90" s="68"/>
      <c r="P90" s="70"/>
      <c r="Q90" s="3"/>
      <c r="R90" s="3"/>
      <c r="S90" s="3"/>
      <c r="T90" s="3"/>
      <c r="U90" s="3"/>
      <c r="V90" s="3"/>
      <c r="W90" s="3"/>
      <c r="X90" s="3"/>
    </row>
    <row r="91" spans="1:24" ht="13.8">
      <c r="A91" s="3"/>
      <c r="B91" s="72">
        <v>27</v>
      </c>
      <c r="C91" s="548" t="str">
        <f>IF('INPUT DATA'!Q37="","",'INPUT DATA'!Q37)</f>
        <v/>
      </c>
      <c r="D91" s="549"/>
      <c r="E91" s="550"/>
      <c r="F91" s="67"/>
      <c r="G91" s="68"/>
      <c r="H91" s="68"/>
      <c r="I91" s="68"/>
      <c r="J91" s="68"/>
      <c r="K91" s="68"/>
      <c r="L91" s="68"/>
      <c r="M91" s="68"/>
      <c r="N91" s="68"/>
      <c r="O91" s="68"/>
      <c r="P91" s="70"/>
      <c r="Q91" s="3"/>
      <c r="R91" s="3"/>
      <c r="S91" s="3"/>
      <c r="T91" s="3"/>
      <c r="U91" s="3"/>
      <c r="V91" s="3"/>
      <c r="W91" s="3"/>
      <c r="X91" s="3"/>
    </row>
    <row r="92" spans="1:24" ht="13.8">
      <c r="A92" s="3"/>
      <c r="B92" s="72">
        <v>28</v>
      </c>
      <c r="C92" s="548" t="str">
        <f>IF('INPUT DATA'!Q38="","",'INPUT DATA'!Q38)</f>
        <v/>
      </c>
      <c r="D92" s="549"/>
      <c r="E92" s="550"/>
      <c r="F92" s="67"/>
      <c r="G92" s="68"/>
      <c r="H92" s="68"/>
      <c r="I92" s="68"/>
      <c r="J92" s="68"/>
      <c r="K92" s="68"/>
      <c r="L92" s="68"/>
      <c r="M92" s="68"/>
      <c r="N92" s="68"/>
      <c r="O92" s="68"/>
      <c r="P92" s="70"/>
      <c r="Q92" s="3"/>
      <c r="R92" s="3"/>
      <c r="S92" s="3"/>
      <c r="T92" s="3"/>
      <c r="U92" s="3"/>
      <c r="V92" s="3"/>
      <c r="W92" s="3"/>
      <c r="X92" s="3"/>
    </row>
    <row r="93" spans="1:24" ht="13.8">
      <c r="A93" s="3"/>
      <c r="B93" s="72">
        <v>29</v>
      </c>
      <c r="C93" s="548" t="str">
        <f>IF('INPUT DATA'!Q39="","",'INPUT DATA'!Q39)</f>
        <v/>
      </c>
      <c r="D93" s="549"/>
      <c r="E93" s="550"/>
      <c r="F93" s="67"/>
      <c r="G93" s="68"/>
      <c r="H93" s="68"/>
      <c r="I93" s="68"/>
      <c r="J93" s="68"/>
      <c r="K93" s="68"/>
      <c r="L93" s="68"/>
      <c r="M93" s="68"/>
      <c r="N93" s="68"/>
      <c r="O93" s="68"/>
      <c r="P93" s="70"/>
      <c r="Q93" s="3"/>
      <c r="R93" s="3"/>
      <c r="S93" s="3"/>
      <c r="T93" s="3"/>
      <c r="U93" s="3"/>
      <c r="V93" s="3"/>
      <c r="W93" s="3"/>
      <c r="X93" s="3"/>
    </row>
    <row r="94" spans="1:24" ht="13.8">
      <c r="A94" s="3"/>
      <c r="B94" s="72">
        <v>30</v>
      </c>
      <c r="C94" s="548" t="str">
        <f>IF('INPUT DATA'!Q40="","",'INPUT DATA'!Q40)</f>
        <v/>
      </c>
      <c r="D94" s="549"/>
      <c r="E94" s="550"/>
      <c r="F94" s="67"/>
      <c r="G94" s="68"/>
      <c r="H94" s="68"/>
      <c r="I94" s="68"/>
      <c r="J94" s="68"/>
      <c r="K94" s="68"/>
      <c r="L94" s="68"/>
      <c r="M94" s="68"/>
      <c r="N94" s="68"/>
      <c r="O94" s="68"/>
      <c r="P94" s="70"/>
      <c r="Q94" s="3"/>
      <c r="R94" s="3"/>
      <c r="S94" s="3"/>
      <c r="T94" s="3"/>
      <c r="U94" s="3"/>
      <c r="V94" s="3"/>
      <c r="W94" s="3"/>
      <c r="X94" s="3"/>
    </row>
    <row r="95" spans="1:24" ht="13.8">
      <c r="A95" s="3"/>
      <c r="B95" s="72">
        <v>31</v>
      </c>
      <c r="C95" s="548" t="str">
        <f>IF('INPUT DATA'!Q41="","",'INPUT DATA'!Q41)</f>
        <v/>
      </c>
      <c r="D95" s="549"/>
      <c r="E95" s="550"/>
      <c r="F95" s="67"/>
      <c r="G95" s="68"/>
      <c r="H95" s="68"/>
      <c r="I95" s="68"/>
      <c r="J95" s="68"/>
      <c r="K95" s="68"/>
      <c r="L95" s="68"/>
      <c r="M95" s="68"/>
      <c r="N95" s="68"/>
      <c r="O95" s="68"/>
      <c r="P95" s="70"/>
      <c r="Q95" s="3"/>
      <c r="R95" s="3"/>
      <c r="S95" s="3"/>
      <c r="T95" s="3"/>
      <c r="U95" s="3"/>
      <c r="V95" s="3"/>
      <c r="W95" s="3"/>
      <c r="X95" s="3"/>
    </row>
    <row r="96" spans="1:24" ht="13.8">
      <c r="A96" s="3"/>
      <c r="B96" s="72">
        <v>32</v>
      </c>
      <c r="C96" s="548" t="str">
        <f>IF('INPUT DATA'!Q42="","",'INPUT DATA'!Q42)</f>
        <v/>
      </c>
      <c r="D96" s="549"/>
      <c r="E96" s="550"/>
      <c r="F96" s="67"/>
      <c r="G96" s="68"/>
      <c r="H96" s="68"/>
      <c r="I96" s="68"/>
      <c r="J96" s="68"/>
      <c r="K96" s="68"/>
      <c r="L96" s="68"/>
      <c r="M96" s="68"/>
      <c r="N96" s="68"/>
      <c r="O96" s="68"/>
      <c r="P96" s="70"/>
      <c r="Q96" s="3"/>
      <c r="R96" s="3"/>
      <c r="S96" s="3"/>
      <c r="T96" s="3"/>
      <c r="U96" s="3"/>
      <c r="V96" s="3"/>
      <c r="W96" s="3"/>
      <c r="X96" s="3"/>
    </row>
    <row r="97" spans="1:24" ht="13.8">
      <c r="A97" s="3"/>
      <c r="B97" s="72">
        <v>33</v>
      </c>
      <c r="C97" s="548" t="str">
        <f>IF('INPUT DATA'!Q43="","",'INPUT DATA'!Q43)</f>
        <v/>
      </c>
      <c r="D97" s="549"/>
      <c r="E97" s="550"/>
      <c r="F97" s="67"/>
      <c r="G97" s="68"/>
      <c r="H97" s="68"/>
      <c r="I97" s="68"/>
      <c r="J97" s="68"/>
      <c r="K97" s="68"/>
      <c r="L97" s="68"/>
      <c r="M97" s="68"/>
      <c r="N97" s="68"/>
      <c r="O97" s="68"/>
      <c r="P97" s="70"/>
      <c r="Q97" s="3"/>
      <c r="R97" s="3"/>
      <c r="S97" s="3"/>
      <c r="T97" s="3"/>
      <c r="U97" s="3"/>
      <c r="V97" s="3"/>
      <c r="W97" s="3"/>
      <c r="X97" s="3"/>
    </row>
    <row r="98" spans="1:24" ht="13.8">
      <c r="A98" s="3"/>
      <c r="B98" s="72">
        <v>34</v>
      </c>
      <c r="C98" s="548" t="str">
        <f>IF('INPUT DATA'!Q44="","",'INPUT DATA'!Q44)</f>
        <v/>
      </c>
      <c r="D98" s="549"/>
      <c r="E98" s="550"/>
      <c r="F98" s="67"/>
      <c r="G98" s="68"/>
      <c r="H98" s="68"/>
      <c r="I98" s="68"/>
      <c r="J98" s="68"/>
      <c r="K98" s="68"/>
      <c r="L98" s="68"/>
      <c r="M98" s="68"/>
      <c r="N98" s="68"/>
      <c r="O98" s="68"/>
      <c r="P98" s="70"/>
      <c r="Q98" s="3"/>
      <c r="R98" s="3"/>
      <c r="S98" s="3"/>
      <c r="T98" s="3"/>
      <c r="U98" s="3"/>
      <c r="V98" s="3"/>
      <c r="W98" s="3"/>
      <c r="X98" s="3"/>
    </row>
    <row r="99" spans="1:24" ht="13.8">
      <c r="A99" s="3"/>
      <c r="B99" s="72">
        <v>35</v>
      </c>
      <c r="C99" s="548" t="str">
        <f>IF('INPUT DATA'!Q45="","",'INPUT DATA'!Q45)</f>
        <v/>
      </c>
      <c r="D99" s="549"/>
      <c r="E99" s="550"/>
      <c r="F99" s="67"/>
      <c r="G99" s="68"/>
      <c r="H99" s="68"/>
      <c r="I99" s="68"/>
      <c r="J99" s="68"/>
      <c r="K99" s="68"/>
      <c r="L99" s="68"/>
      <c r="M99" s="68"/>
      <c r="N99" s="68"/>
      <c r="O99" s="68"/>
      <c r="P99" s="70"/>
      <c r="Q99" s="3"/>
      <c r="R99" s="3"/>
      <c r="S99" s="3"/>
      <c r="T99" s="3"/>
      <c r="U99" s="3"/>
      <c r="V99" s="3"/>
      <c r="W99" s="3"/>
      <c r="X99" s="3"/>
    </row>
    <row r="100" spans="1:24" ht="13.8">
      <c r="A100" s="3"/>
      <c r="B100" s="72">
        <v>36</v>
      </c>
      <c r="C100" s="548" t="str">
        <f>IF('INPUT DATA'!Q46="","",'INPUT DATA'!Q46)</f>
        <v/>
      </c>
      <c r="D100" s="549"/>
      <c r="E100" s="550"/>
      <c r="F100" s="67"/>
      <c r="G100" s="68"/>
      <c r="H100" s="68"/>
      <c r="I100" s="68"/>
      <c r="J100" s="68"/>
      <c r="K100" s="68"/>
      <c r="L100" s="68"/>
      <c r="M100" s="68"/>
      <c r="N100" s="68"/>
      <c r="O100" s="68"/>
      <c r="P100" s="70"/>
      <c r="Q100" s="3"/>
      <c r="R100" s="3"/>
      <c r="S100" s="3"/>
      <c r="T100" s="3"/>
      <c r="U100" s="3"/>
      <c r="V100" s="3"/>
      <c r="W100" s="3"/>
      <c r="X100" s="3"/>
    </row>
    <row r="101" spans="1:24" ht="13.8">
      <c r="A101" s="3"/>
      <c r="B101" s="72">
        <v>37</v>
      </c>
      <c r="C101" s="548" t="str">
        <f>IF('INPUT DATA'!Q47="","",'INPUT DATA'!Q47)</f>
        <v/>
      </c>
      <c r="D101" s="549"/>
      <c r="E101" s="550"/>
      <c r="F101" s="67"/>
      <c r="G101" s="68"/>
      <c r="H101" s="68"/>
      <c r="I101" s="68"/>
      <c r="J101" s="68"/>
      <c r="K101" s="68"/>
      <c r="L101" s="68"/>
      <c r="M101" s="68"/>
      <c r="N101" s="68"/>
      <c r="O101" s="68"/>
      <c r="P101" s="70"/>
      <c r="Q101" s="3"/>
      <c r="R101" s="3"/>
      <c r="S101" s="3"/>
      <c r="T101" s="3"/>
      <c r="U101" s="3"/>
      <c r="V101" s="3"/>
      <c r="W101" s="3"/>
      <c r="X101" s="3"/>
    </row>
    <row r="102" spans="1:24" ht="13.8">
      <c r="A102" s="3"/>
      <c r="B102" s="72">
        <v>38</v>
      </c>
      <c r="C102" s="548" t="str">
        <f>IF('INPUT DATA'!Q48="","",'INPUT DATA'!Q48)</f>
        <v/>
      </c>
      <c r="D102" s="549"/>
      <c r="E102" s="550"/>
      <c r="F102" s="67"/>
      <c r="G102" s="68"/>
      <c r="H102" s="68"/>
      <c r="I102" s="68"/>
      <c r="J102" s="68"/>
      <c r="K102" s="68"/>
      <c r="L102" s="68"/>
      <c r="M102" s="68"/>
      <c r="N102" s="68"/>
      <c r="O102" s="68"/>
      <c r="P102" s="70"/>
      <c r="Q102" s="3"/>
      <c r="R102" s="3"/>
      <c r="S102" s="3"/>
      <c r="T102" s="3"/>
      <c r="U102" s="3"/>
      <c r="V102" s="3"/>
      <c r="W102" s="3"/>
      <c r="X102" s="3"/>
    </row>
    <row r="103" spans="1:24" ht="13.8">
      <c r="A103" s="3"/>
      <c r="B103" s="72">
        <v>39</v>
      </c>
      <c r="C103" s="548" t="str">
        <f>IF('INPUT DATA'!Q49="","",'INPUT DATA'!Q49)</f>
        <v/>
      </c>
      <c r="D103" s="549"/>
      <c r="E103" s="550"/>
      <c r="F103" s="67"/>
      <c r="G103" s="68"/>
      <c r="H103" s="68"/>
      <c r="I103" s="68"/>
      <c r="J103" s="68"/>
      <c r="K103" s="68"/>
      <c r="L103" s="68"/>
      <c r="M103" s="68"/>
      <c r="N103" s="68"/>
      <c r="O103" s="68"/>
      <c r="P103" s="70"/>
      <c r="Q103" s="3"/>
      <c r="R103" s="3"/>
      <c r="S103" s="3"/>
      <c r="T103" s="3"/>
      <c r="U103" s="3"/>
      <c r="V103" s="3"/>
      <c r="W103" s="3"/>
      <c r="X103" s="3"/>
    </row>
    <row r="104" spans="1:24" ht="13.8">
      <c r="A104" s="3"/>
      <c r="B104" s="72">
        <v>40</v>
      </c>
      <c r="C104" s="548" t="str">
        <f>IF('INPUT DATA'!Q50="","",'INPUT DATA'!Q50)</f>
        <v/>
      </c>
      <c r="D104" s="549"/>
      <c r="E104" s="550"/>
      <c r="F104" s="67"/>
      <c r="G104" s="68"/>
      <c r="H104" s="68"/>
      <c r="I104" s="68"/>
      <c r="J104" s="68"/>
      <c r="K104" s="68"/>
      <c r="L104" s="68"/>
      <c r="M104" s="68"/>
      <c r="N104" s="68"/>
      <c r="O104" s="68"/>
      <c r="P104" s="70"/>
      <c r="Q104" s="3"/>
      <c r="R104" s="3"/>
      <c r="S104" s="3"/>
      <c r="T104" s="3"/>
      <c r="U104" s="3"/>
      <c r="V104" s="3"/>
      <c r="W104" s="3"/>
      <c r="X104" s="3"/>
    </row>
    <row r="105" spans="1:24" ht="13.8">
      <c r="A105" s="3"/>
      <c r="B105" s="72">
        <v>41</v>
      </c>
      <c r="C105" s="548" t="str">
        <f>IF('INPUT DATA'!Q51="","",'INPUT DATA'!Q51)</f>
        <v/>
      </c>
      <c r="D105" s="549"/>
      <c r="E105" s="550"/>
      <c r="F105" s="67"/>
      <c r="G105" s="68"/>
      <c r="H105" s="68"/>
      <c r="I105" s="68"/>
      <c r="J105" s="68"/>
      <c r="K105" s="68"/>
      <c r="L105" s="68"/>
      <c r="M105" s="68"/>
      <c r="N105" s="68"/>
      <c r="O105" s="68"/>
      <c r="P105" s="70"/>
      <c r="Q105" s="3"/>
      <c r="R105" s="3"/>
      <c r="S105" s="3"/>
      <c r="T105" s="3"/>
      <c r="U105" s="3"/>
      <c r="V105" s="3"/>
      <c r="W105" s="3"/>
      <c r="X105" s="3"/>
    </row>
    <row r="106" spans="1:24" ht="13.8">
      <c r="A106" s="3"/>
      <c r="B106" s="72">
        <v>42</v>
      </c>
      <c r="C106" s="548" t="str">
        <f>IF('INPUT DATA'!Q52="","",'INPUT DATA'!Q52)</f>
        <v/>
      </c>
      <c r="D106" s="549"/>
      <c r="E106" s="550"/>
      <c r="F106" s="67"/>
      <c r="G106" s="68"/>
      <c r="H106" s="68"/>
      <c r="I106" s="68"/>
      <c r="J106" s="68"/>
      <c r="K106" s="68"/>
      <c r="L106" s="68"/>
      <c r="M106" s="68"/>
      <c r="N106" s="68"/>
      <c r="O106" s="68"/>
      <c r="P106" s="70"/>
      <c r="Q106" s="3"/>
      <c r="R106" s="3"/>
      <c r="S106" s="3"/>
      <c r="T106" s="3"/>
      <c r="U106" s="3"/>
      <c r="V106" s="3"/>
      <c r="W106" s="3"/>
      <c r="X106" s="3"/>
    </row>
    <row r="107" spans="1:24" ht="13.8">
      <c r="A107" s="3"/>
      <c r="B107" s="72">
        <v>43</v>
      </c>
      <c r="C107" s="548" t="str">
        <f>IF('INPUT DATA'!Q53="","",'INPUT DATA'!Q53)</f>
        <v/>
      </c>
      <c r="D107" s="549"/>
      <c r="E107" s="550"/>
      <c r="F107" s="67"/>
      <c r="G107" s="68"/>
      <c r="H107" s="68"/>
      <c r="I107" s="68"/>
      <c r="J107" s="68"/>
      <c r="K107" s="68"/>
      <c r="L107" s="68"/>
      <c r="M107" s="68"/>
      <c r="N107" s="68"/>
      <c r="O107" s="68"/>
      <c r="P107" s="70"/>
      <c r="Q107" s="3"/>
      <c r="R107" s="3"/>
      <c r="S107" s="3"/>
      <c r="T107" s="3"/>
      <c r="U107" s="3"/>
      <c r="V107" s="3"/>
      <c r="W107" s="3"/>
      <c r="X107" s="3"/>
    </row>
    <row r="108" spans="1:24" ht="13.8">
      <c r="A108" s="3"/>
      <c r="B108" s="72">
        <v>44</v>
      </c>
      <c r="C108" s="548" t="str">
        <f>IF('INPUT DATA'!Q54="","",'INPUT DATA'!Q54)</f>
        <v/>
      </c>
      <c r="D108" s="549"/>
      <c r="E108" s="550"/>
      <c r="F108" s="67"/>
      <c r="G108" s="68"/>
      <c r="H108" s="68"/>
      <c r="I108" s="68"/>
      <c r="J108" s="68"/>
      <c r="K108" s="68"/>
      <c r="L108" s="68"/>
      <c r="M108" s="68"/>
      <c r="N108" s="68"/>
      <c r="O108" s="68"/>
      <c r="P108" s="70"/>
      <c r="Q108" s="3"/>
      <c r="R108" s="3"/>
      <c r="S108" s="3"/>
      <c r="T108" s="3"/>
      <c r="U108" s="3"/>
      <c r="V108" s="3"/>
      <c r="W108" s="3"/>
      <c r="X108" s="3"/>
    </row>
    <row r="109" spans="1:24" ht="13.8">
      <c r="A109" s="3"/>
      <c r="B109" s="72">
        <v>45</v>
      </c>
      <c r="C109" s="548" t="str">
        <f>IF('INPUT DATA'!Q55="","",'INPUT DATA'!Q55)</f>
        <v/>
      </c>
      <c r="D109" s="549"/>
      <c r="E109" s="550"/>
      <c r="F109" s="67"/>
      <c r="G109" s="68"/>
      <c r="H109" s="68"/>
      <c r="I109" s="68"/>
      <c r="J109" s="68"/>
      <c r="K109" s="68"/>
      <c r="L109" s="68"/>
      <c r="M109" s="68"/>
      <c r="N109" s="68"/>
      <c r="O109" s="68"/>
      <c r="P109" s="70"/>
      <c r="Q109" s="3"/>
      <c r="R109" s="3"/>
      <c r="S109" s="3"/>
      <c r="T109" s="3"/>
      <c r="U109" s="3"/>
      <c r="V109" s="3"/>
      <c r="W109" s="3"/>
      <c r="X109" s="3"/>
    </row>
    <row r="110" spans="1:24" ht="13.8">
      <c r="A110" s="3"/>
      <c r="B110" s="72">
        <v>46</v>
      </c>
      <c r="C110" s="548" t="str">
        <f>IF('INPUT DATA'!Q56="","",'INPUT DATA'!Q56)</f>
        <v/>
      </c>
      <c r="D110" s="549"/>
      <c r="E110" s="550"/>
      <c r="F110" s="67"/>
      <c r="G110" s="68"/>
      <c r="H110" s="68"/>
      <c r="I110" s="68"/>
      <c r="J110" s="68"/>
      <c r="K110" s="68"/>
      <c r="L110" s="68"/>
      <c r="M110" s="68"/>
      <c r="N110" s="68"/>
      <c r="O110" s="68"/>
      <c r="P110" s="70"/>
      <c r="Q110" s="3"/>
      <c r="R110" s="3"/>
      <c r="S110" s="3"/>
      <c r="T110" s="3"/>
      <c r="U110" s="3"/>
      <c r="V110" s="3"/>
      <c r="W110" s="3"/>
      <c r="X110" s="3"/>
    </row>
    <row r="111" spans="1:24" ht="13.8">
      <c r="A111" s="3"/>
      <c r="B111" s="72">
        <v>47</v>
      </c>
      <c r="C111" s="548" t="str">
        <f>IF('INPUT DATA'!Q57="","",'INPUT DATA'!Q57)</f>
        <v/>
      </c>
      <c r="D111" s="549"/>
      <c r="E111" s="550"/>
      <c r="F111" s="67"/>
      <c r="G111" s="68"/>
      <c r="H111" s="68"/>
      <c r="I111" s="68"/>
      <c r="J111" s="68"/>
      <c r="K111" s="68"/>
      <c r="L111" s="68"/>
      <c r="M111" s="68"/>
      <c r="N111" s="68"/>
      <c r="O111" s="68"/>
      <c r="P111" s="70"/>
      <c r="Q111" s="3"/>
      <c r="R111" s="3"/>
      <c r="S111" s="3"/>
      <c r="T111" s="3"/>
      <c r="U111" s="3"/>
      <c r="V111" s="3"/>
      <c r="W111" s="3"/>
      <c r="X111" s="3"/>
    </row>
    <row r="112" spans="1:24" ht="13.8">
      <c r="A112" s="3"/>
      <c r="B112" s="72">
        <v>48</v>
      </c>
      <c r="C112" s="548" t="str">
        <f>IF('INPUT DATA'!Q58="","",'INPUT DATA'!Q58)</f>
        <v/>
      </c>
      <c r="D112" s="549"/>
      <c r="E112" s="550"/>
      <c r="F112" s="67"/>
      <c r="G112" s="68"/>
      <c r="H112" s="68"/>
      <c r="I112" s="68"/>
      <c r="J112" s="68"/>
      <c r="K112" s="68"/>
      <c r="L112" s="68"/>
      <c r="M112" s="68"/>
      <c r="N112" s="68"/>
      <c r="O112" s="68"/>
      <c r="P112" s="70"/>
      <c r="Q112" s="3"/>
      <c r="R112" s="3"/>
      <c r="S112" s="3"/>
      <c r="T112" s="3"/>
      <c r="U112" s="3"/>
      <c r="V112" s="3"/>
      <c r="W112" s="3"/>
      <c r="X112" s="3"/>
    </row>
    <row r="113" spans="1:24" ht="13.8">
      <c r="A113" s="3"/>
      <c r="B113" s="72">
        <v>49</v>
      </c>
      <c r="C113" s="548" t="str">
        <f>IF('INPUT DATA'!Q59="","",'INPUT DATA'!Q59)</f>
        <v/>
      </c>
      <c r="D113" s="549"/>
      <c r="E113" s="550"/>
      <c r="F113" s="67"/>
      <c r="G113" s="68"/>
      <c r="H113" s="68"/>
      <c r="I113" s="68"/>
      <c r="J113" s="68"/>
      <c r="K113" s="68"/>
      <c r="L113" s="68"/>
      <c r="M113" s="68"/>
      <c r="N113" s="68"/>
      <c r="O113" s="68"/>
      <c r="P113" s="70"/>
      <c r="Q113" s="3"/>
      <c r="R113" s="3"/>
      <c r="S113" s="3"/>
      <c r="T113" s="3"/>
      <c r="U113" s="3"/>
      <c r="V113" s="3"/>
      <c r="W113" s="3"/>
      <c r="X113" s="3"/>
    </row>
    <row r="114" spans="1:24" ht="14.4" thickBot="1">
      <c r="A114" s="3"/>
      <c r="B114" s="78">
        <v>50</v>
      </c>
      <c r="C114" s="553" t="str">
        <f>IF('INPUT DATA'!Q60="","",'INPUT DATA'!Q60)</f>
        <v/>
      </c>
      <c r="D114" s="554"/>
      <c r="E114" s="555"/>
      <c r="F114" s="79"/>
      <c r="G114" s="80"/>
      <c r="H114" s="80"/>
      <c r="I114" s="80"/>
      <c r="J114" s="80"/>
      <c r="K114" s="80"/>
      <c r="L114" s="80"/>
      <c r="M114" s="80"/>
      <c r="N114" s="80"/>
      <c r="O114" s="80"/>
      <c r="P114" s="75"/>
      <c r="Q114" s="3"/>
      <c r="R114" s="3"/>
      <c r="S114" s="3"/>
      <c r="T114" s="3"/>
      <c r="U114" s="3"/>
      <c r="V114" s="3"/>
      <c r="W114" s="3"/>
      <c r="X114" s="3"/>
    </row>
    <row r="115" spans="1:24" ht="13.8" thickBot="1">
      <c r="A115" s="3"/>
      <c r="B115" s="3"/>
      <c r="C115" s="2"/>
      <c r="D115" s="3"/>
      <c r="E115" s="3"/>
      <c r="F115" s="552"/>
      <c r="G115" s="283"/>
      <c r="H115" s="552"/>
      <c r="I115" s="283"/>
      <c r="J115" s="3"/>
      <c r="K115" s="3"/>
      <c r="L115" s="552"/>
      <c r="M115" s="283"/>
      <c r="N115" s="3"/>
      <c r="O115" s="3"/>
      <c r="P115" s="3"/>
      <c r="Q115" s="3"/>
      <c r="R115" s="3"/>
      <c r="S115" s="3"/>
      <c r="T115" s="3"/>
      <c r="U115" s="3"/>
      <c r="V115" s="3"/>
      <c r="W115" s="3"/>
      <c r="X115" s="3"/>
    </row>
    <row r="116" spans="1:24" ht="13.8">
      <c r="A116" s="3"/>
      <c r="B116" s="556" t="s">
        <v>68</v>
      </c>
      <c r="C116" s="411"/>
      <c r="D116" s="411"/>
      <c r="E116" s="60" t="s">
        <v>70</v>
      </c>
      <c r="F116" s="60" t="s">
        <v>32</v>
      </c>
      <c r="G116" s="60" t="s">
        <v>33</v>
      </c>
      <c r="H116" s="60" t="s">
        <v>34</v>
      </c>
      <c r="I116" s="60" t="s">
        <v>35</v>
      </c>
      <c r="J116" s="60" t="s">
        <v>36</v>
      </c>
      <c r="K116" s="60" t="s">
        <v>37</v>
      </c>
      <c r="L116" s="60" t="s">
        <v>38</v>
      </c>
      <c r="M116" s="60" t="s">
        <v>39</v>
      </c>
      <c r="N116" s="60" t="s">
        <v>40</v>
      </c>
      <c r="O116" s="60" t="s">
        <v>41</v>
      </c>
      <c r="P116" s="60" t="s">
        <v>72</v>
      </c>
      <c r="Q116" s="3"/>
      <c r="R116" s="3"/>
      <c r="S116" s="3"/>
      <c r="T116" s="3"/>
      <c r="U116" s="3"/>
      <c r="V116" s="3"/>
      <c r="W116" s="3"/>
      <c r="X116" s="3"/>
    </row>
    <row r="117" spans="1:24" ht="16.8">
      <c r="A117" s="3"/>
      <c r="B117" s="535"/>
      <c r="C117" s="536"/>
      <c r="D117" s="536"/>
      <c r="E117" s="119">
        <f>SUM(F117:P117)</f>
        <v>201</v>
      </c>
      <c r="F117" s="60">
        <v>20</v>
      </c>
      <c r="G117" s="60">
        <v>20</v>
      </c>
      <c r="H117" s="60">
        <v>20</v>
      </c>
      <c r="I117" s="60">
        <v>20</v>
      </c>
      <c r="J117" s="60">
        <v>20</v>
      </c>
      <c r="K117" s="60">
        <v>20</v>
      </c>
      <c r="L117" s="60">
        <v>20</v>
      </c>
      <c r="M117" s="60">
        <v>18</v>
      </c>
      <c r="N117" s="60">
        <v>18</v>
      </c>
      <c r="O117" s="60">
        <v>20</v>
      </c>
      <c r="P117" s="81">
        <v>5</v>
      </c>
      <c r="Q117" s="3"/>
      <c r="R117" s="3"/>
      <c r="S117" s="3"/>
      <c r="T117" s="3"/>
      <c r="U117" s="3"/>
      <c r="V117" s="3"/>
      <c r="W117" s="3"/>
      <c r="X117" s="3"/>
    </row>
    <row r="118" spans="1:24" ht="13.2">
      <c r="A118" s="3"/>
      <c r="B118" s="3"/>
      <c r="C118" s="2"/>
      <c r="D118" s="3"/>
      <c r="E118" s="3"/>
      <c r="F118" s="552"/>
      <c r="G118" s="283"/>
      <c r="H118" s="552"/>
      <c r="I118" s="283"/>
      <c r="J118" s="3"/>
      <c r="K118" s="3"/>
      <c r="L118" s="552"/>
      <c r="M118" s="283"/>
      <c r="N118" s="3"/>
      <c r="O118" s="3"/>
      <c r="P118" s="3"/>
      <c r="Q118" s="3"/>
      <c r="R118" s="3"/>
      <c r="S118" s="3"/>
      <c r="T118" s="3"/>
      <c r="U118" s="3"/>
      <c r="V118" s="3"/>
      <c r="W118" s="3"/>
      <c r="X118" s="3"/>
    </row>
    <row r="119" spans="1:24" ht="13.2">
      <c r="A119" s="3"/>
      <c r="B119" s="3"/>
      <c r="C119" s="2"/>
      <c r="D119" s="3"/>
      <c r="E119" s="3"/>
      <c r="F119" s="552"/>
      <c r="G119" s="283"/>
      <c r="H119" s="552"/>
      <c r="I119" s="283"/>
      <c r="J119" s="3"/>
      <c r="K119" s="3"/>
      <c r="L119" s="552"/>
      <c r="M119" s="283"/>
      <c r="N119" s="3"/>
      <c r="O119" s="3"/>
      <c r="P119" s="3"/>
      <c r="Q119" s="3"/>
      <c r="R119" s="3"/>
      <c r="S119" s="3"/>
      <c r="T119" s="3"/>
      <c r="U119" s="3"/>
      <c r="V119" s="3"/>
      <c r="W119" s="3"/>
      <c r="X119" s="3"/>
    </row>
    <row r="120" spans="1:24" ht="13.2">
      <c r="A120" s="3"/>
      <c r="B120" s="3"/>
      <c r="C120" s="2"/>
      <c r="D120" s="3"/>
      <c r="E120" s="3"/>
      <c r="F120" s="552"/>
      <c r="G120" s="283"/>
      <c r="H120" s="552"/>
      <c r="I120" s="283"/>
      <c r="J120" s="3"/>
      <c r="K120" s="3"/>
      <c r="L120" s="552"/>
      <c r="M120" s="283"/>
      <c r="N120" s="3"/>
      <c r="O120" s="3"/>
      <c r="P120" s="3"/>
      <c r="Q120" s="3"/>
      <c r="R120" s="3"/>
      <c r="S120" s="3"/>
      <c r="T120" s="3"/>
      <c r="U120" s="3"/>
      <c r="V120" s="3"/>
      <c r="W120" s="3"/>
      <c r="X120" s="3"/>
    </row>
    <row r="121" spans="1:24" ht="13.2">
      <c r="A121" s="3"/>
      <c r="B121" s="3"/>
      <c r="C121" s="2"/>
      <c r="D121" s="3"/>
      <c r="E121" s="3"/>
      <c r="F121" s="552"/>
      <c r="G121" s="283"/>
      <c r="H121" s="552"/>
      <c r="I121" s="283"/>
      <c r="J121" s="3"/>
      <c r="K121" s="3"/>
      <c r="L121" s="552"/>
      <c r="M121" s="283"/>
      <c r="N121" s="3"/>
      <c r="O121" s="3"/>
      <c r="P121" s="3"/>
      <c r="Q121" s="3"/>
      <c r="R121" s="3"/>
      <c r="S121" s="3"/>
      <c r="T121" s="3"/>
      <c r="U121" s="3"/>
      <c r="V121" s="3"/>
      <c r="W121" s="3"/>
      <c r="X121" s="3"/>
    </row>
    <row r="122" spans="1:24" ht="13.2">
      <c r="A122" s="3"/>
      <c r="B122" s="3"/>
      <c r="C122" s="2"/>
      <c r="D122" s="3"/>
      <c r="E122" s="3"/>
      <c r="F122" s="552"/>
      <c r="G122" s="283"/>
      <c r="H122" s="552"/>
      <c r="I122" s="283"/>
      <c r="J122" s="3"/>
      <c r="K122" s="3"/>
      <c r="L122" s="552"/>
      <c r="M122" s="283"/>
      <c r="N122" s="3"/>
      <c r="O122" s="3"/>
      <c r="P122" s="3"/>
      <c r="Q122" s="3"/>
      <c r="R122" s="3"/>
      <c r="S122" s="3"/>
      <c r="T122" s="3"/>
      <c r="U122" s="3"/>
      <c r="V122" s="3"/>
      <c r="W122" s="3"/>
      <c r="X122" s="3"/>
    </row>
    <row r="123" spans="1:24" ht="13.2">
      <c r="A123" s="3"/>
      <c r="B123" s="3"/>
      <c r="C123" s="2"/>
      <c r="D123" s="3"/>
      <c r="E123" s="3"/>
      <c r="F123" s="552"/>
      <c r="G123" s="283"/>
      <c r="H123" s="552"/>
      <c r="I123" s="283"/>
      <c r="J123" s="3"/>
      <c r="K123" s="3"/>
      <c r="L123" s="552"/>
      <c r="M123" s="283"/>
      <c r="N123" s="3"/>
      <c r="O123" s="3"/>
      <c r="P123" s="3"/>
      <c r="Q123" s="3"/>
      <c r="R123" s="3"/>
      <c r="S123" s="3"/>
      <c r="T123" s="3"/>
      <c r="U123" s="3"/>
      <c r="V123" s="3"/>
      <c r="W123" s="3"/>
      <c r="X123" s="3"/>
    </row>
    <row r="124" spans="1:24" ht="13.2">
      <c r="A124" s="3"/>
      <c r="B124" s="3"/>
      <c r="C124" s="2"/>
      <c r="D124" s="3"/>
      <c r="E124" s="3"/>
      <c r="F124" s="552"/>
      <c r="G124" s="283"/>
      <c r="H124" s="552"/>
      <c r="I124" s="283"/>
      <c r="J124" s="3"/>
      <c r="K124" s="3"/>
      <c r="L124" s="552"/>
      <c r="M124" s="283"/>
      <c r="N124" s="3"/>
      <c r="O124" s="3"/>
      <c r="P124" s="3"/>
      <c r="Q124" s="3"/>
      <c r="R124" s="3"/>
      <c r="S124" s="3"/>
      <c r="T124" s="3"/>
      <c r="U124" s="3"/>
      <c r="V124" s="3"/>
      <c r="W124" s="3"/>
      <c r="X124" s="3"/>
    </row>
    <row r="125" spans="1:24" ht="13.2">
      <c r="A125" s="3"/>
      <c r="B125" s="3"/>
      <c r="C125" s="2"/>
      <c r="D125" s="3"/>
      <c r="E125" s="3"/>
      <c r="F125" s="552"/>
      <c r="G125" s="283"/>
      <c r="H125" s="552"/>
      <c r="I125" s="283"/>
      <c r="J125" s="3"/>
      <c r="K125" s="3"/>
      <c r="L125" s="552"/>
      <c r="M125" s="283"/>
      <c r="N125" s="3"/>
      <c r="O125" s="3"/>
      <c r="P125" s="3"/>
      <c r="Q125" s="3"/>
      <c r="R125" s="3"/>
      <c r="S125" s="3"/>
      <c r="T125" s="3"/>
      <c r="U125" s="3"/>
      <c r="V125" s="3"/>
      <c r="W125" s="3"/>
      <c r="X125" s="3"/>
    </row>
    <row r="126" spans="1:24" ht="13.2">
      <c r="A126" s="3"/>
      <c r="B126" s="3"/>
      <c r="C126" s="2"/>
      <c r="D126" s="3"/>
      <c r="E126" s="3"/>
      <c r="F126" s="552"/>
      <c r="G126" s="283"/>
      <c r="H126" s="552"/>
      <c r="I126" s="283"/>
      <c r="J126" s="3"/>
      <c r="K126" s="3"/>
      <c r="L126" s="552"/>
      <c r="M126" s="283"/>
      <c r="N126" s="3"/>
      <c r="O126" s="3"/>
      <c r="P126" s="3"/>
      <c r="Q126" s="3"/>
      <c r="R126" s="3"/>
      <c r="S126" s="3"/>
      <c r="T126" s="3"/>
      <c r="U126" s="3"/>
      <c r="V126" s="3"/>
      <c r="W126" s="3"/>
      <c r="X126" s="3"/>
    </row>
    <row r="127" spans="1:24" ht="13.2">
      <c r="A127" s="3"/>
      <c r="B127" s="3"/>
      <c r="C127" s="2"/>
      <c r="D127" s="3"/>
      <c r="E127" s="3"/>
      <c r="F127" s="552"/>
      <c r="G127" s="283"/>
      <c r="H127" s="552"/>
      <c r="I127" s="283"/>
      <c r="J127" s="3"/>
      <c r="K127" s="3"/>
      <c r="L127" s="552"/>
      <c r="M127" s="283"/>
      <c r="N127" s="3"/>
      <c r="O127" s="3"/>
      <c r="P127" s="3"/>
      <c r="Q127" s="3"/>
      <c r="R127" s="3"/>
      <c r="S127" s="3"/>
      <c r="T127" s="3"/>
      <c r="U127" s="3"/>
      <c r="V127" s="3"/>
      <c r="W127" s="3"/>
      <c r="X127" s="3"/>
    </row>
    <row r="128" spans="1:24" ht="13.2">
      <c r="A128" s="3"/>
      <c r="B128" s="3"/>
      <c r="C128" s="2"/>
      <c r="D128" s="3"/>
      <c r="E128" s="3"/>
      <c r="F128" s="552"/>
      <c r="G128" s="283"/>
      <c r="H128" s="552"/>
      <c r="I128" s="283"/>
      <c r="J128" s="3"/>
      <c r="K128" s="3"/>
      <c r="L128" s="552"/>
      <c r="M128" s="283"/>
      <c r="N128" s="3"/>
      <c r="O128" s="3"/>
      <c r="P128" s="3"/>
      <c r="Q128" s="3"/>
      <c r="R128" s="3"/>
      <c r="S128" s="3"/>
      <c r="T128" s="3"/>
      <c r="U128" s="3"/>
      <c r="V128" s="3"/>
      <c r="W128" s="3"/>
      <c r="X128" s="3"/>
    </row>
    <row r="129" spans="1:24" ht="13.2">
      <c r="A129" s="3"/>
      <c r="B129" s="3"/>
      <c r="C129" s="2"/>
      <c r="D129" s="3"/>
      <c r="E129" s="3"/>
      <c r="F129" s="552"/>
      <c r="G129" s="283"/>
      <c r="H129" s="552"/>
      <c r="I129" s="283"/>
      <c r="J129" s="3"/>
      <c r="K129" s="3"/>
      <c r="L129" s="552"/>
      <c r="M129" s="283"/>
      <c r="N129" s="3"/>
      <c r="O129" s="3"/>
      <c r="P129" s="3"/>
      <c r="Q129" s="3"/>
      <c r="R129" s="3"/>
      <c r="S129" s="3"/>
      <c r="T129" s="3"/>
      <c r="U129" s="3"/>
      <c r="V129" s="3"/>
      <c r="W129" s="3"/>
      <c r="X129" s="3"/>
    </row>
    <row r="130" spans="1:24" ht="13.2">
      <c r="A130" s="3"/>
      <c r="B130" s="3"/>
      <c r="C130" s="2"/>
      <c r="D130" s="3"/>
      <c r="E130" s="3"/>
      <c r="F130" s="552"/>
      <c r="G130" s="283"/>
      <c r="H130" s="552"/>
      <c r="I130" s="283"/>
      <c r="J130" s="3"/>
      <c r="K130" s="3"/>
      <c r="L130" s="552"/>
      <c r="M130" s="283"/>
      <c r="N130" s="3"/>
      <c r="O130" s="3"/>
      <c r="P130" s="3"/>
      <c r="Q130" s="3"/>
      <c r="R130" s="3"/>
      <c r="S130" s="3"/>
      <c r="T130" s="3"/>
      <c r="U130" s="3"/>
      <c r="V130" s="3"/>
      <c r="W130" s="3"/>
      <c r="X130" s="3"/>
    </row>
    <row r="131" spans="1:24" ht="13.2">
      <c r="A131" s="3"/>
      <c r="B131" s="3"/>
      <c r="C131" s="2"/>
      <c r="D131" s="3"/>
      <c r="E131" s="3"/>
      <c r="F131" s="552"/>
      <c r="G131" s="283"/>
      <c r="H131" s="552"/>
      <c r="I131" s="283"/>
      <c r="J131" s="3"/>
      <c r="K131" s="3"/>
      <c r="L131" s="552"/>
      <c r="M131" s="283"/>
      <c r="N131" s="3"/>
      <c r="O131" s="3"/>
      <c r="P131" s="3"/>
      <c r="Q131" s="3"/>
      <c r="R131" s="3"/>
      <c r="S131" s="3"/>
      <c r="T131" s="3"/>
      <c r="U131" s="3"/>
      <c r="V131" s="3"/>
      <c r="W131" s="3"/>
      <c r="X131" s="3"/>
    </row>
    <row r="132" spans="1:24" ht="13.2">
      <c r="A132" s="3"/>
      <c r="B132" s="3"/>
      <c r="C132" s="2"/>
      <c r="D132" s="3"/>
      <c r="E132" s="3"/>
      <c r="F132" s="552"/>
      <c r="G132" s="283"/>
      <c r="H132" s="552"/>
      <c r="I132" s="283"/>
      <c r="J132" s="3"/>
      <c r="K132" s="3"/>
      <c r="L132" s="552"/>
      <c r="M132" s="283"/>
      <c r="N132" s="3"/>
      <c r="O132" s="3"/>
      <c r="P132" s="3"/>
      <c r="Q132" s="3"/>
      <c r="R132" s="3"/>
      <c r="S132" s="3"/>
      <c r="T132" s="3"/>
      <c r="U132" s="3"/>
      <c r="V132" s="3"/>
      <c r="W132" s="3"/>
      <c r="X132" s="3"/>
    </row>
    <row r="133" spans="1:24" ht="13.2">
      <c r="A133" s="3"/>
      <c r="B133" s="3"/>
      <c r="C133" s="2"/>
      <c r="D133" s="3"/>
      <c r="E133" s="3"/>
      <c r="F133" s="552"/>
      <c r="G133" s="283"/>
      <c r="H133" s="552"/>
      <c r="I133" s="283"/>
      <c r="J133" s="3"/>
      <c r="K133" s="3"/>
      <c r="L133" s="552"/>
      <c r="M133" s="283"/>
      <c r="N133" s="3"/>
      <c r="O133" s="3"/>
      <c r="P133" s="3"/>
      <c r="Q133" s="3"/>
      <c r="R133" s="3"/>
      <c r="S133" s="3"/>
      <c r="T133" s="3"/>
      <c r="U133" s="3"/>
      <c r="V133" s="3"/>
      <c r="W133" s="3"/>
      <c r="X133" s="3"/>
    </row>
    <row r="134" spans="1:24" ht="13.2">
      <c r="A134" s="3"/>
      <c r="B134" s="3"/>
      <c r="C134" s="2"/>
      <c r="D134" s="3"/>
      <c r="E134" s="3"/>
      <c r="F134" s="552"/>
      <c r="G134" s="283"/>
      <c r="H134" s="552"/>
      <c r="I134" s="283"/>
      <c r="J134" s="3"/>
      <c r="K134" s="3"/>
      <c r="L134" s="552"/>
      <c r="M134" s="283"/>
      <c r="N134" s="3"/>
      <c r="O134" s="3"/>
      <c r="P134" s="3"/>
      <c r="Q134" s="3"/>
      <c r="R134" s="3"/>
      <c r="S134" s="3"/>
      <c r="T134" s="3"/>
      <c r="U134" s="3"/>
      <c r="V134" s="3"/>
      <c r="W134" s="3"/>
      <c r="X134" s="3"/>
    </row>
    <row r="135" spans="1:24" ht="13.2">
      <c r="A135" s="3"/>
      <c r="B135" s="3"/>
      <c r="C135" s="2"/>
      <c r="D135" s="3"/>
      <c r="E135" s="3"/>
      <c r="F135" s="552"/>
      <c r="G135" s="283"/>
      <c r="H135" s="3"/>
      <c r="I135" s="3"/>
      <c r="J135" s="3"/>
      <c r="K135" s="3"/>
      <c r="L135" s="552"/>
      <c r="M135" s="283"/>
      <c r="N135" s="3"/>
      <c r="O135" s="3"/>
      <c r="P135" s="3"/>
      <c r="Q135" s="3"/>
      <c r="R135" s="3"/>
      <c r="S135" s="3"/>
      <c r="T135" s="3"/>
      <c r="U135" s="3"/>
      <c r="V135" s="3"/>
      <c r="W135" s="3"/>
      <c r="X135" s="3"/>
    </row>
    <row r="136" spans="1:24" ht="13.2">
      <c r="A136" s="3"/>
      <c r="B136" s="3"/>
      <c r="C136" s="2"/>
      <c r="D136" s="3"/>
      <c r="E136" s="3"/>
      <c r="F136" s="552"/>
      <c r="G136" s="283"/>
      <c r="H136" s="3"/>
      <c r="I136" s="3"/>
      <c r="J136" s="3"/>
      <c r="K136" s="3"/>
      <c r="L136" s="552"/>
      <c r="M136" s="283"/>
      <c r="N136" s="3"/>
      <c r="O136" s="3"/>
      <c r="P136" s="3"/>
      <c r="Q136" s="3"/>
      <c r="R136" s="3"/>
      <c r="S136" s="3"/>
      <c r="T136" s="3"/>
      <c r="U136" s="3"/>
      <c r="V136" s="3"/>
      <c r="W136" s="3"/>
      <c r="X136" s="3"/>
    </row>
    <row r="137" spans="1:24" ht="13.2">
      <c r="A137" s="3"/>
      <c r="B137" s="3"/>
      <c r="C137" s="2"/>
      <c r="D137" s="3"/>
      <c r="E137" s="3"/>
      <c r="F137" s="552"/>
      <c r="G137" s="283"/>
      <c r="H137" s="3"/>
      <c r="I137" s="3"/>
      <c r="J137" s="3"/>
      <c r="K137" s="3"/>
      <c r="L137" s="552"/>
      <c r="M137" s="283"/>
      <c r="N137" s="3"/>
      <c r="O137" s="3"/>
      <c r="P137" s="3"/>
      <c r="Q137" s="3"/>
      <c r="R137" s="3"/>
      <c r="S137" s="3"/>
      <c r="T137" s="3"/>
      <c r="U137" s="3"/>
      <c r="V137" s="3"/>
      <c r="W137" s="3"/>
      <c r="X137" s="3"/>
    </row>
    <row r="138" spans="1:24" ht="13.2">
      <c r="A138" s="3"/>
      <c r="B138" s="3"/>
      <c r="C138" s="2"/>
      <c r="D138" s="3"/>
      <c r="E138" s="3"/>
      <c r="F138" s="552"/>
      <c r="G138" s="283"/>
      <c r="H138" s="3"/>
      <c r="I138" s="3"/>
      <c r="J138" s="3"/>
      <c r="K138" s="3"/>
      <c r="L138" s="552"/>
      <c r="M138" s="283"/>
      <c r="N138" s="3"/>
      <c r="O138" s="3"/>
      <c r="P138" s="3"/>
      <c r="Q138" s="3"/>
      <c r="R138" s="3"/>
      <c r="S138" s="3"/>
      <c r="T138" s="3"/>
      <c r="U138" s="3"/>
      <c r="V138" s="3"/>
      <c r="W138" s="3"/>
      <c r="X138" s="3"/>
    </row>
    <row r="139" spans="1:24" ht="13.2">
      <c r="A139" s="3"/>
      <c r="B139" s="3"/>
      <c r="C139" s="2"/>
      <c r="D139" s="3"/>
      <c r="E139" s="3"/>
      <c r="F139" s="552"/>
      <c r="G139" s="283"/>
      <c r="H139" s="3"/>
      <c r="I139" s="3"/>
      <c r="J139" s="3"/>
      <c r="K139" s="3"/>
      <c r="L139" s="552"/>
      <c r="M139" s="283"/>
      <c r="N139" s="3"/>
      <c r="O139" s="3"/>
      <c r="P139" s="3"/>
      <c r="Q139" s="3"/>
      <c r="R139" s="3"/>
      <c r="S139" s="3"/>
      <c r="T139" s="3"/>
      <c r="U139" s="3"/>
      <c r="V139" s="3"/>
      <c r="W139" s="3"/>
      <c r="X139" s="3"/>
    </row>
    <row r="140" spans="1:24" ht="13.2">
      <c r="A140" s="3"/>
      <c r="B140" s="3"/>
      <c r="C140" s="2"/>
      <c r="D140" s="3"/>
      <c r="E140" s="3"/>
      <c r="F140" s="552"/>
      <c r="G140" s="283"/>
      <c r="H140" s="3"/>
      <c r="I140" s="3"/>
      <c r="J140" s="3"/>
      <c r="K140" s="3"/>
      <c r="L140" s="552"/>
      <c r="M140" s="283"/>
      <c r="N140" s="3"/>
      <c r="O140" s="3"/>
      <c r="P140" s="3"/>
      <c r="Q140" s="3"/>
      <c r="R140" s="3"/>
      <c r="S140" s="3"/>
      <c r="T140" s="3"/>
      <c r="U140" s="3"/>
      <c r="V140" s="3"/>
      <c r="W140" s="3"/>
      <c r="X140" s="3"/>
    </row>
    <row r="141" spans="1:24" ht="13.2">
      <c r="A141" s="3"/>
      <c r="B141" s="3"/>
      <c r="C141" s="2"/>
      <c r="D141" s="3"/>
      <c r="E141" s="3"/>
      <c r="F141" s="552"/>
      <c r="G141" s="283"/>
      <c r="H141" s="3"/>
      <c r="I141" s="3"/>
      <c r="J141" s="3"/>
      <c r="K141" s="3"/>
      <c r="L141" s="552"/>
      <c r="M141" s="283"/>
      <c r="N141" s="3"/>
      <c r="O141" s="3"/>
      <c r="P141" s="3"/>
      <c r="Q141" s="3"/>
      <c r="R141" s="3"/>
      <c r="S141" s="3"/>
      <c r="T141" s="3"/>
      <c r="U141" s="3"/>
      <c r="V141" s="3"/>
      <c r="W141" s="3"/>
      <c r="X141" s="3"/>
    </row>
    <row r="142" spans="1:24" ht="13.2">
      <c r="A142" s="3"/>
      <c r="B142" s="3"/>
      <c r="C142" s="2"/>
      <c r="D142" s="3"/>
      <c r="E142" s="3"/>
      <c r="F142" s="552"/>
      <c r="G142" s="283"/>
      <c r="H142" s="3"/>
      <c r="I142" s="3"/>
      <c r="J142" s="3"/>
      <c r="K142" s="3"/>
      <c r="L142" s="552"/>
      <c r="M142" s="283"/>
      <c r="N142" s="3"/>
      <c r="O142" s="3"/>
      <c r="P142" s="3"/>
      <c r="Q142" s="3"/>
      <c r="R142" s="3"/>
      <c r="S142" s="3"/>
      <c r="T142" s="3"/>
      <c r="U142" s="3"/>
      <c r="V142" s="3"/>
      <c r="W142" s="3"/>
      <c r="X142" s="3"/>
    </row>
    <row r="143" spans="1:24" ht="13.2">
      <c r="A143" s="3"/>
      <c r="B143" s="3"/>
      <c r="C143" s="2"/>
      <c r="D143" s="3"/>
      <c r="E143" s="3"/>
      <c r="F143" s="552"/>
      <c r="G143" s="283"/>
      <c r="H143" s="3"/>
      <c r="I143" s="3"/>
      <c r="J143" s="3"/>
      <c r="K143" s="3"/>
      <c r="L143" s="552"/>
      <c r="M143" s="283"/>
      <c r="N143" s="3"/>
      <c r="O143" s="3"/>
      <c r="P143" s="3"/>
      <c r="Q143" s="3"/>
      <c r="R143" s="3"/>
      <c r="S143" s="3"/>
      <c r="T143" s="3"/>
      <c r="U143" s="3"/>
      <c r="V143" s="3"/>
      <c r="W143" s="3"/>
      <c r="X143" s="3"/>
    </row>
    <row r="144" spans="1:24" ht="13.2">
      <c r="A144" s="3"/>
      <c r="B144" s="3"/>
      <c r="C144" s="2"/>
      <c r="D144" s="3"/>
      <c r="E144" s="3"/>
      <c r="F144" s="552"/>
      <c r="G144" s="283"/>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552"/>
      <c r="G145" s="283"/>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552"/>
      <c r="G146" s="283"/>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L128:M128"/>
    <mergeCell ref="L129:M129"/>
    <mergeCell ref="F123:G123"/>
    <mergeCell ref="H123:I123"/>
    <mergeCell ref="F124:G124"/>
    <mergeCell ref="H124:I124"/>
    <mergeCell ref="L123:M123"/>
    <mergeCell ref="L124:M124"/>
    <mergeCell ref="L125:M125"/>
    <mergeCell ref="L126:M126"/>
    <mergeCell ref="L127:M127"/>
    <mergeCell ref="F120:G120"/>
    <mergeCell ref="H120:I120"/>
    <mergeCell ref="L120:M120"/>
    <mergeCell ref="F121:G121"/>
    <mergeCell ref="H121:I121"/>
    <mergeCell ref="L121:M121"/>
    <mergeCell ref="F122:G122"/>
    <mergeCell ref="H122:I122"/>
    <mergeCell ref="L122:M122"/>
    <mergeCell ref="L115:M115"/>
    <mergeCell ref="C114:E114"/>
    <mergeCell ref="B116:D117"/>
    <mergeCell ref="F118:G118"/>
    <mergeCell ref="H118:I118"/>
    <mergeCell ref="L118:M118"/>
    <mergeCell ref="H119:I119"/>
    <mergeCell ref="L119:M119"/>
    <mergeCell ref="F119:G119"/>
    <mergeCell ref="C107:E107"/>
    <mergeCell ref="C108:E108"/>
    <mergeCell ref="C109:E109"/>
    <mergeCell ref="C110:E110"/>
    <mergeCell ref="C111:E111"/>
    <mergeCell ref="C112:E112"/>
    <mergeCell ref="C113:E113"/>
    <mergeCell ref="F115:G115"/>
    <mergeCell ref="H115:I115"/>
    <mergeCell ref="C98:E98"/>
    <mergeCell ref="C99:E99"/>
    <mergeCell ref="C100:E100"/>
    <mergeCell ref="C101:E101"/>
    <mergeCell ref="C102:E102"/>
    <mergeCell ref="C103:E103"/>
    <mergeCell ref="C104:E104"/>
    <mergeCell ref="C105:E105"/>
    <mergeCell ref="C106:E106"/>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F142:G142"/>
    <mergeCell ref="F143:G143"/>
    <mergeCell ref="F144:G144"/>
    <mergeCell ref="F145:G145"/>
    <mergeCell ref="F146:G146"/>
    <mergeCell ref="F135:G135"/>
    <mergeCell ref="F136:G136"/>
    <mergeCell ref="F137:G137"/>
    <mergeCell ref="F138:G138"/>
    <mergeCell ref="F139:G139"/>
    <mergeCell ref="F140:G140"/>
    <mergeCell ref="F141:G141"/>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C85:E85"/>
    <mergeCell ref="C86:E86"/>
    <mergeCell ref="C87:E87"/>
    <mergeCell ref="C88:E88"/>
    <mergeCell ref="C89:E89"/>
    <mergeCell ref="C90:E90"/>
    <mergeCell ref="C91:E91"/>
    <mergeCell ref="C92:E92"/>
    <mergeCell ref="C93:E93"/>
    <mergeCell ref="C76:E76"/>
    <mergeCell ref="C77:E77"/>
    <mergeCell ref="C78:E78"/>
    <mergeCell ref="C79:E79"/>
    <mergeCell ref="C80:E80"/>
    <mergeCell ref="C81:E81"/>
    <mergeCell ref="C82:E82"/>
    <mergeCell ref="C83:E83"/>
    <mergeCell ref="C84:E84"/>
    <mergeCell ref="C67:E67"/>
    <mergeCell ref="C68:E68"/>
    <mergeCell ref="C69:E69"/>
    <mergeCell ref="C70:E70"/>
    <mergeCell ref="C71:E71"/>
    <mergeCell ref="C72:E72"/>
    <mergeCell ref="C73:E73"/>
    <mergeCell ref="C74:E74"/>
    <mergeCell ref="C75:E75"/>
    <mergeCell ref="C58:E58"/>
    <mergeCell ref="C59:E59"/>
    <mergeCell ref="C60:E60"/>
    <mergeCell ref="C61:E61"/>
    <mergeCell ref="C62:E62"/>
    <mergeCell ref="C63:E63"/>
    <mergeCell ref="E64:P64"/>
    <mergeCell ref="C65:E65"/>
    <mergeCell ref="C66:E66"/>
    <mergeCell ref="C49:E49"/>
    <mergeCell ref="C50:E50"/>
    <mergeCell ref="C51:E51"/>
    <mergeCell ref="C52:E52"/>
    <mergeCell ref="C53:E53"/>
    <mergeCell ref="C54:E54"/>
    <mergeCell ref="C55:E55"/>
    <mergeCell ref="C56:E56"/>
    <mergeCell ref="C57:E57"/>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B13:P13"/>
    <mergeCell ref="C14:E14"/>
    <mergeCell ref="C15:E15"/>
    <mergeCell ref="C16:E16"/>
    <mergeCell ref="C17:E17"/>
    <mergeCell ref="C18:E18"/>
    <mergeCell ref="C19:E19"/>
    <mergeCell ref="C20:E20"/>
    <mergeCell ref="C21:E21"/>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INPUT DATA</vt:lpstr>
      <vt:lpstr>TERM 1 SUMMARY</vt:lpstr>
      <vt:lpstr>TERM 2 SUMMARY</vt:lpstr>
      <vt:lpstr>TERM 3 SUMMARY</vt:lpstr>
      <vt:lpstr>SF9 - GRADE 4-6</vt:lpstr>
      <vt:lpstr>ATTENDANCE RECORD SUMMARY</vt:lpstr>
      <vt:lpstr>'INPUT DATA'!Print_Area</vt:lpstr>
      <vt:lpstr>'SF9 - GRADE 4-6'!Print_Area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2026-09-02T09:26:18Z</cp:lastPrinted>
  <dcterms:created xsi:type="dcterms:W3CDTF">2026-08-26T09:34:32Z</dcterms:created>
  <dcterms:modified xsi:type="dcterms:W3CDTF">2026-09-03T00:40:54Z</dcterms:modified>
</cp:coreProperties>
</file>