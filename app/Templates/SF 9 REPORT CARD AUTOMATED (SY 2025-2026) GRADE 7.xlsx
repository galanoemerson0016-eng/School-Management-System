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G FILES\SY 2025-2026\NEW SF9 LEARNERS REPORT CARDS MATATAG\"/>
    </mc:Choice>
  </mc:AlternateContent>
  <xr:revisionPtr revIDLastSave="0" documentId="13_ncr:1_{F2A60DF2-18A0-4896-B343-3F10EB3D2228}" xr6:coauthVersionLast="47" xr6:coauthVersionMax="47" xr10:uidLastSave="{00000000-0000-0000-0000-000000000000}"/>
  <bookViews>
    <workbookView xWindow="-120" yWindow="-120" windowWidth="29040" windowHeight="15720" tabRatio="894" activeTab="3" xr2:uid="{00000000-000D-0000-FFFF-FFFF00000000}"/>
  </bookViews>
  <sheets>
    <sheet name="Instructions" sheetId="8" r:id="rId1"/>
    <sheet name="Class Info" sheetId="14" r:id="rId2"/>
    <sheet name="K-12 Front" sheetId="1" r:id="rId3"/>
    <sheet name="Grade 7 Inside" sheetId="12" r:id="rId4"/>
    <sheet name="QUARTER 1 GRADES" sheetId="15" r:id="rId5"/>
    <sheet name="QUARTER 2 GRADES" sheetId="16" r:id="rId6"/>
    <sheet name="QUARTER 3 GRADES" sheetId="17" r:id="rId7"/>
    <sheet name="QUARTER 4 GRADES" sheetId="18" r:id="rId8"/>
    <sheet name="FINAL SUMMARY" sheetId="19" r:id="rId9"/>
    <sheet name="K-12 Gr4-6 Inside" sheetId="9" state="hidden" r:id="rId10"/>
  </sheets>
  <definedNames>
    <definedName name="_xlnm.Print_Area" localSheetId="3">'Grade 7 Inside'!$A$1:$S$36</definedName>
    <definedName name="_xlnm.Print_Area" localSheetId="2">'K-12 Front'!$A$1:$AA$42</definedName>
    <definedName name="TRANSMUTATION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P12" i="12" l="1"/>
  <c r="P9" i="12"/>
  <c r="Q5" i="12"/>
  <c r="S12" i="12" s="1"/>
  <c r="R5" i="12" l="1"/>
  <c r="S5" i="12" s="1"/>
  <c r="R9" i="12"/>
  <c r="R12" i="12"/>
  <c r="S15" i="12"/>
  <c r="R15" i="12"/>
  <c r="S18" i="12"/>
  <c r="S21" i="12" s="1"/>
  <c r="S25" i="12" s="1"/>
  <c r="Q9" i="12"/>
  <c r="R18" i="12"/>
  <c r="R21" i="12" s="1"/>
  <c r="R25" i="12" s="1"/>
  <c r="S9" i="12"/>
  <c r="E16" i="12"/>
  <c r="D16" i="12"/>
  <c r="C16" i="12"/>
  <c r="B16" i="12"/>
  <c r="E13" i="12"/>
  <c r="D13" i="12"/>
  <c r="C13" i="12"/>
  <c r="B13" i="12"/>
  <c r="Q13" i="1"/>
  <c r="F16" i="12" l="1"/>
  <c r="P3" i="16"/>
  <c r="B24" i="12" l="1"/>
  <c r="B5" i="12"/>
  <c r="P3" i="15"/>
  <c r="O3" i="15" s="1"/>
  <c r="P4" i="15"/>
  <c r="O4" i="15" s="1"/>
  <c r="P5" i="15"/>
  <c r="O5" i="15" s="1"/>
  <c r="P6" i="15"/>
  <c r="O6" i="15" s="1"/>
  <c r="P7" i="15"/>
  <c r="O7" i="15" s="1"/>
  <c r="P8" i="15"/>
  <c r="O8" i="15" s="1"/>
  <c r="P9" i="15"/>
  <c r="O9" i="15" s="1"/>
  <c r="P10" i="15"/>
  <c r="O10" i="15" s="1"/>
  <c r="P11" i="15"/>
  <c r="O11" i="15" s="1"/>
  <c r="P12" i="15"/>
  <c r="O12" i="15" s="1"/>
  <c r="P13" i="15"/>
  <c r="O13" i="15" s="1"/>
  <c r="P14" i="15"/>
  <c r="O14" i="15" s="1"/>
  <c r="O15" i="15"/>
  <c r="P15" i="15"/>
  <c r="Q18" i="12" l="1"/>
  <c r="Q21" i="12" s="1"/>
  <c r="Q25" i="12" s="1"/>
  <c r="Q12" i="12"/>
  <c r="Q15" i="12"/>
  <c r="P18" i="12"/>
  <c r="P21" i="12" s="1"/>
  <c r="P25" i="12" s="1"/>
  <c r="P15" i="12"/>
  <c r="N9" i="1"/>
  <c r="P43" i="18" l="1"/>
  <c r="P42" i="18"/>
  <c r="P41" i="18"/>
  <c r="O41" i="18" s="1"/>
  <c r="P40" i="18"/>
  <c r="O40" i="18" s="1"/>
  <c r="P39" i="18"/>
  <c r="P38" i="18"/>
  <c r="O38" i="18" s="1"/>
  <c r="P37" i="18"/>
  <c r="P36" i="18"/>
  <c r="O36" i="18" s="1"/>
  <c r="P35" i="18"/>
  <c r="P34" i="18"/>
  <c r="O34" i="18" s="1"/>
  <c r="P33" i="18"/>
  <c r="O33" i="18" s="1"/>
  <c r="P32" i="18"/>
  <c r="O32" i="18" s="1"/>
  <c r="P31" i="18"/>
  <c r="P30" i="18"/>
  <c r="O30" i="18" s="1"/>
  <c r="P29" i="18"/>
  <c r="P28" i="18"/>
  <c r="O28" i="18" s="1"/>
  <c r="P27" i="18"/>
  <c r="P26" i="18"/>
  <c r="O26" i="18" s="1"/>
  <c r="P25" i="18"/>
  <c r="O25" i="18" s="1"/>
  <c r="P24" i="18"/>
  <c r="O24" i="18" s="1"/>
  <c r="P23" i="18"/>
  <c r="P22" i="18"/>
  <c r="P21" i="18"/>
  <c r="P20" i="18"/>
  <c r="O20" i="18" s="1"/>
  <c r="P19" i="18"/>
  <c r="P18" i="18"/>
  <c r="O18" i="18" s="1"/>
  <c r="P17" i="18"/>
  <c r="O17" i="18" s="1"/>
  <c r="P16" i="18"/>
  <c r="O16" i="18" s="1"/>
  <c r="P15" i="18"/>
  <c r="P14" i="18"/>
  <c r="O14" i="18" s="1"/>
  <c r="P13" i="18"/>
  <c r="P12" i="18"/>
  <c r="P11" i="18"/>
  <c r="P10" i="18"/>
  <c r="O10" i="18" s="1"/>
  <c r="P9" i="18"/>
  <c r="O9" i="18" s="1"/>
  <c r="P8" i="18"/>
  <c r="O8" i="18" s="1"/>
  <c r="P7" i="18"/>
  <c r="P6" i="18"/>
  <c r="P5" i="18"/>
  <c r="P4" i="18"/>
  <c r="O4" i="18" s="1"/>
  <c r="P3" i="18"/>
  <c r="P35" i="17"/>
  <c r="O35" i="17" s="1"/>
  <c r="P39" i="17"/>
  <c r="O39" i="17" s="1"/>
  <c r="P38" i="17"/>
  <c r="O38" i="17" s="1"/>
  <c r="P31" i="17"/>
  <c r="O31" i="17" s="1"/>
  <c r="P30" i="17"/>
  <c r="O30" i="17" s="1"/>
  <c r="P43" i="17"/>
  <c r="P42" i="17"/>
  <c r="P41" i="17"/>
  <c r="O41" i="17" s="1"/>
  <c r="P40" i="17"/>
  <c r="O40" i="17" s="1"/>
  <c r="P37" i="17"/>
  <c r="O37" i="17" s="1"/>
  <c r="P36" i="17"/>
  <c r="O36" i="17" s="1"/>
  <c r="P34" i="17"/>
  <c r="O34" i="17" s="1"/>
  <c r="P33" i="17"/>
  <c r="O33" i="17" s="1"/>
  <c r="P32" i="17"/>
  <c r="O32" i="17" s="1"/>
  <c r="P29" i="17"/>
  <c r="O29" i="17" s="1"/>
  <c r="P28" i="17"/>
  <c r="O28" i="17" s="1"/>
  <c r="P27" i="17"/>
  <c r="O27" i="17" s="1"/>
  <c r="P26" i="17"/>
  <c r="O26" i="17" s="1"/>
  <c r="P25" i="17"/>
  <c r="O25" i="17" s="1"/>
  <c r="P24" i="17"/>
  <c r="O24" i="17" s="1"/>
  <c r="P23" i="17"/>
  <c r="O23" i="17" s="1"/>
  <c r="P22" i="17"/>
  <c r="O22" i="17" s="1"/>
  <c r="P21" i="17"/>
  <c r="O21" i="17" s="1"/>
  <c r="P20" i="17"/>
  <c r="O20" i="17" s="1"/>
  <c r="P19" i="17"/>
  <c r="O19" i="17" s="1"/>
  <c r="P18" i="17"/>
  <c r="O18" i="17" s="1"/>
  <c r="P17" i="17"/>
  <c r="O17" i="17" s="1"/>
  <c r="P16" i="17"/>
  <c r="O16" i="17" s="1"/>
  <c r="P15" i="17"/>
  <c r="O15" i="17" s="1"/>
  <c r="P14" i="17"/>
  <c r="O14" i="17" s="1"/>
  <c r="P13" i="17"/>
  <c r="O13" i="17" s="1"/>
  <c r="P12" i="17"/>
  <c r="O12" i="17" s="1"/>
  <c r="P11" i="17"/>
  <c r="O11" i="17" s="1"/>
  <c r="P10" i="17"/>
  <c r="O10" i="17" s="1"/>
  <c r="P9" i="17"/>
  <c r="O9" i="17" s="1"/>
  <c r="P8" i="17"/>
  <c r="P7" i="17"/>
  <c r="P6" i="17"/>
  <c r="P5" i="17"/>
  <c r="P4" i="17"/>
  <c r="P3" i="17"/>
  <c r="P9" i="16"/>
  <c r="O9" i="16" s="1"/>
  <c r="P40" i="16"/>
  <c r="O40" i="16" s="1"/>
  <c r="P41" i="16"/>
  <c r="O41" i="16" s="1"/>
  <c r="P36" i="16"/>
  <c r="O36" i="16" s="1"/>
  <c r="P37" i="16"/>
  <c r="O37" i="16" s="1"/>
  <c r="P38" i="16"/>
  <c r="O38" i="16" s="1"/>
  <c r="P39" i="16"/>
  <c r="O39" i="16" s="1"/>
  <c r="P42" i="16"/>
  <c r="O42" i="16" s="1"/>
  <c r="P43" i="16"/>
  <c r="O43" i="16" s="1"/>
  <c r="Q6" i="18" l="1"/>
  <c r="Q5" i="18"/>
  <c r="Q12" i="18"/>
  <c r="Q37" i="18"/>
  <c r="Q22" i="18"/>
  <c r="Q27" i="18"/>
  <c r="O6" i="18"/>
  <c r="Q14" i="18"/>
  <c r="Q18" i="18"/>
  <c r="Q23" i="18"/>
  <c r="Q32" i="18"/>
  <c r="Q10" i="18"/>
  <c r="Q19" i="18"/>
  <c r="Q38" i="18"/>
  <c r="Q7" i="18"/>
  <c r="Q11" i="18"/>
  <c r="Q29" i="18"/>
  <c r="Q39" i="18"/>
  <c r="Q15" i="18"/>
  <c r="Q3" i="18"/>
  <c r="O12" i="18"/>
  <c r="Q25" i="18"/>
  <c r="Q17" i="18"/>
  <c r="Q21" i="18"/>
  <c r="Q31" i="18"/>
  <c r="Q42" i="18"/>
  <c r="Q20" i="18"/>
  <c r="Q30" i="18"/>
  <c r="Q35" i="18"/>
  <c r="Q4" i="18"/>
  <c r="Q9" i="18"/>
  <c r="Q13" i="18"/>
  <c r="O22" i="18"/>
  <c r="Q43" i="18"/>
  <c r="Q24" i="18"/>
  <c r="O7" i="18"/>
  <c r="O15" i="18"/>
  <c r="O23" i="18"/>
  <c r="O31" i="18"/>
  <c r="Q33" i="18"/>
  <c r="O39" i="18"/>
  <c r="Q41" i="18"/>
  <c r="Q36" i="18"/>
  <c r="O42" i="18"/>
  <c r="Q28" i="18"/>
  <c r="O5" i="18"/>
  <c r="O13" i="18"/>
  <c r="O21" i="18"/>
  <c r="O29" i="18"/>
  <c r="O37" i="18"/>
  <c r="Q26" i="18"/>
  <c r="Q34" i="18"/>
  <c r="O3" i="18"/>
  <c r="O11" i="18"/>
  <c r="O19" i="18"/>
  <c r="O27" i="18"/>
  <c r="O35" i="18"/>
  <c r="O43" i="18"/>
  <c r="Q8" i="18"/>
  <c r="Q40" i="18"/>
  <c r="Q16" i="18"/>
  <c r="Q43" i="17"/>
  <c r="Q13" i="17"/>
  <c r="Q21" i="17"/>
  <c r="Q29" i="17"/>
  <c r="Q37" i="17"/>
  <c r="O7" i="17"/>
  <c r="Q7" i="17"/>
  <c r="Q35" i="17"/>
  <c r="Q11" i="17"/>
  <c r="Q25" i="17"/>
  <c r="O5" i="17"/>
  <c r="Q5" i="17"/>
  <c r="Q36" i="17"/>
  <c r="Q34" i="17"/>
  <c r="Q30" i="17"/>
  <c r="Q20" i="17"/>
  <c r="Q16" i="17"/>
  <c r="Q10" i="17"/>
  <c r="Q38" i="17"/>
  <c r="Q24" i="17"/>
  <c r="Q14" i="17"/>
  <c r="Q40" i="17"/>
  <c r="Q28" i="17"/>
  <c r="Q26" i="17"/>
  <c r="Q22" i="17"/>
  <c r="Q18" i="17"/>
  <c r="Q12" i="17"/>
  <c r="Q3" i="17"/>
  <c r="O3" i="17"/>
  <c r="Q32" i="17"/>
  <c r="Q19" i="17"/>
  <c r="Q4" i="17"/>
  <c r="Q17" i="17"/>
  <c r="Q33" i="17"/>
  <c r="Q15" i="17"/>
  <c r="Q31" i="17"/>
  <c r="Q39" i="17"/>
  <c r="Q42" i="17"/>
  <c r="Q8" i="17"/>
  <c r="Q27" i="17"/>
  <c r="Q9" i="17"/>
  <c r="Q41" i="17"/>
  <c r="Q23" i="17"/>
  <c r="Q6" i="17"/>
  <c r="O42" i="17"/>
  <c r="O4" i="17"/>
  <c r="O6" i="17"/>
  <c r="O8" i="17"/>
  <c r="O43" i="17"/>
  <c r="P36" i="15"/>
  <c r="O36" i="15" s="1"/>
  <c r="P19" i="15" l="1"/>
  <c r="O19" i="15" l="1"/>
  <c r="P35" i="15"/>
  <c r="P37" i="15"/>
  <c r="P38" i="15"/>
  <c r="P39" i="15"/>
  <c r="P40" i="15"/>
  <c r="P41" i="15"/>
  <c r="P42" i="15"/>
  <c r="P43" i="15"/>
  <c r="C12" i="1"/>
  <c r="D12" i="1"/>
  <c r="E12" i="1"/>
  <c r="F12" i="1"/>
  <c r="G12" i="1"/>
  <c r="I12" i="1"/>
  <c r="J12" i="1"/>
  <c r="K12" i="1"/>
  <c r="B12" i="1"/>
  <c r="C24" i="12"/>
  <c r="D24" i="12"/>
  <c r="E24" i="12"/>
  <c r="E5" i="12"/>
  <c r="C5" i="12"/>
  <c r="D5" i="12"/>
  <c r="E7" i="12"/>
  <c r="B7" i="12"/>
  <c r="C7" i="12"/>
  <c r="D7" i="12"/>
  <c r="E9" i="12"/>
  <c r="B9" i="12"/>
  <c r="C9" i="12"/>
  <c r="D9" i="12"/>
  <c r="E11" i="12"/>
  <c r="B11" i="12"/>
  <c r="C11" i="12"/>
  <c r="D11" i="12"/>
  <c r="E19" i="12"/>
  <c r="B19" i="12"/>
  <c r="C19" i="12"/>
  <c r="D19" i="12"/>
  <c r="E22" i="12"/>
  <c r="B22" i="12"/>
  <c r="C22" i="12"/>
  <c r="D22" i="12"/>
  <c r="N15" i="1"/>
  <c r="P29" i="16"/>
  <c r="O29" i="16" s="1"/>
  <c r="P4" i="16"/>
  <c r="O4" i="16" s="1"/>
  <c r="P5" i="16"/>
  <c r="O5" i="16" s="1"/>
  <c r="P6" i="16"/>
  <c r="O6" i="16" s="1"/>
  <c r="P7" i="16"/>
  <c r="O7" i="16" s="1"/>
  <c r="P8" i="16"/>
  <c r="O8" i="16" s="1"/>
  <c r="P10" i="16"/>
  <c r="O10" i="16" s="1"/>
  <c r="P11" i="16"/>
  <c r="O11" i="16" s="1"/>
  <c r="P12" i="16"/>
  <c r="P13" i="16"/>
  <c r="O13" i="16" s="1"/>
  <c r="P14" i="16"/>
  <c r="O14" i="16" s="1"/>
  <c r="P15" i="16"/>
  <c r="O15" i="16" s="1"/>
  <c r="P16" i="16"/>
  <c r="O16" i="16" s="1"/>
  <c r="P17" i="16"/>
  <c r="O17" i="16" s="1"/>
  <c r="P18" i="16"/>
  <c r="O18" i="16" s="1"/>
  <c r="P19" i="16"/>
  <c r="O19" i="16" s="1"/>
  <c r="P20" i="16"/>
  <c r="O20" i="16" s="1"/>
  <c r="P21" i="16"/>
  <c r="O21" i="16" s="1"/>
  <c r="P22" i="16"/>
  <c r="O22" i="16" s="1"/>
  <c r="P23" i="16"/>
  <c r="O23" i="16" s="1"/>
  <c r="P24" i="16"/>
  <c r="O24" i="16" s="1"/>
  <c r="P25" i="16"/>
  <c r="O25" i="16" s="1"/>
  <c r="P26" i="16"/>
  <c r="O26" i="16" s="1"/>
  <c r="P27" i="16"/>
  <c r="O27" i="16" s="1"/>
  <c r="P28" i="16"/>
  <c r="O28" i="16" s="1"/>
  <c r="P30" i="16"/>
  <c r="O30" i="16" s="1"/>
  <c r="P31" i="16"/>
  <c r="O31" i="16" s="1"/>
  <c r="P32" i="16"/>
  <c r="P33" i="16"/>
  <c r="O33" i="16" s="1"/>
  <c r="P34" i="16"/>
  <c r="O34" i="16" s="1"/>
  <c r="P35" i="16"/>
  <c r="P28" i="15"/>
  <c r="P24" i="15"/>
  <c r="P25" i="15"/>
  <c r="P26" i="15"/>
  <c r="P27" i="15"/>
  <c r="P29" i="15"/>
  <c r="P30" i="15"/>
  <c r="P31" i="15"/>
  <c r="P32" i="15"/>
  <c r="P33" i="15"/>
  <c r="P34" i="15"/>
  <c r="P23" i="15"/>
  <c r="P16" i="15"/>
  <c r="P17" i="15"/>
  <c r="P18" i="15"/>
  <c r="P20" i="15"/>
  <c r="P21" i="15"/>
  <c r="P22" i="15"/>
  <c r="B23" i="12"/>
  <c r="C23" i="12"/>
  <c r="D23" i="12"/>
  <c r="E23" i="12"/>
  <c r="AS11" i="19"/>
  <c r="AI13" i="19"/>
  <c r="AS28" i="19"/>
  <c r="AN28" i="19"/>
  <c r="AI28" i="19"/>
  <c r="AD28" i="19"/>
  <c r="Y28" i="19"/>
  <c r="T28" i="19"/>
  <c r="O28" i="19"/>
  <c r="J28" i="19"/>
  <c r="X13" i="1"/>
  <c r="U13" i="1"/>
  <c r="AS39" i="19" l="1"/>
  <c r="F5" i="12"/>
  <c r="E25" i="12"/>
  <c r="E26" i="12" s="1"/>
  <c r="F19" i="12"/>
  <c r="C25" i="12"/>
  <c r="C26" i="12" s="1"/>
  <c r="B25" i="12"/>
  <c r="B26" i="12" s="1"/>
  <c r="D25" i="12"/>
  <c r="D26" i="12" s="1"/>
  <c r="AS40" i="19"/>
  <c r="AI12" i="19"/>
  <c r="AN25" i="19"/>
  <c r="AN40" i="19"/>
  <c r="AN31" i="19"/>
  <c r="Q9" i="15"/>
  <c r="AI31" i="19"/>
  <c r="AN20" i="19"/>
  <c r="AN35" i="19"/>
  <c r="T40" i="19"/>
  <c r="T17" i="19"/>
  <c r="J35" i="19"/>
  <c r="AD32" i="19"/>
  <c r="O34" i="19"/>
  <c r="J17" i="19"/>
  <c r="AI35" i="19"/>
  <c r="N12" i="1"/>
  <c r="T13" i="19"/>
  <c r="T36" i="19"/>
  <c r="AS13" i="19"/>
  <c r="Y36" i="19"/>
  <c r="AD36" i="19"/>
  <c r="AD21" i="19"/>
  <c r="AD19" i="19"/>
  <c r="AS27" i="19"/>
  <c r="O24" i="19"/>
  <c r="O16" i="19"/>
  <c r="AS26" i="19"/>
  <c r="AS37" i="19"/>
  <c r="O15" i="19"/>
  <c r="O23" i="19"/>
  <c r="Y19" i="19"/>
  <c r="AS29" i="19"/>
  <c r="T41" i="19"/>
  <c r="Y18" i="19"/>
  <c r="AD33" i="19"/>
  <c r="AS41" i="19"/>
  <c r="T12" i="19"/>
  <c r="T35" i="19"/>
  <c r="O39" i="19"/>
  <c r="AN27" i="19"/>
  <c r="AN29" i="19"/>
  <c r="AN19" i="19"/>
  <c r="AN34" i="19"/>
  <c r="J26" i="19"/>
  <c r="J18" i="19"/>
  <c r="AS38" i="19"/>
  <c r="AD22" i="19"/>
  <c r="O29" i="19"/>
  <c r="T16" i="19"/>
  <c r="AD13" i="19"/>
  <c r="AS16" i="19"/>
  <c r="J27" i="19"/>
  <c r="J19" i="19"/>
  <c r="Y27" i="19"/>
  <c r="AS19" i="19"/>
  <c r="AD12" i="19"/>
  <c r="T25" i="19"/>
  <c r="O11" i="19"/>
  <c r="O35" i="19"/>
  <c r="AS30" i="19"/>
  <c r="AS25" i="19"/>
  <c r="J38" i="19"/>
  <c r="O12" i="19"/>
  <c r="Y14" i="19"/>
  <c r="AD24" i="19"/>
  <c r="AD15" i="19"/>
  <c r="AN24" i="19"/>
  <c r="AN16" i="19"/>
  <c r="AN39" i="19"/>
  <c r="AS24" i="19"/>
  <c r="T18" i="19"/>
  <c r="AN38" i="19"/>
  <c r="AS23" i="19"/>
  <c r="AD39" i="19"/>
  <c r="AD30" i="19"/>
  <c r="AS32" i="19"/>
  <c r="O12" i="16"/>
  <c r="Q9" i="16"/>
  <c r="J34" i="19"/>
  <c r="O19" i="19"/>
  <c r="O38" i="19"/>
  <c r="Y13" i="19"/>
  <c r="AN14" i="19"/>
  <c r="T11" i="19"/>
  <c r="AI21" i="19"/>
  <c r="AI36" i="19"/>
  <c r="AS22" i="19"/>
  <c r="AS15" i="19"/>
  <c r="Y37" i="19"/>
  <c r="O30" i="19"/>
  <c r="J23" i="19"/>
  <c r="T33" i="19"/>
  <c r="Y35" i="19"/>
  <c r="AD11" i="19"/>
  <c r="AD20" i="19"/>
  <c r="AD41" i="19"/>
  <c r="AN12" i="19"/>
  <c r="J13" i="19"/>
  <c r="AN22" i="19"/>
  <c r="T26" i="19"/>
  <c r="AI29" i="19"/>
  <c r="J14" i="19"/>
  <c r="Y25" i="19"/>
  <c r="Y17" i="19"/>
  <c r="AD26" i="19"/>
  <c r="AD17" i="19"/>
  <c r="AI33" i="19"/>
  <c r="AN26" i="19"/>
  <c r="AN18" i="19"/>
  <c r="AN41" i="19"/>
  <c r="AN33" i="19"/>
  <c r="Y22" i="19"/>
  <c r="O27" i="19"/>
  <c r="Y21" i="19"/>
  <c r="AD38" i="19"/>
  <c r="AI25" i="19"/>
  <c r="AN17" i="19"/>
  <c r="J20" i="19"/>
  <c r="AN37" i="19"/>
  <c r="AS12" i="19"/>
  <c r="AD25" i="19"/>
  <c r="O22" i="19"/>
  <c r="Y26" i="19"/>
  <c r="Y41" i="19"/>
  <c r="Y32" i="19"/>
  <c r="AD35" i="19"/>
  <c r="AS31" i="19"/>
  <c r="O32" i="16"/>
  <c r="Q37" i="16"/>
  <c r="Q39" i="16"/>
  <c r="Q40" i="16"/>
  <c r="Q42" i="16"/>
  <c r="Q43" i="16"/>
  <c r="Q41" i="16"/>
  <c r="Q36" i="16"/>
  <c r="Q35" i="16"/>
  <c r="Q38" i="16"/>
  <c r="AN36" i="19"/>
  <c r="AN32" i="19"/>
  <c r="AN23" i="19"/>
  <c r="AN15" i="19"/>
  <c r="AN30" i="19"/>
  <c r="AN21" i="19"/>
  <c r="AN13" i="19"/>
  <c r="AN11" i="19"/>
  <c r="AI22" i="19"/>
  <c r="AI27" i="19"/>
  <c r="AI34" i="19"/>
  <c r="AI11" i="19"/>
  <c r="AI18" i="19"/>
  <c r="AI40" i="19"/>
  <c r="AI16" i="19"/>
  <c r="AI23" i="19"/>
  <c r="AI15" i="19"/>
  <c r="AI38" i="19"/>
  <c r="T39" i="19"/>
  <c r="T31" i="19"/>
  <c r="T21" i="19"/>
  <c r="T24" i="19"/>
  <c r="T15" i="19"/>
  <c r="T37" i="19"/>
  <c r="T14" i="19"/>
  <c r="T23" i="19"/>
  <c r="O13" i="19"/>
  <c r="O21" i="19"/>
  <c r="O40" i="19"/>
  <c r="O32" i="19"/>
  <c r="Y29" i="19"/>
  <c r="Y40" i="19"/>
  <c r="Y34" i="19"/>
  <c r="J40" i="19"/>
  <c r="J31" i="19"/>
  <c r="J15" i="19"/>
  <c r="J25" i="19"/>
  <c r="J37" i="19"/>
  <c r="AS36" i="19"/>
  <c r="Q31" i="16"/>
  <c r="Q15" i="16"/>
  <c r="AS21" i="19"/>
  <c r="AS18" i="19"/>
  <c r="O35" i="16"/>
  <c r="Q6" i="16"/>
  <c r="Q23" i="16"/>
  <c r="Q5" i="16"/>
  <c r="Q19" i="16"/>
  <c r="Q11" i="16"/>
  <c r="Q27" i="16"/>
  <c r="J36" i="19"/>
  <c r="O20" i="19"/>
  <c r="O31" i="19"/>
  <c r="T22" i="19"/>
  <c r="Y23" i="19"/>
  <c r="Y15" i="19"/>
  <c r="Y38" i="19"/>
  <c r="AD31" i="19"/>
  <c r="AI19" i="19"/>
  <c r="AS17" i="19"/>
  <c r="AS14" i="19"/>
  <c r="Q33" i="16"/>
  <c r="Q29" i="16"/>
  <c r="Q25" i="16"/>
  <c r="Q21" i="16"/>
  <c r="Q17" i="16"/>
  <c r="Q13" i="16"/>
  <c r="Q8" i="16"/>
  <c r="Q4" i="16"/>
  <c r="O3" i="16"/>
  <c r="O14" i="19"/>
  <c r="AD16" i="19"/>
  <c r="AI26" i="19"/>
  <c r="AI41" i="19"/>
  <c r="O33" i="19"/>
  <c r="J24" i="19"/>
  <c r="J11" i="19"/>
  <c r="J22" i="19"/>
  <c r="J16" i="19"/>
  <c r="J33" i="19"/>
  <c r="O26" i="19"/>
  <c r="O18" i="19"/>
  <c r="O37" i="19"/>
  <c r="T20" i="19"/>
  <c r="Y31" i="19"/>
  <c r="AD37" i="19"/>
  <c r="AD29" i="19"/>
  <c r="AI17" i="19"/>
  <c r="AI32" i="19"/>
  <c r="AS35" i="19"/>
  <c r="Q32" i="16"/>
  <c r="Q28" i="16"/>
  <c r="Q24" i="16"/>
  <c r="Q20" i="16"/>
  <c r="Q16" i="16"/>
  <c r="Q12" i="16"/>
  <c r="Q7" i="16"/>
  <c r="Q3" i="16"/>
  <c r="J12" i="19"/>
  <c r="J21" i="19"/>
  <c r="J41" i="19"/>
  <c r="J32" i="19"/>
  <c r="O25" i="19"/>
  <c r="O17" i="19"/>
  <c r="O36" i="19"/>
  <c r="T27" i="19"/>
  <c r="T19" i="19"/>
  <c r="T29" i="19"/>
  <c r="T34" i="19"/>
  <c r="Y11" i="19"/>
  <c r="Y20" i="19"/>
  <c r="Y12" i="19"/>
  <c r="Y30" i="19"/>
  <c r="AD23" i="19"/>
  <c r="AD14" i="19"/>
  <c r="AI24" i="19"/>
  <c r="AI39" i="19"/>
  <c r="AS34" i="19"/>
  <c r="AI30" i="19"/>
  <c r="AS33" i="19"/>
  <c r="J39" i="19"/>
  <c r="J30" i="19"/>
  <c r="J29" i="19"/>
  <c r="T32" i="19"/>
  <c r="AD34" i="19"/>
  <c r="AI14" i="19"/>
  <c r="AI37" i="19"/>
  <c r="AS20" i="19"/>
  <c r="Q34" i="16"/>
  <c r="Q30" i="16"/>
  <c r="Q26" i="16"/>
  <c r="Q22" i="16"/>
  <c r="Q18" i="16"/>
  <c r="Q14" i="16"/>
  <c r="Q10" i="16"/>
  <c r="O41" i="19"/>
  <c r="T38" i="19"/>
  <c r="T30" i="19"/>
  <c r="Y24" i="19"/>
  <c r="Y16" i="19"/>
  <c r="Y39" i="19"/>
  <c r="Y33" i="19"/>
  <c r="AD27" i="19"/>
  <c r="AD18" i="19"/>
  <c r="AD40" i="19"/>
  <c r="AI20" i="19"/>
  <c r="Q19" i="15"/>
  <c r="AT28" i="19"/>
  <c r="AU28" i="19" s="1"/>
  <c r="O20" i="15"/>
  <c r="Q20" i="15"/>
  <c r="O28" i="15"/>
  <c r="Q28" i="15"/>
  <c r="O21" i="15"/>
  <c r="Q21" i="15"/>
  <c r="Q11" i="15"/>
  <c r="O23" i="15"/>
  <c r="Q23" i="15"/>
  <c r="O26" i="15"/>
  <c r="Q26" i="15"/>
  <c r="O41" i="15"/>
  <c r="Q41" i="15"/>
  <c r="O40" i="15"/>
  <c r="Q40" i="15"/>
  <c r="O39" i="15"/>
  <c r="Q39" i="15"/>
  <c r="O25" i="15"/>
  <c r="Q25" i="15"/>
  <c r="O18" i="15"/>
  <c r="Q18" i="15"/>
  <c r="O17" i="15"/>
  <c r="Q17" i="15"/>
  <c r="Q6" i="15"/>
  <c r="O32" i="15"/>
  <c r="Q32" i="15"/>
  <c r="O38" i="15"/>
  <c r="Q38" i="15"/>
  <c r="Q7" i="15"/>
  <c r="O33" i="15"/>
  <c r="Q33" i="15"/>
  <c r="O24" i="15"/>
  <c r="Q24" i="15"/>
  <c r="O16" i="15"/>
  <c r="Q16" i="15"/>
  <c r="Q8" i="15"/>
  <c r="O31" i="15"/>
  <c r="Q31" i="15"/>
  <c r="O37" i="15"/>
  <c r="Q37" i="15"/>
  <c r="O35" i="15"/>
  <c r="Q35" i="15"/>
  <c r="Q10" i="15"/>
  <c r="Q4" i="15"/>
  <c r="O30" i="15"/>
  <c r="Q30" i="15"/>
  <c r="Q13" i="15"/>
  <c r="Q14" i="15"/>
  <c r="O29" i="15"/>
  <c r="Q29" i="15"/>
  <c r="O43" i="15"/>
  <c r="Q43" i="15"/>
  <c r="O34" i="15"/>
  <c r="Q34" i="15"/>
  <c r="Q15" i="15"/>
  <c r="Q3" i="15"/>
  <c r="Q36" i="15"/>
  <c r="O22" i="15"/>
  <c r="Q22" i="15"/>
  <c r="Q12" i="15"/>
  <c r="Q5" i="15"/>
  <c r="O27" i="15"/>
  <c r="Q27" i="15"/>
  <c r="O42" i="15"/>
  <c r="Q42" i="15"/>
  <c r="F11" i="12"/>
  <c r="F7" i="12"/>
  <c r="F23" i="12"/>
  <c r="F24" i="12"/>
  <c r="F22" i="12"/>
  <c r="F13" i="12"/>
  <c r="F9" i="12"/>
  <c r="F27" i="12" l="1"/>
  <c r="F25" i="12"/>
  <c r="F26" i="12"/>
  <c r="AT19" i="19"/>
  <c r="AU19" i="19" s="1"/>
  <c r="AT31" i="19"/>
  <c r="AU31" i="19" s="1"/>
  <c r="AT13" i="19"/>
  <c r="AU13" i="19" s="1"/>
  <c r="AT27" i="19"/>
  <c r="AU27" i="19" s="1"/>
  <c r="AT35" i="19"/>
  <c r="AU35" i="19" s="1"/>
  <c r="AT21" i="19"/>
  <c r="AU21" i="19" s="1"/>
  <c r="AT36" i="19"/>
  <c r="AU36" i="19" s="1"/>
  <c r="AT26" i="19"/>
  <c r="AU26" i="19" s="1"/>
  <c r="AT34" i="19"/>
  <c r="AU34" i="19" s="1"/>
  <c r="AT15" i="19"/>
  <c r="AU15" i="19" s="1"/>
  <c r="AT22" i="19"/>
  <c r="AU22" i="19" s="1"/>
  <c r="AT18" i="19"/>
  <c r="AU18" i="19" s="1"/>
  <c r="AT17" i="19"/>
  <c r="AU17" i="19" s="1"/>
  <c r="AT25" i="19"/>
  <c r="AU25" i="19" s="1"/>
  <c r="AT12" i="19"/>
  <c r="AU12" i="19" s="1"/>
  <c r="AT38" i="19"/>
  <c r="AU38" i="19" s="1"/>
  <c r="AT40" i="19"/>
  <c r="AU40" i="19" s="1"/>
  <c r="AT39" i="19"/>
  <c r="AU39" i="19" s="1"/>
  <c r="AT16" i="19"/>
  <c r="AU16" i="19" s="1"/>
  <c r="AT24" i="19"/>
  <c r="AU24" i="19" s="1"/>
  <c r="AT32" i="19"/>
  <c r="AU32" i="19" s="1"/>
  <c r="AT20" i="19"/>
  <c r="AU20" i="19" s="1"/>
  <c r="AT23" i="19"/>
  <c r="AU23" i="19" s="1"/>
  <c r="AT29" i="19"/>
  <c r="AU29" i="19" s="1"/>
  <c r="AT41" i="19"/>
  <c r="AU41" i="19" s="1"/>
  <c r="AT11" i="19"/>
  <c r="AU11" i="19" s="1"/>
  <c r="AT30" i="19"/>
  <c r="AU30" i="19" s="1"/>
  <c r="AT37" i="19"/>
  <c r="AU37" i="19" s="1"/>
  <c r="AT33" i="19"/>
  <c r="AU33" i="19" s="1"/>
  <c r="AT14" i="19"/>
  <c r="AU14" i="19" s="1"/>
</calcChain>
</file>

<file path=xl/sharedStrings.xml><?xml version="1.0" encoding="utf-8"?>
<sst xmlns="http://schemas.openxmlformats.org/spreadsheetml/2006/main" count="553" uniqueCount="182">
  <si>
    <t>Use short (8.5 X 11 board paper)</t>
  </si>
  <si>
    <t>Republic of the Philippines</t>
  </si>
  <si>
    <t>REPORT ON ATTENDANCE</t>
  </si>
  <si>
    <t>DEPARTMENT OF EDUCATION</t>
  </si>
  <si>
    <t>Region IV-A (CALABARZON)</t>
  </si>
  <si>
    <t>October</t>
  </si>
  <si>
    <t>November</t>
  </si>
  <si>
    <t>December</t>
  </si>
  <si>
    <t>January</t>
  </si>
  <si>
    <t>February</t>
  </si>
  <si>
    <t>March</t>
  </si>
  <si>
    <t>Total</t>
  </si>
  <si>
    <t>No. of school days</t>
  </si>
  <si>
    <t>LEARNER'S PROGRESS REPORT CARD</t>
  </si>
  <si>
    <t>No. of days present</t>
  </si>
  <si>
    <t>Name:</t>
  </si>
  <si>
    <t>Age:</t>
  </si>
  <si>
    <t>Sex:</t>
  </si>
  <si>
    <t>LRN:</t>
  </si>
  <si>
    <t xml:space="preserve">Grade: </t>
  </si>
  <si>
    <t xml:space="preserve">Section: </t>
  </si>
  <si>
    <t>No. of days absent</t>
  </si>
  <si>
    <t xml:space="preserve">School Year: </t>
  </si>
  <si>
    <t>Dear Parent:</t>
  </si>
  <si>
    <t>This report card shows the ability and progress your child has</t>
  </si>
  <si>
    <t>made in the different learning areas as well as his/her core values.</t>
  </si>
  <si>
    <t>The school welcomes you if you desire to know more about your</t>
  </si>
  <si>
    <t>child's progress.</t>
  </si>
  <si>
    <t>PARENT'S/GUARDIAN'S SIGNATURE</t>
  </si>
  <si>
    <t>Teacher</t>
  </si>
  <si>
    <t>Principal</t>
  </si>
  <si>
    <t>Certificate of Transfer</t>
  </si>
  <si>
    <t>Admitted to Grade:</t>
  </si>
  <si>
    <t>Section:</t>
  </si>
  <si>
    <t>Eligibility for Admission to Grade:</t>
  </si>
  <si>
    <t>Approved:</t>
  </si>
  <si>
    <t>Cancellation of Eligibility to Transfer</t>
  </si>
  <si>
    <t>Admitted in:</t>
  </si>
  <si>
    <t>Date:</t>
  </si>
  <si>
    <t>REPORT ON LEARNING PROGRESS AND ACHIEVEMENT</t>
  </si>
  <si>
    <t>REPORT ON LEARNER'S OBSERVED VALUES</t>
  </si>
  <si>
    <t>Learning Areas</t>
  </si>
  <si>
    <t>QUARTER</t>
  </si>
  <si>
    <t>Final</t>
  </si>
  <si>
    <t>Remarks</t>
  </si>
  <si>
    <t>Core Values</t>
  </si>
  <si>
    <t>Behavior Statements</t>
  </si>
  <si>
    <t>Grade</t>
  </si>
  <si>
    <t>Expresses one's spiritual beliefs while respecting the spiritual beliefs of others.</t>
  </si>
  <si>
    <t>Filipino</t>
  </si>
  <si>
    <t>1.  Maka-</t>
  </si>
  <si>
    <t xml:space="preserve">     Diyos</t>
  </si>
  <si>
    <t>English</t>
  </si>
  <si>
    <t>Shows adherence to ethical principles by upholding truth</t>
  </si>
  <si>
    <t>Mathematics</t>
  </si>
  <si>
    <t>2.  Makatao</t>
  </si>
  <si>
    <t>Is sensitive to individual, social and cultural differences</t>
  </si>
  <si>
    <t>Araling Panlipunan (AP)</t>
  </si>
  <si>
    <t>Demonstrates constributions toward solidarity</t>
  </si>
  <si>
    <t>MAPEH</t>
  </si>
  <si>
    <t>3.  Maka-</t>
  </si>
  <si>
    <t>Cares for the environment and utilizes resources wisely, judiciously, and economically</t>
  </si>
  <si>
    <t xml:space="preserve">     Kalikasan</t>
  </si>
  <si>
    <t>Edukasyon sa Pagpapakatao (EsP)</t>
  </si>
  <si>
    <t>Demonstrates pride in being a Filipino; exercises the rights and responsibilities of a Filipino citizen</t>
  </si>
  <si>
    <t>General Average</t>
  </si>
  <si>
    <t>4.   Maka-</t>
  </si>
  <si>
    <t xml:space="preserve">      bansa</t>
  </si>
  <si>
    <t>Demonstrates appropriate behavior in carrying out activities in the school, community, and country</t>
  </si>
  <si>
    <t xml:space="preserve">         Description</t>
  </si>
  <si>
    <t>Grading Scale</t>
  </si>
  <si>
    <t>Marking</t>
  </si>
  <si>
    <t>Non-numerical Rating</t>
  </si>
  <si>
    <t xml:space="preserve">          Outstanding</t>
  </si>
  <si>
    <t>90-100</t>
  </si>
  <si>
    <t>Passed</t>
  </si>
  <si>
    <t>AO</t>
  </si>
  <si>
    <t>Always Observed</t>
  </si>
  <si>
    <t xml:space="preserve">          Very Satisfactory</t>
  </si>
  <si>
    <t>85-89</t>
  </si>
  <si>
    <t>SO</t>
  </si>
  <si>
    <t>Sometimes Observed</t>
  </si>
  <si>
    <t xml:space="preserve">          Satisfactory</t>
  </si>
  <si>
    <t>80-84</t>
  </si>
  <si>
    <t>RO</t>
  </si>
  <si>
    <t>Rarely Observed</t>
  </si>
  <si>
    <t xml:space="preserve">          Fairly Satisfactory</t>
  </si>
  <si>
    <t>75-79</t>
  </si>
  <si>
    <t>NO</t>
  </si>
  <si>
    <t>Not Observed</t>
  </si>
  <si>
    <t xml:space="preserve">          Did Not Meet Expectations</t>
  </si>
  <si>
    <t>Below 75</t>
  </si>
  <si>
    <t>Failed</t>
  </si>
  <si>
    <t>Science</t>
  </si>
  <si>
    <t>Edukasyong Pantahanan at Pangkabuhayan (EPP)</t>
  </si>
  <si>
    <t xml:space="preserve">Science </t>
  </si>
  <si>
    <t xml:space="preserve">     Music</t>
  </si>
  <si>
    <t xml:space="preserve">     Arts</t>
  </si>
  <si>
    <t xml:space="preserve">     PE</t>
  </si>
  <si>
    <t xml:space="preserve">     Health</t>
  </si>
  <si>
    <t>Learning Modality</t>
  </si>
  <si>
    <t>Q1</t>
  </si>
  <si>
    <t>Q2</t>
  </si>
  <si>
    <t>Q3</t>
  </si>
  <si>
    <t>Q4</t>
  </si>
  <si>
    <t>Age</t>
  </si>
  <si>
    <t>Sex</t>
  </si>
  <si>
    <t>LRN</t>
  </si>
  <si>
    <t>Names</t>
  </si>
  <si>
    <t>LEARNERS' NAMES</t>
  </si>
  <si>
    <t>ESP</t>
  </si>
  <si>
    <t>ENGLISH</t>
  </si>
  <si>
    <t>MATH</t>
  </si>
  <si>
    <t>SCIENCE</t>
  </si>
  <si>
    <t>FILIPINO</t>
  </si>
  <si>
    <t>ARALING PANLIPUNAN</t>
  </si>
  <si>
    <t>EPP</t>
  </si>
  <si>
    <t xml:space="preserve"> AVERAGE</t>
  </si>
  <si>
    <t>RANKING</t>
  </si>
  <si>
    <t>MUSIC</t>
  </si>
  <si>
    <t>ARTS</t>
  </si>
  <si>
    <t>P.E.</t>
  </si>
  <si>
    <t>HEALTH</t>
  </si>
  <si>
    <t/>
  </si>
  <si>
    <t>Q1 BEHAVIOR</t>
  </si>
  <si>
    <t>FINAL GRADES AND GENERAL AVERAGE</t>
  </si>
  <si>
    <t>REGION</t>
  </si>
  <si>
    <t>IV-A</t>
  </si>
  <si>
    <t>DIVISION</t>
  </si>
  <si>
    <t>SCHOOL YEAR</t>
  </si>
  <si>
    <t>SCHOOL NAME</t>
  </si>
  <si>
    <t>SCHOOL ID</t>
  </si>
  <si>
    <t>GRADE &amp; SECTION</t>
  </si>
  <si>
    <t>NAMES OF LEARNERS</t>
  </si>
  <si>
    <t>FLIPINO</t>
  </si>
  <si>
    <t>MATHEMATICS</t>
  </si>
  <si>
    <t>AP</t>
  </si>
  <si>
    <t>Gen. Average</t>
  </si>
  <si>
    <t>FINAL GRADE</t>
  </si>
  <si>
    <t>MALE</t>
  </si>
  <si>
    <t>FEMALE</t>
  </si>
  <si>
    <t>September</t>
  </si>
  <si>
    <t>F2F</t>
  </si>
  <si>
    <t>August</t>
  </si>
  <si>
    <t xml:space="preserve">     kalikasan</t>
  </si>
  <si>
    <t>GMRC</t>
  </si>
  <si>
    <t>AVERAGE</t>
  </si>
  <si>
    <t xml:space="preserve">    Music &amp; Arts</t>
  </si>
  <si>
    <t xml:space="preserve">    PE &amp; Health</t>
  </si>
  <si>
    <t>Music Arts</t>
  </si>
  <si>
    <t>PE Health</t>
  </si>
  <si>
    <t>July</t>
  </si>
  <si>
    <r>
      <t>1</t>
    </r>
    <r>
      <rPr>
        <vertAlign val="superscript"/>
        <sz val="10"/>
        <rFont val="Sylfaen"/>
        <family val="1"/>
      </rPr>
      <t>st</t>
    </r>
    <r>
      <rPr>
        <sz val="10"/>
        <rFont val="Sylfaen"/>
        <family val="1"/>
      </rPr>
      <t xml:space="preserve"> QUARTER</t>
    </r>
  </si>
  <si>
    <r>
      <t>2</t>
    </r>
    <r>
      <rPr>
        <vertAlign val="superscript"/>
        <sz val="10"/>
        <rFont val="Sylfaen"/>
        <family val="1"/>
      </rPr>
      <t>nd</t>
    </r>
    <r>
      <rPr>
        <sz val="10"/>
        <rFont val="Sylfaen"/>
        <family val="1"/>
      </rPr>
      <t xml:space="preserve"> QUARTER</t>
    </r>
  </si>
  <si>
    <r>
      <t>3</t>
    </r>
    <r>
      <rPr>
        <vertAlign val="superscript"/>
        <sz val="10"/>
        <rFont val="Sylfaen"/>
        <family val="1"/>
      </rPr>
      <t xml:space="preserve">rd </t>
    </r>
    <r>
      <rPr>
        <sz val="10"/>
        <rFont val="Sylfaen"/>
        <family val="1"/>
      </rPr>
      <t>QUARTER</t>
    </r>
  </si>
  <si>
    <r>
      <t>4</t>
    </r>
    <r>
      <rPr>
        <vertAlign val="superscript"/>
        <sz val="10"/>
        <rFont val="Sylfaen"/>
        <family val="1"/>
      </rPr>
      <t>th</t>
    </r>
    <r>
      <rPr>
        <sz val="10"/>
        <rFont val="Sylfaen"/>
        <family val="1"/>
      </rPr>
      <t xml:space="preserve"> QUARTER</t>
    </r>
  </si>
  <si>
    <t>Antonio Reyes</t>
  </si>
  <si>
    <t>Carlo Dela Cruz</t>
  </si>
  <si>
    <t>Daniel Bautista</t>
  </si>
  <si>
    <t>Ernesto Garcia</t>
  </si>
  <si>
    <t>Joseph Mendoza</t>
  </si>
  <si>
    <t>Luis Fernandez</t>
  </si>
  <si>
    <t>Miguel Santos</t>
  </si>
  <si>
    <t>Paolo Navarro</t>
  </si>
  <si>
    <t>Rafael Castillo</t>
  </si>
  <si>
    <t>Ramon Villanueva</t>
  </si>
  <si>
    <t>123456789012</t>
  </si>
  <si>
    <t>Division of _____________</t>
  </si>
  <si>
    <t>______________ District</t>
  </si>
  <si>
    <t>BAGONG PAG-ASA ELEMENTARY SCHOOL</t>
  </si>
  <si>
    <r>
      <t xml:space="preserve">School ID : </t>
    </r>
    <r>
      <rPr>
        <b/>
        <sz val="10"/>
        <rFont val="Centuy Gothic"/>
        <charset val="134"/>
      </rPr>
      <t>123456</t>
    </r>
  </si>
  <si>
    <t>RIZAL</t>
  </si>
  <si>
    <t>2025-2026</t>
  </si>
  <si>
    <t>JUAN DELA CRUZ</t>
  </si>
  <si>
    <t>ADRES BONIFACO</t>
  </si>
  <si>
    <t>ANDRES BONIFACIO</t>
  </si>
  <si>
    <t>June</t>
  </si>
  <si>
    <t>V-RIZAL</t>
  </si>
  <si>
    <t>BAGONG PAG-ASA NATIONAL HIGH SCHOOL</t>
  </si>
  <si>
    <t>SEVEN</t>
  </si>
  <si>
    <t>Values Education (VE)</t>
  </si>
  <si>
    <t>Technology and Livelihood Education (TLE)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</si>
</sst>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;"/>
  </numFmts>
  <fonts count="8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charset val="134"/>
    </font>
    <font>
      <sz val="10.5"/>
      <color theme="1"/>
      <name val="Sylfaen"/>
      <charset val="134"/>
    </font>
    <font>
      <b/>
      <sz val="10.5"/>
      <color theme="1"/>
      <name val="Sylfaen"/>
      <charset val="134"/>
    </font>
    <font>
      <sz val="11"/>
      <color theme="1"/>
      <name val="Sylfaen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i/>
      <sz val="11"/>
      <color theme="1"/>
      <name val="Sylfaen"/>
      <charset val="134"/>
    </font>
    <font>
      <i/>
      <sz val="10"/>
      <color theme="1"/>
      <name val="Arial"/>
      <charset val="134"/>
    </font>
    <font>
      <sz val="11"/>
      <color theme="1"/>
      <name val="Arial"/>
      <charset val="134"/>
    </font>
    <font>
      <b/>
      <sz val="13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Sylfaen"/>
      <charset val="134"/>
    </font>
    <font>
      <sz val="10"/>
      <color theme="1"/>
      <name val="Sylfaen"/>
      <charset val="134"/>
    </font>
    <font>
      <sz val="11"/>
      <color theme="1"/>
      <name val="Times New Roman"/>
      <charset val="134"/>
    </font>
    <font>
      <sz val="10"/>
      <color theme="1"/>
      <name val="Calibri"/>
      <charset val="134"/>
      <scheme val="minor"/>
    </font>
    <font>
      <sz val="4"/>
      <color theme="1"/>
      <name val="Sylfaen"/>
      <charset val="134"/>
    </font>
    <font>
      <sz val="9"/>
      <color theme="1"/>
      <name val="Sylfaen"/>
      <charset val="134"/>
    </font>
    <font>
      <i/>
      <sz val="9"/>
      <color theme="1"/>
      <name val="Sylfaen"/>
      <charset val="134"/>
    </font>
    <font>
      <sz val="10"/>
      <name val="Arial"/>
      <charset val="134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sz val="10.5"/>
      <color theme="1"/>
      <name val="Sylfaen"/>
      <family val="1"/>
    </font>
    <font>
      <sz val="9"/>
      <color theme="1"/>
      <name val="Sylfaen"/>
      <family val="1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theme="1"/>
      <name val="Calibri"/>
      <charset val="134"/>
      <scheme val="minor"/>
    </font>
    <font>
      <b/>
      <sz val="2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rgb="FF00B0F0"/>
      <name val="Arial"/>
      <family val="2"/>
    </font>
    <font>
      <b/>
      <sz val="11"/>
      <color rgb="FF00B0F0"/>
      <name val="Arial"/>
      <family val="2"/>
    </font>
    <font>
      <sz val="10"/>
      <color theme="1" tint="0.14999847407452621"/>
      <name val="Arial Narrow"/>
      <family val="2"/>
    </font>
    <font>
      <sz val="9"/>
      <name val="Arial"/>
      <family val="2"/>
    </font>
    <font>
      <b/>
      <sz val="10"/>
      <color theme="1" tint="0.14999847407452621"/>
      <name val="Arial Narrow"/>
      <family val="2"/>
    </font>
    <font>
      <b/>
      <sz val="9"/>
      <color rgb="FFFF0000"/>
      <name val="Arial"/>
      <family val="2"/>
    </font>
    <font>
      <sz val="12"/>
      <color theme="1"/>
      <name val="Calibri"/>
      <family val="2"/>
      <scheme val="minor"/>
    </font>
    <font>
      <sz val="11"/>
      <name val="Sylfaen"/>
      <family val="1"/>
    </font>
    <font>
      <i/>
      <sz val="10"/>
      <name val="Sylfaen"/>
      <family val="1"/>
    </font>
    <font>
      <sz val="10"/>
      <name val="Sylfaen"/>
      <family val="1"/>
    </font>
    <font>
      <sz val="8"/>
      <name val="Calibri"/>
      <family val="2"/>
      <scheme val="minor"/>
    </font>
    <font>
      <i/>
      <sz val="10"/>
      <color theme="0"/>
      <name val="Sylfaen"/>
      <family val="1"/>
    </font>
    <font>
      <sz val="10"/>
      <color theme="0"/>
      <name val="Sylfaen"/>
      <family val="1"/>
    </font>
    <font>
      <i/>
      <sz val="11"/>
      <color theme="0"/>
      <name val="Sylfaen"/>
      <family val="1"/>
    </font>
    <font>
      <b/>
      <i/>
      <sz val="9"/>
      <color theme="1"/>
      <name val="Sylfaen"/>
      <family val="1"/>
    </font>
    <font>
      <b/>
      <sz val="11"/>
      <color rgb="FF00B050"/>
      <name val="Calibri"/>
      <family val="2"/>
      <scheme val="minor"/>
    </font>
    <font>
      <sz val="9"/>
      <name val="Sylfaen"/>
      <family val="1"/>
    </font>
    <font>
      <b/>
      <sz val="10"/>
      <name val="Sylfaen"/>
      <family val="1"/>
    </font>
    <font>
      <b/>
      <sz val="11"/>
      <name val="Sylfaen"/>
      <family val="1"/>
    </font>
    <font>
      <i/>
      <sz val="11"/>
      <name val="Sylfaen"/>
      <family val="1"/>
    </font>
    <font>
      <sz val="10.5"/>
      <name val="Century Gothic"/>
      <family val="2"/>
    </font>
    <font>
      <sz val="11"/>
      <name val="Calibri"/>
      <family val="2"/>
      <scheme val="minor"/>
    </font>
    <font>
      <sz val="10"/>
      <name val="Century Gothic"/>
      <family val="2"/>
    </font>
    <font>
      <b/>
      <sz val="10"/>
      <name val="Copperplate Gothic Light"/>
      <family val="2"/>
    </font>
    <font>
      <sz val="10"/>
      <name val="Centuy Gothic"/>
      <charset val="134"/>
    </font>
    <font>
      <b/>
      <sz val="10"/>
      <name val="Centuy Gothic"/>
      <charset val="134"/>
    </font>
    <font>
      <b/>
      <sz val="12"/>
      <name val="Copperplate Gothic Light"/>
      <family val="2"/>
    </font>
    <font>
      <b/>
      <sz val="12.5"/>
      <name val="Arial"/>
      <family val="2"/>
    </font>
    <font>
      <b/>
      <sz val="11"/>
      <name val="Copperplate Gothic Light"/>
      <family val="2"/>
    </font>
    <font>
      <b/>
      <sz val="12.5"/>
      <name val="Century Gothic"/>
      <family val="2"/>
    </font>
    <font>
      <b/>
      <sz val="12"/>
      <name val="Sylfaen"/>
      <family val="1"/>
    </font>
    <font>
      <b/>
      <sz val="11"/>
      <name val="Century Gothic"/>
      <family val="2"/>
    </font>
    <font>
      <i/>
      <sz val="10"/>
      <name val="Trebuchet MS"/>
      <family val="2"/>
    </font>
    <font>
      <i/>
      <sz val="11"/>
      <name val="Calibri"/>
      <family val="2"/>
      <scheme val="minor"/>
    </font>
    <font>
      <b/>
      <sz val="11"/>
      <name val="Trebuchet MS"/>
      <family val="2"/>
    </font>
    <font>
      <b/>
      <i/>
      <sz val="10"/>
      <name val="Trebuchet MS"/>
      <family val="2"/>
    </font>
    <font>
      <vertAlign val="superscript"/>
      <sz val="10"/>
      <name val="Sylfaen"/>
      <family val="1"/>
    </font>
    <font>
      <sz val="5"/>
      <name val="Sylfaen"/>
      <family val="1"/>
    </font>
    <font>
      <sz val="10"/>
      <name val="Trebuchet MS"/>
      <family val="2"/>
    </font>
    <font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">
    <xf numFmtId="0" fontId="0" fillId="0" borderId="0"/>
    <xf numFmtId="0" fontId="22" fillId="0" borderId="0"/>
    <xf numFmtId="0" fontId="22" fillId="0" borderId="0"/>
    <xf numFmtId="43" fontId="34" fillId="0" borderId="0" applyFont="0" applyFill="0" applyBorder="0" applyAlignment="0" applyProtection="0"/>
  </cellStyleXfs>
  <cellXfs count="464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8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/>
    <xf numFmtId="1" fontId="11" fillId="0" borderId="4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10" fillId="0" borderId="5" xfId="0" applyFont="1" applyBorder="1" applyAlignment="1">
      <alignment wrapText="1"/>
    </xf>
    <xf numFmtId="0" fontId="5" fillId="0" borderId="2" xfId="0" applyFont="1" applyBorder="1" applyAlignment="1">
      <alignment vertical="center"/>
    </xf>
    <xf numFmtId="1" fontId="13" fillId="0" borderId="2" xfId="0" applyNumberFormat="1" applyFont="1" applyBorder="1" applyAlignment="1" applyProtection="1">
      <alignment horizontal="center" vertical="center"/>
      <protection locked="0"/>
    </xf>
    <xf numFmtId="1" fontId="14" fillId="0" borderId="8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0" fillId="0" borderId="10" xfId="0" applyBorder="1"/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2" xfId="0" applyFont="1" applyBorder="1"/>
    <xf numFmtId="0" fontId="4" fillId="0" borderId="11" xfId="0" applyFont="1" applyBorder="1"/>
    <xf numFmtId="0" fontId="4" fillId="0" borderId="13" xfId="0" applyFont="1" applyBorder="1"/>
    <xf numFmtId="0" fontId="4" fillId="0" borderId="10" xfId="0" applyFont="1" applyBorder="1"/>
    <xf numFmtId="0" fontId="18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21" fillId="0" borderId="7" xfId="0" applyFont="1" applyBorder="1"/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" fontId="1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17" xfId="0" applyFont="1" applyBorder="1"/>
    <xf numFmtId="0" fontId="27" fillId="0" borderId="19" xfId="0" applyFont="1" applyBorder="1"/>
    <xf numFmtId="0" fontId="27" fillId="0" borderId="0" xfId="0" applyFont="1"/>
    <xf numFmtId="0" fontId="27" fillId="0" borderId="20" xfId="0" applyFont="1" applyBorder="1"/>
    <xf numFmtId="0" fontId="27" fillId="0" borderId="21" xfId="0" applyFont="1" applyBorder="1"/>
    <xf numFmtId="0" fontId="27" fillId="0" borderId="22" xfId="0" applyFont="1" applyBorder="1"/>
    <xf numFmtId="0" fontId="27" fillId="0" borderId="23" xfId="0" applyFont="1" applyBorder="1"/>
    <xf numFmtId="0" fontId="28" fillId="0" borderId="24" xfId="2" applyFont="1" applyBorder="1" applyAlignment="1">
      <alignment horizontal="left"/>
    </xf>
    <xf numFmtId="0" fontId="29" fillId="0" borderId="25" xfId="2" applyFont="1" applyBorder="1" applyAlignment="1">
      <alignment vertical="center"/>
    </xf>
    <xf numFmtId="0" fontId="30" fillId="4" borderId="24" xfId="2" applyFont="1" applyFill="1" applyBorder="1" applyAlignment="1">
      <alignment horizontal="center" textRotation="45" wrapText="1"/>
    </xf>
    <xf numFmtId="0" fontId="30" fillId="4" borderId="24" xfId="2" applyFont="1" applyFill="1" applyBorder="1" applyAlignment="1">
      <alignment horizontal="center" textRotation="45"/>
    </xf>
    <xf numFmtId="0" fontId="30" fillId="4" borderId="24" xfId="2" applyFont="1" applyFill="1" applyBorder="1" applyAlignment="1">
      <alignment textRotation="45"/>
    </xf>
    <xf numFmtId="0" fontId="31" fillId="0" borderId="26" xfId="2" applyFont="1" applyBorder="1" applyAlignment="1">
      <alignment textRotation="45"/>
    </xf>
    <xf numFmtId="0" fontId="0" fillId="0" borderId="0" xfId="0" applyAlignment="1">
      <alignment horizontal="right"/>
    </xf>
    <xf numFmtId="0" fontId="24" fillId="0" borderId="25" xfId="2" applyFont="1" applyBorder="1" applyAlignment="1">
      <alignment vertical="center"/>
    </xf>
    <xf numFmtId="0" fontId="24" fillId="4" borderId="24" xfId="2" applyFont="1" applyFill="1" applyBorder="1" applyAlignment="1">
      <alignment horizontal="center"/>
    </xf>
    <xf numFmtId="0" fontId="31" fillId="0" borderId="24" xfId="2" applyFont="1" applyBorder="1" applyAlignment="1">
      <alignment horizontal="center"/>
    </xf>
    <xf numFmtId="0" fontId="32" fillId="0" borderId="29" xfId="0" applyFont="1" applyBorder="1" applyAlignment="1" applyProtection="1">
      <alignment horizontal="center"/>
      <protection locked="0"/>
    </xf>
    <xf numFmtId="164" fontId="24" fillId="0" borderId="32" xfId="2" applyNumberFormat="1" applyFont="1" applyBorder="1" applyAlignment="1" applyProtection="1">
      <alignment horizontal="center"/>
      <protection hidden="1"/>
    </xf>
    <xf numFmtId="0" fontId="32" fillId="0" borderId="33" xfId="0" applyFont="1" applyBorder="1" applyAlignment="1" applyProtection="1">
      <alignment horizontal="center"/>
      <protection locked="0"/>
    </xf>
    <xf numFmtId="164" fontId="33" fillId="6" borderId="33" xfId="2" applyNumberFormat="1" applyFont="1" applyFill="1" applyBorder="1" applyProtection="1">
      <protection hidden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164" fontId="33" fillId="6" borderId="27" xfId="2" applyNumberFormat="1" applyFont="1" applyFill="1" applyBorder="1" applyProtection="1">
      <protection hidden="1"/>
    </xf>
    <xf numFmtId="164" fontId="33" fillId="6" borderId="34" xfId="2" applyNumberFormat="1" applyFont="1" applyFill="1" applyBorder="1" applyProtection="1">
      <protection hidden="1"/>
    </xf>
    <xf numFmtId="164" fontId="33" fillId="6" borderId="30" xfId="2" applyNumberFormat="1" applyFont="1" applyFill="1" applyBorder="1" applyAlignment="1" applyProtection="1">
      <alignment horizontal="center"/>
      <protection hidden="1"/>
    </xf>
    <xf numFmtId="164" fontId="33" fillId="6" borderId="29" xfId="2" applyNumberFormat="1" applyFont="1" applyFill="1" applyBorder="1" applyAlignment="1" applyProtection="1">
      <alignment horizontal="center"/>
      <protection hidden="1"/>
    </xf>
    <xf numFmtId="164" fontId="33" fillId="6" borderId="31" xfId="2" applyNumberFormat="1" applyFont="1" applyFill="1" applyBorder="1" applyAlignment="1" applyProtection="1">
      <alignment horizontal="center"/>
      <protection hidden="1"/>
    </xf>
    <xf numFmtId="164" fontId="33" fillId="6" borderId="34" xfId="2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/>
    </xf>
    <xf numFmtId="0" fontId="0" fillId="6" borderId="0" xfId="0" applyFill="1"/>
    <xf numFmtId="0" fontId="0" fillId="0" borderId="0" xfId="0" applyProtection="1">
      <protection locked="0"/>
    </xf>
    <xf numFmtId="0" fontId="36" fillId="0" borderId="0" xfId="0" applyFont="1" applyAlignment="1" applyProtection="1">
      <alignment horizontal="center"/>
      <protection locked="0"/>
    </xf>
    <xf numFmtId="2" fontId="37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8" fillId="0" borderId="0" xfId="0" applyFont="1" applyAlignment="1" applyProtection="1">
      <alignment horizontal="center"/>
      <protection locked="0"/>
    </xf>
    <xf numFmtId="0" fontId="36" fillId="0" borderId="0" xfId="0" applyFont="1" applyProtection="1">
      <protection locked="0"/>
    </xf>
    <xf numFmtId="164" fontId="37" fillId="0" borderId="4" xfId="0" applyNumberFormat="1" applyFont="1" applyBorder="1" applyProtection="1">
      <protection locked="0"/>
    </xf>
    <xf numFmtId="164" fontId="37" fillId="0" borderId="0" xfId="0" applyNumberFormat="1" applyFont="1" applyProtection="1">
      <protection locked="0"/>
    </xf>
    <xf numFmtId="164" fontId="39" fillId="0" borderId="0" xfId="0" applyNumberFormat="1" applyFont="1" applyProtection="1">
      <protection locked="0"/>
    </xf>
    <xf numFmtId="0" fontId="40" fillId="0" borderId="0" xfId="0" applyFont="1" applyProtection="1">
      <protection locked="0"/>
    </xf>
    <xf numFmtId="164" fontId="37" fillId="0" borderId="0" xfId="0" applyNumberFormat="1" applyFont="1" applyAlignment="1" applyProtection="1">
      <alignment horizontal="center"/>
      <protection locked="0"/>
    </xf>
    <xf numFmtId="0" fontId="39" fillId="0" borderId="0" xfId="0" applyFont="1" applyAlignment="1" applyProtection="1">
      <alignment horizontal="right"/>
      <protection locked="0"/>
    </xf>
    <xf numFmtId="0" fontId="36" fillId="0" borderId="0" xfId="0" applyFont="1" applyAlignment="1" applyProtection="1">
      <alignment horizontal="right"/>
      <protection locked="0"/>
    </xf>
    <xf numFmtId="164" fontId="36" fillId="0" borderId="0" xfId="0" applyNumberFormat="1" applyFont="1" applyAlignment="1" applyProtection="1">
      <alignment horizontal="center"/>
      <protection locked="0"/>
    </xf>
    <xf numFmtId="164" fontId="39" fillId="0" borderId="0" xfId="0" applyNumberFormat="1" applyFont="1" applyAlignment="1" applyProtection="1">
      <alignment horizontal="center"/>
      <protection locked="0"/>
    </xf>
    <xf numFmtId="164" fontId="40" fillId="0" borderId="0" xfId="0" applyNumberFormat="1" applyFont="1" applyAlignment="1" applyProtection="1">
      <alignment horizontal="center"/>
      <protection locked="0"/>
    </xf>
    <xf numFmtId="164" fontId="36" fillId="0" borderId="0" xfId="0" applyNumberFormat="1" applyFont="1" applyAlignment="1" applyProtection="1">
      <alignment horizontal="right"/>
      <protection locked="0"/>
    </xf>
    <xf numFmtId="0" fontId="32" fillId="0" borderId="0" xfId="0" applyFont="1" applyProtection="1">
      <protection locked="0"/>
    </xf>
    <xf numFmtId="164" fontId="36" fillId="0" borderId="0" xfId="0" applyNumberFormat="1" applyFont="1" applyProtection="1">
      <protection locked="0"/>
    </xf>
    <xf numFmtId="0" fontId="43" fillId="0" borderId="0" xfId="0" applyFont="1" applyProtection="1">
      <protection locked="0"/>
    </xf>
    <xf numFmtId="0" fontId="43" fillId="0" borderId="6" xfId="0" applyFont="1" applyBorder="1" applyProtection="1">
      <protection locked="0"/>
    </xf>
    <xf numFmtId="0" fontId="44" fillId="0" borderId="35" xfId="0" applyFont="1" applyBorder="1" applyAlignment="1" applyProtection="1">
      <alignment horizontal="center"/>
      <protection locked="0"/>
    </xf>
    <xf numFmtId="0" fontId="44" fillId="0" borderId="6" xfId="0" applyFont="1" applyBorder="1" applyAlignment="1" applyProtection="1">
      <alignment horizontal="center"/>
      <protection locked="0"/>
    </xf>
    <xf numFmtId="0" fontId="44" fillId="0" borderId="4" xfId="0" applyFont="1" applyBorder="1" applyAlignment="1" applyProtection="1">
      <alignment horizontal="center"/>
      <protection locked="0"/>
    </xf>
    <xf numFmtId="0" fontId="45" fillId="7" borderId="35" xfId="0" applyFont="1" applyFill="1" applyBorder="1" applyProtection="1">
      <protection locked="0"/>
    </xf>
    <xf numFmtId="0" fontId="44" fillId="7" borderId="2" xfId="0" applyFont="1" applyFill="1" applyBorder="1" applyAlignment="1" applyProtection="1">
      <alignment horizontal="center"/>
      <protection locked="0"/>
    </xf>
    <xf numFmtId="0" fontId="45" fillId="7" borderId="3" xfId="0" applyFont="1" applyFill="1" applyBorder="1" applyProtection="1">
      <protection locked="0"/>
    </xf>
    <xf numFmtId="0" fontId="45" fillId="7" borderId="6" xfId="0" applyFont="1" applyFill="1" applyBorder="1" applyProtection="1">
      <protection locked="0"/>
    </xf>
    <xf numFmtId="0" fontId="45" fillId="7" borderId="47" xfId="0" applyFont="1" applyFill="1" applyBorder="1" applyProtection="1">
      <protection locked="0"/>
    </xf>
    <xf numFmtId="0" fontId="45" fillId="7" borderId="4" xfId="0" applyFont="1" applyFill="1" applyBorder="1" applyProtection="1">
      <protection locked="0"/>
    </xf>
    <xf numFmtId="0" fontId="45" fillId="7" borderId="2" xfId="0" applyFont="1" applyFill="1" applyBorder="1" applyProtection="1">
      <protection locked="0"/>
    </xf>
    <xf numFmtId="0" fontId="46" fillId="8" borderId="34" xfId="0" applyFont="1" applyFill="1" applyBorder="1" applyProtection="1">
      <protection locked="0"/>
    </xf>
    <xf numFmtId="0" fontId="33" fillId="8" borderId="46" xfId="0" applyFont="1" applyFill="1" applyBorder="1" applyAlignment="1" applyProtection="1">
      <alignment vertical="center" wrapText="1"/>
      <protection locked="0"/>
    </xf>
    <xf numFmtId="0" fontId="43" fillId="0" borderId="35" xfId="0" applyFont="1" applyBorder="1" applyProtection="1">
      <protection locked="0"/>
    </xf>
    <xf numFmtId="0" fontId="47" fillId="0" borderId="2" xfId="0" applyFont="1" applyBorder="1" applyAlignment="1" applyProtection="1">
      <alignment vertical="center" wrapText="1"/>
      <protection locked="0"/>
    </xf>
    <xf numFmtId="0" fontId="47" fillId="0" borderId="3" xfId="0" applyFont="1" applyBorder="1" applyAlignment="1" applyProtection="1">
      <alignment vertical="center" wrapText="1"/>
      <protection locked="0"/>
    </xf>
    <xf numFmtId="1" fontId="48" fillId="0" borderId="6" xfId="0" applyNumberFormat="1" applyFont="1" applyBorder="1" applyAlignment="1" applyProtection="1">
      <alignment horizontal="center"/>
      <protection locked="0"/>
    </xf>
    <xf numFmtId="0" fontId="43" fillId="8" borderId="49" xfId="0" applyFont="1" applyFill="1" applyBorder="1" applyProtection="1">
      <protection locked="0"/>
    </xf>
    <xf numFmtId="0" fontId="49" fillId="8" borderId="50" xfId="0" applyFont="1" applyFill="1" applyBorder="1" applyAlignment="1" applyProtection="1">
      <alignment horizontal="left" vertical="center" wrapText="1"/>
      <protection locked="0"/>
    </xf>
    <xf numFmtId="0" fontId="47" fillId="8" borderId="26" xfId="0" applyFont="1" applyFill="1" applyBorder="1" applyAlignment="1" applyProtection="1">
      <alignment vertical="center" wrapText="1"/>
      <protection locked="0"/>
    </xf>
    <xf numFmtId="1" fontId="48" fillId="8" borderId="51" xfId="0" applyNumberFormat="1" applyFont="1" applyFill="1" applyBorder="1" applyAlignment="1" applyProtection="1">
      <alignment horizontal="center"/>
      <protection locked="0"/>
    </xf>
    <xf numFmtId="0" fontId="43" fillId="0" borderId="30" xfId="0" applyFont="1" applyBorder="1" applyProtection="1">
      <protection locked="0"/>
    </xf>
    <xf numFmtId="0" fontId="47" fillId="0" borderId="10" xfId="0" applyFont="1" applyBorder="1" applyAlignment="1" applyProtection="1">
      <alignment vertical="center" wrapText="1"/>
      <protection locked="0"/>
    </xf>
    <xf numFmtId="0" fontId="47" fillId="0" borderId="15" xfId="0" applyFont="1" applyBorder="1" applyAlignment="1" applyProtection="1">
      <alignment vertical="center" wrapText="1"/>
      <protection locked="0"/>
    </xf>
    <xf numFmtId="1" fontId="48" fillId="0" borderId="5" xfId="0" applyNumberFormat="1" applyFont="1" applyBorder="1" applyAlignment="1" applyProtection="1">
      <alignment horizontal="center"/>
      <protection locked="0"/>
    </xf>
    <xf numFmtId="1" fontId="48" fillId="0" borderId="6" xfId="2" applyNumberFormat="1" applyFont="1" applyBorder="1" applyAlignment="1" applyProtection="1">
      <alignment horizontal="center"/>
      <protection locked="0"/>
    </xf>
    <xf numFmtId="1" fontId="48" fillId="0" borderId="4" xfId="0" applyNumberFormat="1" applyFont="1" applyBorder="1" applyAlignment="1" applyProtection="1">
      <alignment horizontal="center"/>
      <protection locked="0"/>
    </xf>
    <xf numFmtId="1" fontId="48" fillId="0" borderId="6" xfId="3" applyNumberFormat="1" applyFont="1" applyFill="1" applyBorder="1" applyAlignment="1" applyProtection="1">
      <alignment horizontal="center"/>
      <protection locked="0"/>
    </xf>
    <xf numFmtId="1" fontId="48" fillId="0" borderId="35" xfId="0" applyNumberFormat="1" applyFont="1" applyBorder="1" applyAlignment="1" applyProtection="1">
      <alignment horizontal="center"/>
      <protection locked="0"/>
    </xf>
    <xf numFmtId="2" fontId="44" fillId="0" borderId="34" xfId="0" applyNumberFormat="1" applyFont="1" applyBorder="1" applyAlignment="1" applyProtection="1">
      <alignment horizontal="center"/>
      <protection hidden="1"/>
    </xf>
    <xf numFmtId="1" fontId="48" fillId="8" borderId="51" xfId="2" applyNumberFormat="1" applyFont="1" applyFill="1" applyBorder="1" applyAlignment="1" applyProtection="1">
      <alignment horizontal="center"/>
      <protection locked="0"/>
    </xf>
    <xf numFmtId="1" fontId="48" fillId="8" borderId="53" xfId="0" applyNumberFormat="1" applyFont="1" applyFill="1" applyBorder="1" applyAlignment="1" applyProtection="1">
      <alignment horizontal="center"/>
      <protection locked="0"/>
    </xf>
    <xf numFmtId="1" fontId="48" fillId="8" borderId="51" xfId="3" applyNumberFormat="1" applyFont="1" applyFill="1" applyBorder="1" applyAlignment="1" applyProtection="1">
      <alignment horizontal="center"/>
      <protection locked="0"/>
    </xf>
    <xf numFmtId="1" fontId="48" fillId="8" borderId="49" xfId="0" applyNumberFormat="1" applyFont="1" applyFill="1" applyBorder="1" applyAlignment="1" applyProtection="1">
      <alignment horizontal="center"/>
      <protection locked="0"/>
    </xf>
    <xf numFmtId="2" fontId="44" fillId="8" borderId="24" xfId="0" applyNumberFormat="1" applyFont="1" applyFill="1" applyBorder="1" applyAlignment="1" applyProtection="1">
      <alignment horizontal="center"/>
      <protection hidden="1"/>
    </xf>
    <xf numFmtId="1" fontId="48" fillId="0" borderId="5" xfId="2" applyNumberFormat="1" applyFont="1" applyBorder="1" applyAlignment="1" applyProtection="1">
      <alignment horizontal="center"/>
      <protection locked="0"/>
    </xf>
    <xf numFmtId="1" fontId="48" fillId="0" borderId="11" xfId="0" applyNumberFormat="1" applyFont="1" applyBorder="1" applyAlignment="1" applyProtection="1">
      <alignment horizontal="center"/>
      <protection locked="0"/>
    </xf>
    <xf numFmtId="1" fontId="48" fillId="0" borderId="5" xfId="3" applyNumberFormat="1" applyFont="1" applyFill="1" applyBorder="1" applyAlignment="1" applyProtection="1">
      <alignment horizontal="center"/>
      <protection locked="0"/>
    </xf>
    <xf numFmtId="1" fontId="48" fillId="0" borderId="30" xfId="0" applyNumberFormat="1" applyFont="1" applyBorder="1" applyAlignment="1" applyProtection="1">
      <alignment horizontal="center"/>
      <protection locked="0"/>
    </xf>
    <xf numFmtId="2" fontId="44" fillId="0" borderId="32" xfId="0" applyNumberFormat="1" applyFont="1" applyBorder="1" applyAlignment="1" applyProtection="1">
      <alignment horizontal="center"/>
      <protection hidden="1"/>
    </xf>
    <xf numFmtId="1" fontId="48" fillId="0" borderId="6" xfId="1" applyNumberFormat="1" applyFont="1" applyBorder="1" applyAlignment="1" applyProtection="1">
      <alignment horizontal="center"/>
      <protection locked="0"/>
    </xf>
    <xf numFmtId="1" fontId="48" fillId="8" borderId="51" xfId="1" applyNumberFormat="1" applyFont="1" applyFill="1" applyBorder="1" applyAlignment="1" applyProtection="1">
      <alignment horizontal="center"/>
      <protection locked="0"/>
    </xf>
    <xf numFmtId="1" fontId="48" fillId="0" borderId="5" xfId="1" applyNumberFormat="1" applyFont="1" applyBorder="1" applyAlignment="1" applyProtection="1">
      <alignment horizontal="center"/>
      <protection locked="0"/>
    </xf>
    <xf numFmtId="1" fontId="50" fillId="0" borderId="47" xfId="0" applyNumberFormat="1" applyFont="1" applyBorder="1" applyAlignment="1" applyProtection="1">
      <alignment horizontal="center"/>
      <protection hidden="1"/>
    </xf>
    <xf numFmtId="1" fontId="50" fillId="8" borderId="52" xfId="0" applyNumberFormat="1" applyFont="1" applyFill="1" applyBorder="1" applyAlignment="1" applyProtection="1">
      <alignment horizontal="center"/>
      <protection hidden="1"/>
    </xf>
    <xf numFmtId="1" fontId="50" fillId="0" borderId="45" xfId="0" applyNumberFormat="1" applyFont="1" applyBorder="1" applyAlignment="1" applyProtection="1">
      <alignment horizontal="center"/>
      <protection hidden="1"/>
    </xf>
    <xf numFmtId="1" fontId="50" fillId="0" borderId="2" xfId="0" applyNumberFormat="1" applyFont="1" applyBorder="1" applyAlignment="1" applyProtection="1">
      <alignment horizontal="center"/>
      <protection hidden="1"/>
    </xf>
    <xf numFmtId="1" fontId="50" fillId="8" borderId="50" xfId="0" applyNumberFormat="1" applyFont="1" applyFill="1" applyBorder="1" applyAlignment="1" applyProtection="1">
      <alignment horizontal="center"/>
      <protection hidden="1"/>
    </xf>
    <xf numFmtId="1" fontId="50" fillId="0" borderId="10" xfId="0" applyNumberFormat="1" applyFont="1" applyBorder="1" applyAlignment="1" applyProtection="1">
      <alignment horizontal="center"/>
      <protection hidden="1"/>
    </xf>
    <xf numFmtId="1" fontId="50" fillId="0" borderId="48" xfId="0" applyNumberFormat="1" applyFont="1" applyBorder="1" applyAlignment="1" applyProtection="1">
      <alignment horizontal="center"/>
      <protection hidden="1"/>
    </xf>
    <xf numFmtId="1" fontId="50" fillId="8" borderId="54" xfId="0" applyNumberFormat="1" applyFont="1" applyFill="1" applyBorder="1" applyAlignment="1" applyProtection="1">
      <alignment horizontal="center"/>
      <protection hidden="1"/>
    </xf>
    <xf numFmtId="1" fontId="50" fillId="0" borderId="46" xfId="0" applyNumberFormat="1" applyFont="1" applyBorder="1" applyAlignment="1" applyProtection="1">
      <alignment horizontal="center"/>
      <protection hidden="1"/>
    </xf>
    <xf numFmtId="1" fontId="52" fillId="0" borderId="4" xfId="0" applyNumberFormat="1" applyFont="1" applyBorder="1" applyAlignment="1" applyProtection="1">
      <alignment horizontal="center" vertical="center"/>
      <protection locked="0"/>
    </xf>
    <xf numFmtId="1" fontId="53" fillId="0" borderId="4" xfId="0" applyNumberFormat="1" applyFont="1" applyBorder="1" applyAlignment="1">
      <alignment horizontal="right" vertical="center"/>
    </xf>
    <xf numFmtId="164" fontId="24" fillId="6" borderId="32" xfId="2" applyNumberFormat="1" applyFont="1" applyFill="1" applyBorder="1" applyAlignment="1" applyProtection="1">
      <alignment horizontal="center"/>
      <protection hidden="1"/>
    </xf>
    <xf numFmtId="0" fontId="24" fillId="4" borderId="31" xfId="2" applyFont="1" applyFill="1" applyBorder="1" applyAlignment="1">
      <alignment horizontal="center"/>
    </xf>
    <xf numFmtId="0" fontId="1" fillId="0" borderId="0" xfId="0" applyFont="1"/>
    <xf numFmtId="0" fontId="1" fillId="0" borderId="0" xfId="0" quotePrefix="1" applyFont="1"/>
    <xf numFmtId="0" fontId="1" fillId="0" borderId="20" xfId="0" applyFont="1" applyBorder="1"/>
    <xf numFmtId="0" fontId="25" fillId="0" borderId="6" xfId="0" applyFont="1" applyBorder="1" applyAlignment="1">
      <alignment horizontal="center" vertical="center"/>
    </xf>
    <xf numFmtId="164" fontId="24" fillId="0" borderId="6" xfId="2" applyNumberFormat="1" applyFont="1" applyBorder="1" applyAlignment="1" applyProtection="1">
      <alignment horizontal="center"/>
      <protection hidden="1"/>
    </xf>
    <xf numFmtId="164" fontId="33" fillId="9" borderId="6" xfId="2" applyNumberFormat="1" applyFont="1" applyFill="1" applyBorder="1" applyAlignment="1" applyProtection="1">
      <alignment horizontal="center"/>
      <protection hidden="1"/>
    </xf>
    <xf numFmtId="0" fontId="33" fillId="9" borderId="6" xfId="0" applyFont="1" applyFill="1" applyBorder="1"/>
    <xf numFmtId="164" fontId="33" fillId="6" borderId="30" xfId="2" applyNumberFormat="1" applyFont="1" applyFill="1" applyBorder="1" applyAlignment="1" applyProtection="1">
      <alignment horizontal="center" vertical="center"/>
      <protection hidden="1"/>
    </xf>
    <xf numFmtId="164" fontId="33" fillId="9" borderId="6" xfId="2" applyNumberFormat="1" applyFont="1" applyFill="1" applyBorder="1" applyAlignment="1" applyProtection="1">
      <alignment horizontal="center" vertical="center"/>
      <protection hidden="1"/>
    </xf>
    <xf numFmtId="0" fontId="33" fillId="9" borderId="6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/>
    </xf>
    <xf numFmtId="164" fontId="33" fillId="0" borderId="11" xfId="2" applyNumberFormat="1" applyFont="1" applyBorder="1" applyAlignment="1" applyProtection="1">
      <alignment horizontal="right"/>
      <protection hidden="1"/>
    </xf>
    <xf numFmtId="164" fontId="33" fillId="0" borderId="5" xfId="2" applyNumberFormat="1" applyFont="1" applyBorder="1" applyAlignment="1" applyProtection="1">
      <alignment horizontal="right"/>
      <protection hidden="1"/>
    </xf>
    <xf numFmtId="164" fontId="33" fillId="0" borderId="10" xfId="2" applyNumberFormat="1" applyFont="1" applyBorder="1" applyAlignment="1" applyProtection="1">
      <alignment horizontal="right"/>
      <protection hidden="1"/>
    </xf>
    <xf numFmtId="164" fontId="33" fillId="0" borderId="6" xfId="2" applyNumberFormat="1" applyFont="1" applyBorder="1" applyAlignment="1" applyProtection="1">
      <alignment horizontal="right"/>
      <protection hidden="1"/>
    </xf>
    <xf numFmtId="0" fontId="33" fillId="0" borderId="6" xfId="0" applyFont="1" applyBorder="1" applyAlignment="1">
      <alignment horizontal="right"/>
    </xf>
    <xf numFmtId="0" fontId="27" fillId="0" borderId="0" xfId="0" quotePrefix="1" applyFont="1"/>
    <xf numFmtId="0" fontId="27" fillId="0" borderId="20" xfId="0" applyFont="1" applyBorder="1" applyAlignment="1">
      <alignment horizontal="left"/>
    </xf>
    <xf numFmtId="0" fontId="33" fillId="9" borderId="7" xfId="0" applyFont="1" applyFill="1" applyBorder="1" applyAlignment="1">
      <alignment horizontal="center"/>
    </xf>
    <xf numFmtId="0" fontId="33" fillId="9" borderId="7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right"/>
    </xf>
    <xf numFmtId="0" fontId="27" fillId="0" borderId="20" xfId="0" applyFont="1" applyBorder="1" applyAlignment="1">
      <alignment horizontal="center" vertical="center"/>
    </xf>
    <xf numFmtId="164" fontId="33" fillId="6" borderId="29" xfId="2" applyNumberFormat="1" applyFont="1" applyFill="1" applyBorder="1" applyAlignment="1" applyProtection="1">
      <alignment horizontal="center" vertical="center"/>
      <protection hidden="1"/>
    </xf>
    <xf numFmtId="164" fontId="33" fillId="6" borderId="31" xfId="2" applyNumberFormat="1" applyFont="1" applyFill="1" applyBorder="1" applyAlignment="1" applyProtection="1">
      <alignment horizontal="center" vertical="center"/>
      <protection hidden="1"/>
    </xf>
    <xf numFmtId="164" fontId="33" fillId="0" borderId="11" xfId="2" applyNumberFormat="1" applyFont="1" applyBorder="1" applyAlignment="1" applyProtection="1">
      <alignment horizontal="center" vertical="center"/>
      <protection hidden="1"/>
    </xf>
    <xf numFmtId="164" fontId="33" fillId="0" borderId="5" xfId="2" applyNumberFormat="1" applyFont="1" applyBorder="1" applyAlignment="1" applyProtection="1">
      <alignment horizontal="center" vertical="center"/>
      <protection hidden="1"/>
    </xf>
    <xf numFmtId="164" fontId="33" fillId="0" borderId="10" xfId="2" applyNumberFormat="1" applyFont="1" applyBorder="1" applyAlignment="1" applyProtection="1">
      <alignment horizontal="center" vertical="center"/>
      <protection hidden="1"/>
    </xf>
    <xf numFmtId="164" fontId="33" fillId="6" borderId="55" xfId="2" applyNumberFormat="1" applyFont="1" applyFill="1" applyBorder="1" applyAlignment="1" applyProtection="1">
      <alignment horizontal="center" vertical="center"/>
      <protection hidden="1"/>
    </xf>
    <xf numFmtId="164" fontId="33" fillId="6" borderId="19" xfId="2" applyNumberFormat="1" applyFont="1" applyFill="1" applyBorder="1" applyAlignment="1" applyProtection="1">
      <alignment horizontal="center" vertical="center"/>
      <protection hidden="1"/>
    </xf>
    <xf numFmtId="164" fontId="33" fillId="0" borderId="13" xfId="2" applyNumberFormat="1" applyFont="1" applyBorder="1" applyAlignment="1" applyProtection="1">
      <alignment horizontal="center" vertical="center"/>
      <protection hidden="1"/>
    </xf>
    <xf numFmtId="164" fontId="33" fillId="0" borderId="7" xfId="2" applyNumberFormat="1" applyFont="1" applyBorder="1" applyAlignment="1" applyProtection="1">
      <alignment horizontal="center" vertical="center"/>
      <protection hidden="1"/>
    </xf>
    <xf numFmtId="164" fontId="33" fillId="0" borderId="12" xfId="2" applyNumberFormat="1" applyFont="1" applyBorder="1" applyAlignment="1" applyProtection="1">
      <alignment horizontal="center" vertical="center"/>
      <protection hidden="1"/>
    </xf>
    <xf numFmtId="164" fontId="24" fillId="0" borderId="56" xfId="2" applyNumberFormat="1" applyFont="1" applyBorder="1" applyAlignment="1" applyProtection="1">
      <alignment horizontal="center"/>
      <protection hidden="1"/>
    </xf>
    <xf numFmtId="164" fontId="33" fillId="10" borderId="6" xfId="2" applyNumberFormat="1" applyFont="1" applyFill="1" applyBorder="1" applyAlignment="1" applyProtection="1">
      <alignment horizontal="center" vertical="center"/>
      <protection hidden="1"/>
    </xf>
    <xf numFmtId="164" fontId="33" fillId="0" borderId="6" xfId="2" applyNumberFormat="1" applyFont="1" applyBorder="1" applyAlignment="1" applyProtection="1">
      <alignment horizontal="center" vertical="center"/>
      <protection hidden="1"/>
    </xf>
    <xf numFmtId="164" fontId="32" fillId="0" borderId="6" xfId="2" applyNumberFormat="1" applyFont="1" applyBorder="1" applyAlignment="1" applyProtection="1">
      <alignment horizontal="center"/>
      <protection hidden="1"/>
    </xf>
    <xf numFmtId="0" fontId="0" fillId="1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24" fillId="6" borderId="6" xfId="2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left"/>
    </xf>
    <xf numFmtId="1" fontId="53" fillId="3" borderId="6" xfId="0" applyNumberFormat="1" applyFont="1" applyFill="1" applyBorder="1" applyAlignment="1">
      <alignment horizontal="right" vertical="center"/>
    </xf>
    <xf numFmtId="0" fontId="52" fillId="0" borderId="0" xfId="0" applyFont="1"/>
    <xf numFmtId="1" fontId="58" fillId="3" borderId="6" xfId="0" applyNumberFormat="1" applyFont="1" applyFill="1" applyBorder="1" applyAlignment="1" applyProtection="1">
      <alignment horizontal="right" vertical="center"/>
      <protection locked="0"/>
    </xf>
    <xf numFmtId="1" fontId="57" fillId="0" borderId="6" xfId="0" applyNumberFormat="1" applyFont="1" applyBorder="1" applyAlignment="1">
      <alignment horizontal="center" vertical="center"/>
    </xf>
    <xf numFmtId="164" fontId="33" fillId="11" borderId="34" xfId="2" applyNumberFormat="1" applyFont="1" applyFill="1" applyBorder="1" applyProtection="1">
      <protection hidden="1"/>
    </xf>
    <xf numFmtId="164" fontId="33" fillId="11" borderId="6" xfId="2" applyNumberFormat="1" applyFont="1" applyFill="1" applyBorder="1" applyProtection="1">
      <protection hidden="1"/>
    </xf>
    <xf numFmtId="0" fontId="33" fillId="11" borderId="6" xfId="0" applyFont="1" applyFill="1" applyBorder="1"/>
    <xf numFmtId="0" fontId="33" fillId="11" borderId="7" xfId="0" applyFont="1" applyFill="1" applyBorder="1"/>
    <xf numFmtId="0" fontId="59" fillId="0" borderId="5" xfId="0" applyFont="1" applyBorder="1" applyAlignment="1">
      <alignment horizontal="right" wrapText="1"/>
    </xf>
    <xf numFmtId="0" fontId="60" fillId="0" borderId="0" xfId="0" applyFont="1"/>
    <xf numFmtId="1" fontId="52" fillId="3" borderId="4" xfId="0" applyNumberFormat="1" applyFont="1" applyFill="1" applyBorder="1" applyAlignment="1" applyProtection="1">
      <alignment horizontal="center" vertical="center"/>
      <protection locked="0"/>
    </xf>
    <xf numFmtId="1" fontId="53" fillId="3" borderId="4" xfId="0" applyNumberFormat="1" applyFont="1" applyFill="1" applyBorder="1" applyAlignment="1">
      <alignment horizontal="right" vertical="center"/>
    </xf>
    <xf numFmtId="1" fontId="52" fillId="3" borderId="6" xfId="0" applyNumberFormat="1" applyFont="1" applyFill="1" applyBorder="1" applyAlignment="1" applyProtection="1">
      <alignment horizontal="center" vertical="center"/>
      <protection locked="0"/>
    </xf>
    <xf numFmtId="1" fontId="64" fillId="3" borderId="6" xfId="0" applyNumberFormat="1" applyFont="1" applyFill="1" applyBorder="1" applyAlignment="1" applyProtection="1">
      <alignment horizontal="right" vertical="center"/>
      <protection locked="0"/>
    </xf>
    <xf numFmtId="1" fontId="63" fillId="0" borderId="5" xfId="0" applyNumberFormat="1" applyFont="1" applyBorder="1" applyAlignment="1">
      <alignment horizontal="center" vertical="center"/>
    </xf>
    <xf numFmtId="1" fontId="56" fillId="0" borderId="6" xfId="0" applyNumberFormat="1" applyFont="1" applyBorder="1" applyAlignment="1">
      <alignment vertical="center"/>
    </xf>
    <xf numFmtId="1" fontId="53" fillId="0" borderId="6" xfId="0" applyNumberFormat="1" applyFont="1" applyBorder="1" applyAlignment="1">
      <alignment vertical="center"/>
    </xf>
    <xf numFmtId="0" fontId="54" fillId="0" borderId="6" xfId="0" applyFont="1" applyBorder="1" applyAlignment="1" applyProtection="1">
      <alignment horizontal="center" vertical="center"/>
      <protection locked="0"/>
    </xf>
    <xf numFmtId="0" fontId="54" fillId="0" borderId="6" xfId="0" applyFont="1" applyBorder="1" applyAlignment="1">
      <alignment horizontal="center"/>
    </xf>
    <xf numFmtId="0" fontId="65" fillId="0" borderId="0" xfId="0" applyFont="1" applyAlignment="1">
      <alignment vertical="center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71" fillId="0" borderId="0" xfId="0" applyFont="1"/>
    <xf numFmtId="0" fontId="75" fillId="0" borderId="0" xfId="0" applyFont="1" applyAlignment="1">
      <alignment vertical="center"/>
    </xf>
    <xf numFmtId="0" fontId="76" fillId="0" borderId="0" xfId="0" applyFont="1" applyAlignment="1" applyProtection="1">
      <alignment horizontal="center" vertical="center"/>
      <protection locked="0"/>
    </xf>
    <xf numFmtId="1" fontId="76" fillId="0" borderId="0" xfId="0" applyNumberFormat="1" applyFont="1" applyAlignment="1">
      <alignment horizontal="left" vertical="center"/>
    </xf>
    <xf numFmtId="0" fontId="52" fillId="0" borderId="0" xfId="0" applyFont="1" applyAlignment="1">
      <alignment horizontal="left"/>
    </xf>
    <xf numFmtId="0" fontId="52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77" fillId="0" borderId="0" xfId="0" applyFont="1"/>
    <xf numFmtId="0" fontId="78" fillId="0" borderId="0" xfId="0" applyFont="1"/>
    <xf numFmtId="0" fontId="77" fillId="0" borderId="0" xfId="0" applyFont="1" applyAlignment="1">
      <alignment vertical="top"/>
    </xf>
    <xf numFmtId="0" fontId="80" fillId="0" borderId="0" xfId="0" applyFont="1"/>
    <xf numFmtId="0" fontId="42" fillId="0" borderId="0" xfId="0" applyFont="1" applyAlignment="1">
      <alignment vertical="top"/>
    </xf>
    <xf numFmtId="0" fontId="54" fillId="0" borderId="0" xfId="0" applyFont="1" applyAlignment="1">
      <alignment vertical="center"/>
    </xf>
    <xf numFmtId="0" fontId="52" fillId="0" borderId="0" xfId="0" applyFont="1" applyAlignment="1">
      <alignment vertical="top"/>
    </xf>
    <xf numFmtId="0" fontId="52" fillId="0" borderId="0" xfId="0" applyFont="1" applyAlignment="1">
      <alignment horizontal="center" vertical="top"/>
    </xf>
    <xf numFmtId="0" fontId="66" fillId="0" borderId="0" xfId="0" applyFont="1" applyAlignment="1">
      <alignment horizontal="center"/>
    </xf>
    <xf numFmtId="0" fontId="63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68" fillId="0" borderId="0" xfId="0" applyFont="1" applyAlignment="1">
      <alignment horizontal="center"/>
    </xf>
    <xf numFmtId="0" fontId="52" fillId="0" borderId="15" xfId="0" applyFont="1" applyBorder="1"/>
    <xf numFmtId="0" fontId="52" fillId="0" borderId="15" xfId="0" applyFont="1" applyBorder="1" applyAlignment="1">
      <alignment vertical="top"/>
    </xf>
    <xf numFmtId="0" fontId="76" fillId="0" borderId="15" xfId="0" applyFont="1" applyBorder="1" applyAlignment="1">
      <alignment vertical="top"/>
    </xf>
    <xf numFmtId="0" fontId="66" fillId="0" borderId="15" xfId="0" applyFont="1" applyBorder="1"/>
    <xf numFmtId="0" fontId="76" fillId="0" borderId="15" xfId="0" applyFont="1" applyBorder="1" applyProtection="1">
      <protection locked="0"/>
    </xf>
    <xf numFmtId="0" fontId="52" fillId="0" borderId="15" xfId="0" applyFont="1" applyBorder="1" applyProtection="1">
      <protection locked="0"/>
    </xf>
    <xf numFmtId="0" fontId="52" fillId="0" borderId="15" xfId="0" applyFont="1" applyBorder="1" applyAlignment="1" applyProtection="1">
      <alignment horizontal="left"/>
      <protection locked="0"/>
    </xf>
    <xf numFmtId="0" fontId="76" fillId="0" borderId="3" xfId="0" applyFont="1" applyBorder="1" applyAlignment="1" applyProtection="1">
      <alignment horizontal="center" vertical="center"/>
      <protection locked="0"/>
    </xf>
    <xf numFmtId="0" fontId="0" fillId="0" borderId="0" xfId="0" quotePrefix="1"/>
    <xf numFmtId="0" fontId="32" fillId="6" borderId="33" xfId="0" applyFont="1" applyFill="1" applyBorder="1" applyAlignment="1" applyProtection="1">
      <alignment horizontal="center"/>
      <protection locked="0"/>
    </xf>
    <xf numFmtId="0" fontId="32" fillId="6" borderId="29" xfId="0" applyFont="1" applyFill="1" applyBorder="1" applyAlignment="1" applyProtection="1">
      <alignment horizontal="center"/>
      <protection locked="0"/>
    </xf>
    <xf numFmtId="0" fontId="32" fillId="3" borderId="33" xfId="0" applyFont="1" applyFill="1" applyBorder="1" applyAlignment="1" applyProtection="1">
      <alignment horizontal="center"/>
      <protection locked="0"/>
    </xf>
    <xf numFmtId="164" fontId="33" fillId="3" borderId="11" xfId="2" applyNumberFormat="1" applyFont="1" applyFill="1" applyBorder="1" applyAlignment="1" applyProtection="1">
      <alignment horizontal="center" vertical="center"/>
      <protection hidden="1"/>
    </xf>
    <xf numFmtId="164" fontId="33" fillId="3" borderId="5" xfId="2" applyNumberFormat="1" applyFont="1" applyFill="1" applyBorder="1" applyAlignment="1" applyProtection="1">
      <alignment horizontal="center" vertical="center"/>
      <protection hidden="1"/>
    </xf>
    <xf numFmtId="164" fontId="33" fillId="3" borderId="10" xfId="2" applyNumberFormat="1" applyFont="1" applyFill="1" applyBorder="1" applyAlignment="1" applyProtection="1">
      <alignment horizontal="center" vertical="center"/>
      <protection hidden="1"/>
    </xf>
    <xf numFmtId="164" fontId="24" fillId="3" borderId="32" xfId="2" applyNumberFormat="1" applyFont="1" applyFill="1" applyBorder="1" applyAlignment="1" applyProtection="1">
      <alignment horizontal="center"/>
      <protection hidden="1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6" borderId="0" xfId="0" applyFont="1" applyFill="1"/>
    <xf numFmtId="0" fontId="65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0" fontId="52" fillId="0" borderId="6" xfId="0" applyFont="1" applyBorder="1" applyAlignment="1">
      <alignment horizontal="center" textRotation="90"/>
    </xf>
    <xf numFmtId="0" fontId="76" fillId="0" borderId="3" xfId="0" applyFont="1" applyBorder="1" applyAlignment="1" applyProtection="1">
      <alignment horizontal="center" vertical="center"/>
      <protection locked="0"/>
    </xf>
    <xf numFmtId="1" fontId="76" fillId="0" borderId="15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>
      <alignment horizontal="center" vertical="center"/>
    </xf>
    <xf numFmtId="0" fontId="69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9" fillId="0" borderId="15" xfId="0" applyFont="1" applyBorder="1" applyAlignment="1" applyProtection="1">
      <alignment horizontal="center"/>
      <protection locked="0"/>
    </xf>
    <xf numFmtId="0" fontId="52" fillId="0" borderId="0" xfId="0" applyFont="1" applyAlignment="1">
      <alignment horizontal="center" vertical="top"/>
    </xf>
    <xf numFmtId="0" fontId="63" fillId="0" borderId="0" xfId="0" applyFont="1" applyAlignment="1">
      <alignment horizontal="center"/>
    </xf>
    <xf numFmtId="0" fontId="52" fillId="0" borderId="0" xfId="0" applyFont="1" applyAlignment="1">
      <alignment horizontal="right" vertical="top"/>
    </xf>
    <xf numFmtId="0" fontId="76" fillId="0" borderId="15" xfId="0" applyFont="1" applyBorder="1" applyAlignment="1">
      <alignment horizontal="center" vertical="top"/>
    </xf>
    <xf numFmtId="0" fontId="79" fillId="0" borderId="0" xfId="0" applyFont="1" applyAlignment="1" applyProtection="1">
      <alignment horizontal="center"/>
      <protection locked="0"/>
    </xf>
    <xf numFmtId="0" fontId="68" fillId="0" borderId="15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52" fillId="0" borderId="6" xfId="0" applyFont="1" applyBorder="1" applyAlignment="1">
      <alignment horizontal="center"/>
    </xf>
    <xf numFmtId="0" fontId="61" fillId="0" borderId="6" xfId="0" applyFont="1" applyBorder="1" applyAlignment="1">
      <alignment horizontal="left" vertical="center" wrapText="1"/>
    </xf>
    <xf numFmtId="0" fontId="61" fillId="0" borderId="6" xfId="0" applyFont="1" applyBorder="1" applyAlignment="1">
      <alignment vertical="center" wrapText="1"/>
    </xf>
    <xf numFmtId="0" fontId="52" fillId="0" borderId="6" xfId="0" applyFont="1" applyBorder="1" applyAlignment="1" applyProtection="1">
      <alignment horizontal="center" vertical="center" wrapText="1"/>
      <protection locked="0"/>
    </xf>
    <xf numFmtId="17" fontId="52" fillId="0" borderId="6" xfId="0" applyNumberFormat="1" applyFont="1" applyBorder="1" applyAlignment="1">
      <alignment horizontal="center" textRotation="90"/>
    </xf>
    <xf numFmtId="0" fontId="62" fillId="0" borderId="6" xfId="0" applyFont="1" applyBorder="1" applyAlignment="1" applyProtection="1">
      <alignment horizontal="center" vertical="center" wrapText="1"/>
      <protection locked="0"/>
    </xf>
    <xf numFmtId="0" fontId="63" fillId="0" borderId="6" xfId="0" applyFont="1" applyBorder="1" applyAlignment="1" applyProtection="1">
      <alignment horizontal="center" vertical="center" wrapText="1"/>
      <protection locked="0"/>
    </xf>
    <xf numFmtId="0" fontId="63" fillId="0" borderId="15" xfId="0" applyFont="1" applyBorder="1" applyAlignment="1">
      <alignment horizontal="center" vertical="center"/>
    </xf>
    <xf numFmtId="0" fontId="52" fillId="0" borderId="15" xfId="0" applyFont="1" applyBorder="1" applyAlignment="1">
      <alignment horizontal="center" vertical="center"/>
    </xf>
    <xf numFmtId="0" fontId="52" fillId="0" borderId="0" xfId="0" applyFont="1" applyAlignment="1">
      <alignment horizontal="right"/>
    </xf>
    <xf numFmtId="0" fontId="76" fillId="0" borderId="15" xfId="0" applyFont="1" applyBorder="1" applyAlignment="1" applyProtection="1">
      <alignment horizontal="center"/>
      <protection locked="0"/>
    </xf>
    <xf numFmtId="0" fontId="76" fillId="0" borderId="15" xfId="0" applyFont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73" fillId="0" borderId="0" xfId="0" applyFont="1" applyAlignment="1">
      <alignment horizontal="center"/>
    </xf>
    <xf numFmtId="0" fontId="74" fillId="0" borderId="15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52" fillId="3" borderId="6" xfId="0" applyNumberFormat="1" applyFont="1" applyFill="1" applyBorder="1" applyAlignment="1">
      <alignment horizontal="center" vertical="center"/>
    </xf>
    <xf numFmtId="1" fontId="52" fillId="3" borderId="6" xfId="0" applyNumberFormat="1" applyFont="1" applyFill="1" applyBorder="1" applyAlignment="1">
      <alignment horizontal="center" vertical="center" wrapText="1"/>
    </xf>
    <xf numFmtId="1" fontId="52" fillId="3" borderId="1" xfId="0" applyNumberFormat="1" applyFont="1" applyFill="1" applyBorder="1" applyAlignment="1">
      <alignment horizontal="center" vertical="center" wrapText="1"/>
    </xf>
    <xf numFmtId="1" fontId="52" fillId="3" borderId="7" xfId="0" applyNumberFormat="1" applyFont="1" applyFill="1" applyBorder="1" applyAlignment="1">
      <alignment horizontal="center" vertical="center" wrapText="1"/>
    </xf>
    <xf numFmtId="1" fontId="52" fillId="3" borderId="5" xfId="0" applyNumberFormat="1" applyFont="1" applyFill="1" applyBorder="1" applyAlignment="1">
      <alignment horizontal="center" vertical="center" wrapText="1"/>
    </xf>
    <xf numFmtId="1" fontId="52" fillId="3" borderId="1" xfId="0" applyNumberFormat="1" applyFont="1" applyFill="1" applyBorder="1" applyAlignment="1" applyProtection="1">
      <alignment horizontal="center" vertical="center"/>
      <protection locked="0"/>
    </xf>
    <xf numFmtId="1" fontId="52" fillId="3" borderId="7" xfId="0" applyNumberFormat="1" applyFont="1" applyFill="1" applyBorder="1" applyAlignment="1" applyProtection="1">
      <alignment horizontal="center" vertical="center"/>
      <protection locked="0"/>
    </xf>
    <xf numFmtId="1" fontId="52" fillId="3" borderId="5" xfId="0" applyNumberFormat="1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1" fontId="52" fillId="0" borderId="6" xfId="0" applyNumberFormat="1" applyFont="1" applyBorder="1" applyAlignment="1">
      <alignment horizontal="center" vertical="center"/>
    </xf>
    <xf numFmtId="1" fontId="52" fillId="0" borderId="6" xfId="0" applyNumberFormat="1" applyFont="1" applyBorder="1" applyAlignment="1">
      <alignment horizontal="center" vertical="center" wrapText="1"/>
    </xf>
    <xf numFmtId="1" fontId="52" fillId="0" borderId="1" xfId="0" applyNumberFormat="1" applyFont="1" applyBorder="1" applyAlignment="1">
      <alignment horizontal="center" vertical="center" wrapText="1"/>
    </xf>
    <xf numFmtId="1" fontId="52" fillId="0" borderId="7" xfId="0" applyNumberFormat="1" applyFont="1" applyBorder="1" applyAlignment="1">
      <alignment horizontal="center" vertical="center" wrapText="1"/>
    </xf>
    <xf numFmtId="1" fontId="52" fillId="0" borderId="5" xfId="0" applyNumberFormat="1" applyFont="1" applyBorder="1" applyAlignment="1">
      <alignment horizontal="center" vertical="center" wrapText="1"/>
    </xf>
    <xf numFmtId="1" fontId="52" fillId="0" borderId="1" xfId="0" applyNumberFormat="1" applyFont="1" applyBorder="1" applyAlignment="1" applyProtection="1">
      <alignment horizontal="center" vertical="center"/>
      <protection locked="0"/>
    </xf>
    <xf numFmtId="1" fontId="52" fillId="0" borderId="7" xfId="0" applyNumberFormat="1" applyFont="1" applyBorder="1" applyAlignment="1" applyProtection="1">
      <alignment horizontal="center" vertical="center"/>
      <protection locked="0"/>
    </xf>
    <xf numFmtId="1" fontId="52" fillId="0" borderId="5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/>
    <xf numFmtId="0" fontId="15" fillId="0" borderId="0" xfId="0" applyFont="1" applyAlignment="1">
      <alignment horizontal="left"/>
    </xf>
    <xf numFmtId="1" fontId="52" fillId="3" borderId="1" xfId="0" applyNumberFormat="1" applyFont="1" applyFill="1" applyBorder="1" applyAlignment="1">
      <alignment horizontal="center" vertical="center"/>
    </xf>
    <xf numFmtId="1" fontId="52" fillId="3" borderId="5" xfId="0" applyNumberFormat="1" applyFont="1" applyFill="1" applyBorder="1" applyAlignment="1">
      <alignment horizontal="center" vertical="center"/>
    </xf>
    <xf numFmtId="1" fontId="52" fillId="3" borderId="6" xfId="0" applyNumberFormat="1" applyFont="1" applyFill="1" applyBorder="1" applyAlignment="1" applyProtection="1">
      <alignment horizontal="center" vertical="center"/>
      <protection locked="0"/>
    </xf>
    <xf numFmtId="0" fontId="54" fillId="0" borderId="1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2" xfId="0" applyFont="1" applyBorder="1"/>
    <xf numFmtId="0" fontId="4" fillId="0" borderId="13" xfId="0" applyFont="1" applyBorder="1"/>
    <xf numFmtId="0" fontId="54" fillId="0" borderId="6" xfId="0" applyFont="1" applyBorder="1" applyAlignment="1" applyProtection="1">
      <alignment horizontal="center" vertical="center"/>
      <protection locked="0"/>
    </xf>
    <xf numFmtId="1" fontId="54" fillId="0" borderId="1" xfId="0" applyNumberFormat="1" applyFont="1" applyBorder="1" applyAlignment="1">
      <alignment horizontal="center" vertical="center" wrapText="1"/>
    </xf>
    <xf numFmtId="1" fontId="54" fillId="0" borderId="7" xfId="0" applyNumberFormat="1" applyFont="1" applyBorder="1" applyAlignment="1">
      <alignment horizontal="center" vertical="center" wrapText="1"/>
    </xf>
    <xf numFmtId="1" fontId="54" fillId="0" borderId="5" xfId="0" applyNumberFormat="1" applyFont="1" applyBorder="1" applyAlignment="1">
      <alignment horizontal="center" vertical="center" wrapText="1"/>
    </xf>
    <xf numFmtId="0" fontId="54" fillId="0" borderId="1" xfId="0" applyFont="1" applyBorder="1" applyAlignment="1" applyProtection="1">
      <alignment horizontal="center" vertical="center"/>
      <protection locked="0"/>
    </xf>
    <xf numFmtId="0" fontId="54" fillId="0" borderId="7" xfId="0" applyFont="1" applyBorder="1" applyAlignment="1" applyProtection="1">
      <alignment horizontal="center" vertical="center"/>
      <protection locked="0"/>
    </xf>
    <xf numFmtId="0" fontId="54" fillId="0" borderId="5" xfId="0" applyFont="1" applyBorder="1" applyAlignment="1" applyProtection="1">
      <alignment horizontal="center" vertical="center"/>
      <protection locked="0"/>
    </xf>
    <xf numFmtId="0" fontId="54" fillId="0" borderId="6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24" fillId="0" borderId="27" xfId="2" applyFont="1" applyBorder="1" applyAlignment="1">
      <alignment horizontal="center" vertical="center" wrapText="1"/>
    </xf>
    <xf numFmtId="0" fontId="24" fillId="0" borderId="28" xfId="2" applyFont="1" applyBorder="1" applyAlignment="1">
      <alignment horizontal="center" vertical="center" wrapText="1"/>
    </xf>
    <xf numFmtId="0" fontId="0" fillId="5" borderId="0" xfId="0" applyFill="1" applyAlignment="1">
      <alignment horizontal="center" textRotation="45"/>
    </xf>
    <xf numFmtId="0" fontId="51" fillId="0" borderId="2" xfId="0" applyFont="1" applyBorder="1" applyAlignment="1" applyProtection="1">
      <alignment horizontal="center"/>
      <protection locked="0"/>
    </xf>
    <xf numFmtId="0" fontId="51" fillId="0" borderId="3" xfId="0" applyFont="1" applyBorder="1" applyAlignment="1" applyProtection="1">
      <alignment horizontal="center"/>
      <protection locked="0"/>
    </xf>
    <xf numFmtId="0" fontId="51" fillId="0" borderId="4" xfId="0" applyFont="1" applyBorder="1" applyAlignment="1" applyProtection="1">
      <alignment horizontal="center"/>
      <protection locked="0"/>
    </xf>
    <xf numFmtId="0" fontId="51" fillId="0" borderId="2" xfId="0" applyFont="1" applyBorder="1" applyAlignment="1" applyProtection="1">
      <alignment horizontal="center" vertical="center"/>
      <protection locked="0"/>
    </xf>
    <xf numFmtId="0" fontId="51" fillId="0" borderId="3" xfId="0" applyFont="1" applyBorder="1" applyAlignment="1" applyProtection="1">
      <alignment horizontal="center" vertical="center"/>
      <protection locked="0"/>
    </xf>
    <xf numFmtId="0" fontId="51" fillId="0" borderId="4" xfId="0" applyFont="1" applyBorder="1" applyAlignment="1" applyProtection="1">
      <alignment horizontal="center" vertical="center"/>
      <protection locked="0"/>
    </xf>
    <xf numFmtId="0" fontId="44" fillId="0" borderId="44" xfId="0" applyFont="1" applyBorder="1" applyAlignment="1" applyProtection="1">
      <alignment horizontal="center" wrapText="1"/>
      <protection locked="0"/>
    </xf>
    <xf numFmtId="0" fontId="44" fillId="0" borderId="45" xfId="0" applyFont="1" applyBorder="1" applyAlignment="1" applyProtection="1">
      <alignment horizontal="center" wrapText="1"/>
      <protection locked="0"/>
    </xf>
    <xf numFmtId="0" fontId="44" fillId="0" borderId="3" xfId="0" applyFont="1" applyBorder="1" applyAlignment="1" applyProtection="1">
      <alignment horizontal="center"/>
      <protection locked="0"/>
    </xf>
    <xf numFmtId="0" fontId="44" fillId="0" borderId="4" xfId="0" applyFont="1" applyBorder="1" applyAlignment="1" applyProtection="1">
      <alignment horizontal="center"/>
      <protection locked="0"/>
    </xf>
    <xf numFmtId="0" fontId="44" fillId="0" borderId="8" xfId="0" applyFont="1" applyBorder="1" applyAlignment="1" applyProtection="1">
      <alignment horizontal="center" wrapText="1"/>
      <protection locked="0"/>
    </xf>
    <xf numFmtId="0" fontId="44" fillId="0" borderId="10" xfId="0" applyFont="1" applyBorder="1" applyAlignment="1" applyProtection="1">
      <alignment horizontal="center" wrapText="1"/>
      <protection locked="0"/>
    </xf>
    <xf numFmtId="0" fontId="32" fillId="0" borderId="37" xfId="0" applyFont="1" applyBorder="1" applyAlignment="1" applyProtection="1">
      <alignment horizontal="center" wrapText="1"/>
      <protection locked="0"/>
    </xf>
    <xf numFmtId="164" fontId="39" fillId="0" borderId="0" xfId="0" applyNumberFormat="1" applyFont="1" applyAlignment="1" applyProtection="1">
      <alignment horizontal="center"/>
      <protection locked="0"/>
    </xf>
    <xf numFmtId="164" fontId="40" fillId="0" borderId="2" xfId="0" applyNumberFormat="1" applyFont="1" applyBorder="1" applyAlignment="1" applyProtection="1">
      <alignment horizontal="center" vertical="center"/>
      <protection locked="0"/>
    </xf>
    <xf numFmtId="164" fontId="40" fillId="0" borderId="3" xfId="0" applyNumberFormat="1" applyFont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/>
      <protection locked="0"/>
    </xf>
    <xf numFmtId="0" fontId="42" fillId="0" borderId="27" xfId="0" applyFont="1" applyBorder="1" applyAlignment="1" applyProtection="1">
      <alignment horizontal="center" vertical="center" wrapText="1"/>
      <protection locked="0"/>
    </xf>
    <xf numFmtId="0" fontId="42" fillId="0" borderId="32" xfId="0" applyFont="1" applyBorder="1" applyAlignment="1" applyProtection="1">
      <alignment horizontal="center" vertical="center" wrapText="1"/>
      <protection locked="0"/>
    </xf>
    <xf numFmtId="0" fontId="42" fillId="0" borderId="34" xfId="0" applyFont="1" applyBorder="1" applyAlignment="1" applyProtection="1">
      <alignment horizontal="center" vertical="center" wrapText="1"/>
      <protection locked="0"/>
    </xf>
    <xf numFmtId="0" fontId="33" fillId="0" borderId="18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46" xfId="0" applyFont="1" applyBorder="1" applyAlignment="1" applyProtection="1">
      <alignment horizontal="center" vertical="center" wrapText="1"/>
      <protection locked="0"/>
    </xf>
    <xf numFmtId="0" fontId="44" fillId="0" borderId="33" xfId="0" applyFont="1" applyBorder="1" applyAlignment="1" applyProtection="1">
      <alignment horizontal="center"/>
      <protection locked="0"/>
    </xf>
    <xf numFmtId="0" fontId="32" fillId="0" borderId="42" xfId="0" applyFont="1" applyBorder="1" applyAlignment="1" applyProtection="1">
      <alignment horizontal="center"/>
      <protection locked="0"/>
    </xf>
    <xf numFmtId="0" fontId="32" fillId="0" borderId="40" xfId="0" applyFont="1" applyBorder="1" applyAlignment="1" applyProtection="1">
      <alignment horizontal="center"/>
      <protection locked="0"/>
    </xf>
    <xf numFmtId="0" fontId="32" fillId="0" borderId="43" xfId="0" applyFont="1" applyBorder="1" applyAlignment="1" applyProtection="1">
      <alignment horizontal="center"/>
      <protection locked="0"/>
    </xf>
    <xf numFmtId="0" fontId="32" fillId="0" borderId="39" xfId="0" applyFont="1" applyBorder="1" applyAlignment="1" applyProtection="1">
      <alignment horizontal="center"/>
      <protection locked="0"/>
    </xf>
    <xf numFmtId="0" fontId="32" fillId="0" borderId="41" xfId="0" applyFont="1" applyBorder="1" applyAlignment="1" applyProtection="1">
      <alignment horizontal="center"/>
      <protection locked="0"/>
    </xf>
    <xf numFmtId="0" fontId="41" fillId="0" borderId="16" xfId="0" applyFont="1" applyBorder="1" applyAlignment="1" applyProtection="1">
      <alignment horizontal="center" vertical="center"/>
      <protection locked="0"/>
    </xf>
    <xf numFmtId="0" fontId="41" fillId="0" borderId="17" xfId="0" applyFont="1" applyBorder="1" applyAlignment="1" applyProtection="1">
      <alignment horizontal="center" vertical="center"/>
      <protection locked="0"/>
    </xf>
    <xf numFmtId="0" fontId="41" fillId="0" borderId="19" xfId="0" applyFont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1" fillId="0" borderId="29" xfId="0" applyFont="1" applyBorder="1" applyAlignment="1" applyProtection="1">
      <alignment horizontal="center" vertical="center"/>
      <protection locked="0"/>
    </xf>
    <xf numFmtId="0" fontId="41" fillId="0" borderId="15" xfId="0" applyFont="1" applyBorder="1" applyAlignment="1" applyProtection="1">
      <alignment horizontal="center" vertical="center"/>
      <protection locked="0"/>
    </xf>
    <xf numFmtId="0" fontId="32" fillId="0" borderId="36" xfId="0" applyFont="1" applyBorder="1" applyAlignment="1" applyProtection="1">
      <alignment horizontal="center"/>
      <protection locked="0"/>
    </xf>
    <xf numFmtId="0" fontId="32" fillId="0" borderId="37" xfId="0" applyFont="1" applyBorder="1" applyAlignment="1" applyProtection="1">
      <alignment horizontal="center"/>
      <protection locked="0"/>
    </xf>
    <xf numFmtId="0" fontId="32" fillId="0" borderId="38" xfId="0" applyFont="1" applyBorder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9" fillId="0" borderId="13" xfId="0" applyFont="1" applyBorder="1" applyAlignment="1" applyProtection="1">
      <alignment horizontal="center"/>
      <protection locked="0"/>
    </xf>
    <xf numFmtId="0" fontId="40" fillId="0" borderId="2" xfId="0" applyFont="1" applyBorder="1" applyAlignment="1" applyProtection="1">
      <alignment horizontal="center" vertical="center"/>
      <protection locked="0"/>
    </xf>
    <xf numFmtId="0" fontId="40" fillId="0" borderId="3" xfId="0" applyFont="1" applyBorder="1" applyAlignment="1" applyProtection="1">
      <alignment horizontal="center" vertical="center"/>
      <protection locked="0"/>
    </xf>
    <xf numFmtId="0" fontId="40" fillId="0" borderId="4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8" fillId="0" borderId="6" xfId="0" applyNumberFormat="1" applyFont="1" applyBorder="1" applyAlignment="1" applyProtection="1">
      <alignment horizontal="center" vertical="center"/>
      <protection locked="0"/>
    </xf>
    <xf numFmtId="1" fontId="8" fillId="0" borderId="6" xfId="0" applyNumberFormat="1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</cellXfs>
  <cellStyles count="4">
    <cellStyle name="Comma" xfId="3" builtinId="3"/>
    <cellStyle name="Normal" xfId="0" builtinId="0"/>
    <cellStyle name="Normal 2 2" xfId="2" xr:uid="{00000000-0005-0000-0000-000001000000}"/>
    <cellStyle name="Normal 9" xfId="1" xr:uid="{00000000-0005-0000-0000-000002000000}"/>
  </cellStyles>
  <dxfs count="0"/>
  <tableStyles count="0" defaultTableStyle="TableStyleMedium2" defaultPivotStyle="PivotStyleLight16"/>
  <colors>
    <mruColors>
      <color rgb="FF00FF00"/>
      <color rgb="FF66FF66"/>
      <color rgb="FFFF9933"/>
      <color rgb="FF66FF99"/>
      <color rgb="FFFF3300"/>
      <color rgb="FFCC6600"/>
      <color rgb="FF3399FF"/>
      <color rgb="FFFF6699"/>
      <color rgb="FFCC33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224855</xdr:colOff>
      <xdr:row>0</xdr:row>
      <xdr:rowOff>78476</xdr:rowOff>
    </xdr:from>
    <xdr:to>
      <xdr:col>1</xdr:col>
      <xdr:colOff>1411605</xdr:colOff>
      <xdr:row>6</xdr:row>
      <xdr:rowOff>4950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493A041F-4B56-4D41-A866-0F987634C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555" y="78476"/>
          <a:ext cx="1156270" cy="1160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42</xdr:col>
      <xdr:colOff>152400</xdr:colOff>
      <xdr:row>1</xdr:row>
      <xdr:rowOff>66675</xdr:rowOff>
    </xdr:from>
    <xdr:to>
      <xdr:col>46</xdr:col>
      <xdr:colOff>514769</xdr:colOff>
      <xdr:row>4</xdr:row>
      <xdr:rowOff>168598</xdr:rowOff>
    </xdr:to>
    <xdr:pic>
      <xdr:nvPicPr>
        <xdr:cNvPr id="3" name="Picture 2" descr="http://depedverify.appspot.com/img/logo.gif">
          <a:extLst>
            <a:ext uri="{FF2B5EF4-FFF2-40B4-BE49-F238E27FC236}">
              <a16:creationId xmlns:a16="http://schemas.microsoft.com/office/drawing/2014/main" id="{04DFE4EA-D121-48F0-AE43-F83958D28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0" y="447675"/>
          <a:ext cx="1886369" cy="665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FF"/>
  </sheetPr>
  <dimension ref="A1"/>
  <sheetViews>
    <sheetView workbookViewId="0">
      <selection activeCell="E9" sqref="E9"/>
    </sheetView>
  </sheetViews>
  <sheetFormatPr defaultColWidth="9"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BC9C-2381-4D36-8D96-690CD7351178}">
  <dimension ref="A2:H49"/>
  <sheetViews>
    <sheetView workbookViewId="0">
      <selection activeCell="D13" sqref="D13"/>
    </sheetView>
  </sheetViews>
  <sheetFormatPr defaultRowHeight="15"/>
  <cols>
    <col min="1" max="1" width="30.28515625" customWidth="1"/>
    <col min="2" max="2" width="17.42578125" customWidth="1"/>
    <col min="5" max="5" width="15.140625" customWidth="1"/>
    <col min="8" max="8" width="22.140625" customWidth="1"/>
    <col min="9" max="9" width="24" customWidth="1"/>
    <col min="10" max="10" width="16" customWidth="1"/>
  </cols>
  <sheetData>
    <row r="2" spans="1:8" ht="15.75" thickBot="1">
      <c r="A2" s="47" t="s">
        <v>108</v>
      </c>
      <c r="B2" s="47" t="s">
        <v>107</v>
      </c>
      <c r="C2" s="47" t="s">
        <v>106</v>
      </c>
      <c r="D2" s="47" t="s">
        <v>105</v>
      </c>
      <c r="E2" s="47" t="s">
        <v>124</v>
      </c>
      <c r="F2" s="47" t="s">
        <v>102</v>
      </c>
      <c r="G2" s="47" t="s">
        <v>103</v>
      </c>
      <c r="H2" s="47" t="s">
        <v>104</v>
      </c>
    </row>
    <row r="3" spans="1:8">
      <c r="A3" t="s">
        <v>156</v>
      </c>
      <c r="B3" s="252" t="s">
        <v>166</v>
      </c>
      <c r="C3" s="48" t="s">
        <v>139</v>
      </c>
      <c r="D3">
        <v>13</v>
      </c>
      <c r="E3" s="43"/>
    </row>
    <row r="4" spans="1:8">
      <c r="A4" t="s">
        <v>157</v>
      </c>
      <c r="B4" s="252" t="s">
        <v>166</v>
      </c>
      <c r="C4" s="50" t="s">
        <v>139</v>
      </c>
      <c r="D4">
        <v>12</v>
      </c>
      <c r="E4" s="43"/>
    </row>
    <row r="5" spans="1:8">
      <c r="A5" t="s">
        <v>158</v>
      </c>
      <c r="B5" s="252" t="s">
        <v>166</v>
      </c>
      <c r="C5" s="50" t="s">
        <v>139</v>
      </c>
      <c r="D5">
        <v>13</v>
      </c>
      <c r="E5" s="43"/>
    </row>
    <row r="6" spans="1:8">
      <c r="A6" t="s">
        <v>159</v>
      </c>
      <c r="B6" s="252" t="s">
        <v>166</v>
      </c>
      <c r="C6" s="50" t="s">
        <v>139</v>
      </c>
      <c r="D6">
        <v>13</v>
      </c>
      <c r="E6" s="43"/>
    </row>
    <row r="7" spans="1:8">
      <c r="A7" t="s">
        <v>160</v>
      </c>
      <c r="B7" s="252" t="s">
        <v>166</v>
      </c>
      <c r="C7" s="50" t="s">
        <v>139</v>
      </c>
      <c r="D7">
        <v>12</v>
      </c>
      <c r="E7" s="43"/>
    </row>
    <row r="8" spans="1:8">
      <c r="A8" t="s">
        <v>161</v>
      </c>
      <c r="B8" s="252" t="s">
        <v>166</v>
      </c>
      <c r="C8" s="50" t="s">
        <v>139</v>
      </c>
      <c r="D8">
        <v>12</v>
      </c>
      <c r="E8" s="43"/>
    </row>
    <row r="9" spans="1:8">
      <c r="A9" t="s">
        <v>162</v>
      </c>
      <c r="B9" s="252" t="s">
        <v>166</v>
      </c>
      <c r="C9" s="50" t="s">
        <v>139</v>
      </c>
      <c r="D9" s="198">
        <v>12</v>
      </c>
      <c r="E9" s="43"/>
    </row>
    <row r="10" spans="1:8">
      <c r="A10" t="s">
        <v>163</v>
      </c>
      <c r="B10" s="252" t="s">
        <v>166</v>
      </c>
      <c r="C10" s="50" t="s">
        <v>139</v>
      </c>
      <c r="D10">
        <v>12</v>
      </c>
      <c r="E10" s="43"/>
    </row>
    <row r="11" spans="1:8">
      <c r="A11" t="s">
        <v>164</v>
      </c>
      <c r="B11" s="252" t="s">
        <v>166</v>
      </c>
      <c r="C11" s="50" t="s">
        <v>139</v>
      </c>
      <c r="D11">
        <v>13</v>
      </c>
      <c r="E11" s="43"/>
    </row>
    <row r="12" spans="1:8">
      <c r="A12" t="s">
        <v>165</v>
      </c>
      <c r="B12" s="252" t="s">
        <v>166</v>
      </c>
      <c r="C12" s="50" t="s">
        <v>139</v>
      </c>
      <c r="D12">
        <v>12</v>
      </c>
      <c r="E12" s="43"/>
    </row>
    <row r="13" spans="1:8">
      <c r="A13" s="49"/>
      <c r="C13" s="50"/>
      <c r="E13" s="43"/>
    </row>
    <row r="14" spans="1:8">
      <c r="A14" s="49"/>
      <c r="C14" s="50"/>
      <c r="E14" s="43"/>
    </row>
    <row r="15" spans="1:8">
      <c r="A15" s="49"/>
      <c r="C15" s="50"/>
      <c r="E15" s="43"/>
    </row>
    <row r="16" spans="1:8">
      <c r="A16" s="49"/>
      <c r="C16" s="50"/>
      <c r="E16" s="43"/>
    </row>
    <row r="17" spans="1:5">
      <c r="A17" s="49"/>
      <c r="C17" s="50"/>
      <c r="E17" s="43"/>
    </row>
    <row r="18" spans="1:5">
      <c r="A18" s="49"/>
      <c r="C18" s="50"/>
      <c r="E18" s="43"/>
    </row>
    <row r="19" spans="1:5">
      <c r="A19" s="49"/>
      <c r="C19" s="50"/>
      <c r="E19" s="43"/>
    </row>
    <row r="20" spans="1:5">
      <c r="A20" s="49"/>
      <c r="C20" s="50"/>
      <c r="E20" s="43"/>
    </row>
    <row r="21" spans="1:5">
      <c r="A21" s="49"/>
      <c r="C21" s="50"/>
      <c r="E21" s="43"/>
    </row>
    <row r="22" spans="1:5">
      <c r="A22" s="49"/>
      <c r="C22" s="50"/>
      <c r="D22" s="159"/>
      <c r="E22" s="43"/>
    </row>
    <row r="23" spans="1:5">
      <c r="A23" s="49"/>
      <c r="B23" s="159"/>
      <c r="C23" s="50"/>
      <c r="D23" s="159"/>
      <c r="E23" s="43"/>
    </row>
    <row r="24" spans="1:5">
      <c r="A24" s="49"/>
      <c r="B24" s="159"/>
      <c r="C24" s="50"/>
      <c r="D24" s="159"/>
      <c r="E24" s="43"/>
    </row>
    <row r="25" spans="1:5">
      <c r="A25" s="49"/>
      <c r="B25" s="159"/>
      <c r="C25" s="50"/>
      <c r="D25" s="159"/>
      <c r="E25" s="43"/>
    </row>
    <row r="26" spans="1:5">
      <c r="A26" s="49"/>
      <c r="B26" s="159"/>
      <c r="C26" s="50"/>
      <c r="D26" s="159"/>
      <c r="E26" s="43"/>
    </row>
    <row r="27" spans="1:5">
      <c r="A27" s="49"/>
      <c r="B27" s="159"/>
      <c r="C27" s="50"/>
      <c r="D27" s="159"/>
      <c r="E27" s="43"/>
    </row>
    <row r="28" spans="1:5">
      <c r="A28" s="49"/>
      <c r="B28" s="159"/>
      <c r="C28" s="50"/>
      <c r="D28" s="159"/>
      <c r="E28" s="43"/>
    </row>
    <row r="29" spans="1:5">
      <c r="A29" s="49"/>
      <c r="B29" s="159"/>
      <c r="C29" s="50"/>
      <c r="D29" s="159"/>
      <c r="E29" s="43"/>
    </row>
    <row r="30" spans="1:5">
      <c r="A30" s="49"/>
      <c r="B30" s="159"/>
      <c r="C30" s="50"/>
      <c r="D30" s="159"/>
      <c r="E30" s="43"/>
    </row>
    <row r="31" spans="1:5">
      <c r="A31" s="49"/>
      <c r="B31" s="159"/>
      <c r="C31" s="50"/>
      <c r="D31" s="159"/>
      <c r="E31" s="43"/>
    </row>
    <row r="32" spans="1:5">
      <c r="A32" s="49"/>
      <c r="B32" s="160"/>
      <c r="C32" s="50"/>
      <c r="D32" s="161"/>
      <c r="E32" s="43"/>
    </row>
    <row r="33" spans="1:5">
      <c r="A33" s="49"/>
      <c r="B33" s="159"/>
      <c r="C33" s="50"/>
      <c r="D33" s="161"/>
      <c r="E33" s="43"/>
    </row>
    <row r="34" spans="1:5">
      <c r="A34" s="49"/>
      <c r="B34" s="159"/>
      <c r="C34" s="50"/>
      <c r="D34" s="161"/>
      <c r="E34" s="43"/>
    </row>
    <row r="35" spans="1:5">
      <c r="A35" s="49"/>
      <c r="B35" s="159"/>
      <c r="C35" s="50"/>
      <c r="D35" s="161"/>
      <c r="E35" s="43"/>
    </row>
    <row r="36" spans="1:5">
      <c r="A36" s="49"/>
      <c r="B36" s="50"/>
      <c r="C36" s="50"/>
      <c r="D36" s="161"/>
    </row>
    <row r="37" spans="1:5">
      <c r="A37" s="49"/>
      <c r="B37" s="50"/>
      <c r="C37" s="50"/>
      <c r="D37" s="51"/>
    </row>
    <row r="38" spans="1:5">
      <c r="A38" s="49"/>
      <c r="B38" s="50"/>
      <c r="C38" s="50"/>
      <c r="D38" s="51"/>
    </row>
    <row r="39" spans="1:5">
      <c r="A39" s="49"/>
      <c r="B39" s="50"/>
      <c r="C39" s="50"/>
      <c r="D39" s="51"/>
    </row>
    <row r="40" spans="1:5">
      <c r="A40" s="49"/>
      <c r="B40" s="50"/>
      <c r="C40" s="50"/>
      <c r="D40" s="51"/>
    </row>
    <row r="41" spans="1:5">
      <c r="A41" s="49"/>
      <c r="B41" s="50"/>
      <c r="C41" s="50"/>
      <c r="D41" s="51"/>
    </row>
    <row r="42" spans="1:5">
      <c r="A42" s="49"/>
      <c r="B42" s="50"/>
      <c r="C42" s="50"/>
      <c r="D42" s="51"/>
    </row>
    <row r="43" spans="1:5">
      <c r="A43" s="49"/>
      <c r="B43" s="50"/>
      <c r="C43" s="50"/>
      <c r="D43" s="51"/>
    </row>
    <row r="44" spans="1:5">
      <c r="A44" s="49"/>
      <c r="B44" s="175"/>
      <c r="C44" s="50"/>
      <c r="D44" s="176"/>
    </row>
    <row r="45" spans="1:5">
      <c r="A45" s="49"/>
      <c r="B45" s="50"/>
      <c r="C45" s="50"/>
      <c r="D45" s="51"/>
    </row>
    <row r="46" spans="1:5">
      <c r="A46" s="49"/>
      <c r="B46" s="50"/>
      <c r="C46" s="50"/>
      <c r="D46" s="51"/>
    </row>
    <row r="47" spans="1:5">
      <c r="A47" s="49"/>
      <c r="B47" s="50"/>
      <c r="C47" s="50"/>
      <c r="D47" s="51"/>
    </row>
    <row r="48" spans="1:5">
      <c r="A48" s="49"/>
      <c r="B48" s="50"/>
      <c r="C48" s="50"/>
      <c r="D48" s="51"/>
    </row>
    <row r="49" spans="1:4" ht="15.75" thickBot="1">
      <c r="A49" s="52"/>
      <c r="B49" s="53"/>
      <c r="C49" s="53"/>
      <c r="D49" s="54"/>
    </row>
  </sheetData>
  <sortState xmlns:xlrd2="http://schemas.microsoft.com/office/spreadsheetml/2017/richdata2" ref="H3:I25">
    <sortCondition ref="H3:H25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E195"/>
  <sheetViews>
    <sheetView showGridLines="0" view="pageBreakPreview" topLeftCell="A9" zoomScale="130" zoomScaleNormal="100" zoomScaleSheetLayoutView="130" workbookViewId="0">
      <selection activeCell="R15" sqref="R15:U15"/>
    </sheetView>
  </sheetViews>
  <sheetFormatPr defaultColWidth="8.7109375" defaultRowHeight="15"/>
  <cols>
    <col min="1" max="1" width="8.85546875" style="219" customWidth="1"/>
    <col min="2" max="14" width="3.7109375" style="219" customWidth="1"/>
    <col min="15" max="15" width="28.7109375" style="219" customWidth="1"/>
    <col min="16" max="16" width="6.28515625" style="219" customWidth="1"/>
    <col min="17" max="25" width="5.28515625" style="219" customWidth="1"/>
    <col min="26" max="26" width="6.85546875" style="219" customWidth="1"/>
    <col min="27" max="27" width="5.7109375" style="219" customWidth="1"/>
    <col min="28" max="28" width="5.28515625" style="219" customWidth="1"/>
    <col min="29" max="16384" width="8.7109375" style="219"/>
  </cols>
  <sheetData>
    <row r="1" spans="1:28" ht="13.5" customHeight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63" t="s">
        <v>1</v>
      </c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18"/>
    </row>
    <row r="2" spans="1:28" ht="13.5" customHeight="1">
      <c r="A2" s="264" t="s">
        <v>2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00"/>
      <c r="P2" s="265" t="s">
        <v>3</v>
      </c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20"/>
    </row>
    <row r="3" spans="1:28" ht="13.5" customHeight="1">
      <c r="A3" s="200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65" t="s">
        <v>4</v>
      </c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20"/>
    </row>
    <row r="4" spans="1:28" ht="13.5" customHeight="1">
      <c r="A4" s="281"/>
      <c r="B4" s="266" t="s">
        <v>176</v>
      </c>
      <c r="C4" s="285" t="s">
        <v>151</v>
      </c>
      <c r="D4" s="266" t="s">
        <v>143</v>
      </c>
      <c r="E4" s="266" t="s">
        <v>141</v>
      </c>
      <c r="F4" s="266" t="s">
        <v>5</v>
      </c>
      <c r="G4" s="266" t="s">
        <v>6</v>
      </c>
      <c r="H4" s="266" t="s">
        <v>7</v>
      </c>
      <c r="I4" s="266" t="s">
        <v>8</v>
      </c>
      <c r="J4" s="266" t="s">
        <v>9</v>
      </c>
      <c r="K4" s="266" t="s">
        <v>10</v>
      </c>
      <c r="L4" s="266"/>
      <c r="M4" s="266"/>
      <c r="N4" s="266" t="s">
        <v>11</v>
      </c>
      <c r="O4" s="200"/>
      <c r="P4" s="265" t="s">
        <v>167</v>
      </c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20"/>
    </row>
    <row r="5" spans="1:28" ht="13.5" customHeight="1">
      <c r="A5" s="281"/>
      <c r="B5" s="266"/>
      <c r="C5" s="285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00"/>
      <c r="P5" s="265" t="s">
        <v>168</v>
      </c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20"/>
    </row>
    <row r="6" spans="1:28" ht="13.5" customHeight="1">
      <c r="A6" s="281"/>
      <c r="B6" s="266"/>
      <c r="C6" s="285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00"/>
      <c r="P6" s="269" t="s">
        <v>178</v>
      </c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21"/>
    </row>
    <row r="7" spans="1:28" ht="13.5" customHeight="1">
      <c r="A7" s="281"/>
      <c r="B7" s="266"/>
      <c r="C7" s="285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00"/>
      <c r="P7" s="270" t="s">
        <v>170</v>
      </c>
      <c r="Q7" s="270"/>
      <c r="R7" s="270"/>
      <c r="S7" s="270"/>
      <c r="T7" s="270"/>
      <c r="U7" s="270"/>
      <c r="V7" s="270"/>
      <c r="W7" s="270"/>
      <c r="X7" s="270"/>
      <c r="Y7" s="270"/>
      <c r="Z7" s="270"/>
    </row>
    <row r="8" spans="1:28" ht="15" customHeight="1">
      <c r="A8" s="281"/>
      <c r="B8" s="266"/>
      <c r="C8" s="285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00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</row>
    <row r="9" spans="1:28" ht="13.5" customHeight="1">
      <c r="A9" s="282" t="s">
        <v>12</v>
      </c>
      <c r="B9" s="284">
        <v>10</v>
      </c>
      <c r="C9" s="284">
        <v>10</v>
      </c>
      <c r="D9" s="284">
        <v>10</v>
      </c>
      <c r="E9" s="284">
        <v>10</v>
      </c>
      <c r="F9" s="284">
        <v>10</v>
      </c>
      <c r="G9" s="284">
        <v>10</v>
      </c>
      <c r="H9" s="284">
        <v>10</v>
      </c>
      <c r="I9" s="284">
        <v>10</v>
      </c>
      <c r="J9" s="284">
        <v>10</v>
      </c>
      <c r="K9" s="284">
        <v>10</v>
      </c>
      <c r="L9" s="284"/>
      <c r="M9" s="284"/>
      <c r="N9" s="286">
        <f>SUM(B9:M11)</f>
        <v>100</v>
      </c>
      <c r="O9" s="200"/>
      <c r="P9" s="272" t="s">
        <v>13</v>
      </c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22"/>
    </row>
    <row r="10" spans="1:28" ht="13.5" customHeight="1">
      <c r="A10" s="282"/>
      <c r="B10" s="284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6"/>
      <c r="O10" s="200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4"/>
    </row>
    <row r="11" spans="1:28" ht="15" customHeight="1">
      <c r="A11" s="282"/>
      <c r="B11" s="284"/>
      <c r="C11" s="284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6"/>
      <c r="O11" s="200"/>
    </row>
    <row r="12" spans="1:28" ht="15" customHeight="1">
      <c r="A12" s="282" t="s">
        <v>14</v>
      </c>
      <c r="B12" s="284">
        <f>B9-B15</f>
        <v>9</v>
      </c>
      <c r="C12" s="284">
        <f t="shared" ref="C12:K12" si="0">C9-C15</f>
        <v>8</v>
      </c>
      <c r="D12" s="284">
        <f t="shared" si="0"/>
        <v>10</v>
      </c>
      <c r="E12" s="284">
        <f t="shared" si="0"/>
        <v>9</v>
      </c>
      <c r="F12" s="284">
        <f t="shared" si="0"/>
        <v>9</v>
      </c>
      <c r="G12" s="284">
        <f t="shared" si="0"/>
        <v>10</v>
      </c>
      <c r="H12" s="284">
        <f>H9-H15</f>
        <v>9</v>
      </c>
      <c r="I12" s="284">
        <f t="shared" si="0"/>
        <v>8</v>
      </c>
      <c r="J12" s="284">
        <f t="shared" si="0"/>
        <v>9</v>
      </c>
      <c r="K12" s="284">
        <f t="shared" si="0"/>
        <v>9</v>
      </c>
      <c r="L12" s="284"/>
      <c r="M12" s="284"/>
      <c r="N12" s="286">
        <f>SUM(B12:M14)</f>
        <v>90</v>
      </c>
      <c r="O12" s="200"/>
      <c r="P12" s="200" t="s">
        <v>15</v>
      </c>
      <c r="Q12" s="295" t="s">
        <v>157</v>
      </c>
      <c r="R12" s="295"/>
      <c r="S12" s="295"/>
      <c r="T12" s="295"/>
      <c r="U12" s="295"/>
      <c r="V12" s="295"/>
      <c r="W12" s="295"/>
      <c r="X12" s="295"/>
      <c r="Y12" s="295"/>
      <c r="Z12" s="295"/>
      <c r="AA12" s="223"/>
    </row>
    <row r="13" spans="1:28" ht="15" customHeight="1">
      <c r="A13" s="282"/>
      <c r="B13" s="284"/>
      <c r="C13" s="284"/>
      <c r="D13" s="284"/>
      <c r="E13" s="284"/>
      <c r="F13" s="284"/>
      <c r="G13" s="284"/>
      <c r="H13" s="284"/>
      <c r="I13" s="284"/>
      <c r="J13" s="284"/>
      <c r="K13" s="284"/>
      <c r="L13" s="284"/>
      <c r="M13" s="284"/>
      <c r="N13" s="286"/>
      <c r="O13" s="200"/>
      <c r="P13" s="200" t="s">
        <v>16</v>
      </c>
      <c r="Q13" s="251">
        <f>VLOOKUP(Q12,'Class Info'!A3:D49,COLUMN('Class Info'!D:D)-COLUMN('Class Info'!A3:D49)+1,0)</f>
        <v>12</v>
      </c>
      <c r="R13" s="251"/>
      <c r="S13" s="224"/>
      <c r="T13" s="200" t="s">
        <v>17</v>
      </c>
      <c r="U13" s="267" t="str">
        <f>VLOOKUP(Q12,'Class Info'!A3:D49,COLUMN('Class Info'!C:C)-COLUMN('Class Info'!A3:D49)+1,0)</f>
        <v>MALE</v>
      </c>
      <c r="V13" s="267"/>
      <c r="W13" s="200" t="s">
        <v>18</v>
      </c>
      <c r="X13" s="268" t="str">
        <f>VLOOKUP(Q12,'Class Info'!A3:D49,COLUMN('Class Info'!B:B)-COLUMN('Class Info'!A3:D49)+1,0)</f>
        <v>123456789012</v>
      </c>
      <c r="Y13" s="268"/>
      <c r="Z13" s="268"/>
      <c r="AA13" s="225"/>
    </row>
    <row r="14" spans="1:28" ht="15" customHeight="1">
      <c r="A14" s="282"/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6"/>
      <c r="O14" s="200"/>
      <c r="P14" s="200" t="s">
        <v>19</v>
      </c>
      <c r="Q14" s="249"/>
      <c r="R14" s="248" t="s">
        <v>179</v>
      </c>
      <c r="S14" s="250"/>
      <c r="T14" s="290" t="s">
        <v>20</v>
      </c>
      <c r="U14" s="290"/>
      <c r="V14" s="291" t="s">
        <v>171</v>
      </c>
      <c r="W14" s="291"/>
      <c r="X14" s="291"/>
      <c r="Y14" s="291"/>
      <c r="Z14" s="291"/>
      <c r="AA14" s="226"/>
    </row>
    <row r="15" spans="1:28" ht="15" customHeight="1">
      <c r="A15" s="283" t="s">
        <v>21</v>
      </c>
      <c r="B15" s="284">
        <v>1</v>
      </c>
      <c r="C15" s="284">
        <v>2</v>
      </c>
      <c r="D15" s="284">
        <v>0</v>
      </c>
      <c r="E15" s="284">
        <v>1</v>
      </c>
      <c r="F15" s="284">
        <v>1</v>
      </c>
      <c r="G15" s="284">
        <v>0</v>
      </c>
      <c r="H15" s="284">
        <v>1</v>
      </c>
      <c r="I15" s="284">
        <v>2</v>
      </c>
      <c r="J15" s="284">
        <v>1</v>
      </c>
      <c r="K15" s="284">
        <v>1</v>
      </c>
      <c r="L15" s="284"/>
      <c r="M15" s="284"/>
      <c r="N15" s="287">
        <f>SUM(B15:M17)</f>
        <v>10</v>
      </c>
      <c r="O15" s="200"/>
      <c r="P15" s="227" t="s">
        <v>22</v>
      </c>
      <c r="Q15" s="227"/>
      <c r="R15" s="292" t="s">
        <v>172</v>
      </c>
      <c r="S15" s="292"/>
      <c r="T15" s="292"/>
      <c r="U15" s="292"/>
      <c r="V15" s="200"/>
      <c r="W15" s="200"/>
      <c r="X15" s="200"/>
      <c r="Y15" s="200"/>
      <c r="Z15" s="200"/>
      <c r="AA15" s="200"/>
    </row>
    <row r="16" spans="1:28" ht="13.5" customHeight="1">
      <c r="A16" s="283"/>
      <c r="B16" s="284"/>
      <c r="C16" s="284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7"/>
      <c r="O16" s="200"/>
      <c r="P16" s="228"/>
      <c r="Q16" s="229"/>
      <c r="R16" s="229"/>
      <c r="S16" s="230"/>
      <c r="T16" s="230"/>
      <c r="U16" s="230"/>
      <c r="V16" s="230"/>
      <c r="W16" s="230"/>
      <c r="X16" s="230"/>
      <c r="Y16" s="230"/>
      <c r="Z16" s="230"/>
      <c r="AA16" s="230"/>
      <c r="AB16" s="231"/>
    </row>
    <row r="17" spans="1:31" ht="13.5" customHeight="1">
      <c r="A17" s="283"/>
      <c r="B17" s="284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7"/>
      <c r="O17" s="200"/>
      <c r="P17" s="229" t="s">
        <v>23</v>
      </c>
      <c r="Q17" s="227"/>
      <c r="R17" s="227"/>
      <c r="S17" s="200"/>
      <c r="T17" s="200"/>
      <c r="U17" s="200"/>
      <c r="V17" s="200"/>
      <c r="W17" s="200"/>
      <c r="X17" s="200"/>
      <c r="Y17" s="200"/>
      <c r="Z17" s="200"/>
      <c r="AA17" s="200"/>
      <c r="AB17" s="231"/>
    </row>
    <row r="18" spans="1:31" ht="13.5" customHeight="1">
      <c r="A18" s="200"/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28"/>
      <c r="Q18" s="229" t="s">
        <v>24</v>
      </c>
      <c r="R18" s="229"/>
      <c r="S18" s="230"/>
      <c r="T18" s="230"/>
      <c r="U18" s="230"/>
      <c r="V18" s="230"/>
      <c r="W18" s="230"/>
      <c r="X18" s="230"/>
      <c r="Y18" s="230"/>
      <c r="Z18" s="230"/>
      <c r="AA18" s="230"/>
      <c r="AB18" s="231"/>
    </row>
    <row r="19" spans="1:31" ht="13.5" customHeight="1">
      <c r="A19" s="200"/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29" t="s">
        <v>25</v>
      </c>
      <c r="Q19" s="228"/>
      <c r="R19" s="229"/>
      <c r="S19" s="232"/>
      <c r="T19" s="232"/>
      <c r="U19" s="232"/>
      <c r="V19" s="232"/>
      <c r="W19" s="232"/>
      <c r="X19" s="232"/>
      <c r="Y19" s="232"/>
      <c r="Z19" s="232"/>
      <c r="AA19" s="232"/>
      <c r="AB19" s="231"/>
    </row>
    <row r="20" spans="1:31" ht="13.5" customHeight="1">
      <c r="A20" s="200"/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28"/>
      <c r="Q20" s="229" t="s">
        <v>26</v>
      </c>
      <c r="R20" s="229"/>
      <c r="S20" s="232"/>
      <c r="T20" s="232"/>
      <c r="U20" s="232"/>
      <c r="V20" s="232"/>
      <c r="W20" s="232"/>
      <c r="X20" s="232"/>
      <c r="Y20" s="232"/>
      <c r="Z20" s="232"/>
      <c r="AA20" s="232"/>
      <c r="AB20" s="231"/>
    </row>
    <row r="21" spans="1:31" ht="13.5" customHeight="1">
      <c r="A21" s="200"/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29" t="s">
        <v>27</v>
      </c>
      <c r="Q21" s="228"/>
      <c r="R21" s="229"/>
      <c r="S21" s="232"/>
      <c r="T21" s="232"/>
      <c r="U21" s="232"/>
      <c r="V21" s="232"/>
      <c r="W21" s="232"/>
      <c r="X21" s="232"/>
      <c r="Y21" s="232"/>
      <c r="Z21" s="232"/>
      <c r="AA21" s="232"/>
    </row>
    <row r="22" spans="1:31" ht="13.5" customHeight="1">
      <c r="A22" s="271" t="s">
        <v>28</v>
      </c>
      <c r="B22" s="271"/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00"/>
      <c r="Q22" s="232"/>
      <c r="R22" s="232"/>
      <c r="S22" s="232"/>
      <c r="T22" s="232"/>
      <c r="U22" s="232"/>
      <c r="V22" s="278" t="s">
        <v>173</v>
      </c>
      <c r="W22" s="278"/>
      <c r="X22" s="278"/>
      <c r="Y22" s="278"/>
      <c r="Z22" s="278"/>
      <c r="AA22" s="233"/>
    </row>
    <row r="23" spans="1:31" ht="6.75" customHeight="1">
      <c r="A23" s="200"/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Q23" s="234"/>
      <c r="R23" s="234"/>
      <c r="S23" s="234"/>
      <c r="T23" s="234"/>
      <c r="U23" s="234"/>
      <c r="V23" s="273"/>
      <c r="W23" s="273"/>
      <c r="X23" s="273"/>
      <c r="Y23" s="273"/>
      <c r="Z23" s="273"/>
      <c r="AA23" s="233"/>
    </row>
    <row r="24" spans="1:31" ht="13.5" customHeight="1">
      <c r="A24" s="293" t="s">
        <v>152</v>
      </c>
      <c r="B24" s="293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00"/>
      <c r="U24" s="236"/>
      <c r="V24" s="274" t="s">
        <v>29</v>
      </c>
      <c r="W24" s="274"/>
      <c r="X24" s="274"/>
      <c r="Y24" s="274"/>
      <c r="Z24" s="274"/>
      <c r="AA24" s="236"/>
    </row>
    <row r="25" spans="1:31" ht="13.5" customHeight="1">
      <c r="A25" s="236"/>
      <c r="B25" s="236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30"/>
      <c r="Q25" s="273" t="s">
        <v>174</v>
      </c>
      <c r="R25" s="273"/>
      <c r="S25" s="273"/>
      <c r="T25" s="273"/>
      <c r="U25" s="273"/>
      <c r="V25" s="236"/>
    </row>
    <row r="26" spans="1:31" ht="13.5" customHeight="1">
      <c r="A26" s="235" t="s">
        <v>153</v>
      </c>
      <c r="B26" s="227"/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00"/>
      <c r="P26" s="236"/>
      <c r="Q26" s="274" t="s">
        <v>30</v>
      </c>
      <c r="R26" s="274"/>
      <c r="S26" s="274"/>
      <c r="T26" s="274"/>
      <c r="U26" s="274"/>
    </row>
    <row r="27" spans="1:31" ht="13.5" customHeight="1">
      <c r="A27" s="200"/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38"/>
      <c r="Y27" s="238"/>
      <c r="Z27" s="238"/>
      <c r="AA27" s="238"/>
      <c r="AB27" s="238"/>
      <c r="AC27" s="238"/>
      <c r="AD27" s="238"/>
      <c r="AE27" s="238"/>
    </row>
    <row r="28" spans="1:31" ht="13.5" customHeight="1">
      <c r="A28" s="235" t="s">
        <v>154</v>
      </c>
      <c r="B28" s="200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00"/>
      <c r="P28" s="275" t="s">
        <v>31</v>
      </c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</row>
    <row r="29" spans="1:31" ht="13.5" customHeight="1">
      <c r="A29" s="200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39"/>
      <c r="P29" s="236" t="s">
        <v>32</v>
      </c>
      <c r="S29" s="245"/>
      <c r="T29" s="246" t="s">
        <v>179</v>
      </c>
      <c r="U29" s="246"/>
      <c r="V29" s="247"/>
      <c r="W29" s="276" t="s">
        <v>33</v>
      </c>
      <c r="X29" s="276"/>
      <c r="Y29" s="277" t="s">
        <v>171</v>
      </c>
      <c r="Z29" s="277"/>
      <c r="AA29" s="236"/>
    </row>
    <row r="30" spans="1:31" ht="13.5" customHeight="1">
      <c r="A30" s="235" t="s">
        <v>155</v>
      </c>
      <c r="B30" s="200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00"/>
      <c r="P30" s="236" t="s">
        <v>34</v>
      </c>
      <c r="Q30" s="236"/>
      <c r="R30" s="236"/>
      <c r="S30" s="236"/>
      <c r="T30" s="236"/>
      <c r="U30" s="236"/>
      <c r="V30" s="288"/>
      <c r="W30" s="289"/>
      <c r="X30" s="289"/>
      <c r="Y30" s="289"/>
      <c r="Z30" s="289"/>
      <c r="AA30" s="236"/>
    </row>
    <row r="31" spans="1:31" ht="13.5" customHeight="1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</row>
    <row r="32" spans="1:31" ht="9" customHeight="1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78" t="s">
        <v>173</v>
      </c>
      <c r="W32" s="278"/>
      <c r="X32" s="278"/>
      <c r="Y32" s="278"/>
      <c r="Z32" s="278"/>
      <c r="AA32" s="233"/>
    </row>
    <row r="33" spans="1:27" ht="9" customHeight="1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U33" s="200"/>
      <c r="V33" s="273"/>
      <c r="W33" s="273"/>
      <c r="X33" s="273"/>
      <c r="Y33" s="273"/>
      <c r="Z33" s="273"/>
      <c r="AA33" s="233"/>
    </row>
    <row r="34" spans="1:27" ht="15" customHeight="1">
      <c r="A34" s="24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41" t="s">
        <v>35</v>
      </c>
      <c r="U34" s="200"/>
      <c r="V34" s="274" t="s">
        <v>29</v>
      </c>
      <c r="W34" s="274"/>
      <c r="X34" s="274"/>
      <c r="Y34" s="274"/>
      <c r="Z34" s="274"/>
      <c r="AA34" s="236"/>
    </row>
    <row r="35" spans="1:27" ht="13.5" customHeight="1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30"/>
      <c r="Q35" s="273" t="s">
        <v>175</v>
      </c>
      <c r="R35" s="273"/>
      <c r="S35" s="273"/>
      <c r="T35" s="273"/>
      <c r="U35" s="273"/>
    </row>
    <row r="36" spans="1:27" ht="1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36"/>
      <c r="Q36" s="274" t="s">
        <v>30</v>
      </c>
      <c r="R36" s="274"/>
      <c r="S36" s="274"/>
      <c r="T36" s="274"/>
      <c r="U36" s="274"/>
    </row>
    <row r="37" spans="1:27" ht="9.75" customHeight="1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37"/>
      <c r="Q37" s="237"/>
      <c r="R37" s="237"/>
      <c r="S37" s="237"/>
      <c r="T37" s="237"/>
      <c r="U37" s="237"/>
    </row>
    <row r="38" spans="1:27" ht="14.2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75" t="s">
        <v>36</v>
      </c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</row>
    <row r="39" spans="1:27" ht="13.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 t="s">
        <v>37</v>
      </c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</row>
    <row r="40" spans="1:27" ht="13.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42"/>
      <c r="P40" s="200" t="s">
        <v>38</v>
      </c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</row>
    <row r="41" spans="1:27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42"/>
      <c r="P41" s="200"/>
      <c r="Q41" s="200"/>
      <c r="R41" s="200"/>
      <c r="S41" s="200"/>
      <c r="T41" s="200"/>
      <c r="U41" s="200"/>
      <c r="V41" s="279"/>
      <c r="W41" s="279"/>
      <c r="X41" s="279"/>
      <c r="Y41" s="279"/>
      <c r="Z41" s="279"/>
      <c r="AA41" s="243"/>
    </row>
    <row r="42" spans="1:27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00"/>
      <c r="Q42" s="200"/>
      <c r="R42" s="200"/>
      <c r="S42" s="200"/>
      <c r="T42" s="200"/>
      <c r="U42" s="200"/>
      <c r="V42" s="280" t="s">
        <v>30</v>
      </c>
      <c r="W42" s="280"/>
      <c r="X42" s="280"/>
      <c r="Y42" s="280"/>
      <c r="Z42" s="280"/>
      <c r="AA42" s="280"/>
    </row>
    <row r="43" spans="1:27">
      <c r="A43" s="242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</row>
    <row r="44" spans="1:27">
      <c r="A44" s="242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</row>
    <row r="45" spans="1:27">
      <c r="A45" s="242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</row>
    <row r="46" spans="1:27">
      <c r="A46" s="242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</row>
    <row r="47" spans="1:27">
      <c r="A47" s="242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</row>
    <row r="48" spans="1:27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</row>
    <row r="49" spans="1:18">
      <c r="A49" s="242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</row>
    <row r="50" spans="1:18">
      <c r="A50" s="242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</row>
    <row r="51" spans="1:18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</row>
    <row r="52" spans="1:18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</row>
    <row r="53" spans="1:18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</row>
    <row r="54" spans="1:18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</row>
    <row r="55" spans="1:18">
      <c r="A55" s="242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</row>
    <row r="56" spans="1:18">
      <c r="A56" s="242"/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</row>
    <row r="57" spans="1:18">
      <c r="A57" s="242"/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</row>
    <row r="58" spans="1:18">
      <c r="A58" s="242"/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</row>
    <row r="59" spans="1:18">
      <c r="A59" s="242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</row>
    <row r="60" spans="1:18">
      <c r="A60" s="242"/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</row>
    <row r="61" spans="1:18">
      <c r="A61" s="242"/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</row>
    <row r="62" spans="1:18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</row>
    <row r="63" spans="1:18">
      <c r="A63" s="242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</row>
    <row r="64" spans="1:18">
      <c r="A64" s="242"/>
      <c r="B64" s="242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</row>
    <row r="65" spans="1:18">
      <c r="A65" s="242"/>
      <c r="B65" s="242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</row>
    <row r="66" spans="1:18">
      <c r="A66" s="242"/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</row>
    <row r="67" spans="1:18">
      <c r="A67" s="242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</row>
    <row r="68" spans="1:18">
      <c r="A68" s="242"/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</row>
    <row r="69" spans="1:18">
      <c r="A69" s="242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</row>
    <row r="70" spans="1:18">
      <c r="A70" s="242"/>
      <c r="B70" s="242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</row>
    <row r="71" spans="1:18">
      <c r="A71" s="242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</row>
    <row r="72" spans="1:18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</row>
    <row r="73" spans="1:18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</row>
    <row r="74" spans="1:18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</row>
    <row r="75" spans="1:18">
      <c r="A75" s="242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</row>
    <row r="76" spans="1:18">
      <c r="A76" s="242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</row>
    <row r="77" spans="1:18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</row>
    <row r="78" spans="1:18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</row>
    <row r="79" spans="1:18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</row>
    <row r="80" spans="1:18">
      <c r="A80" s="242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</row>
    <row r="81" spans="1:18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</row>
    <row r="82" spans="1:18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</row>
    <row r="83" spans="1:18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</row>
    <row r="84" spans="1:18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</row>
    <row r="85" spans="1:18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</row>
    <row r="86" spans="1:18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</row>
    <row r="87" spans="1:18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</row>
    <row r="88" spans="1:18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</row>
    <row r="89" spans="1:18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</row>
    <row r="90" spans="1:18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</row>
    <row r="91" spans="1:18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</row>
    <row r="92" spans="1:18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</row>
    <row r="93" spans="1:18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</row>
    <row r="94" spans="1:18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</row>
    <row r="95" spans="1:18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</row>
    <row r="96" spans="1:18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</row>
    <row r="97" spans="1:18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</row>
    <row r="98" spans="1:18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</row>
    <row r="99" spans="1:18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</row>
    <row r="100" spans="1:18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</row>
    <row r="101" spans="1:18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</row>
    <row r="102" spans="1:18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</row>
    <row r="103" spans="1:18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</row>
    <row r="104" spans="1:18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</row>
    <row r="105" spans="1:18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</row>
    <row r="106" spans="1:18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</row>
    <row r="107" spans="1:18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</row>
    <row r="108" spans="1:18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</row>
    <row r="109" spans="1:18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</row>
    <row r="110" spans="1:18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</row>
    <row r="111" spans="1:18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</row>
    <row r="112" spans="1:18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</row>
    <row r="113" spans="1:18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</row>
    <row r="114" spans="1:18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</row>
    <row r="115" spans="1:18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</row>
    <row r="116" spans="1:18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</row>
    <row r="117" spans="1:18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</row>
    <row r="118" spans="1:18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</row>
    <row r="119" spans="1:18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</row>
    <row r="120" spans="1:18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</row>
    <row r="121" spans="1:18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</row>
    <row r="122" spans="1:18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</row>
    <row r="123" spans="1:18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</row>
    <row r="124" spans="1:18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</row>
    <row r="125" spans="1:18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</row>
    <row r="126" spans="1:18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</row>
    <row r="127" spans="1:18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</row>
    <row r="128" spans="1:18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</row>
    <row r="129" spans="1:18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</row>
    <row r="130" spans="1:18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</row>
    <row r="131" spans="1:18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</row>
    <row r="132" spans="1:18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</row>
    <row r="133" spans="1:18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</row>
    <row r="134" spans="1:18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</row>
    <row r="135" spans="1:18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</row>
    <row r="136" spans="1:18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</row>
    <row r="137" spans="1:18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</row>
    <row r="138" spans="1:18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</row>
    <row r="139" spans="1:18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</row>
    <row r="140" spans="1:18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</row>
    <row r="141" spans="1:18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</row>
    <row r="142" spans="1:18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</row>
    <row r="143" spans="1:18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</row>
    <row r="144" spans="1:18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</row>
    <row r="145" spans="1:18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</row>
    <row r="146" spans="1:18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</row>
    <row r="147" spans="1:18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</row>
    <row r="148" spans="1:18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</row>
    <row r="149" spans="1:18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</row>
    <row r="150" spans="1:18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</row>
    <row r="151" spans="1:18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</row>
    <row r="152" spans="1:18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</row>
    <row r="153" spans="1:18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</row>
    <row r="154" spans="1:18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</row>
    <row r="155" spans="1:18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</row>
    <row r="156" spans="1:18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</row>
    <row r="157" spans="1:18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</row>
    <row r="158" spans="1:18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</row>
    <row r="159" spans="1:18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</row>
    <row r="160" spans="1:18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</row>
    <row r="161" spans="1:18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</row>
    <row r="162" spans="1:18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</row>
    <row r="163" spans="1:18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</row>
    <row r="164" spans="1:18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</row>
    <row r="165" spans="1:18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</row>
    <row r="166" spans="1:18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</row>
    <row r="167" spans="1:18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</row>
    <row r="168" spans="1:18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</row>
    <row r="169" spans="1:18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</row>
    <row r="170" spans="1:18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</row>
    <row r="171" spans="1:18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</row>
    <row r="172" spans="1:18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</row>
    <row r="173" spans="1:18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</row>
    <row r="174" spans="1:18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</row>
    <row r="175" spans="1:18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</row>
    <row r="176" spans="1:18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</row>
    <row r="177" spans="1:18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</row>
    <row r="178" spans="1:18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</row>
    <row r="179" spans="1:18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</row>
    <row r="180" spans="1:18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</row>
    <row r="181" spans="1:18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</row>
    <row r="182" spans="1:18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</row>
    <row r="183" spans="1:18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</row>
    <row r="184" spans="1:18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</row>
    <row r="185" spans="1:18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</row>
    <row r="186" spans="1:18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</row>
    <row r="187" spans="1:18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</row>
    <row r="188" spans="1:18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</row>
    <row r="189" spans="1:18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</row>
    <row r="190" spans="1:18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</row>
    <row r="191" spans="1:18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</row>
    <row r="192" spans="1:18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</row>
    <row r="193" spans="1:18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</row>
    <row r="194" spans="1:18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</row>
    <row r="195" spans="1:18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</row>
  </sheetData>
  <mergeCells count="90">
    <mergeCell ref="V22:Z23"/>
    <mergeCell ref="V24:Z24"/>
    <mergeCell ref="V34:Z34"/>
    <mergeCell ref="N9:N11"/>
    <mergeCell ref="N12:N14"/>
    <mergeCell ref="N15:N17"/>
    <mergeCell ref="V30:Z30"/>
    <mergeCell ref="T14:U14"/>
    <mergeCell ref="V14:Z14"/>
    <mergeCell ref="R15:U15"/>
    <mergeCell ref="A22:N22"/>
    <mergeCell ref="A24:B24"/>
    <mergeCell ref="D12:D14"/>
    <mergeCell ref="D15:D17"/>
    <mergeCell ref="P10:AA10"/>
    <mergeCell ref="Q12:Z12"/>
    <mergeCell ref="K9:K11"/>
    <mergeCell ref="K12:K14"/>
    <mergeCell ref="K15:K17"/>
    <mergeCell ref="M4:M8"/>
    <mergeCell ref="M9:M11"/>
    <mergeCell ref="M12:M14"/>
    <mergeCell ref="M15:M17"/>
    <mergeCell ref="L15:L17"/>
    <mergeCell ref="L4:L8"/>
    <mergeCell ref="L9:L11"/>
    <mergeCell ref="L12:L14"/>
    <mergeCell ref="I9:I11"/>
    <mergeCell ref="I12:I14"/>
    <mergeCell ref="I15:I17"/>
    <mergeCell ref="J4:J8"/>
    <mergeCell ref="J9:J11"/>
    <mergeCell ref="J12:J14"/>
    <mergeCell ref="J15:J17"/>
    <mergeCell ref="G9:G11"/>
    <mergeCell ref="G12:G14"/>
    <mergeCell ref="G15:G17"/>
    <mergeCell ref="H4:H8"/>
    <mergeCell ref="H9:H11"/>
    <mergeCell ref="H12:H14"/>
    <mergeCell ref="H15:H17"/>
    <mergeCell ref="E9:E11"/>
    <mergeCell ref="E12:E14"/>
    <mergeCell ref="E15:E17"/>
    <mergeCell ref="F4:F8"/>
    <mergeCell ref="F9:F11"/>
    <mergeCell ref="F12:F14"/>
    <mergeCell ref="F15:F17"/>
    <mergeCell ref="V41:Z41"/>
    <mergeCell ref="V42:AA42"/>
    <mergeCell ref="A4:A8"/>
    <mergeCell ref="A9:A11"/>
    <mergeCell ref="A12:A14"/>
    <mergeCell ref="A15:A17"/>
    <mergeCell ref="B4:B8"/>
    <mergeCell ref="B9:B11"/>
    <mergeCell ref="B12:B14"/>
    <mergeCell ref="B15:B17"/>
    <mergeCell ref="C4:C8"/>
    <mergeCell ref="C9:C11"/>
    <mergeCell ref="C12:C14"/>
    <mergeCell ref="C15:C17"/>
    <mergeCell ref="D4:D8"/>
    <mergeCell ref="D9:D11"/>
    <mergeCell ref="Q35:U35"/>
    <mergeCell ref="Q36:U36"/>
    <mergeCell ref="P38:AA38"/>
    <mergeCell ref="Q25:U25"/>
    <mergeCell ref="Q26:U26"/>
    <mergeCell ref="P28:AA28"/>
    <mergeCell ref="W29:X29"/>
    <mergeCell ref="Y29:Z29"/>
    <mergeCell ref="V32:Z33"/>
    <mergeCell ref="U13:V13"/>
    <mergeCell ref="X13:Z13"/>
    <mergeCell ref="P5:Z5"/>
    <mergeCell ref="P6:Z6"/>
    <mergeCell ref="P7:Z7"/>
    <mergeCell ref="P8:AA8"/>
    <mergeCell ref="P9:Z9"/>
    <mergeCell ref="P1:Z1"/>
    <mergeCell ref="A2:N2"/>
    <mergeCell ref="P2:Z2"/>
    <mergeCell ref="P3:Z3"/>
    <mergeCell ref="P4:Z4"/>
    <mergeCell ref="E4:E8"/>
    <mergeCell ref="G4:G8"/>
    <mergeCell ref="I4:I8"/>
    <mergeCell ref="K4:K8"/>
    <mergeCell ref="N4:N8"/>
  </mergeCells>
  <phoneticPr fontId="55" type="noConversion"/>
  <printOptions verticalCentered="1"/>
  <pageMargins left="0.51181102362204722" right="0" top="0.59055118110236227" bottom="0.59055118110236227" header="0.31496062992125984" footer="0.31496062992125984"/>
  <pageSetup paperSize="9" scale="93" orientation="landscape" r:id="rId1"/>
  <headerFooter>
    <oddHeader>&amp;C&amp;"-,Italic"&amp;K00+000                                                  DepEd School Form 9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D4DB2C-1406-47B0-873E-C5D889A25697}">
          <x14:formula1>
            <xm:f>'Class Info'!$A$3:$A$49</xm:f>
          </x14:formula1>
          <xm:sqref>Q12:Z12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U403"/>
  <sheetViews>
    <sheetView showGridLines="0" tabSelected="1" view="pageBreakPreview" zoomScaleSheetLayoutView="100" workbookViewId="0">
      <selection activeCell="C13" sqref="C13:C15"/>
    </sheetView>
  </sheetViews>
  <sheetFormatPr defaultColWidth="9" defaultRowHeight="15"/>
  <cols>
    <col min="1" max="1" width="15.28515625" customWidth="1"/>
    <col min="2" max="5" width="6.7109375" customWidth="1"/>
    <col min="6" max="6" width="9.28515625" customWidth="1"/>
    <col min="7" max="7" width="10" customWidth="1"/>
    <col min="8" max="8" width="8.140625" customWidth="1"/>
    <col min="9" max="10" width="6.28515625" customWidth="1"/>
    <col min="11" max="15" width="5.28515625" customWidth="1"/>
    <col min="16" max="19" width="6.28515625" customWidth="1"/>
    <col min="20" max="20" width="5.7109375" customWidth="1"/>
    <col min="21" max="21" width="23.85546875" customWidth="1"/>
    <col min="22" max="25" width="5.7109375" customWidth="1"/>
  </cols>
  <sheetData>
    <row r="1" spans="1:21" ht="15" customHeight="1">
      <c r="A1" s="296" t="s">
        <v>39</v>
      </c>
      <c r="B1" s="296"/>
      <c r="C1" s="296"/>
      <c r="D1" s="296"/>
      <c r="E1" s="296"/>
      <c r="F1" s="296"/>
      <c r="G1" s="296"/>
      <c r="H1" s="1"/>
      <c r="I1" s="296" t="s">
        <v>40</v>
      </c>
      <c r="J1" s="296"/>
      <c r="K1" s="296"/>
      <c r="L1" s="296"/>
      <c r="M1" s="296"/>
      <c r="N1" s="296"/>
      <c r="O1" s="296"/>
      <c r="P1" s="296"/>
      <c r="Q1" s="296"/>
      <c r="R1" s="296"/>
      <c r="S1" s="296"/>
    </row>
    <row r="2" spans="1:21" ht="15" customHeight="1">
      <c r="A2" s="208"/>
      <c r="H2" s="1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1" ht="15" customHeight="1">
      <c r="A3" s="316" t="s">
        <v>41</v>
      </c>
      <c r="B3" s="297" t="s">
        <v>42</v>
      </c>
      <c r="C3" s="298"/>
      <c r="D3" s="298"/>
      <c r="E3" s="299"/>
      <c r="F3" s="35" t="s">
        <v>43</v>
      </c>
      <c r="G3" s="316" t="s">
        <v>44</v>
      </c>
      <c r="H3" s="1"/>
      <c r="I3" s="356" t="s">
        <v>45</v>
      </c>
      <c r="J3" s="356"/>
      <c r="K3" s="357" t="s">
        <v>46</v>
      </c>
      <c r="L3" s="357"/>
      <c r="M3" s="357"/>
      <c r="N3" s="357"/>
      <c r="O3" s="357"/>
      <c r="P3" s="300" t="s">
        <v>42</v>
      </c>
      <c r="Q3" s="300"/>
      <c r="R3" s="300"/>
      <c r="S3" s="300"/>
    </row>
    <row r="4" spans="1:21" ht="15.75" customHeight="1">
      <c r="A4" s="317"/>
      <c r="B4" s="36">
        <v>1</v>
      </c>
      <c r="C4" s="36">
        <v>2</v>
      </c>
      <c r="D4" s="36">
        <v>3</v>
      </c>
      <c r="E4" s="36">
        <v>4</v>
      </c>
      <c r="F4" s="37" t="s">
        <v>47</v>
      </c>
      <c r="G4" s="317"/>
      <c r="H4" s="1"/>
      <c r="I4" s="356"/>
      <c r="J4" s="356"/>
      <c r="K4" s="357"/>
      <c r="L4" s="357"/>
      <c r="M4" s="357"/>
      <c r="N4" s="357"/>
      <c r="O4" s="357"/>
      <c r="P4" s="36">
        <v>1</v>
      </c>
      <c r="Q4" s="36">
        <v>2</v>
      </c>
      <c r="R4" s="36">
        <v>3</v>
      </c>
      <c r="S4" s="36">
        <v>4</v>
      </c>
    </row>
    <row r="5" spans="1:21" ht="12.95" customHeight="1">
      <c r="A5" s="318" t="s">
        <v>49</v>
      </c>
      <c r="B5" s="328">
        <f>VLOOKUP(U5,'QUARTER 1 GRADES'!B3:O53,COLUMN('QUARTER 1 GRADES'!G:G)-COLUMN('QUARTER 1 GRADES'!B3:R53)+1,0)</f>
        <v>77</v>
      </c>
      <c r="C5" s="307">
        <f>VLOOKUP(U5,'QUARTER 2 GRADES'!B3:O54,COLUMN('QUARTER 2 GRADES'!G:G)-COLUMN('QUARTER 2 GRADES'!B3:Q54)+1,0)</f>
        <v>78</v>
      </c>
      <c r="D5" s="307">
        <f>VLOOKUP(U5,'QUARTER 3 GRADES'!B3:O53,COLUMN('QUARTER 3 GRADES'!G:G)-COLUMN('QUARTER 3 GRADES'!B3:R53)+1,0)</f>
        <v>84</v>
      </c>
      <c r="E5" s="338">
        <f>VLOOKUP(U5,'QUARTER 4 GRADES'!B3:O53,COLUMN('QUARTER 4 GRADES'!G:G)-COLUMN('QUARTER 4 GRADES'!B3:Q53)+1,0)</f>
        <v>84</v>
      </c>
      <c r="F5" s="340">
        <f>ROUND(AVERAGE(B5:E6),0)</f>
        <v>81</v>
      </c>
      <c r="G5" s="348" t="s">
        <v>75</v>
      </c>
      <c r="H5" s="1"/>
      <c r="I5" s="22"/>
      <c r="J5" s="23"/>
      <c r="K5" s="358" t="s">
        <v>48</v>
      </c>
      <c r="L5" s="359"/>
      <c r="M5" s="359"/>
      <c r="N5" s="359"/>
      <c r="O5" s="359"/>
      <c r="P5" s="355" t="s">
        <v>76</v>
      </c>
      <c r="Q5" s="355" t="str">
        <f>P5</f>
        <v>AO</v>
      </c>
      <c r="R5" s="355" t="str">
        <f>Q5</f>
        <v>AO</v>
      </c>
      <c r="S5" s="355" t="str">
        <f>R5</f>
        <v>AO</v>
      </c>
      <c r="U5" s="262" t="s">
        <v>159</v>
      </c>
    </row>
    <row r="6" spans="1:21" ht="12.95" customHeight="1">
      <c r="A6" s="319"/>
      <c r="B6" s="328"/>
      <c r="C6" s="307"/>
      <c r="D6" s="307"/>
      <c r="E6" s="339"/>
      <c r="F6" s="340"/>
      <c r="G6" s="348"/>
      <c r="H6" s="1"/>
      <c r="I6" s="24"/>
      <c r="J6" s="25"/>
      <c r="K6" s="358"/>
      <c r="L6" s="359"/>
      <c r="M6" s="359"/>
      <c r="N6" s="359"/>
      <c r="O6" s="359"/>
      <c r="P6" s="355"/>
      <c r="Q6" s="355"/>
      <c r="R6" s="355"/>
      <c r="S6" s="355"/>
    </row>
    <row r="7" spans="1:21" ht="12.95" customHeight="1">
      <c r="A7" s="320" t="s">
        <v>52</v>
      </c>
      <c r="B7" s="328">
        <f>VLOOKUP(U5,'QUARTER 1 GRADES'!B3:O53,COLUMN('QUARTER 1 GRADES'!D:D)-COLUMN('QUARTER 1 GRADES'!B3:R53)+1,0)</f>
        <v>78</v>
      </c>
      <c r="C7" s="307">
        <f>VLOOKUP(U5,'QUARTER 2 GRADES'!B3:O54,COLUMN('QUARTER 2 GRADES'!D:D)-COLUMN('QUARTER 2 GRADES'!B3:Q54)+1,0)</f>
        <v>80</v>
      </c>
      <c r="D7" s="307">
        <f>VLOOKUP(U5,'QUARTER 3 GRADES'!B3:O53,COLUMN('QUARTER 2 GRADES'!D:D)-COLUMN('QUARTER 3 GRADES'!B3:R53)+1,0)</f>
        <v>80</v>
      </c>
      <c r="E7" s="307">
        <f>VLOOKUP(U5,'QUARTER 4 GRADES'!B3:O53,COLUMN('QUARTER 4 GRADES'!D:D)-COLUMN('QUARTER 4 GRADES'!B3:Q53)+1,0)</f>
        <v>80</v>
      </c>
      <c r="F7" s="340">
        <f>ROUND(AVERAGE(B7:E8),0)</f>
        <v>80</v>
      </c>
      <c r="G7" s="348" t="s">
        <v>75</v>
      </c>
      <c r="H7" s="1"/>
      <c r="I7" s="301" t="s">
        <v>50</v>
      </c>
      <c r="J7" s="302"/>
      <c r="K7" s="358"/>
      <c r="L7" s="359"/>
      <c r="M7" s="359"/>
      <c r="N7" s="359"/>
      <c r="O7" s="359"/>
      <c r="P7" s="355"/>
      <c r="Q7" s="355"/>
      <c r="R7" s="355"/>
      <c r="S7" s="355"/>
    </row>
    <row r="8" spans="1:21" ht="12.95" customHeight="1">
      <c r="A8" s="321"/>
      <c r="B8" s="328"/>
      <c r="C8" s="307"/>
      <c r="D8" s="307"/>
      <c r="E8" s="307"/>
      <c r="F8" s="340"/>
      <c r="G8" s="348"/>
      <c r="H8" s="1"/>
      <c r="I8" s="24" t="s">
        <v>51</v>
      </c>
      <c r="J8" s="25"/>
      <c r="K8" s="358"/>
      <c r="L8" s="359"/>
      <c r="M8" s="359"/>
      <c r="N8" s="359"/>
      <c r="O8" s="359"/>
      <c r="P8" s="355"/>
      <c r="Q8" s="355"/>
      <c r="R8" s="355"/>
      <c r="S8" s="355"/>
    </row>
    <row r="9" spans="1:21" ht="12.95" customHeight="1">
      <c r="A9" s="320" t="s">
        <v>54</v>
      </c>
      <c r="B9" s="329">
        <f>VLOOKUP(U5,'QUARTER 1 GRADES'!B3:O53,COLUMN('QUARTER 1 GRADES'!E:E)-COLUMN('QUARTER 1 GRADES'!B3:R53)+1,0)</f>
        <v>79</v>
      </c>
      <c r="C9" s="308">
        <f>VLOOKUP(U5,'QUARTER 2 GRADES'!B3:O54,COLUMN('QUARTER 2 GRADES'!E:E)-COLUMN('QUARTER 2 GRADES'!B3:Q54)+1,0)</f>
        <v>80</v>
      </c>
      <c r="D9" s="308">
        <f>VLOOKUP(U5,'QUARTER 3 GRADES'!B3:O53,COLUMN('QUARTER 2 GRADES'!E:E)-COLUMN('QUARTER 3 GRADES'!B3:R53)+1,0)</f>
        <v>78</v>
      </c>
      <c r="E9" s="308">
        <f>VLOOKUP(U5,'QUARTER 4 GRADES'!B3:O53,COLUMN('QUARTER 4 GRADES'!E:E)-COLUMN('QUARTER 4 GRADES'!B3:Q53)+1,0)</f>
        <v>81</v>
      </c>
      <c r="F9" s="340">
        <f>ROUND(AVERAGE(B9:E10),0)</f>
        <v>80</v>
      </c>
      <c r="G9" s="348" t="s">
        <v>75</v>
      </c>
      <c r="H9" s="1"/>
      <c r="I9" s="24"/>
      <c r="J9" s="25"/>
      <c r="K9" s="360" t="s">
        <v>53</v>
      </c>
      <c r="L9" s="360"/>
      <c r="M9" s="360"/>
      <c r="N9" s="360"/>
      <c r="O9" s="361"/>
      <c r="P9" s="341" t="str">
        <f>P5</f>
        <v>AO</v>
      </c>
      <c r="Q9" s="341" t="str">
        <f>$Q$5</f>
        <v>AO</v>
      </c>
      <c r="R9" s="341" t="str">
        <f>$Q$5</f>
        <v>AO</v>
      </c>
      <c r="S9" s="341" t="str">
        <f>$Q$5</f>
        <v>AO</v>
      </c>
    </row>
    <row r="10" spans="1:21" ht="12.95" customHeight="1">
      <c r="A10" s="321"/>
      <c r="B10" s="329"/>
      <c r="C10" s="308"/>
      <c r="D10" s="308"/>
      <c r="E10" s="308"/>
      <c r="F10" s="340"/>
      <c r="G10" s="348"/>
      <c r="H10" s="1"/>
      <c r="I10" s="24"/>
      <c r="J10" s="25"/>
      <c r="K10" s="362"/>
      <c r="L10" s="362"/>
      <c r="M10" s="362"/>
      <c r="N10" s="362"/>
      <c r="O10" s="363"/>
      <c r="P10" s="342"/>
      <c r="Q10" s="342"/>
      <c r="R10" s="342"/>
      <c r="S10" s="342"/>
    </row>
    <row r="11" spans="1:21" ht="12.95" customHeight="1">
      <c r="A11" s="320" t="s">
        <v>93</v>
      </c>
      <c r="B11" s="329">
        <f>VLOOKUP(U5,'QUARTER 1 GRADES'!B3:O53,COLUMN('QUARTER 1 GRADES'!F:F)-COLUMN('QUARTER 1 GRADES'!B3:R53)+1,0)</f>
        <v>77</v>
      </c>
      <c r="C11" s="308">
        <f>VLOOKUP(U5,'QUARTER 2 GRADES'!B3:O54,COLUMN('QUARTER 2 GRADES'!F:F)-COLUMN('QUARTER 2 GRADES'!B3:Q54)+1,0)</f>
        <v>80</v>
      </c>
      <c r="D11" s="308">
        <f>VLOOKUP(U5,'QUARTER 3 GRADES'!B3:O53,COLUMN('QUARTER 2 GRADES'!F:F)-COLUMN('QUARTER 3 GRADES'!B3:R53)+1,0)</f>
        <v>77</v>
      </c>
      <c r="E11" s="308">
        <f>VLOOKUP(U5,'QUARTER 4 GRADES'!B3:O53,COLUMN('QUARTER 4 GRADES'!F:F)-COLUMN('QUARTER 4 GRADES'!B3:Q53)+1,0)</f>
        <v>81</v>
      </c>
      <c r="F11" s="340">
        <f>ROUND(AVERAGE(B11:E12),0)</f>
        <v>79</v>
      </c>
      <c r="G11" s="348" t="s">
        <v>75</v>
      </c>
      <c r="H11" s="1"/>
      <c r="I11" s="26"/>
      <c r="J11" s="27"/>
      <c r="K11" s="364"/>
      <c r="L11" s="364"/>
      <c r="M11" s="364"/>
      <c r="N11" s="364"/>
      <c r="O11" s="365"/>
      <c r="P11" s="343"/>
      <c r="Q11" s="343"/>
      <c r="R11" s="343"/>
      <c r="S11" s="343"/>
    </row>
    <row r="12" spans="1:21" ht="12.95" customHeight="1">
      <c r="A12" s="321"/>
      <c r="B12" s="329"/>
      <c r="C12" s="308"/>
      <c r="D12" s="308"/>
      <c r="E12" s="308"/>
      <c r="F12" s="340"/>
      <c r="G12" s="348"/>
      <c r="H12" s="1"/>
      <c r="I12" s="366" t="s">
        <v>55</v>
      </c>
      <c r="J12" s="367"/>
      <c r="K12" s="370" t="s">
        <v>56</v>
      </c>
      <c r="L12" s="370"/>
      <c r="M12" s="370"/>
      <c r="N12" s="370"/>
      <c r="O12" s="370"/>
      <c r="P12" s="341" t="str">
        <f>$P$5</f>
        <v>AO</v>
      </c>
      <c r="Q12" s="341" t="str">
        <f t="shared" ref="Q12:S12" si="0">$Q$5</f>
        <v>AO</v>
      </c>
      <c r="R12" s="341" t="str">
        <f t="shared" si="0"/>
        <v>AO</v>
      </c>
      <c r="S12" s="341" t="str">
        <f t="shared" si="0"/>
        <v>AO</v>
      </c>
    </row>
    <row r="13" spans="1:21" ht="12.95" customHeight="1">
      <c r="A13" s="322" t="s">
        <v>180</v>
      </c>
      <c r="B13" s="330">
        <f>VLOOKUP(U5,'QUARTER 1 GRADES'!B3:O53,COLUMN('QUARTER 1 GRADES'!C:C)-COLUMN('QUARTER 1 GRADES'!B3:R53)+1,0)</f>
        <v>81</v>
      </c>
      <c r="C13" s="309">
        <f>VLOOKUP(U5,'QUARTER 2 GRADES'!B3:O54,COLUMN('QUARTER 2 GRADES'!C:C)-COLUMN('QUARTER 2 GRADES'!B3:Q54)+1,0)</f>
        <v>84</v>
      </c>
      <c r="D13" s="309">
        <f>VLOOKUP(U5,'QUARTER 3 GRADES'!B3:O53,COLUMN('QUARTER 2 GRADES'!C:C)-COLUMN('QUARTER 3 GRADES'!B3:R53)+1,0)</f>
        <v>85</v>
      </c>
      <c r="E13" s="309">
        <f>VLOOKUP(U5,'QUARTER 4 GRADES'!B3:O53,COLUMN('QUARTER 4 GRADES'!C:C)-COLUMN('QUARTER 4 GRADES'!B3:Q53)+1,0)</f>
        <v>87</v>
      </c>
      <c r="F13" s="309">
        <f>ROUND(AVERAGE(B13:E15),0)</f>
        <v>84</v>
      </c>
      <c r="G13" s="349" t="s">
        <v>75</v>
      </c>
      <c r="H13" s="1"/>
      <c r="I13" s="368"/>
      <c r="J13" s="369"/>
      <c r="K13" s="370"/>
      <c r="L13" s="370"/>
      <c r="M13" s="370"/>
      <c r="N13" s="370"/>
      <c r="O13" s="370"/>
      <c r="P13" s="342"/>
      <c r="Q13" s="342"/>
      <c r="R13" s="342"/>
      <c r="S13" s="342"/>
    </row>
    <row r="14" spans="1:21" ht="17.45" customHeight="1">
      <c r="A14" s="323"/>
      <c r="B14" s="331"/>
      <c r="C14" s="310"/>
      <c r="D14" s="310"/>
      <c r="E14" s="310"/>
      <c r="F14" s="310"/>
      <c r="G14" s="350"/>
      <c r="H14" s="1"/>
      <c r="I14" s="368"/>
      <c r="J14" s="369"/>
      <c r="K14" s="370"/>
      <c r="L14" s="370"/>
      <c r="M14" s="370"/>
      <c r="N14" s="370"/>
      <c r="O14" s="370"/>
      <c r="P14" s="343"/>
      <c r="Q14" s="343"/>
      <c r="R14" s="343"/>
      <c r="S14" s="343"/>
    </row>
    <row r="15" spans="1:21" ht="16.149999999999999" customHeight="1">
      <c r="A15" s="323"/>
      <c r="B15" s="332"/>
      <c r="C15" s="311"/>
      <c r="D15" s="311"/>
      <c r="E15" s="311"/>
      <c r="F15" s="311"/>
      <c r="G15" s="351"/>
      <c r="H15" s="1"/>
      <c r="I15" s="368"/>
      <c r="J15" s="369"/>
      <c r="K15" s="370" t="s">
        <v>58</v>
      </c>
      <c r="L15" s="370"/>
      <c r="M15" s="370"/>
      <c r="N15" s="370"/>
      <c r="O15" s="370"/>
      <c r="P15" s="341" t="str">
        <f>$P$5</f>
        <v>AO</v>
      </c>
      <c r="Q15" s="341" t="str">
        <f t="shared" ref="Q15:S18" si="1">$Q$5</f>
        <v>AO</v>
      </c>
      <c r="R15" s="341" t="str">
        <f t="shared" si="1"/>
        <v>AO</v>
      </c>
      <c r="S15" s="341" t="str">
        <f t="shared" si="1"/>
        <v>AO</v>
      </c>
    </row>
    <row r="16" spans="1:21" ht="15.75" customHeight="1">
      <c r="A16" s="322" t="s">
        <v>57</v>
      </c>
      <c r="B16" s="330">
        <f>VLOOKUP(U5,'QUARTER 1 GRADES'!B3:O53,COLUMN('QUARTER 1 GRADES'!H:H)-COLUMN('QUARTER 1 GRADES'!B3:R53)+1,0)</f>
        <v>80</v>
      </c>
      <c r="C16" s="309">
        <f>VLOOKUP(U5,'QUARTER 2 GRADES'!B3:O54,COLUMN('QUARTER 2 GRADES'!H:H)-COLUMN('QUARTER 2 GRADES'!B3:Q54)+1,0)</f>
        <v>81</v>
      </c>
      <c r="D16" s="309">
        <f>VLOOKUP(U5,'QUARTER 3 GRADES'!B3:O53,COLUMN('QUARTER 2 GRADES'!H:H)-COLUMN('QUARTER 3 GRADES'!B3:R53)+1,0)</f>
        <v>81</v>
      </c>
      <c r="E16" s="309">
        <f>VLOOKUP(U5,'QUARTER 4 GRADES'!B3:O53,COLUMN('QUARTER 4 GRADES'!H:H)-COLUMN('QUARTER 4 GRADES'!B3:Q53)+1,0)</f>
        <v>83</v>
      </c>
      <c r="F16" s="309">
        <f>ROUND(AVERAGE(B16:E18),0)</f>
        <v>81</v>
      </c>
      <c r="G16" s="349" t="s">
        <v>75</v>
      </c>
      <c r="H16" s="5"/>
      <c r="I16" s="368"/>
      <c r="J16" s="369"/>
      <c r="K16" s="370"/>
      <c r="L16" s="370"/>
      <c r="M16" s="370"/>
      <c r="N16" s="370"/>
      <c r="O16" s="370"/>
      <c r="P16" s="342"/>
      <c r="Q16" s="342"/>
      <c r="R16" s="342"/>
      <c r="S16" s="342"/>
    </row>
    <row r="17" spans="1:19" ht="10.15" customHeight="1">
      <c r="A17" s="323"/>
      <c r="B17" s="331"/>
      <c r="C17" s="310"/>
      <c r="D17" s="310"/>
      <c r="E17" s="310"/>
      <c r="F17" s="310"/>
      <c r="G17" s="350"/>
      <c r="H17" s="5"/>
      <c r="I17" s="368"/>
      <c r="J17" s="369"/>
      <c r="K17" s="370"/>
      <c r="L17" s="370"/>
      <c r="M17" s="370"/>
      <c r="N17" s="370"/>
      <c r="O17" s="370"/>
      <c r="P17" s="343"/>
      <c r="Q17" s="343"/>
      <c r="R17" s="343"/>
      <c r="S17" s="343"/>
    </row>
    <row r="18" spans="1:19" ht="12.6" customHeight="1">
      <c r="A18" s="324"/>
      <c r="B18" s="332"/>
      <c r="C18" s="311"/>
      <c r="D18" s="311"/>
      <c r="E18" s="311"/>
      <c r="F18" s="311"/>
      <c r="G18" s="351"/>
      <c r="H18" s="5"/>
      <c r="I18" s="28" t="s">
        <v>60</v>
      </c>
      <c r="J18" s="29"/>
      <c r="K18" s="371" t="s">
        <v>61</v>
      </c>
      <c r="L18" s="371"/>
      <c r="M18" s="371"/>
      <c r="N18" s="371"/>
      <c r="O18" s="372"/>
      <c r="P18" s="341" t="str">
        <f>$P$5</f>
        <v>AO</v>
      </c>
      <c r="Q18" s="341" t="str">
        <f t="shared" si="1"/>
        <v>AO</v>
      </c>
      <c r="R18" s="341" t="str">
        <f t="shared" si="1"/>
        <v>AO</v>
      </c>
      <c r="S18" s="341" t="str">
        <f t="shared" si="1"/>
        <v>AO</v>
      </c>
    </row>
    <row r="19" spans="1:19" ht="19.5" customHeight="1">
      <c r="A19" s="325" t="s">
        <v>181</v>
      </c>
      <c r="B19" s="333">
        <f>VLOOKUP(U5,'QUARTER 1 GRADES'!B3:O53,COLUMN('QUARTER 1 GRADES'!I:I)-COLUMN('QUARTER 1 GRADES'!B3:R53)+1,0)</f>
        <v>84</v>
      </c>
      <c r="C19" s="312">
        <f>VLOOKUP(U5,'QUARTER 2 GRADES'!B3:O54,COLUMN('QUARTER 2 GRADES'!I:I)-COLUMN('QUARTER 2 GRADES'!B3:Q54)+1,0)</f>
        <v>85</v>
      </c>
      <c r="D19" s="312">
        <f>VLOOKUP(U5,'QUARTER 3 GRADES'!B3:O53,COLUMN('QUARTER 2 GRADES'!I:I)-COLUMN('QUARTER 3 GRADES'!B3:R53)+1,0)</f>
        <v>86</v>
      </c>
      <c r="E19" s="312">
        <f>VLOOKUP(U5,'QUARTER 4 GRADES'!B3:O53,COLUMN('QUARTER 4 GRADES'!I:I)-COLUMN('QUARTER 4 GRADES'!B3:Q53)+1,0)</f>
        <v>88</v>
      </c>
      <c r="F19" s="309">
        <f>ROUND(AVERAGE(B19:E21),0)</f>
        <v>86</v>
      </c>
      <c r="G19" s="352" t="s">
        <v>75</v>
      </c>
      <c r="H19" s="5"/>
      <c r="I19" s="30" t="s">
        <v>144</v>
      </c>
      <c r="J19" s="25"/>
      <c r="K19" s="373"/>
      <c r="L19" s="373"/>
      <c r="M19" s="373"/>
      <c r="N19" s="373"/>
      <c r="O19" s="374"/>
      <c r="P19" s="342"/>
      <c r="Q19" s="342"/>
      <c r="R19" s="342"/>
      <c r="S19" s="342"/>
    </row>
    <row r="20" spans="1:19" ht="22.15" customHeight="1">
      <c r="A20" s="326"/>
      <c r="B20" s="334"/>
      <c r="C20" s="313"/>
      <c r="D20" s="313"/>
      <c r="E20" s="313"/>
      <c r="F20" s="310"/>
      <c r="G20" s="353"/>
      <c r="H20" s="5"/>
      <c r="I20" s="26"/>
      <c r="J20" s="31"/>
      <c r="K20" s="375"/>
      <c r="L20" s="375"/>
      <c r="M20" s="375"/>
      <c r="N20" s="375"/>
      <c r="O20" s="376"/>
      <c r="P20" s="343"/>
      <c r="Q20" s="343"/>
      <c r="R20" s="343"/>
      <c r="S20" s="343"/>
    </row>
    <row r="21" spans="1:19" ht="18" customHeight="1">
      <c r="A21" s="327"/>
      <c r="B21" s="335"/>
      <c r="C21" s="314"/>
      <c r="D21" s="314"/>
      <c r="E21" s="314"/>
      <c r="F21" s="311"/>
      <c r="G21" s="354"/>
      <c r="H21" s="5"/>
      <c r="I21" s="344" t="s">
        <v>66</v>
      </c>
      <c r="J21" s="345"/>
      <c r="K21" s="377" t="s">
        <v>64</v>
      </c>
      <c r="L21" s="371"/>
      <c r="M21" s="371"/>
      <c r="N21" s="371"/>
      <c r="O21" s="372"/>
      <c r="P21" s="341" t="str">
        <f>P18</f>
        <v>AO</v>
      </c>
      <c r="Q21" s="341" t="str">
        <f>Q18</f>
        <v>AO</v>
      </c>
      <c r="R21" s="341" t="str">
        <f t="shared" ref="R21:S21" si="2">R18</f>
        <v>AO</v>
      </c>
      <c r="S21" s="341" t="str">
        <f t="shared" si="2"/>
        <v>AO</v>
      </c>
    </row>
    <row r="22" spans="1:19" ht="18" customHeight="1">
      <c r="A22" s="6" t="s">
        <v>59</v>
      </c>
      <c r="B22" s="155">
        <f>VLOOKUP(U5,'QUARTER 1 GRADES'!B3:O53,COLUMN('QUARTER 1 GRADES'!J:J)-COLUMN('QUARTER 1 GRADES'!B3:R53)+1,0)</f>
        <v>84</v>
      </c>
      <c r="C22" s="209">
        <f>VLOOKUP(U5,'QUARTER 2 GRADES'!B3:O54,COLUMN('QUARTER 2 GRADES'!J:J)-COLUMN('QUARTER 2 GRADES'!B3:Q54)+1,0)</f>
        <v>85</v>
      </c>
      <c r="D22" s="209">
        <f>VLOOKUP(U5,'QUARTER 3 GRADES'!B3:O53,COLUMN('QUARTER 2 GRADES'!J:J)-COLUMN('QUARTER 3 GRADES'!B3:R53)+1,0)</f>
        <v>84</v>
      </c>
      <c r="E22" s="209">
        <f>VLOOKUP(U5,'QUARTER 4 GRADES'!B3:O53,COLUMN('QUARTER 4 GRADES'!J:J)-COLUMN('QUARTER 4 GRADES'!B3:Q53)+1,0)</f>
        <v>86</v>
      </c>
      <c r="F22" s="211">
        <f>ROUND(AVERAGE(B22:E22),0)</f>
        <v>85</v>
      </c>
      <c r="G22" s="216" t="s">
        <v>75</v>
      </c>
      <c r="H22" s="5"/>
      <c r="I22" s="346"/>
      <c r="J22" s="347"/>
      <c r="K22" s="378"/>
      <c r="L22" s="373"/>
      <c r="M22" s="373"/>
      <c r="N22" s="373"/>
      <c r="O22" s="374"/>
      <c r="P22" s="342"/>
      <c r="Q22" s="342"/>
      <c r="R22" s="342"/>
      <c r="S22" s="342"/>
    </row>
    <row r="23" spans="1:19" ht="16.5" customHeight="1">
      <c r="A23" s="38" t="s">
        <v>147</v>
      </c>
      <c r="B23" s="156">
        <f>VLOOKUP(U5,'QUARTER 1 GRADES'!B3:O53,COLUMN('QUARTER 1 GRADES'!K:K)-COLUMN('QUARTER 1 GRADES'!B3:R53)+1,0)</f>
        <v>84</v>
      </c>
      <c r="C23" s="210">
        <f>VLOOKUP(U5,'QUARTER 2 GRADES'!B3:O54,COLUMN('QUARTER 2 GRADES'!K:K)-COLUMN('QUARTER 2 GRADES'!B3:Q54)+1,0)</f>
        <v>84</v>
      </c>
      <c r="D23" s="210">
        <f>VLOOKUP(U5,'QUARTER 3 GRADES'!B3:O53,COLUMN('QUARTER 2 GRADES'!K:K)-COLUMN('QUARTER 3 GRADES'!B3:R53)+1,0)</f>
        <v>83</v>
      </c>
      <c r="E23" s="199">
        <f>VLOOKUP(U5,'QUARTER 4 GRADES'!B3:O53,COLUMN('QUARTER 4 GRADES'!K:K)-COLUMN('QUARTER 4 GRADES'!B3:Q53)+1,0)</f>
        <v>85</v>
      </c>
      <c r="F23" s="212">
        <f>ROUND(AVERAGE(B23:E23),0)</f>
        <v>84</v>
      </c>
      <c r="G23" s="217" t="s">
        <v>75</v>
      </c>
      <c r="H23" s="5"/>
      <c r="I23" s="346"/>
      <c r="J23" s="347"/>
      <c r="K23" s="378"/>
      <c r="L23" s="373"/>
      <c r="M23" s="373"/>
      <c r="N23" s="373"/>
      <c r="O23" s="374"/>
      <c r="P23" s="342"/>
      <c r="Q23" s="342"/>
      <c r="R23" s="342"/>
      <c r="S23" s="342"/>
    </row>
    <row r="24" spans="1:19" ht="16.5" customHeight="1">
      <c r="A24" s="38" t="s">
        <v>148</v>
      </c>
      <c r="B24" s="156">
        <f>VLOOKUP(U5,'QUARTER 1 GRADES'!B3:O53,COLUMN('QUARTER 1 GRADES'!L:L)-COLUMN('QUARTER 1 GRADES'!B3:R53)+1,0)</f>
        <v>84</v>
      </c>
      <c r="C24" s="210">
        <f>VLOOKUP(U5,'QUARTER 2 GRADES'!B3:O54,COLUMN('QUARTER 2 GRADES'!L:L)-COLUMN('QUARTER 2 GRADES'!B3:Q54)+1,0)</f>
        <v>85</v>
      </c>
      <c r="D24" s="210">
        <f>VLOOKUP(U5,'QUARTER 3 GRADES'!B3:O53,COLUMN('QUARTER 2 GRADES'!L:L)-COLUMN('QUARTER 3 GRADES'!B3:R53)+1,0)</f>
        <v>84</v>
      </c>
      <c r="E24" s="199">
        <f>VLOOKUP(U5,'QUARTER 4 GRADES'!B3:O53,COLUMN('QUARTER 4 GRADES'!L:L)-COLUMN('QUARTER 4 GRADES'!B3:Q53)+1,0)</f>
        <v>86</v>
      </c>
      <c r="F24" s="212">
        <f>ROUND(AVERAGE(B24:E24),0)</f>
        <v>85</v>
      </c>
      <c r="G24" s="217" t="s">
        <v>75</v>
      </c>
      <c r="H24" s="5"/>
      <c r="I24" s="346"/>
      <c r="J24" s="347"/>
      <c r="K24" s="379"/>
      <c r="L24" s="375"/>
      <c r="M24" s="375"/>
      <c r="N24" s="375"/>
      <c r="O24" s="376"/>
      <c r="P24" s="343"/>
      <c r="Q24" s="343"/>
      <c r="R24" s="343"/>
      <c r="S24" s="343"/>
    </row>
    <row r="25" spans="1:19" ht="16.5" customHeight="1">
      <c r="A25" s="38"/>
      <c r="B25" s="214">
        <f>AVERAGE(B5:B22)</f>
        <v>80</v>
      </c>
      <c r="C25" s="214">
        <f t="shared" ref="C25:D25" si="3">AVERAGE(C5:C22)</f>
        <v>81.625</v>
      </c>
      <c r="D25" s="214">
        <f t="shared" si="3"/>
        <v>81.875</v>
      </c>
      <c r="E25" s="214">
        <f>AVERAGE(E5:E22)</f>
        <v>83.75</v>
      </c>
      <c r="F25" s="201">
        <f t="shared" ref="F25" si="4">ROUND(AVERAGE(B25:E25),0)</f>
        <v>82</v>
      </c>
      <c r="G25" s="202" t="s">
        <v>75</v>
      </c>
      <c r="H25" s="5"/>
      <c r="I25" s="383" t="s">
        <v>67</v>
      </c>
      <c r="J25" s="384"/>
      <c r="K25" s="377" t="s">
        <v>68</v>
      </c>
      <c r="L25" s="371"/>
      <c r="M25" s="371"/>
      <c r="N25" s="371"/>
      <c r="O25" s="372"/>
      <c r="P25" s="341" t="str">
        <f>P21</f>
        <v>AO</v>
      </c>
      <c r="Q25" s="341" t="str">
        <f>Q21</f>
        <v>AO</v>
      </c>
      <c r="R25" s="341" t="str">
        <f t="shared" ref="R25:S25" si="5">R21</f>
        <v>AO</v>
      </c>
      <c r="S25" s="341" t="str">
        <f t="shared" si="5"/>
        <v>AO</v>
      </c>
    </row>
    <row r="26" spans="1:19" ht="15" customHeight="1">
      <c r="A26" s="207" t="s">
        <v>146</v>
      </c>
      <c r="B26" s="215">
        <f>ROUND(B25,0)</f>
        <v>80</v>
      </c>
      <c r="C26" s="215">
        <f t="shared" ref="C26:E26" si="6">ROUND(C25,0)</f>
        <v>82</v>
      </c>
      <c r="D26" s="215">
        <f t="shared" si="6"/>
        <v>82</v>
      </c>
      <c r="E26" s="215">
        <f t="shared" si="6"/>
        <v>84</v>
      </c>
      <c r="F26" s="201">
        <f>ROUND(AVERAGE(B26:E26),0)</f>
        <v>82</v>
      </c>
      <c r="G26" s="202" t="s">
        <v>75</v>
      </c>
      <c r="H26" s="5"/>
      <c r="I26" s="383"/>
      <c r="J26" s="384"/>
      <c r="K26" s="378"/>
      <c r="L26" s="373"/>
      <c r="M26" s="373"/>
      <c r="N26" s="373"/>
      <c r="O26" s="374"/>
      <c r="P26" s="342"/>
      <c r="Q26" s="342"/>
      <c r="R26" s="342"/>
      <c r="S26" s="342"/>
    </row>
    <row r="27" spans="1:19" ht="20.100000000000001" customHeight="1">
      <c r="A27" s="39"/>
      <c r="B27" s="303" t="s">
        <v>65</v>
      </c>
      <c r="C27" s="304"/>
      <c r="D27" s="304"/>
      <c r="E27" s="305"/>
      <c r="F27" s="213">
        <f>ROUND(AVERAGE(F5:F22),0)</f>
        <v>82</v>
      </c>
      <c r="G27" s="40"/>
      <c r="H27" s="5"/>
      <c r="I27" s="383"/>
      <c r="J27" s="384"/>
      <c r="K27" s="378"/>
      <c r="L27" s="373"/>
      <c r="M27" s="373"/>
      <c r="N27" s="373"/>
      <c r="O27" s="374"/>
      <c r="P27" s="342"/>
      <c r="Q27" s="342"/>
      <c r="R27" s="342"/>
      <c r="S27" s="342"/>
    </row>
    <row r="28" spans="1:19" ht="20.100000000000001" customHeight="1">
      <c r="C28" s="46" t="s">
        <v>101</v>
      </c>
      <c r="D28" s="46" t="s">
        <v>102</v>
      </c>
      <c r="E28" s="46" t="s">
        <v>103</v>
      </c>
      <c r="F28" s="46" t="s">
        <v>104</v>
      </c>
      <c r="G28" s="41"/>
      <c r="H28" s="5"/>
      <c r="I28" s="385"/>
      <c r="J28" s="386"/>
      <c r="K28" s="379"/>
      <c r="L28" s="375"/>
      <c r="M28" s="375"/>
      <c r="N28" s="375"/>
      <c r="O28" s="376"/>
      <c r="P28" s="343"/>
      <c r="Q28" s="343"/>
      <c r="R28" s="343"/>
      <c r="S28" s="343"/>
    </row>
    <row r="29" spans="1:19" ht="15" customHeight="1">
      <c r="A29" s="380" t="s">
        <v>100</v>
      </c>
      <c r="B29" s="381"/>
      <c r="C29" s="162" t="s">
        <v>142</v>
      </c>
      <c r="D29" s="162" t="s">
        <v>142</v>
      </c>
      <c r="E29" s="162" t="s">
        <v>142</v>
      </c>
      <c r="F29" s="162" t="s">
        <v>142</v>
      </c>
      <c r="G29" s="4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5" customHeight="1">
      <c r="A30" s="382"/>
      <c r="B30" s="382"/>
      <c r="C30" s="382"/>
      <c r="D30" s="382"/>
      <c r="E30" s="382"/>
      <c r="F30" s="42"/>
      <c r="G30" s="41"/>
      <c r="H30" s="20"/>
      <c r="I30" s="19"/>
      <c r="J30" s="306"/>
      <c r="K30" s="306"/>
      <c r="L30" s="306"/>
      <c r="M30" s="34"/>
      <c r="N30" s="306"/>
      <c r="O30" s="306"/>
      <c r="P30" s="306"/>
      <c r="Q30" s="306"/>
      <c r="R30" s="306"/>
      <c r="S30" s="5"/>
    </row>
    <row r="31" spans="1:19" ht="15" customHeight="1">
      <c r="A31" s="337" t="s">
        <v>69</v>
      </c>
      <c r="B31" s="337"/>
      <c r="C31" s="19"/>
      <c r="D31" s="336" t="s">
        <v>70</v>
      </c>
      <c r="E31" s="336"/>
      <c r="F31" s="306" t="s">
        <v>44</v>
      </c>
      <c r="G31" s="306"/>
      <c r="H31" s="20"/>
      <c r="I31" s="20"/>
      <c r="J31" s="306" t="s">
        <v>71</v>
      </c>
      <c r="K31" s="306"/>
      <c r="L31" s="306"/>
      <c r="M31" s="34"/>
      <c r="N31" s="306" t="s">
        <v>72</v>
      </c>
      <c r="O31" s="306"/>
      <c r="P31" s="306"/>
      <c r="Q31" s="306"/>
      <c r="R31" s="306"/>
      <c r="S31" s="5"/>
    </row>
    <row r="32" spans="1:19" ht="15" customHeight="1">
      <c r="A32" s="44" t="s">
        <v>73</v>
      </c>
      <c r="B32" s="44"/>
      <c r="C32" s="44"/>
      <c r="D32" s="45" t="s">
        <v>74</v>
      </c>
      <c r="E32" s="45"/>
      <c r="F32" s="45" t="s">
        <v>75</v>
      </c>
      <c r="G32" s="45"/>
      <c r="H32" s="20"/>
      <c r="I32" s="20"/>
      <c r="J32" s="45" t="s">
        <v>76</v>
      </c>
      <c r="K32" s="45"/>
      <c r="L32" s="45"/>
      <c r="M32" s="34"/>
      <c r="N32" s="20"/>
      <c r="O32" s="20" t="s">
        <v>77</v>
      </c>
      <c r="P32" s="20"/>
      <c r="Q32" s="20"/>
      <c r="R32" s="20"/>
      <c r="S32" s="5"/>
    </row>
    <row r="33" spans="1:19" ht="15" customHeight="1">
      <c r="A33" s="44" t="s">
        <v>78</v>
      </c>
      <c r="B33" s="44"/>
      <c r="C33" s="44"/>
      <c r="D33" s="45" t="s">
        <v>79</v>
      </c>
      <c r="E33" s="45"/>
      <c r="F33" s="45" t="s">
        <v>75</v>
      </c>
      <c r="G33" s="45"/>
      <c r="H33" s="20"/>
      <c r="I33" s="20"/>
      <c r="J33" s="45" t="s">
        <v>80</v>
      </c>
      <c r="K33" s="45"/>
      <c r="L33" s="45"/>
      <c r="M33" s="34"/>
      <c r="N33" s="20"/>
      <c r="O33" s="20" t="s">
        <v>81</v>
      </c>
      <c r="P33" s="20"/>
      <c r="Q33" s="20"/>
      <c r="R33" s="20"/>
      <c r="S33" s="5"/>
    </row>
    <row r="34" spans="1:19" ht="15" customHeight="1">
      <c r="A34" s="44" t="s">
        <v>82</v>
      </c>
      <c r="B34" s="44"/>
      <c r="C34" s="44"/>
      <c r="D34" s="45" t="s">
        <v>83</v>
      </c>
      <c r="E34" s="45"/>
      <c r="F34" s="45" t="s">
        <v>75</v>
      </c>
      <c r="G34" s="45"/>
      <c r="H34" s="20"/>
      <c r="I34" s="20"/>
      <c r="J34" s="45" t="s">
        <v>84</v>
      </c>
      <c r="K34" s="45"/>
      <c r="L34" s="45"/>
      <c r="M34" s="34"/>
      <c r="N34" s="20"/>
      <c r="O34" s="20" t="s">
        <v>85</v>
      </c>
      <c r="P34" s="20"/>
      <c r="Q34" s="20"/>
      <c r="R34" s="20"/>
      <c r="S34" s="5"/>
    </row>
    <row r="35" spans="1:19" ht="15" customHeight="1">
      <c r="A35" s="44" t="s">
        <v>86</v>
      </c>
      <c r="B35" s="44"/>
      <c r="C35" s="44"/>
      <c r="D35" s="45" t="s">
        <v>87</v>
      </c>
      <c r="E35" s="45"/>
      <c r="F35" s="45" t="s">
        <v>75</v>
      </c>
      <c r="G35" s="45"/>
      <c r="H35" s="20"/>
      <c r="I35" s="20"/>
      <c r="J35" s="45" t="s">
        <v>88</v>
      </c>
      <c r="K35" s="45"/>
      <c r="L35" s="45"/>
      <c r="M35" s="34"/>
      <c r="N35" s="20"/>
      <c r="O35" s="20" t="s">
        <v>89</v>
      </c>
      <c r="P35" s="20"/>
      <c r="Q35" s="20"/>
      <c r="R35" s="20"/>
      <c r="S35" s="5"/>
    </row>
    <row r="36" spans="1:19" ht="14.1" customHeight="1">
      <c r="A36" s="44" t="s">
        <v>90</v>
      </c>
      <c r="B36" s="44"/>
      <c r="C36" s="44"/>
      <c r="D36" s="45" t="s">
        <v>91</v>
      </c>
      <c r="E36" s="45"/>
      <c r="F36" s="45" t="s">
        <v>92</v>
      </c>
      <c r="G36" s="45"/>
      <c r="H36" s="5"/>
      <c r="I36" s="5"/>
      <c r="J36" s="5"/>
      <c r="K36" s="5"/>
      <c r="L36" s="5"/>
      <c r="M36" s="5"/>
      <c r="N36" s="5"/>
      <c r="O36" s="5"/>
      <c r="P36" s="5"/>
      <c r="Q36" s="5"/>
      <c r="R36" s="315"/>
      <c r="S36" s="315"/>
    </row>
    <row r="37" spans="1:19" ht="14.1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4.1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ht="14.1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1:19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1:1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1:19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19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1:19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1:19" ht="12.9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1:19" ht="12.9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1:19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1:19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1:19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1:19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1:1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19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1:19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1:19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1:19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1:19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1:19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1:19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1:19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1:19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1:1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1:19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1:19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1:19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1:19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1:19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1:19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1:19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1:19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1:19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1:1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spans="1:19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1:19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1:19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1:19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spans="1:19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1:19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1:19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1:19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1:19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1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1:19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1:19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1:19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1:19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1:19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1:19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1:19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1:19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1:1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</sheetData>
  <mergeCells count="107">
    <mergeCell ref="N31:R31"/>
    <mergeCell ref="A29:B29"/>
    <mergeCell ref="A30:E30"/>
    <mergeCell ref="S5:S8"/>
    <mergeCell ref="S9:S11"/>
    <mergeCell ref="S12:S14"/>
    <mergeCell ref="S15:S17"/>
    <mergeCell ref="S18:S20"/>
    <mergeCell ref="S21:S24"/>
    <mergeCell ref="S25:S28"/>
    <mergeCell ref="K25:O28"/>
    <mergeCell ref="I25:J28"/>
    <mergeCell ref="P25:P28"/>
    <mergeCell ref="Q5:Q8"/>
    <mergeCell ref="Q9:Q11"/>
    <mergeCell ref="Q12:Q14"/>
    <mergeCell ref="Q15:Q17"/>
    <mergeCell ref="Q18:Q20"/>
    <mergeCell ref="Q21:Q24"/>
    <mergeCell ref="Q25:Q28"/>
    <mergeCell ref="R5:R8"/>
    <mergeCell ref="R9:R11"/>
    <mergeCell ref="R12:R14"/>
    <mergeCell ref="R15:R17"/>
    <mergeCell ref="R25:R28"/>
    <mergeCell ref="G3:G4"/>
    <mergeCell ref="G5:G6"/>
    <mergeCell ref="G7:G8"/>
    <mergeCell ref="G9:G10"/>
    <mergeCell ref="G11:G12"/>
    <mergeCell ref="G13:G15"/>
    <mergeCell ref="G16:G18"/>
    <mergeCell ref="G19:G21"/>
    <mergeCell ref="P5:P8"/>
    <mergeCell ref="P9:P11"/>
    <mergeCell ref="P12:P14"/>
    <mergeCell ref="P15:P17"/>
    <mergeCell ref="P18:P20"/>
    <mergeCell ref="P21:P24"/>
    <mergeCell ref="I3:J4"/>
    <mergeCell ref="K3:O4"/>
    <mergeCell ref="K5:O8"/>
    <mergeCell ref="K9:O11"/>
    <mergeCell ref="I12:J17"/>
    <mergeCell ref="K12:O14"/>
    <mergeCell ref="K15:O17"/>
    <mergeCell ref="K18:O20"/>
    <mergeCell ref="K21:O24"/>
    <mergeCell ref="E19:E21"/>
    <mergeCell ref="F5:F6"/>
    <mergeCell ref="F7:F8"/>
    <mergeCell ref="F9:F10"/>
    <mergeCell ref="F11:F12"/>
    <mergeCell ref="F13:F15"/>
    <mergeCell ref="F16:F18"/>
    <mergeCell ref="F19:F21"/>
    <mergeCell ref="R18:R20"/>
    <mergeCell ref="R21:R24"/>
    <mergeCell ref="I21:J24"/>
    <mergeCell ref="R36:S36"/>
    <mergeCell ref="A3:A4"/>
    <mergeCell ref="A5:A6"/>
    <mergeCell ref="A7:A8"/>
    <mergeCell ref="A9:A10"/>
    <mergeCell ref="A11:A12"/>
    <mergeCell ref="A13:A15"/>
    <mergeCell ref="A16:A18"/>
    <mergeCell ref="A19:A21"/>
    <mergeCell ref="B5:B6"/>
    <mergeCell ref="B7:B8"/>
    <mergeCell ref="B9:B10"/>
    <mergeCell ref="B11:B12"/>
    <mergeCell ref="B13:B15"/>
    <mergeCell ref="B16:B18"/>
    <mergeCell ref="B19:B21"/>
    <mergeCell ref="C5:C6"/>
    <mergeCell ref="D31:E31"/>
    <mergeCell ref="F31:G31"/>
    <mergeCell ref="J31:L31"/>
    <mergeCell ref="A31:B31"/>
    <mergeCell ref="D19:D21"/>
    <mergeCell ref="E5:E6"/>
    <mergeCell ref="E7:E8"/>
    <mergeCell ref="A1:G1"/>
    <mergeCell ref="I1:S1"/>
    <mergeCell ref="B3:E3"/>
    <mergeCell ref="P3:S3"/>
    <mergeCell ref="I7:J7"/>
    <mergeCell ref="B27:E27"/>
    <mergeCell ref="J30:L30"/>
    <mergeCell ref="N30:R30"/>
    <mergeCell ref="C7:C8"/>
    <mergeCell ref="C9:C10"/>
    <mergeCell ref="C11:C12"/>
    <mergeCell ref="C13:C15"/>
    <mergeCell ref="C16:C18"/>
    <mergeCell ref="C19:C21"/>
    <mergeCell ref="D5:D6"/>
    <mergeCell ref="D7:D8"/>
    <mergeCell ref="D9:D10"/>
    <mergeCell ref="D11:D12"/>
    <mergeCell ref="D13:D15"/>
    <mergeCell ref="D16:D18"/>
    <mergeCell ref="E9:E10"/>
    <mergeCell ref="E11:E12"/>
    <mergeCell ref="E13:E15"/>
    <mergeCell ref="E16:E18"/>
  </mergeCells>
  <pageMargins left="0.39370078740157483" right="7.874015748031496E-2" top="0.31496062992125984" bottom="0.31496062992125984" header="0" footer="0"/>
  <pageSetup paperSize="9" orientation="landscape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AA9592-8111-496A-89C7-83253BE8C1C8}">
          <x14:formula1>
            <xm:f>'QUARTER 1 GRADES'!$B$3:$B$53</xm:f>
          </x14:formula1>
          <xm:sqref>U5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4823-E814-49A4-BEDF-F2DB2AC5A826}">
  <dimension ref="A1:R60"/>
  <sheetViews>
    <sheetView zoomScaleNormal="100" workbookViewId="0">
      <pane ySplit="2" topLeftCell="A3" activePane="bottomLeft" state="frozen"/>
      <selection pane="bottomLeft" activeCell="G19" sqref="G19"/>
    </sheetView>
  </sheetViews>
  <sheetFormatPr defaultRowHeight="15"/>
  <cols>
    <col min="1" max="1" width="5.28515625" customWidth="1"/>
    <col min="2" max="2" width="34.85546875" customWidth="1"/>
    <col min="16" max="16" width="11.42578125" customWidth="1"/>
    <col min="18" max="18" width="17.28515625" style="61" customWidth="1"/>
  </cols>
  <sheetData>
    <row r="1" spans="1:17" ht="42.75" customHeight="1" thickBot="1">
      <c r="A1" s="55"/>
      <c r="B1" s="56" t="s">
        <v>109</v>
      </c>
      <c r="C1" s="57" t="s">
        <v>145</v>
      </c>
      <c r="D1" s="57" t="s">
        <v>111</v>
      </c>
      <c r="E1" s="58" t="s">
        <v>112</v>
      </c>
      <c r="F1" s="58" t="s">
        <v>113</v>
      </c>
      <c r="G1" s="58" t="s">
        <v>114</v>
      </c>
      <c r="H1" s="57" t="s">
        <v>115</v>
      </c>
      <c r="I1" s="58" t="s">
        <v>116</v>
      </c>
      <c r="J1" s="59" t="s">
        <v>59</v>
      </c>
      <c r="K1" s="60"/>
      <c r="L1" s="60"/>
      <c r="M1" s="60"/>
      <c r="N1" s="60"/>
      <c r="O1" s="387" t="s">
        <v>117</v>
      </c>
      <c r="Q1" s="389" t="s">
        <v>118</v>
      </c>
    </row>
    <row r="2" spans="1:17" ht="15.75" thickBot="1">
      <c r="A2" s="55"/>
      <c r="B2" s="62"/>
      <c r="C2" s="63">
        <v>1</v>
      </c>
      <c r="D2" s="63">
        <v>2</v>
      </c>
      <c r="E2" s="63">
        <v>3</v>
      </c>
      <c r="F2" s="63">
        <v>4</v>
      </c>
      <c r="G2" s="63">
        <v>5</v>
      </c>
      <c r="H2" s="63">
        <v>6</v>
      </c>
      <c r="I2" s="63">
        <v>7</v>
      </c>
      <c r="J2" s="63">
        <v>8</v>
      </c>
      <c r="K2" s="64" t="s">
        <v>149</v>
      </c>
      <c r="L2" s="64" t="s">
        <v>150</v>
      </c>
      <c r="M2" s="64"/>
      <c r="N2" s="64"/>
      <c r="O2" s="388"/>
      <c r="Q2" s="389"/>
    </row>
    <row r="3" spans="1:17">
      <c r="A3" s="65">
        <v>1</v>
      </c>
      <c r="B3" s="74" t="s">
        <v>156</v>
      </c>
      <c r="C3" s="76">
        <v>85</v>
      </c>
      <c r="D3" s="76">
        <v>81</v>
      </c>
      <c r="E3" s="76">
        <v>81</v>
      </c>
      <c r="F3" s="76">
        <v>78</v>
      </c>
      <c r="G3" s="76">
        <v>80</v>
      </c>
      <c r="H3" s="166">
        <v>84</v>
      </c>
      <c r="I3" s="77">
        <v>86</v>
      </c>
      <c r="J3" s="78">
        <v>83</v>
      </c>
      <c r="K3" s="170">
        <v>83</v>
      </c>
      <c r="L3" s="171">
        <v>83</v>
      </c>
      <c r="M3" s="171"/>
      <c r="N3" s="172"/>
      <c r="O3" s="163">
        <f>ROUND(P3,0)</f>
        <v>82</v>
      </c>
      <c r="P3">
        <f t="shared" ref="P3:P43" si="0">SUM(C3:J3)/8</f>
        <v>82.25</v>
      </c>
      <c r="Q3">
        <f t="shared" ref="Q3:Q43" si="1">RANK(P3,$P$3:$P$43)</f>
        <v>3</v>
      </c>
    </row>
    <row r="4" spans="1:17">
      <c r="A4" s="67">
        <v>2</v>
      </c>
      <c r="B4" s="75" t="s">
        <v>157</v>
      </c>
      <c r="C4" s="76">
        <v>82</v>
      </c>
      <c r="D4" s="76">
        <v>80</v>
      </c>
      <c r="E4" s="76">
        <v>83</v>
      </c>
      <c r="F4" s="76">
        <v>79</v>
      </c>
      <c r="G4" s="76">
        <v>79</v>
      </c>
      <c r="H4" s="166">
        <v>80</v>
      </c>
      <c r="I4" s="77">
        <v>84</v>
      </c>
      <c r="J4" s="79">
        <v>85</v>
      </c>
      <c r="K4" s="170">
        <v>83</v>
      </c>
      <c r="L4" s="171">
        <v>86</v>
      </c>
      <c r="M4" s="171"/>
      <c r="N4" s="172"/>
      <c r="O4" s="163">
        <f t="shared" ref="O4:O16" si="2">ROUND(P4,0)</f>
        <v>82</v>
      </c>
      <c r="P4">
        <f t="shared" si="0"/>
        <v>81.5</v>
      </c>
      <c r="Q4">
        <f t="shared" si="1"/>
        <v>4</v>
      </c>
    </row>
    <row r="5" spans="1:17">
      <c r="A5" s="67">
        <v>3</v>
      </c>
      <c r="B5" s="75" t="s">
        <v>158</v>
      </c>
      <c r="C5" s="76">
        <v>81</v>
      </c>
      <c r="D5" s="76">
        <v>83</v>
      </c>
      <c r="E5" s="76">
        <v>80</v>
      </c>
      <c r="F5" s="76">
        <v>76</v>
      </c>
      <c r="G5" s="76">
        <v>82</v>
      </c>
      <c r="H5" s="166">
        <v>79</v>
      </c>
      <c r="I5" s="77">
        <v>80</v>
      </c>
      <c r="J5" s="79">
        <v>81</v>
      </c>
      <c r="K5" s="170">
        <v>80</v>
      </c>
      <c r="L5" s="171">
        <v>81</v>
      </c>
      <c r="M5" s="171"/>
      <c r="N5" s="172"/>
      <c r="O5" s="163">
        <f t="shared" si="2"/>
        <v>80</v>
      </c>
      <c r="P5">
        <f t="shared" si="0"/>
        <v>80.25</v>
      </c>
      <c r="Q5">
        <f t="shared" si="1"/>
        <v>7</v>
      </c>
    </row>
    <row r="6" spans="1:17">
      <c r="A6" s="67">
        <v>4</v>
      </c>
      <c r="B6" s="75" t="s">
        <v>159</v>
      </c>
      <c r="C6" s="76">
        <v>81</v>
      </c>
      <c r="D6" s="76">
        <v>78</v>
      </c>
      <c r="E6" s="76">
        <v>79</v>
      </c>
      <c r="F6" s="76">
        <v>77</v>
      </c>
      <c r="G6" s="76">
        <v>77</v>
      </c>
      <c r="H6" s="166">
        <v>80</v>
      </c>
      <c r="I6" s="77">
        <v>84</v>
      </c>
      <c r="J6" s="79">
        <v>84</v>
      </c>
      <c r="K6" s="170">
        <v>84</v>
      </c>
      <c r="L6" s="171">
        <v>84</v>
      </c>
      <c r="M6" s="171"/>
      <c r="N6" s="172"/>
      <c r="O6" s="163">
        <f t="shared" si="2"/>
        <v>80</v>
      </c>
      <c r="P6">
        <f t="shared" si="0"/>
        <v>80</v>
      </c>
      <c r="Q6">
        <f t="shared" si="1"/>
        <v>8</v>
      </c>
    </row>
    <row r="7" spans="1:17">
      <c r="A7" s="67">
        <v>5</v>
      </c>
      <c r="B7" s="75" t="s">
        <v>160</v>
      </c>
      <c r="C7" s="76">
        <v>85</v>
      </c>
      <c r="D7" s="76">
        <v>82</v>
      </c>
      <c r="E7" s="76">
        <v>84</v>
      </c>
      <c r="F7" s="76">
        <v>79</v>
      </c>
      <c r="G7" s="76">
        <v>81</v>
      </c>
      <c r="H7" s="166">
        <v>80</v>
      </c>
      <c r="I7" s="77">
        <v>84</v>
      </c>
      <c r="J7" s="79">
        <v>86</v>
      </c>
      <c r="K7" s="170">
        <v>85</v>
      </c>
      <c r="L7" s="171">
        <v>86</v>
      </c>
      <c r="M7" s="171"/>
      <c r="N7" s="172"/>
      <c r="O7" s="163">
        <f t="shared" si="2"/>
        <v>83</v>
      </c>
      <c r="P7">
        <f t="shared" si="0"/>
        <v>82.625</v>
      </c>
      <c r="Q7">
        <f t="shared" si="1"/>
        <v>2</v>
      </c>
    </row>
    <row r="8" spans="1:17">
      <c r="A8" s="67">
        <v>6</v>
      </c>
      <c r="B8" s="75" t="s">
        <v>161</v>
      </c>
      <c r="C8" s="76">
        <v>83</v>
      </c>
      <c r="D8" s="76">
        <v>77</v>
      </c>
      <c r="E8" s="76">
        <v>80</v>
      </c>
      <c r="F8" s="76">
        <v>77</v>
      </c>
      <c r="G8" s="76">
        <v>76</v>
      </c>
      <c r="H8" s="166">
        <v>83</v>
      </c>
      <c r="I8" s="77">
        <v>84</v>
      </c>
      <c r="J8" s="79">
        <v>85</v>
      </c>
      <c r="K8" s="170">
        <v>85</v>
      </c>
      <c r="L8" s="171">
        <v>84</v>
      </c>
      <c r="M8" s="171"/>
      <c r="N8" s="172"/>
      <c r="O8" s="163">
        <f t="shared" si="2"/>
        <v>81</v>
      </c>
      <c r="P8">
        <f t="shared" si="0"/>
        <v>80.625</v>
      </c>
      <c r="Q8">
        <f t="shared" si="1"/>
        <v>6</v>
      </c>
    </row>
    <row r="9" spans="1:17">
      <c r="A9" s="67">
        <v>7</v>
      </c>
      <c r="B9" s="75" t="s">
        <v>162</v>
      </c>
      <c r="C9" s="76">
        <v>89</v>
      </c>
      <c r="D9" s="76">
        <v>88</v>
      </c>
      <c r="E9" s="76">
        <v>82</v>
      </c>
      <c r="F9" s="76">
        <v>82</v>
      </c>
      <c r="G9" s="76">
        <v>87</v>
      </c>
      <c r="H9" s="166">
        <v>89</v>
      </c>
      <c r="I9" s="77">
        <v>90</v>
      </c>
      <c r="J9" s="79">
        <v>89</v>
      </c>
      <c r="K9" s="170">
        <v>89</v>
      </c>
      <c r="L9" s="171">
        <v>88</v>
      </c>
      <c r="M9" s="171"/>
      <c r="N9" s="172"/>
      <c r="O9" s="163">
        <f>ROUND(P9,0)</f>
        <v>87</v>
      </c>
      <c r="P9">
        <f t="shared" si="0"/>
        <v>87</v>
      </c>
      <c r="Q9">
        <f t="shared" si="1"/>
        <v>1</v>
      </c>
    </row>
    <row r="10" spans="1:17">
      <c r="A10" s="67">
        <v>8</v>
      </c>
      <c r="B10" s="75" t="s">
        <v>163</v>
      </c>
      <c r="C10" s="76">
        <v>81</v>
      </c>
      <c r="D10" s="76">
        <v>80</v>
      </c>
      <c r="E10" s="76">
        <v>83</v>
      </c>
      <c r="F10" s="76">
        <v>80</v>
      </c>
      <c r="G10" s="76">
        <v>80</v>
      </c>
      <c r="H10" s="166">
        <v>80</v>
      </c>
      <c r="I10" s="77">
        <v>82</v>
      </c>
      <c r="J10" s="79">
        <v>81</v>
      </c>
      <c r="K10" s="170">
        <v>82</v>
      </c>
      <c r="L10" s="171">
        <v>80</v>
      </c>
      <c r="M10" s="171"/>
      <c r="N10" s="172"/>
      <c r="O10" s="163">
        <f t="shared" si="2"/>
        <v>81</v>
      </c>
      <c r="P10">
        <f t="shared" si="0"/>
        <v>80.875</v>
      </c>
      <c r="Q10">
        <f t="shared" si="1"/>
        <v>5</v>
      </c>
    </row>
    <row r="11" spans="1:17">
      <c r="A11" s="67">
        <v>9</v>
      </c>
      <c r="B11" s="75" t="s">
        <v>164</v>
      </c>
      <c r="C11" s="76">
        <v>80</v>
      </c>
      <c r="D11" s="76">
        <v>79</v>
      </c>
      <c r="E11" s="76">
        <v>77</v>
      </c>
      <c r="F11" s="76">
        <v>76</v>
      </c>
      <c r="G11" s="76">
        <v>79</v>
      </c>
      <c r="H11" s="166">
        <v>77</v>
      </c>
      <c r="I11" s="77">
        <v>79</v>
      </c>
      <c r="J11" s="79">
        <v>78</v>
      </c>
      <c r="K11" s="170">
        <v>78</v>
      </c>
      <c r="L11" s="171">
        <v>78</v>
      </c>
      <c r="M11" s="171"/>
      <c r="N11" s="172"/>
      <c r="O11" s="163">
        <f t="shared" si="2"/>
        <v>78</v>
      </c>
      <c r="P11">
        <f t="shared" si="0"/>
        <v>78.125</v>
      </c>
      <c r="Q11">
        <f t="shared" si="1"/>
        <v>9</v>
      </c>
    </row>
    <row r="12" spans="1:17">
      <c r="A12" s="67">
        <v>10</v>
      </c>
      <c r="B12" s="75" t="s">
        <v>165</v>
      </c>
      <c r="C12" s="76">
        <v>80</v>
      </c>
      <c r="D12" s="76">
        <v>77</v>
      </c>
      <c r="E12" s="76">
        <v>76</v>
      </c>
      <c r="F12" s="76">
        <v>75</v>
      </c>
      <c r="G12" s="76">
        <v>77</v>
      </c>
      <c r="H12" s="166">
        <v>78</v>
      </c>
      <c r="I12" s="77">
        <v>80</v>
      </c>
      <c r="J12" s="79">
        <v>78</v>
      </c>
      <c r="K12" s="170">
        <v>77</v>
      </c>
      <c r="L12" s="171">
        <v>79</v>
      </c>
      <c r="M12" s="171"/>
      <c r="N12" s="172"/>
      <c r="O12" s="163">
        <f t="shared" si="2"/>
        <v>78</v>
      </c>
      <c r="P12">
        <f t="shared" si="0"/>
        <v>77.625</v>
      </c>
      <c r="Q12">
        <f t="shared" si="1"/>
        <v>10</v>
      </c>
    </row>
    <row r="13" spans="1:17">
      <c r="A13" s="67">
        <v>11</v>
      </c>
      <c r="B13" s="75"/>
      <c r="C13" s="76"/>
      <c r="D13" s="76"/>
      <c r="E13" s="76"/>
      <c r="F13" s="76"/>
      <c r="G13" s="76"/>
      <c r="H13" s="166"/>
      <c r="I13" s="77"/>
      <c r="J13" s="79"/>
      <c r="K13" s="170"/>
      <c r="L13" s="171"/>
      <c r="M13" s="171"/>
      <c r="N13" s="172"/>
      <c r="O13" s="163">
        <f t="shared" si="2"/>
        <v>0</v>
      </c>
      <c r="P13">
        <f t="shared" si="0"/>
        <v>0</v>
      </c>
      <c r="Q13">
        <f t="shared" si="1"/>
        <v>11</v>
      </c>
    </row>
    <row r="14" spans="1:17">
      <c r="A14" s="67">
        <v>12</v>
      </c>
      <c r="B14" s="75"/>
      <c r="C14" s="76"/>
      <c r="D14" s="76"/>
      <c r="E14" s="76"/>
      <c r="F14" s="76"/>
      <c r="G14" s="76"/>
      <c r="H14" s="166"/>
      <c r="I14" s="77"/>
      <c r="J14" s="79"/>
      <c r="K14" s="170"/>
      <c r="L14" s="171"/>
      <c r="M14" s="171"/>
      <c r="N14" s="172"/>
      <c r="O14" s="163">
        <f t="shared" si="2"/>
        <v>0</v>
      </c>
      <c r="P14">
        <f t="shared" si="0"/>
        <v>0</v>
      </c>
      <c r="Q14">
        <f t="shared" si="1"/>
        <v>11</v>
      </c>
    </row>
    <row r="15" spans="1:17">
      <c r="A15" s="67">
        <v>13</v>
      </c>
      <c r="B15" s="75"/>
      <c r="C15" s="76"/>
      <c r="D15" s="76"/>
      <c r="E15" s="76"/>
      <c r="F15" s="76"/>
      <c r="G15" s="76"/>
      <c r="H15" s="166"/>
      <c r="I15" s="77"/>
      <c r="J15" s="79"/>
      <c r="K15" s="170"/>
      <c r="L15" s="171"/>
      <c r="M15" s="171"/>
      <c r="N15" s="172"/>
      <c r="O15" s="163">
        <f t="shared" si="2"/>
        <v>0</v>
      </c>
      <c r="P15">
        <f t="shared" si="0"/>
        <v>0</v>
      </c>
      <c r="Q15">
        <f t="shared" si="1"/>
        <v>11</v>
      </c>
    </row>
    <row r="16" spans="1:17">
      <c r="A16" s="67">
        <v>14</v>
      </c>
      <c r="B16" s="75"/>
      <c r="C16" s="76"/>
      <c r="D16" s="76"/>
      <c r="E16" s="76"/>
      <c r="F16" s="76"/>
      <c r="G16" s="76"/>
      <c r="H16" s="166"/>
      <c r="I16" s="77"/>
      <c r="J16" s="79"/>
      <c r="K16" s="170"/>
      <c r="L16" s="171"/>
      <c r="M16" s="171"/>
      <c r="N16" s="172"/>
      <c r="O16" s="163">
        <f t="shared" si="2"/>
        <v>0</v>
      </c>
      <c r="P16">
        <f t="shared" si="0"/>
        <v>0</v>
      </c>
      <c r="Q16">
        <f t="shared" si="1"/>
        <v>11</v>
      </c>
    </row>
    <row r="17" spans="1:17">
      <c r="A17" s="67">
        <v>15</v>
      </c>
      <c r="B17" s="68"/>
      <c r="C17" s="76"/>
      <c r="D17" s="76"/>
      <c r="E17" s="76"/>
      <c r="F17" s="76"/>
      <c r="G17" s="76"/>
      <c r="H17" s="166"/>
      <c r="I17" s="77"/>
      <c r="J17" s="79"/>
      <c r="K17" s="170"/>
      <c r="L17" s="171"/>
      <c r="M17" s="171"/>
      <c r="N17" s="172"/>
      <c r="O17" s="163">
        <f t="shared" ref="O17:O40" si="3">ROUND(P17,0)</f>
        <v>0</v>
      </c>
      <c r="P17">
        <f t="shared" si="0"/>
        <v>0</v>
      </c>
      <c r="Q17">
        <f t="shared" si="1"/>
        <v>11</v>
      </c>
    </row>
    <row r="18" spans="1:17">
      <c r="A18" s="67">
        <v>16</v>
      </c>
      <c r="B18" s="75"/>
      <c r="C18" s="76"/>
      <c r="D18" s="76"/>
      <c r="E18" s="76"/>
      <c r="F18" s="76"/>
      <c r="G18" s="76"/>
      <c r="H18" s="166"/>
      <c r="I18" s="77"/>
      <c r="J18" s="79"/>
      <c r="K18" s="170"/>
      <c r="L18" s="171"/>
      <c r="M18" s="171"/>
      <c r="N18" s="172"/>
      <c r="O18" s="163">
        <f t="shared" si="3"/>
        <v>0</v>
      </c>
      <c r="P18">
        <f t="shared" si="0"/>
        <v>0</v>
      </c>
      <c r="Q18">
        <f t="shared" si="1"/>
        <v>11</v>
      </c>
    </row>
    <row r="19" spans="1:17">
      <c r="A19" s="67">
        <v>17</v>
      </c>
      <c r="B19" s="75"/>
      <c r="C19" s="76"/>
      <c r="D19" s="76"/>
      <c r="E19" s="76"/>
      <c r="F19" s="76"/>
      <c r="G19" s="76"/>
      <c r="H19" s="166"/>
      <c r="I19" s="77"/>
      <c r="J19" s="79"/>
      <c r="K19" s="170"/>
      <c r="L19" s="171"/>
      <c r="M19" s="171"/>
      <c r="N19" s="172"/>
      <c r="O19" s="163">
        <f t="shared" si="3"/>
        <v>0</v>
      </c>
      <c r="P19" s="82">
        <f t="shared" si="0"/>
        <v>0</v>
      </c>
      <c r="Q19">
        <f t="shared" si="1"/>
        <v>11</v>
      </c>
    </row>
    <row r="20" spans="1:17">
      <c r="A20" s="67">
        <v>18</v>
      </c>
      <c r="B20" s="75"/>
      <c r="C20" s="76"/>
      <c r="D20" s="76"/>
      <c r="E20" s="76"/>
      <c r="F20" s="76"/>
      <c r="G20" s="76"/>
      <c r="H20" s="166"/>
      <c r="I20" s="77"/>
      <c r="J20" s="79"/>
      <c r="K20" s="170"/>
      <c r="L20" s="171"/>
      <c r="M20" s="171"/>
      <c r="N20" s="172"/>
      <c r="O20" s="163">
        <f t="shared" si="3"/>
        <v>0</v>
      </c>
      <c r="P20">
        <f t="shared" si="0"/>
        <v>0</v>
      </c>
      <c r="Q20">
        <f t="shared" si="1"/>
        <v>11</v>
      </c>
    </row>
    <row r="21" spans="1:17">
      <c r="A21" s="67">
        <v>19</v>
      </c>
      <c r="B21" s="203"/>
      <c r="C21" s="76"/>
      <c r="D21" s="76"/>
      <c r="E21" s="76"/>
      <c r="F21" s="76"/>
      <c r="G21" s="76"/>
      <c r="H21" s="166"/>
      <c r="I21" s="77"/>
      <c r="J21" s="79"/>
      <c r="K21" s="170"/>
      <c r="L21" s="171"/>
      <c r="M21" s="171"/>
      <c r="N21" s="172"/>
      <c r="O21" s="163">
        <f t="shared" si="3"/>
        <v>0</v>
      </c>
      <c r="P21">
        <f t="shared" si="0"/>
        <v>0</v>
      </c>
      <c r="Q21">
        <f t="shared" si="1"/>
        <v>11</v>
      </c>
    </row>
    <row r="22" spans="1:17">
      <c r="A22" s="67">
        <v>20</v>
      </c>
      <c r="B22" s="203"/>
      <c r="C22" s="76"/>
      <c r="D22" s="76"/>
      <c r="E22" s="76"/>
      <c r="F22" s="76"/>
      <c r="G22" s="76"/>
      <c r="H22" s="166"/>
      <c r="I22" s="77"/>
      <c r="J22" s="79"/>
      <c r="K22" s="170"/>
      <c r="L22" s="171"/>
      <c r="M22" s="171"/>
      <c r="N22" s="172"/>
      <c r="O22" s="163">
        <f t="shared" si="3"/>
        <v>0</v>
      </c>
      <c r="P22">
        <f t="shared" si="0"/>
        <v>0</v>
      </c>
      <c r="Q22">
        <f t="shared" si="1"/>
        <v>11</v>
      </c>
    </row>
    <row r="23" spans="1:17">
      <c r="A23" s="67">
        <v>21</v>
      </c>
      <c r="B23" s="203"/>
      <c r="C23" s="76"/>
      <c r="D23" s="76"/>
      <c r="E23" s="76"/>
      <c r="F23" s="76"/>
      <c r="G23" s="76"/>
      <c r="H23" s="166"/>
      <c r="I23" s="77"/>
      <c r="J23" s="79"/>
      <c r="K23" s="170"/>
      <c r="L23" s="171"/>
      <c r="M23" s="171"/>
      <c r="N23" s="172"/>
      <c r="O23" s="163">
        <f t="shared" si="3"/>
        <v>0</v>
      </c>
      <c r="P23">
        <f t="shared" si="0"/>
        <v>0</v>
      </c>
      <c r="Q23">
        <f t="shared" si="1"/>
        <v>11</v>
      </c>
    </row>
    <row r="24" spans="1:17">
      <c r="A24" s="67">
        <v>22</v>
      </c>
      <c r="B24" s="203"/>
      <c r="C24" s="76"/>
      <c r="D24" s="76"/>
      <c r="E24" s="76"/>
      <c r="F24" s="76"/>
      <c r="G24" s="76"/>
      <c r="H24" s="166"/>
      <c r="I24" s="77"/>
      <c r="J24" s="79"/>
      <c r="K24" s="170"/>
      <c r="L24" s="171"/>
      <c r="M24" s="171"/>
      <c r="N24" s="172"/>
      <c r="O24" s="163">
        <f t="shared" si="3"/>
        <v>0</v>
      </c>
      <c r="P24">
        <f t="shared" si="0"/>
        <v>0</v>
      </c>
      <c r="Q24">
        <f t="shared" si="1"/>
        <v>11</v>
      </c>
    </row>
    <row r="25" spans="1:17">
      <c r="A25" s="67">
        <v>23</v>
      </c>
      <c r="B25" s="204"/>
      <c r="C25" s="164"/>
      <c r="D25" s="164"/>
      <c r="E25" s="164"/>
      <c r="F25" s="164"/>
      <c r="G25" s="164"/>
      <c r="H25" s="167"/>
      <c r="I25" s="164"/>
      <c r="J25" s="164"/>
      <c r="K25" s="173"/>
      <c r="L25" s="173"/>
      <c r="M25" s="173"/>
      <c r="N25" s="173"/>
      <c r="O25" s="163">
        <f t="shared" si="3"/>
        <v>0</v>
      </c>
      <c r="P25">
        <f t="shared" si="0"/>
        <v>0</v>
      </c>
      <c r="Q25">
        <f t="shared" si="1"/>
        <v>11</v>
      </c>
    </row>
    <row r="26" spans="1:17">
      <c r="A26" s="67">
        <v>24</v>
      </c>
      <c r="B26" s="204"/>
      <c r="C26" s="164"/>
      <c r="D26" s="164"/>
      <c r="E26" s="164"/>
      <c r="F26" s="164"/>
      <c r="G26" s="164"/>
      <c r="H26" s="167"/>
      <c r="I26" s="164"/>
      <c r="J26" s="164"/>
      <c r="K26" s="173"/>
      <c r="L26" s="173"/>
      <c r="M26" s="173"/>
      <c r="N26" s="173"/>
      <c r="O26" s="163">
        <f t="shared" si="3"/>
        <v>0</v>
      </c>
      <c r="P26">
        <f t="shared" si="0"/>
        <v>0</v>
      </c>
      <c r="Q26">
        <f t="shared" si="1"/>
        <v>11</v>
      </c>
    </row>
    <row r="27" spans="1:17">
      <c r="A27" s="67">
        <v>25</v>
      </c>
      <c r="B27" s="204"/>
      <c r="C27" s="164"/>
      <c r="D27" s="164"/>
      <c r="E27" s="164"/>
      <c r="F27" s="164"/>
      <c r="G27" s="164"/>
      <c r="H27" s="167"/>
      <c r="I27" s="164"/>
      <c r="J27" s="164"/>
      <c r="K27" s="173"/>
      <c r="L27" s="173"/>
      <c r="M27" s="173"/>
      <c r="N27" s="173"/>
      <c r="O27" s="163">
        <f t="shared" si="3"/>
        <v>0</v>
      </c>
      <c r="P27">
        <f t="shared" si="0"/>
        <v>0</v>
      </c>
      <c r="Q27">
        <f t="shared" si="1"/>
        <v>11</v>
      </c>
    </row>
    <row r="28" spans="1:17">
      <c r="A28" s="67">
        <v>26</v>
      </c>
      <c r="B28" s="205"/>
      <c r="C28" s="164"/>
      <c r="D28" s="164"/>
      <c r="E28" s="164"/>
      <c r="F28" s="164"/>
      <c r="G28" s="164"/>
      <c r="H28" s="167"/>
      <c r="I28" s="164"/>
      <c r="J28" s="164"/>
      <c r="K28" s="173"/>
      <c r="L28" s="173"/>
      <c r="M28" s="173"/>
      <c r="N28" s="173"/>
      <c r="O28" s="163">
        <f t="shared" si="3"/>
        <v>0</v>
      </c>
      <c r="P28">
        <f t="shared" si="0"/>
        <v>0</v>
      </c>
      <c r="Q28">
        <f t="shared" si="1"/>
        <v>11</v>
      </c>
    </row>
    <row r="29" spans="1:17">
      <c r="A29" s="67">
        <v>27</v>
      </c>
      <c r="B29" s="205"/>
      <c r="C29" s="164"/>
      <c r="D29" s="164"/>
      <c r="E29" s="164"/>
      <c r="F29" s="164"/>
      <c r="G29" s="164"/>
      <c r="H29" s="167"/>
      <c r="I29" s="164"/>
      <c r="J29" s="164"/>
      <c r="K29" s="173"/>
      <c r="L29" s="173"/>
      <c r="M29" s="173"/>
      <c r="N29" s="173"/>
      <c r="O29" s="163">
        <f t="shared" si="3"/>
        <v>0</v>
      </c>
      <c r="P29">
        <f t="shared" si="0"/>
        <v>0</v>
      </c>
      <c r="Q29">
        <f t="shared" si="1"/>
        <v>11</v>
      </c>
    </row>
    <row r="30" spans="1:17">
      <c r="A30" s="67">
        <v>28</v>
      </c>
      <c r="B30" s="204"/>
      <c r="C30" s="164"/>
      <c r="D30" s="164"/>
      <c r="E30" s="164"/>
      <c r="F30" s="164"/>
      <c r="G30" s="164"/>
      <c r="H30" s="167"/>
      <c r="I30" s="164"/>
      <c r="J30" s="164"/>
      <c r="K30" s="173"/>
      <c r="L30" s="173"/>
      <c r="M30" s="173"/>
      <c r="N30" s="173"/>
      <c r="O30" s="163">
        <f t="shared" si="3"/>
        <v>0</v>
      </c>
      <c r="P30">
        <f t="shared" si="0"/>
        <v>0</v>
      </c>
      <c r="Q30">
        <f t="shared" si="1"/>
        <v>11</v>
      </c>
    </row>
    <row r="31" spans="1:17">
      <c r="A31" s="67">
        <v>29</v>
      </c>
      <c r="B31" s="204"/>
      <c r="C31" s="164"/>
      <c r="D31" s="164"/>
      <c r="E31" s="164"/>
      <c r="F31" s="164"/>
      <c r="G31" s="164"/>
      <c r="H31" s="167"/>
      <c r="I31" s="164"/>
      <c r="J31" s="164"/>
      <c r="K31" s="173"/>
      <c r="L31" s="173"/>
      <c r="M31" s="173"/>
      <c r="N31" s="173"/>
      <c r="O31" s="163">
        <f t="shared" si="3"/>
        <v>0</v>
      </c>
      <c r="P31">
        <f t="shared" si="0"/>
        <v>0</v>
      </c>
      <c r="Q31">
        <f t="shared" si="1"/>
        <v>11</v>
      </c>
    </row>
    <row r="32" spans="1:17">
      <c r="A32" s="67">
        <v>30</v>
      </c>
      <c r="B32" s="204"/>
      <c r="C32" s="164"/>
      <c r="D32" s="164"/>
      <c r="E32" s="164"/>
      <c r="F32" s="164"/>
      <c r="G32" s="164"/>
      <c r="H32" s="167"/>
      <c r="I32" s="164"/>
      <c r="J32" s="164"/>
      <c r="K32" s="173"/>
      <c r="L32" s="173"/>
      <c r="M32" s="173"/>
      <c r="N32" s="173"/>
      <c r="O32" s="163">
        <f t="shared" si="3"/>
        <v>0</v>
      </c>
      <c r="P32" s="82">
        <f t="shared" si="0"/>
        <v>0</v>
      </c>
      <c r="Q32">
        <f t="shared" si="1"/>
        <v>11</v>
      </c>
    </row>
    <row r="33" spans="1:17">
      <c r="A33" s="67">
        <v>31</v>
      </c>
      <c r="B33" s="204"/>
      <c r="C33" s="164"/>
      <c r="D33" s="164"/>
      <c r="E33" s="164"/>
      <c r="F33" s="164"/>
      <c r="G33" s="164"/>
      <c r="H33" s="167"/>
      <c r="I33" s="164"/>
      <c r="J33" s="164"/>
      <c r="K33" s="173"/>
      <c r="L33" s="173"/>
      <c r="M33" s="173"/>
      <c r="N33" s="173"/>
      <c r="O33" s="163">
        <f t="shared" si="3"/>
        <v>0</v>
      </c>
      <c r="P33" s="82">
        <f t="shared" si="0"/>
        <v>0</v>
      </c>
      <c r="Q33">
        <f t="shared" si="1"/>
        <v>11</v>
      </c>
    </row>
    <row r="34" spans="1:17">
      <c r="A34" s="67">
        <v>32</v>
      </c>
      <c r="B34" s="204"/>
      <c r="C34" s="164"/>
      <c r="D34" s="164"/>
      <c r="E34" s="164"/>
      <c r="F34" s="164"/>
      <c r="G34" s="164"/>
      <c r="H34" s="167"/>
      <c r="I34" s="164"/>
      <c r="J34" s="164"/>
      <c r="K34" s="173"/>
      <c r="L34" s="173"/>
      <c r="M34" s="173"/>
      <c r="N34" s="173"/>
      <c r="O34" s="163">
        <f t="shared" si="3"/>
        <v>0</v>
      </c>
      <c r="P34">
        <f t="shared" si="0"/>
        <v>0</v>
      </c>
      <c r="Q34">
        <f t="shared" si="1"/>
        <v>11</v>
      </c>
    </row>
    <row r="35" spans="1:17">
      <c r="A35" s="67">
        <v>33</v>
      </c>
      <c r="B35" s="205"/>
      <c r="C35" s="169"/>
      <c r="D35" s="169"/>
      <c r="E35" s="169"/>
      <c r="F35" s="169"/>
      <c r="G35" s="169"/>
      <c r="H35" s="168"/>
      <c r="I35" s="169"/>
      <c r="J35" s="169"/>
      <c r="K35" s="174"/>
      <c r="L35" s="174"/>
      <c r="M35" s="174"/>
      <c r="N35" s="174"/>
      <c r="O35" s="163">
        <f t="shared" si="3"/>
        <v>0</v>
      </c>
      <c r="P35">
        <f t="shared" si="0"/>
        <v>0</v>
      </c>
      <c r="Q35">
        <f t="shared" si="1"/>
        <v>11</v>
      </c>
    </row>
    <row r="36" spans="1:17">
      <c r="A36" s="67">
        <v>34</v>
      </c>
      <c r="B36" s="206"/>
      <c r="C36" s="177"/>
      <c r="D36" s="177"/>
      <c r="E36" s="177"/>
      <c r="F36" s="177"/>
      <c r="G36" s="177"/>
      <c r="H36" s="178"/>
      <c r="I36" s="177"/>
      <c r="J36" s="177"/>
      <c r="K36" s="179"/>
      <c r="L36" s="179"/>
      <c r="M36" s="179"/>
      <c r="N36" s="179"/>
      <c r="O36" s="180">
        <f>ROUND(P36,0)</f>
        <v>0</v>
      </c>
      <c r="P36">
        <f t="shared" si="0"/>
        <v>0</v>
      </c>
      <c r="Q36">
        <f t="shared" si="1"/>
        <v>11</v>
      </c>
    </row>
    <row r="37" spans="1:17">
      <c r="A37" s="67">
        <v>35</v>
      </c>
      <c r="B37" s="205"/>
      <c r="C37" s="169"/>
      <c r="D37" s="169"/>
      <c r="E37" s="169"/>
      <c r="F37" s="169"/>
      <c r="G37" s="169"/>
      <c r="H37" s="168"/>
      <c r="I37" s="169"/>
      <c r="J37" s="169"/>
      <c r="K37" s="174"/>
      <c r="L37" s="174"/>
      <c r="M37" s="174"/>
      <c r="N37" s="174"/>
      <c r="O37" s="163">
        <f t="shared" si="3"/>
        <v>0</v>
      </c>
      <c r="P37">
        <f t="shared" si="0"/>
        <v>0</v>
      </c>
      <c r="Q37">
        <f t="shared" si="1"/>
        <v>11</v>
      </c>
    </row>
    <row r="38" spans="1:17">
      <c r="A38" s="67">
        <v>36</v>
      </c>
      <c r="B38" s="205"/>
      <c r="C38" s="169"/>
      <c r="D38" s="169"/>
      <c r="E38" s="169"/>
      <c r="F38" s="169"/>
      <c r="G38" s="169"/>
      <c r="H38" s="168"/>
      <c r="I38" s="169"/>
      <c r="J38" s="169"/>
      <c r="K38" s="174"/>
      <c r="L38" s="174"/>
      <c r="M38" s="174"/>
      <c r="N38" s="174"/>
      <c r="O38" s="163">
        <f t="shared" si="3"/>
        <v>0</v>
      </c>
      <c r="P38">
        <f t="shared" si="0"/>
        <v>0</v>
      </c>
      <c r="Q38">
        <f t="shared" si="1"/>
        <v>11</v>
      </c>
    </row>
    <row r="39" spans="1:17">
      <c r="A39" s="67">
        <v>37</v>
      </c>
      <c r="B39" s="205"/>
      <c r="C39" s="169"/>
      <c r="D39" s="169"/>
      <c r="E39" s="169"/>
      <c r="F39" s="169"/>
      <c r="G39" s="169"/>
      <c r="H39" s="168"/>
      <c r="I39" s="169"/>
      <c r="J39" s="169"/>
      <c r="K39" s="174"/>
      <c r="L39" s="174"/>
      <c r="M39" s="174"/>
      <c r="N39" s="174"/>
      <c r="O39" s="163">
        <f t="shared" si="3"/>
        <v>0</v>
      </c>
      <c r="P39">
        <f t="shared" si="0"/>
        <v>0</v>
      </c>
      <c r="Q39">
        <f t="shared" si="1"/>
        <v>11</v>
      </c>
    </row>
    <row r="40" spans="1:17">
      <c r="A40" s="67">
        <v>38</v>
      </c>
      <c r="B40" s="205"/>
      <c r="C40" s="169"/>
      <c r="D40" s="169"/>
      <c r="E40" s="169"/>
      <c r="F40" s="169"/>
      <c r="G40" s="169"/>
      <c r="H40" s="168"/>
      <c r="I40" s="169"/>
      <c r="J40" s="169"/>
      <c r="K40" s="174"/>
      <c r="L40" s="174"/>
      <c r="M40" s="174"/>
      <c r="N40" s="174"/>
      <c r="O40" s="163">
        <f t="shared" si="3"/>
        <v>0</v>
      </c>
      <c r="P40">
        <f t="shared" si="0"/>
        <v>0</v>
      </c>
      <c r="Q40">
        <f t="shared" si="1"/>
        <v>11</v>
      </c>
    </row>
    <row r="41" spans="1:17">
      <c r="A41" s="67">
        <v>39</v>
      </c>
      <c r="B41" s="205"/>
      <c r="C41" s="169"/>
      <c r="D41" s="169"/>
      <c r="E41" s="169"/>
      <c r="F41" s="169"/>
      <c r="G41" s="169"/>
      <c r="H41" s="168"/>
      <c r="I41" s="169"/>
      <c r="J41" s="169"/>
      <c r="K41" s="174"/>
      <c r="L41" s="174"/>
      <c r="M41" s="174"/>
      <c r="N41" s="174"/>
      <c r="O41" s="163">
        <f t="shared" ref="O41:O43" si="4">ROUND(P41,0)</f>
        <v>0</v>
      </c>
      <c r="P41">
        <f t="shared" si="0"/>
        <v>0</v>
      </c>
      <c r="Q41">
        <f t="shared" si="1"/>
        <v>11</v>
      </c>
    </row>
    <row r="42" spans="1:17">
      <c r="A42" s="67">
        <v>40</v>
      </c>
      <c r="B42" s="165"/>
      <c r="C42" s="169"/>
      <c r="D42" s="169"/>
      <c r="E42" s="169"/>
      <c r="F42" s="169"/>
      <c r="G42" s="169"/>
      <c r="H42" s="168"/>
      <c r="I42" s="169"/>
      <c r="J42" s="169"/>
      <c r="K42" s="174"/>
      <c r="L42" s="174"/>
      <c r="M42" s="174"/>
      <c r="N42" s="174"/>
      <c r="O42" s="163">
        <f t="shared" si="4"/>
        <v>0</v>
      </c>
      <c r="P42">
        <f t="shared" si="0"/>
        <v>0</v>
      </c>
      <c r="Q42">
        <f t="shared" si="1"/>
        <v>11</v>
      </c>
    </row>
    <row r="43" spans="1:17">
      <c r="A43" s="67">
        <v>41</v>
      </c>
      <c r="B43" s="165"/>
      <c r="C43" s="169"/>
      <c r="D43" s="169"/>
      <c r="E43" s="169"/>
      <c r="F43" s="169"/>
      <c r="G43" s="169"/>
      <c r="H43" s="168"/>
      <c r="I43" s="169"/>
      <c r="J43" s="169"/>
      <c r="K43" s="174"/>
      <c r="L43" s="174"/>
      <c r="M43" s="174"/>
      <c r="N43" s="174"/>
      <c r="O43" s="163">
        <f t="shared" si="4"/>
        <v>0</v>
      </c>
      <c r="P43">
        <f t="shared" si="0"/>
        <v>0</v>
      </c>
      <c r="Q43">
        <f t="shared" si="1"/>
        <v>11</v>
      </c>
    </row>
    <row r="44" spans="1:17">
      <c r="A44" s="69"/>
      <c r="C44" t="s">
        <v>123</v>
      </c>
      <c r="E44" t="s">
        <v>123</v>
      </c>
      <c r="O44" s="70"/>
    </row>
    <row r="45" spans="1:17">
      <c r="A45" s="69"/>
      <c r="C45" t="s">
        <v>123</v>
      </c>
      <c r="E45" t="s">
        <v>123</v>
      </c>
      <c r="O45" s="70"/>
    </row>
    <row r="46" spans="1:17">
      <c r="A46" s="69"/>
      <c r="C46" t="s">
        <v>123</v>
      </c>
      <c r="E46" t="s">
        <v>123</v>
      </c>
      <c r="O46" s="70"/>
    </row>
    <row r="47" spans="1:17">
      <c r="A47" s="69"/>
      <c r="C47" t="s">
        <v>123</v>
      </c>
      <c r="E47" t="s">
        <v>123</v>
      </c>
      <c r="O47" s="70"/>
    </row>
    <row r="48" spans="1:17">
      <c r="A48" s="69"/>
      <c r="C48" t="s">
        <v>123</v>
      </c>
      <c r="E48" t="s">
        <v>123</v>
      </c>
      <c r="O48" s="70"/>
    </row>
    <row r="49" spans="1:15">
      <c r="A49" s="69"/>
      <c r="C49" t="s">
        <v>123</v>
      </c>
      <c r="E49" t="s">
        <v>123</v>
      </c>
      <c r="O49" s="70"/>
    </row>
    <row r="50" spans="1:15">
      <c r="A50" s="69"/>
      <c r="C50" t="s">
        <v>123</v>
      </c>
      <c r="E50" t="s">
        <v>123</v>
      </c>
      <c r="O50" s="70"/>
    </row>
    <row r="51" spans="1:15">
      <c r="A51" s="69"/>
      <c r="C51" t="s">
        <v>123</v>
      </c>
      <c r="E51" t="s">
        <v>123</v>
      </c>
      <c r="O51" s="70"/>
    </row>
    <row r="52" spans="1:15">
      <c r="A52" s="69"/>
      <c r="C52" t="s">
        <v>123</v>
      </c>
      <c r="E52" t="s">
        <v>123</v>
      </c>
      <c r="O52" s="70"/>
    </row>
    <row r="53" spans="1:15" ht="15.75" thickBot="1">
      <c r="A53" s="71"/>
      <c r="B53" s="72"/>
      <c r="C53" s="72" t="s">
        <v>123</v>
      </c>
      <c r="D53" s="72"/>
      <c r="E53" s="72" t="s">
        <v>123</v>
      </c>
      <c r="F53" s="72"/>
      <c r="G53" s="72"/>
      <c r="H53" s="72"/>
      <c r="I53" s="72"/>
      <c r="J53" s="72"/>
      <c r="K53" s="72"/>
      <c r="L53" s="72"/>
      <c r="M53" s="72"/>
      <c r="N53" s="72"/>
      <c r="O53" s="73"/>
    </row>
    <row r="54" spans="1:15">
      <c r="C54" t="s">
        <v>123</v>
      </c>
      <c r="E54" t="s">
        <v>123</v>
      </c>
    </row>
    <row r="55" spans="1:15">
      <c r="C55" t="s">
        <v>123</v>
      </c>
      <c r="E55" t="s">
        <v>123</v>
      </c>
    </row>
    <row r="56" spans="1:15">
      <c r="C56" t="s">
        <v>123</v>
      </c>
      <c r="E56" t="s">
        <v>123</v>
      </c>
    </row>
    <row r="57" spans="1:15">
      <c r="C57" t="s">
        <v>123</v>
      </c>
      <c r="E57" t="s">
        <v>123</v>
      </c>
    </row>
    <row r="58" spans="1:15">
      <c r="C58" t="s">
        <v>123</v>
      </c>
      <c r="E58" t="s">
        <v>123</v>
      </c>
    </row>
    <row r="59" spans="1:15">
      <c r="C59" t="s">
        <v>123</v>
      </c>
      <c r="E59" t="s">
        <v>123</v>
      </c>
    </row>
    <row r="60" spans="1:15">
      <c r="C60" t="s">
        <v>123</v>
      </c>
      <c r="E60" t="s">
        <v>123</v>
      </c>
    </row>
  </sheetData>
  <mergeCells count="2">
    <mergeCell ref="O1:O2"/>
    <mergeCell ref="Q1:Q2"/>
  </mergeCells>
  <dataValidations count="2">
    <dataValidation allowBlank="1" showInputMessage="1" showErrorMessage="1" prompt="Do not type name of learners here. Go to INPUT DATA sheet." sqref="B3:B34" xr:uid="{E2EDB178-C3A6-42AE-A55E-3F441B0DBB8D}"/>
    <dataValidation allowBlank="1" showInputMessage="1" showErrorMessage="1" prompt="Results will generate automatically" sqref="O3:O43 C3:N34" xr:uid="{007E32D4-AF6E-469C-9C72-246A14EAC48F}"/>
  </dataValidation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E50F-3738-4DF2-9C08-BBC84E91B5C8}">
  <dimension ref="A1:Q61"/>
  <sheetViews>
    <sheetView zoomScaleNormal="100" workbookViewId="0">
      <selection activeCell="W8" sqref="W8"/>
    </sheetView>
  </sheetViews>
  <sheetFormatPr defaultRowHeight="15"/>
  <cols>
    <col min="1" max="1" width="5.28515625" customWidth="1"/>
    <col min="2" max="2" width="34.85546875" customWidth="1"/>
    <col min="16" max="16" width="11.42578125" customWidth="1"/>
  </cols>
  <sheetData>
    <row r="1" spans="1:17" ht="42.75" customHeight="1" thickBot="1">
      <c r="A1" s="55"/>
      <c r="B1" s="56" t="s">
        <v>109</v>
      </c>
      <c r="C1" s="57" t="s">
        <v>110</v>
      </c>
      <c r="D1" s="57" t="s">
        <v>111</v>
      </c>
      <c r="E1" s="58" t="s">
        <v>112</v>
      </c>
      <c r="F1" s="58" t="s">
        <v>113</v>
      </c>
      <c r="G1" s="58" t="s">
        <v>114</v>
      </c>
      <c r="H1" s="57" t="s">
        <v>115</v>
      </c>
      <c r="I1" s="58" t="s">
        <v>116</v>
      </c>
      <c r="J1" s="59" t="s">
        <v>59</v>
      </c>
      <c r="K1" s="60"/>
      <c r="L1" s="60"/>
      <c r="M1" s="60"/>
      <c r="N1" s="60"/>
      <c r="O1" s="387" t="s">
        <v>117</v>
      </c>
      <c r="Q1" s="389" t="s">
        <v>118</v>
      </c>
    </row>
    <row r="2" spans="1:17" ht="15.75" thickBot="1">
      <c r="A2" s="55"/>
      <c r="B2" s="62"/>
      <c r="C2" s="63">
        <v>1</v>
      </c>
      <c r="D2" s="63">
        <v>2</v>
      </c>
      <c r="E2" s="63">
        <v>3</v>
      </c>
      <c r="F2" s="63">
        <v>4</v>
      </c>
      <c r="G2" s="63">
        <v>5</v>
      </c>
      <c r="H2" s="63">
        <v>6</v>
      </c>
      <c r="I2" s="63">
        <v>7</v>
      </c>
      <c r="J2" s="63">
        <v>8</v>
      </c>
      <c r="K2" s="64" t="s">
        <v>119</v>
      </c>
      <c r="L2" s="64" t="s">
        <v>120</v>
      </c>
      <c r="M2" s="64" t="s">
        <v>121</v>
      </c>
      <c r="N2" s="64" t="s">
        <v>122</v>
      </c>
      <c r="O2" s="388"/>
      <c r="Q2" s="389"/>
    </row>
    <row r="3" spans="1:17" ht="15.75" thickBot="1">
      <c r="A3" s="65">
        <v>1</v>
      </c>
      <c r="B3" s="74" t="s">
        <v>156</v>
      </c>
      <c r="C3" s="166">
        <v>86</v>
      </c>
      <c r="D3" s="166">
        <v>82</v>
      </c>
      <c r="E3" s="166">
        <v>81</v>
      </c>
      <c r="F3" s="166">
        <v>81</v>
      </c>
      <c r="G3" s="166">
        <v>81</v>
      </c>
      <c r="H3" s="166">
        <v>84</v>
      </c>
      <c r="I3" s="181">
        <v>88</v>
      </c>
      <c r="J3" s="182">
        <v>84</v>
      </c>
      <c r="K3" s="183">
        <v>84</v>
      </c>
      <c r="L3" s="184">
        <v>84</v>
      </c>
      <c r="M3" s="184"/>
      <c r="N3" s="185"/>
      <c r="O3" s="66">
        <f>ROUND(P3,0)</f>
        <v>83</v>
      </c>
      <c r="P3">
        <f>SUM(C3:J3)/8</f>
        <v>83.375</v>
      </c>
      <c r="Q3">
        <f t="shared" ref="Q3:Q33" si="0">RANK(P3,$P$3:$P$34)</f>
        <v>3</v>
      </c>
    </row>
    <row r="4" spans="1:17" ht="15.75" thickBot="1">
      <c r="A4" s="67">
        <v>2</v>
      </c>
      <c r="B4" s="75" t="s">
        <v>157</v>
      </c>
      <c r="C4" s="166">
        <v>84</v>
      </c>
      <c r="D4" s="166">
        <v>82</v>
      </c>
      <c r="E4" s="166">
        <v>82</v>
      </c>
      <c r="F4" s="166">
        <v>82</v>
      </c>
      <c r="G4" s="166">
        <v>80</v>
      </c>
      <c r="H4" s="166">
        <v>82</v>
      </c>
      <c r="I4" s="181">
        <v>85</v>
      </c>
      <c r="J4" s="182">
        <v>85</v>
      </c>
      <c r="K4" s="183">
        <v>84</v>
      </c>
      <c r="L4" s="184">
        <v>85</v>
      </c>
      <c r="M4" s="184"/>
      <c r="N4" s="185"/>
      <c r="O4" s="66">
        <f t="shared" ref="O4:O33" si="1">ROUND(P4,0)</f>
        <v>83</v>
      </c>
      <c r="P4">
        <f t="shared" ref="P4:P33" si="2">SUM(C4:J4)/8</f>
        <v>82.75</v>
      </c>
      <c r="Q4">
        <f t="shared" si="0"/>
        <v>4</v>
      </c>
    </row>
    <row r="5" spans="1:17" ht="15.75" thickBot="1">
      <c r="A5" s="67">
        <v>3</v>
      </c>
      <c r="B5" s="75" t="s">
        <v>158</v>
      </c>
      <c r="C5" s="166">
        <v>83</v>
      </c>
      <c r="D5" s="166">
        <v>84</v>
      </c>
      <c r="E5" s="166">
        <v>85</v>
      </c>
      <c r="F5" s="166">
        <v>82</v>
      </c>
      <c r="G5" s="166">
        <v>83</v>
      </c>
      <c r="H5" s="166">
        <v>81</v>
      </c>
      <c r="I5" s="181">
        <v>80</v>
      </c>
      <c r="J5" s="182">
        <v>82</v>
      </c>
      <c r="K5" s="183">
        <v>81</v>
      </c>
      <c r="L5" s="184">
        <v>82</v>
      </c>
      <c r="M5" s="184"/>
      <c r="N5" s="185"/>
      <c r="O5" s="66">
        <f t="shared" si="1"/>
        <v>83</v>
      </c>
      <c r="P5">
        <f t="shared" si="2"/>
        <v>82.5</v>
      </c>
      <c r="Q5">
        <f t="shared" si="0"/>
        <v>5</v>
      </c>
    </row>
    <row r="6" spans="1:17" ht="15.75" thickBot="1">
      <c r="A6" s="65">
        <v>4</v>
      </c>
      <c r="B6" s="75" t="s">
        <v>159</v>
      </c>
      <c r="C6" s="166">
        <v>84</v>
      </c>
      <c r="D6" s="166">
        <v>80</v>
      </c>
      <c r="E6" s="166">
        <v>80</v>
      </c>
      <c r="F6" s="166">
        <v>80</v>
      </c>
      <c r="G6" s="166">
        <v>78</v>
      </c>
      <c r="H6" s="166">
        <v>81</v>
      </c>
      <c r="I6" s="181">
        <v>85</v>
      </c>
      <c r="J6" s="182">
        <v>85</v>
      </c>
      <c r="K6" s="183">
        <v>84</v>
      </c>
      <c r="L6" s="184">
        <v>85</v>
      </c>
      <c r="M6" s="184"/>
      <c r="N6" s="185"/>
      <c r="O6" s="66">
        <f t="shared" si="1"/>
        <v>82</v>
      </c>
      <c r="P6">
        <f t="shared" si="2"/>
        <v>81.625</v>
      </c>
      <c r="Q6">
        <f t="shared" si="0"/>
        <v>7</v>
      </c>
    </row>
    <row r="7" spans="1:17" ht="15.75" thickBot="1">
      <c r="A7" s="67">
        <v>5</v>
      </c>
      <c r="B7" s="75" t="s">
        <v>160</v>
      </c>
      <c r="C7" s="166">
        <v>85</v>
      </c>
      <c r="D7" s="166">
        <v>83</v>
      </c>
      <c r="E7" s="166">
        <v>83</v>
      </c>
      <c r="F7" s="166">
        <v>84</v>
      </c>
      <c r="G7" s="166">
        <v>82</v>
      </c>
      <c r="H7" s="166">
        <v>82</v>
      </c>
      <c r="I7" s="181">
        <v>85</v>
      </c>
      <c r="J7" s="182">
        <v>86</v>
      </c>
      <c r="K7" s="183">
        <v>86</v>
      </c>
      <c r="L7" s="184">
        <v>86</v>
      </c>
      <c r="M7" s="184"/>
      <c r="N7" s="185"/>
      <c r="O7" s="66">
        <f t="shared" si="1"/>
        <v>84</v>
      </c>
      <c r="P7">
        <f t="shared" si="2"/>
        <v>83.75</v>
      </c>
      <c r="Q7">
        <f t="shared" si="0"/>
        <v>2</v>
      </c>
    </row>
    <row r="8" spans="1:17" ht="15.75" thickBot="1">
      <c r="A8" s="67">
        <v>6</v>
      </c>
      <c r="B8" s="75" t="s">
        <v>161</v>
      </c>
      <c r="C8" s="166">
        <v>85</v>
      </c>
      <c r="D8" s="166">
        <v>78</v>
      </c>
      <c r="E8" s="166">
        <v>80</v>
      </c>
      <c r="F8" s="166">
        <v>83</v>
      </c>
      <c r="G8" s="166">
        <v>77</v>
      </c>
      <c r="H8" s="166">
        <v>84</v>
      </c>
      <c r="I8" s="181">
        <v>84</v>
      </c>
      <c r="J8" s="182">
        <v>85</v>
      </c>
      <c r="K8" s="183">
        <v>85</v>
      </c>
      <c r="L8" s="184">
        <v>85</v>
      </c>
      <c r="M8" s="184"/>
      <c r="N8" s="185"/>
      <c r="O8" s="66">
        <f t="shared" si="1"/>
        <v>82</v>
      </c>
      <c r="P8">
        <f t="shared" si="2"/>
        <v>82</v>
      </c>
      <c r="Q8">
        <f t="shared" si="0"/>
        <v>6</v>
      </c>
    </row>
    <row r="9" spans="1:17" ht="15.75" thickBot="1">
      <c r="A9" s="65">
        <v>7</v>
      </c>
      <c r="B9" s="75" t="s">
        <v>162</v>
      </c>
      <c r="C9" s="166">
        <v>90</v>
      </c>
      <c r="D9" s="166">
        <v>89</v>
      </c>
      <c r="E9" s="166">
        <v>84</v>
      </c>
      <c r="F9" s="166">
        <v>82</v>
      </c>
      <c r="G9" s="166">
        <v>88</v>
      </c>
      <c r="H9" s="166">
        <v>89</v>
      </c>
      <c r="I9" s="181">
        <v>88</v>
      </c>
      <c r="J9" s="182">
        <v>89</v>
      </c>
      <c r="K9" s="183">
        <v>89</v>
      </c>
      <c r="L9" s="184">
        <v>89</v>
      </c>
      <c r="M9" s="184"/>
      <c r="N9" s="185"/>
      <c r="O9" s="66">
        <f t="shared" si="1"/>
        <v>87</v>
      </c>
      <c r="P9">
        <f t="shared" ref="P9" si="3">SUM(C9:J9)/8</f>
        <v>87.375</v>
      </c>
      <c r="Q9">
        <f t="shared" ref="Q9" si="4">RANK(P9,$P$3:$P$34)</f>
        <v>1</v>
      </c>
    </row>
    <row r="10" spans="1:17" ht="15.75" thickBot="1">
      <c r="A10" s="67">
        <v>8</v>
      </c>
      <c r="B10" s="75" t="s">
        <v>163</v>
      </c>
      <c r="C10" s="166">
        <v>83</v>
      </c>
      <c r="D10" s="166">
        <v>81</v>
      </c>
      <c r="E10" s="166">
        <v>81</v>
      </c>
      <c r="F10" s="166">
        <v>83</v>
      </c>
      <c r="G10" s="166">
        <v>80</v>
      </c>
      <c r="H10" s="166">
        <v>81</v>
      </c>
      <c r="I10" s="181">
        <v>82</v>
      </c>
      <c r="J10" s="182">
        <v>82</v>
      </c>
      <c r="K10" s="183">
        <v>82</v>
      </c>
      <c r="L10" s="184">
        <v>81</v>
      </c>
      <c r="M10" s="184"/>
      <c r="N10" s="185"/>
      <c r="O10" s="66">
        <f t="shared" si="1"/>
        <v>82</v>
      </c>
      <c r="P10">
        <f t="shared" si="2"/>
        <v>81.625</v>
      </c>
      <c r="Q10">
        <f t="shared" si="0"/>
        <v>7</v>
      </c>
    </row>
    <row r="11" spans="1:17" ht="15.75" thickBot="1">
      <c r="A11" s="67">
        <v>9</v>
      </c>
      <c r="B11" s="75" t="s">
        <v>164</v>
      </c>
      <c r="C11" s="166">
        <v>82</v>
      </c>
      <c r="D11" s="166">
        <v>80</v>
      </c>
      <c r="E11" s="166">
        <v>84</v>
      </c>
      <c r="F11" s="166">
        <v>83</v>
      </c>
      <c r="G11" s="166">
        <v>79</v>
      </c>
      <c r="H11" s="166">
        <v>77</v>
      </c>
      <c r="I11" s="181">
        <v>79</v>
      </c>
      <c r="J11" s="182">
        <v>80</v>
      </c>
      <c r="K11" s="183">
        <v>79</v>
      </c>
      <c r="L11" s="184">
        <v>80</v>
      </c>
      <c r="M11" s="184"/>
      <c r="N11" s="185"/>
      <c r="O11" s="66">
        <f t="shared" si="1"/>
        <v>81</v>
      </c>
      <c r="P11">
        <f t="shared" si="2"/>
        <v>80.5</v>
      </c>
      <c r="Q11">
        <f t="shared" si="0"/>
        <v>9</v>
      </c>
    </row>
    <row r="12" spans="1:17" ht="15.75" thickBot="1">
      <c r="A12" s="65">
        <v>10</v>
      </c>
      <c r="B12" s="75" t="s">
        <v>165</v>
      </c>
      <c r="C12" s="166">
        <v>82</v>
      </c>
      <c r="D12" s="166">
        <v>78</v>
      </c>
      <c r="E12" s="166">
        <v>78</v>
      </c>
      <c r="F12" s="166">
        <v>78</v>
      </c>
      <c r="G12" s="166">
        <v>77</v>
      </c>
      <c r="H12" s="166">
        <v>79</v>
      </c>
      <c r="I12" s="181">
        <v>80</v>
      </c>
      <c r="J12" s="182">
        <v>79</v>
      </c>
      <c r="K12" s="183">
        <v>78</v>
      </c>
      <c r="L12" s="184">
        <v>79</v>
      </c>
      <c r="M12" s="184"/>
      <c r="N12" s="185"/>
      <c r="O12" s="66">
        <f t="shared" si="1"/>
        <v>79</v>
      </c>
      <c r="P12">
        <f t="shared" si="2"/>
        <v>78.875</v>
      </c>
      <c r="Q12">
        <f t="shared" si="0"/>
        <v>10</v>
      </c>
    </row>
    <row r="13" spans="1:17" ht="15.75" thickBot="1">
      <c r="A13" s="67">
        <v>11</v>
      </c>
      <c r="B13" s="75"/>
      <c r="C13" s="166"/>
      <c r="D13" s="166"/>
      <c r="E13" s="166"/>
      <c r="F13" s="166"/>
      <c r="G13" s="166"/>
      <c r="H13" s="166"/>
      <c r="I13" s="181"/>
      <c r="J13" s="182"/>
      <c r="K13" s="183"/>
      <c r="L13" s="184"/>
      <c r="M13" s="184"/>
      <c r="N13" s="185"/>
      <c r="O13" s="66">
        <f t="shared" si="1"/>
        <v>0</v>
      </c>
      <c r="P13">
        <f t="shared" si="2"/>
        <v>0</v>
      </c>
      <c r="Q13">
        <f t="shared" si="0"/>
        <v>11</v>
      </c>
    </row>
    <row r="14" spans="1:17" ht="15.75" thickBot="1">
      <c r="A14" s="67">
        <v>12</v>
      </c>
      <c r="B14" s="75"/>
      <c r="C14" s="166"/>
      <c r="D14" s="166"/>
      <c r="E14" s="166"/>
      <c r="F14" s="166"/>
      <c r="G14" s="166"/>
      <c r="H14" s="166"/>
      <c r="I14" s="181"/>
      <c r="J14" s="182"/>
      <c r="K14" s="183"/>
      <c r="L14" s="184"/>
      <c r="M14" s="184"/>
      <c r="N14" s="185"/>
      <c r="O14" s="66">
        <f>ROUND(P14,0)</f>
        <v>0</v>
      </c>
      <c r="P14">
        <f>SUM(C14:J14)/8</f>
        <v>0</v>
      </c>
      <c r="Q14">
        <f t="shared" si="0"/>
        <v>11</v>
      </c>
    </row>
    <row r="15" spans="1:17" ht="15.75" thickBot="1">
      <c r="A15" s="65">
        <v>13</v>
      </c>
      <c r="B15" s="75"/>
      <c r="C15" s="166"/>
      <c r="D15" s="166"/>
      <c r="E15" s="166"/>
      <c r="F15" s="166"/>
      <c r="G15" s="166"/>
      <c r="H15" s="166"/>
      <c r="I15" s="181"/>
      <c r="J15" s="182"/>
      <c r="K15" s="183"/>
      <c r="L15" s="184"/>
      <c r="M15" s="184"/>
      <c r="N15" s="185"/>
      <c r="O15" s="66">
        <f>ROUND(P15,0)</f>
        <v>0</v>
      </c>
      <c r="P15">
        <f>SUM(C15:J15)/8</f>
        <v>0</v>
      </c>
      <c r="Q15">
        <f t="shared" si="0"/>
        <v>11</v>
      </c>
    </row>
    <row r="16" spans="1:17" ht="15.75" thickBot="1">
      <c r="A16" s="67">
        <v>14</v>
      </c>
      <c r="B16" s="75"/>
      <c r="C16" s="166"/>
      <c r="D16" s="166"/>
      <c r="E16" s="166"/>
      <c r="F16" s="166"/>
      <c r="G16" s="166"/>
      <c r="H16" s="166"/>
      <c r="I16" s="181"/>
      <c r="J16" s="182"/>
      <c r="K16" s="183"/>
      <c r="L16" s="184"/>
      <c r="M16" s="184"/>
      <c r="N16" s="185"/>
      <c r="O16" s="66">
        <f>ROUND(P16,0)</f>
        <v>0</v>
      </c>
      <c r="P16">
        <f t="shared" si="2"/>
        <v>0</v>
      </c>
      <c r="Q16">
        <f t="shared" si="0"/>
        <v>11</v>
      </c>
    </row>
    <row r="17" spans="1:17" ht="15.75" thickBot="1">
      <c r="A17" s="65">
        <v>15</v>
      </c>
      <c r="B17" s="68"/>
      <c r="C17" s="166"/>
      <c r="D17" s="166"/>
      <c r="E17" s="166"/>
      <c r="F17" s="166"/>
      <c r="G17" s="166"/>
      <c r="H17" s="166"/>
      <c r="I17" s="181"/>
      <c r="J17" s="182"/>
      <c r="K17" s="183"/>
      <c r="L17" s="184"/>
      <c r="M17" s="184"/>
      <c r="N17" s="185"/>
      <c r="O17" s="66">
        <f t="shared" si="1"/>
        <v>0</v>
      </c>
      <c r="P17">
        <f t="shared" si="2"/>
        <v>0</v>
      </c>
      <c r="Q17">
        <f t="shared" si="0"/>
        <v>11</v>
      </c>
    </row>
    <row r="18" spans="1:17" ht="15.75" thickBot="1">
      <c r="A18" s="67">
        <v>16</v>
      </c>
      <c r="B18" s="75"/>
      <c r="C18" s="166"/>
      <c r="D18" s="166"/>
      <c r="E18" s="166"/>
      <c r="F18" s="166"/>
      <c r="G18" s="166"/>
      <c r="H18" s="166"/>
      <c r="I18" s="181"/>
      <c r="J18" s="182"/>
      <c r="K18" s="183"/>
      <c r="L18" s="184"/>
      <c r="M18" s="184"/>
      <c r="N18" s="185"/>
      <c r="O18" s="66">
        <f t="shared" si="1"/>
        <v>0</v>
      </c>
      <c r="P18">
        <f t="shared" si="2"/>
        <v>0</v>
      </c>
      <c r="Q18">
        <f t="shared" si="0"/>
        <v>11</v>
      </c>
    </row>
    <row r="19" spans="1:17" ht="15.75" thickBot="1">
      <c r="A19" s="67">
        <v>17</v>
      </c>
      <c r="B19" s="75"/>
      <c r="C19" s="166"/>
      <c r="D19" s="166"/>
      <c r="E19" s="166"/>
      <c r="F19" s="166"/>
      <c r="G19" s="166"/>
      <c r="H19" s="166"/>
      <c r="I19" s="181"/>
      <c r="J19" s="182"/>
      <c r="K19" s="183"/>
      <c r="L19" s="184"/>
      <c r="M19" s="184"/>
      <c r="N19" s="185"/>
      <c r="O19" s="157">
        <f t="shared" si="1"/>
        <v>0</v>
      </c>
      <c r="P19">
        <f t="shared" si="2"/>
        <v>0</v>
      </c>
      <c r="Q19">
        <f t="shared" si="0"/>
        <v>11</v>
      </c>
    </row>
    <row r="20" spans="1:17" ht="15.75" thickBot="1">
      <c r="A20" s="65">
        <v>18</v>
      </c>
      <c r="B20" s="75"/>
      <c r="C20" s="166"/>
      <c r="D20" s="166"/>
      <c r="E20" s="166"/>
      <c r="F20" s="166"/>
      <c r="G20" s="166"/>
      <c r="H20" s="166"/>
      <c r="I20" s="181"/>
      <c r="J20" s="182"/>
      <c r="K20" s="183"/>
      <c r="L20" s="184"/>
      <c r="M20" s="184"/>
      <c r="N20" s="185"/>
      <c r="O20" s="66">
        <f t="shared" si="1"/>
        <v>0</v>
      </c>
      <c r="P20">
        <f t="shared" si="2"/>
        <v>0</v>
      </c>
      <c r="Q20">
        <f t="shared" si="0"/>
        <v>11</v>
      </c>
    </row>
    <row r="21" spans="1:17" ht="15.75" thickBot="1">
      <c r="A21" s="67">
        <v>19</v>
      </c>
      <c r="B21" s="203"/>
      <c r="C21" s="166"/>
      <c r="D21" s="166"/>
      <c r="E21" s="166"/>
      <c r="F21" s="166"/>
      <c r="G21" s="166"/>
      <c r="H21" s="166"/>
      <c r="I21" s="181"/>
      <c r="J21" s="182"/>
      <c r="K21" s="183"/>
      <c r="L21" s="184"/>
      <c r="M21" s="184"/>
      <c r="N21" s="185"/>
      <c r="O21" s="66">
        <f t="shared" si="1"/>
        <v>0</v>
      </c>
      <c r="P21">
        <f t="shared" si="2"/>
        <v>0</v>
      </c>
      <c r="Q21">
        <f t="shared" si="0"/>
        <v>11</v>
      </c>
    </row>
    <row r="22" spans="1:17" ht="15.75" thickBot="1">
      <c r="A22" s="67">
        <v>20</v>
      </c>
      <c r="B22" s="203"/>
      <c r="C22" s="166"/>
      <c r="D22" s="166"/>
      <c r="E22" s="166"/>
      <c r="F22" s="166"/>
      <c r="G22" s="166"/>
      <c r="H22" s="166"/>
      <c r="I22" s="181"/>
      <c r="J22" s="182"/>
      <c r="K22" s="183"/>
      <c r="L22" s="184"/>
      <c r="M22" s="184"/>
      <c r="N22" s="185"/>
      <c r="O22" s="66">
        <f t="shared" si="1"/>
        <v>0</v>
      </c>
      <c r="P22">
        <f t="shared" si="2"/>
        <v>0</v>
      </c>
      <c r="Q22">
        <f t="shared" si="0"/>
        <v>11</v>
      </c>
    </row>
    <row r="23" spans="1:17" ht="15.75" thickBot="1">
      <c r="A23" s="65">
        <v>21</v>
      </c>
      <c r="B23" s="203"/>
      <c r="C23" s="166"/>
      <c r="D23" s="166"/>
      <c r="E23" s="166"/>
      <c r="F23" s="166"/>
      <c r="G23" s="166"/>
      <c r="H23" s="166"/>
      <c r="I23" s="181"/>
      <c r="J23" s="182"/>
      <c r="K23" s="183"/>
      <c r="L23" s="184"/>
      <c r="M23" s="184"/>
      <c r="N23" s="185"/>
      <c r="O23" s="66">
        <f t="shared" si="1"/>
        <v>0</v>
      </c>
      <c r="P23">
        <f t="shared" si="2"/>
        <v>0</v>
      </c>
      <c r="Q23">
        <f t="shared" si="0"/>
        <v>11</v>
      </c>
    </row>
    <row r="24" spans="1:17">
      <c r="A24" s="67">
        <v>22</v>
      </c>
      <c r="B24" s="203"/>
      <c r="C24" s="186"/>
      <c r="D24" s="186"/>
      <c r="E24" s="186"/>
      <c r="F24" s="186"/>
      <c r="G24" s="186"/>
      <c r="H24" s="186"/>
      <c r="I24" s="187"/>
      <c r="J24" s="182"/>
      <c r="K24" s="188"/>
      <c r="L24" s="189"/>
      <c r="M24" s="189"/>
      <c r="N24" s="190"/>
      <c r="O24" s="191">
        <f t="shared" si="1"/>
        <v>0</v>
      </c>
      <c r="P24">
        <f t="shared" si="2"/>
        <v>0</v>
      </c>
      <c r="Q24">
        <f t="shared" si="0"/>
        <v>11</v>
      </c>
    </row>
    <row r="25" spans="1:17">
      <c r="A25" s="67">
        <v>23</v>
      </c>
      <c r="B25" s="204"/>
      <c r="C25" s="192"/>
      <c r="D25" s="192"/>
      <c r="E25" s="192"/>
      <c r="F25" s="192"/>
      <c r="G25" s="192"/>
      <c r="H25" s="192"/>
      <c r="I25" s="192"/>
      <c r="J25" s="192"/>
      <c r="K25" s="193"/>
      <c r="L25" s="193"/>
      <c r="M25" s="193"/>
      <c r="N25" s="193"/>
      <c r="O25" s="163">
        <f t="shared" si="1"/>
        <v>0</v>
      </c>
      <c r="P25">
        <f t="shared" si="2"/>
        <v>0</v>
      </c>
      <c r="Q25">
        <f t="shared" si="0"/>
        <v>11</v>
      </c>
    </row>
    <row r="26" spans="1:17">
      <c r="A26" s="65">
        <v>24</v>
      </c>
      <c r="B26" s="204"/>
      <c r="C26" s="192"/>
      <c r="D26" s="192"/>
      <c r="E26" s="192"/>
      <c r="F26" s="192"/>
      <c r="G26" s="192"/>
      <c r="H26" s="192"/>
      <c r="I26" s="192"/>
      <c r="J26" s="192"/>
      <c r="K26" s="193"/>
      <c r="L26" s="193"/>
      <c r="M26" s="193"/>
      <c r="N26" s="193"/>
      <c r="O26" s="163">
        <f>ROUND(P26,0)</f>
        <v>0</v>
      </c>
      <c r="P26">
        <f t="shared" si="2"/>
        <v>0</v>
      </c>
      <c r="Q26">
        <f t="shared" si="0"/>
        <v>11</v>
      </c>
    </row>
    <row r="27" spans="1:17">
      <c r="A27" s="67">
        <v>25</v>
      </c>
      <c r="B27" s="204"/>
      <c r="C27" s="192"/>
      <c r="D27" s="192"/>
      <c r="E27" s="192"/>
      <c r="F27" s="192"/>
      <c r="G27" s="192"/>
      <c r="H27" s="192"/>
      <c r="I27" s="192"/>
      <c r="J27" s="192"/>
      <c r="K27" s="193"/>
      <c r="L27" s="193"/>
      <c r="M27" s="193"/>
      <c r="N27" s="193"/>
      <c r="O27" s="194">
        <f t="shared" si="1"/>
        <v>0</v>
      </c>
      <c r="P27">
        <f t="shared" si="2"/>
        <v>0</v>
      </c>
      <c r="Q27">
        <f t="shared" si="0"/>
        <v>11</v>
      </c>
    </row>
    <row r="28" spans="1:17">
      <c r="A28" s="65">
        <v>26</v>
      </c>
      <c r="B28" s="205"/>
      <c r="C28" s="192"/>
      <c r="D28" s="192"/>
      <c r="E28" s="192"/>
      <c r="F28" s="192"/>
      <c r="G28" s="192"/>
      <c r="H28" s="192"/>
      <c r="I28" s="192"/>
      <c r="J28" s="192"/>
      <c r="K28" s="193"/>
      <c r="L28" s="193"/>
      <c r="M28" s="193"/>
      <c r="N28" s="193"/>
      <c r="O28" s="163">
        <f t="shared" si="1"/>
        <v>0</v>
      </c>
      <c r="P28">
        <f t="shared" si="2"/>
        <v>0</v>
      </c>
      <c r="Q28">
        <f t="shared" si="0"/>
        <v>11</v>
      </c>
    </row>
    <row r="29" spans="1:17">
      <c r="A29" s="67">
        <v>27</v>
      </c>
      <c r="B29" s="205"/>
      <c r="C29" s="192"/>
      <c r="D29" s="192"/>
      <c r="E29" s="192"/>
      <c r="F29" s="192"/>
      <c r="G29" s="192"/>
      <c r="H29" s="192"/>
      <c r="I29" s="192"/>
      <c r="J29" s="192"/>
      <c r="K29" s="193"/>
      <c r="L29" s="193"/>
      <c r="M29" s="193"/>
      <c r="N29" s="193"/>
      <c r="O29" s="163">
        <f t="shared" si="1"/>
        <v>0</v>
      </c>
      <c r="P29">
        <f>SUM(C29:J29)/8</f>
        <v>0</v>
      </c>
      <c r="Q29">
        <f t="shared" si="0"/>
        <v>11</v>
      </c>
    </row>
    <row r="30" spans="1:17">
      <c r="A30" s="67">
        <v>28</v>
      </c>
      <c r="B30" s="204"/>
      <c r="C30" s="192"/>
      <c r="D30" s="192"/>
      <c r="E30" s="192"/>
      <c r="F30" s="192"/>
      <c r="G30" s="192"/>
      <c r="H30" s="192"/>
      <c r="I30" s="192"/>
      <c r="J30" s="192"/>
      <c r="K30" s="193"/>
      <c r="L30" s="193"/>
      <c r="M30" s="193"/>
      <c r="N30" s="193"/>
      <c r="O30" s="163">
        <f t="shared" si="1"/>
        <v>0</v>
      </c>
      <c r="P30">
        <f t="shared" si="2"/>
        <v>0</v>
      </c>
      <c r="Q30">
        <f t="shared" si="0"/>
        <v>11</v>
      </c>
    </row>
    <row r="31" spans="1:17">
      <c r="A31" s="65">
        <v>29</v>
      </c>
      <c r="B31" s="204"/>
      <c r="C31" s="192"/>
      <c r="D31" s="192"/>
      <c r="E31" s="192"/>
      <c r="F31" s="192"/>
      <c r="G31" s="192"/>
      <c r="H31" s="192"/>
      <c r="I31" s="195"/>
      <c r="J31" s="192"/>
      <c r="K31" s="193"/>
      <c r="L31" s="193"/>
      <c r="M31" s="193"/>
      <c r="N31" s="193"/>
      <c r="O31" s="163">
        <f t="shared" si="1"/>
        <v>0</v>
      </c>
      <c r="P31">
        <f t="shared" si="2"/>
        <v>0</v>
      </c>
      <c r="Q31">
        <f t="shared" si="0"/>
        <v>11</v>
      </c>
    </row>
    <row r="32" spans="1:17">
      <c r="A32" s="67">
        <v>30</v>
      </c>
      <c r="B32" s="204"/>
      <c r="C32" s="192"/>
      <c r="D32" s="192"/>
      <c r="E32" s="192"/>
      <c r="F32" s="192"/>
      <c r="G32" s="192"/>
      <c r="H32" s="192"/>
      <c r="I32" s="195"/>
      <c r="J32" s="192"/>
      <c r="K32" s="193"/>
      <c r="L32" s="193"/>
      <c r="M32" s="193"/>
      <c r="N32" s="193"/>
      <c r="O32" s="163">
        <f>ROUND(P32,0)</f>
        <v>0</v>
      </c>
      <c r="P32">
        <f t="shared" si="2"/>
        <v>0</v>
      </c>
      <c r="Q32">
        <f t="shared" si="0"/>
        <v>11</v>
      </c>
    </row>
    <row r="33" spans="1:17">
      <c r="A33" s="67">
        <v>31</v>
      </c>
      <c r="B33" s="204"/>
      <c r="C33" s="192"/>
      <c r="D33" s="192"/>
      <c r="E33" s="192"/>
      <c r="F33" s="192"/>
      <c r="G33" s="192"/>
      <c r="H33" s="192"/>
      <c r="I33" s="195"/>
      <c r="J33" s="192"/>
      <c r="K33" s="193"/>
      <c r="L33" s="193"/>
      <c r="M33" s="193"/>
      <c r="N33" s="193"/>
      <c r="O33" s="197">
        <f t="shared" si="1"/>
        <v>0</v>
      </c>
      <c r="P33">
        <f t="shared" si="2"/>
        <v>0</v>
      </c>
      <c r="Q33">
        <f t="shared" si="0"/>
        <v>11</v>
      </c>
    </row>
    <row r="34" spans="1:17">
      <c r="A34" s="65">
        <v>32</v>
      </c>
      <c r="B34" s="204"/>
      <c r="C34" s="192"/>
      <c r="D34" s="195"/>
      <c r="E34" s="195"/>
      <c r="F34" s="192"/>
      <c r="G34" s="192"/>
      <c r="H34" s="192"/>
      <c r="I34" s="195"/>
      <c r="J34" s="192"/>
      <c r="K34" s="193"/>
      <c r="L34" s="193"/>
      <c r="M34" s="193"/>
      <c r="N34" s="193"/>
      <c r="O34" s="163">
        <f t="shared" ref="O34:O43" si="5">ROUND(P34,0)</f>
        <v>0</v>
      </c>
      <c r="P34">
        <f t="shared" ref="P34:P43" si="6">SUM(C34:J34)/8</f>
        <v>0</v>
      </c>
      <c r="Q34">
        <f t="shared" ref="Q34" si="7">RANK(P34,$P$3:$P$34)</f>
        <v>11</v>
      </c>
    </row>
    <row r="35" spans="1:17">
      <c r="A35" s="67">
        <v>33</v>
      </c>
      <c r="B35" s="205"/>
      <c r="C35" s="192"/>
      <c r="D35" s="195"/>
      <c r="E35" s="195"/>
      <c r="F35" s="192"/>
      <c r="G35" s="192"/>
      <c r="H35" s="192"/>
      <c r="I35" s="195"/>
      <c r="J35" s="192"/>
      <c r="K35" s="193"/>
      <c r="L35" s="193"/>
      <c r="M35" s="193"/>
      <c r="N35" s="193"/>
      <c r="O35" s="163">
        <f t="shared" si="5"/>
        <v>0</v>
      </c>
      <c r="P35">
        <f t="shared" si="6"/>
        <v>0</v>
      </c>
      <c r="Q35">
        <f>RANK(P35,$P$3:$P$35)</f>
        <v>11</v>
      </c>
    </row>
    <row r="36" spans="1:17">
      <c r="A36" s="67">
        <v>34</v>
      </c>
      <c r="B36" s="206"/>
      <c r="C36" s="195"/>
      <c r="D36" s="195"/>
      <c r="E36" s="195"/>
      <c r="F36" s="195"/>
      <c r="G36" s="195"/>
      <c r="H36" s="195"/>
      <c r="I36" s="195"/>
      <c r="J36" s="192"/>
      <c r="K36" s="196"/>
      <c r="L36" s="196"/>
      <c r="M36" s="196"/>
      <c r="N36" s="196"/>
      <c r="O36" s="163">
        <f t="shared" si="5"/>
        <v>0</v>
      </c>
      <c r="P36">
        <f t="shared" si="6"/>
        <v>0</v>
      </c>
      <c r="Q36">
        <f>RANK(P36,$P$3:$P$43)</f>
        <v>11</v>
      </c>
    </row>
    <row r="37" spans="1:17">
      <c r="A37" s="65">
        <v>35</v>
      </c>
      <c r="B37" s="205"/>
      <c r="C37" s="195"/>
      <c r="D37" s="195"/>
      <c r="E37" s="195"/>
      <c r="F37" s="195"/>
      <c r="G37" s="195"/>
      <c r="H37" s="195"/>
      <c r="I37" s="195"/>
      <c r="J37" s="192"/>
      <c r="K37" s="196"/>
      <c r="L37" s="196"/>
      <c r="M37" s="196"/>
      <c r="N37" s="196"/>
      <c r="O37" s="163">
        <f t="shared" si="5"/>
        <v>0</v>
      </c>
      <c r="P37">
        <f t="shared" si="6"/>
        <v>0</v>
      </c>
      <c r="Q37">
        <f t="shared" ref="Q37:Q43" si="8">RANK(P37,$P$3:$P$43)</f>
        <v>11</v>
      </c>
    </row>
    <row r="38" spans="1:17">
      <c r="A38" s="67">
        <v>36</v>
      </c>
      <c r="B38" s="205"/>
      <c r="C38" s="195"/>
      <c r="D38" s="195"/>
      <c r="E38" s="195"/>
      <c r="F38" s="195"/>
      <c r="G38" s="195"/>
      <c r="H38" s="195"/>
      <c r="I38" s="195"/>
      <c r="J38" s="192"/>
      <c r="K38" s="196"/>
      <c r="L38" s="196"/>
      <c r="M38" s="196"/>
      <c r="N38" s="196"/>
      <c r="O38" s="163">
        <f t="shared" si="5"/>
        <v>0</v>
      </c>
      <c r="P38">
        <f t="shared" si="6"/>
        <v>0</v>
      </c>
      <c r="Q38">
        <f t="shared" si="8"/>
        <v>11</v>
      </c>
    </row>
    <row r="39" spans="1:17">
      <c r="A39" s="65">
        <v>37</v>
      </c>
      <c r="B39" s="205"/>
      <c r="C39" s="195"/>
      <c r="D39" s="195"/>
      <c r="E39" s="195"/>
      <c r="F39" s="195"/>
      <c r="G39" s="195"/>
      <c r="H39" s="195"/>
      <c r="I39" s="195"/>
      <c r="J39" s="192"/>
      <c r="K39" s="196"/>
      <c r="L39" s="196"/>
      <c r="M39" s="196"/>
      <c r="N39" s="196"/>
      <c r="O39" s="163">
        <f t="shared" si="5"/>
        <v>0</v>
      </c>
      <c r="P39">
        <f t="shared" si="6"/>
        <v>0</v>
      </c>
      <c r="Q39">
        <f t="shared" si="8"/>
        <v>11</v>
      </c>
    </row>
    <row r="40" spans="1:17">
      <c r="A40" s="67">
        <v>38</v>
      </c>
      <c r="B40" s="205"/>
      <c r="C40" s="195"/>
      <c r="D40" s="195"/>
      <c r="E40" s="195"/>
      <c r="F40" s="195"/>
      <c r="G40" s="195"/>
      <c r="H40" s="195"/>
      <c r="I40" s="195"/>
      <c r="J40" s="192"/>
      <c r="K40" s="196"/>
      <c r="L40" s="196"/>
      <c r="M40" s="196"/>
      <c r="N40" s="196"/>
      <c r="O40" s="163">
        <f t="shared" si="5"/>
        <v>0</v>
      </c>
      <c r="P40">
        <f t="shared" si="6"/>
        <v>0</v>
      </c>
      <c r="Q40">
        <f t="shared" si="8"/>
        <v>11</v>
      </c>
    </row>
    <row r="41" spans="1:17">
      <c r="A41" s="67">
        <v>39</v>
      </c>
      <c r="B41" s="205"/>
      <c r="C41" s="195"/>
      <c r="D41" s="195"/>
      <c r="E41" s="195"/>
      <c r="F41" s="195"/>
      <c r="G41" s="195"/>
      <c r="H41" s="195"/>
      <c r="I41" s="195"/>
      <c r="J41" s="192"/>
      <c r="K41" s="196"/>
      <c r="L41" s="196"/>
      <c r="M41" s="196"/>
      <c r="N41" s="196"/>
      <c r="O41" s="163">
        <f t="shared" si="5"/>
        <v>0</v>
      </c>
      <c r="P41">
        <f t="shared" si="6"/>
        <v>0</v>
      </c>
      <c r="Q41">
        <f t="shared" si="8"/>
        <v>11</v>
      </c>
    </row>
    <row r="42" spans="1:17">
      <c r="A42" s="65">
        <v>40</v>
      </c>
      <c r="B42" s="165"/>
      <c r="C42" s="195"/>
      <c r="D42" s="195"/>
      <c r="E42" s="195"/>
      <c r="F42" s="195"/>
      <c r="G42" s="195"/>
      <c r="H42" s="195"/>
      <c r="I42" s="195"/>
      <c r="J42" s="192"/>
      <c r="K42" s="196"/>
      <c r="L42" s="196"/>
      <c r="M42" s="196"/>
      <c r="N42" s="196"/>
      <c r="O42" s="163">
        <f t="shared" si="5"/>
        <v>0</v>
      </c>
      <c r="P42">
        <f t="shared" si="6"/>
        <v>0</v>
      </c>
      <c r="Q42">
        <f t="shared" si="8"/>
        <v>11</v>
      </c>
    </row>
    <row r="43" spans="1:17">
      <c r="A43" s="65">
        <v>41</v>
      </c>
      <c r="B43" s="165"/>
      <c r="C43" s="195"/>
      <c r="D43" s="195"/>
      <c r="E43" s="195"/>
      <c r="F43" s="195"/>
      <c r="G43" s="195"/>
      <c r="H43" s="195"/>
      <c r="I43" s="195"/>
      <c r="J43" s="192"/>
      <c r="K43" s="196"/>
      <c r="L43" s="196"/>
      <c r="M43" s="196"/>
      <c r="N43" s="196"/>
      <c r="O43" s="163">
        <f t="shared" si="5"/>
        <v>0</v>
      </c>
      <c r="P43">
        <f t="shared" si="6"/>
        <v>0</v>
      </c>
      <c r="Q43">
        <f t="shared" si="8"/>
        <v>11</v>
      </c>
    </row>
    <row r="44" spans="1:17">
      <c r="A44" s="69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70"/>
    </row>
    <row r="45" spans="1:17">
      <c r="A45" s="6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70"/>
    </row>
    <row r="46" spans="1:17">
      <c r="A46" s="69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70"/>
    </row>
    <row r="47" spans="1:17">
      <c r="A47" s="69"/>
      <c r="C47" s="80" t="s">
        <v>123</v>
      </c>
      <c r="D47" s="80"/>
      <c r="E47" s="80" t="s">
        <v>123</v>
      </c>
      <c r="F47" s="80"/>
      <c r="G47" s="80"/>
      <c r="H47" s="80" t="s">
        <v>123</v>
      </c>
      <c r="I47" s="80"/>
      <c r="J47" s="80"/>
      <c r="K47" s="80"/>
      <c r="L47" s="80"/>
      <c r="M47" s="80"/>
      <c r="N47" s="80"/>
      <c r="O47" s="70"/>
    </row>
    <row r="48" spans="1:17">
      <c r="A48" s="69"/>
      <c r="C48" s="80" t="s">
        <v>123</v>
      </c>
      <c r="D48" s="80"/>
      <c r="E48" s="80" t="s">
        <v>123</v>
      </c>
      <c r="F48" s="80"/>
      <c r="G48" s="80"/>
      <c r="H48" s="80" t="s">
        <v>123</v>
      </c>
      <c r="I48" s="80"/>
      <c r="J48" s="80"/>
      <c r="K48" s="80"/>
      <c r="L48" s="80"/>
      <c r="M48" s="80"/>
      <c r="N48" s="80"/>
      <c r="O48" s="70"/>
    </row>
    <row r="49" spans="1:15">
      <c r="A49" s="69"/>
      <c r="C49" s="80" t="s">
        <v>123</v>
      </c>
      <c r="D49" s="80"/>
      <c r="E49" s="80" t="s">
        <v>123</v>
      </c>
      <c r="F49" s="80"/>
      <c r="G49" s="80"/>
      <c r="H49" s="80" t="s">
        <v>123</v>
      </c>
      <c r="I49" s="80"/>
      <c r="J49" s="80"/>
      <c r="K49" s="80"/>
      <c r="L49" s="80"/>
      <c r="M49" s="80"/>
      <c r="N49" s="80"/>
      <c r="O49" s="70"/>
    </row>
    <row r="50" spans="1:15">
      <c r="A50" s="69"/>
      <c r="C50" t="s">
        <v>123</v>
      </c>
      <c r="E50" t="s">
        <v>123</v>
      </c>
      <c r="H50" t="s">
        <v>123</v>
      </c>
      <c r="O50" s="70"/>
    </row>
    <row r="51" spans="1:15">
      <c r="A51" s="69"/>
      <c r="C51" t="s">
        <v>123</v>
      </c>
      <c r="E51" t="s">
        <v>123</v>
      </c>
      <c r="H51" t="s">
        <v>123</v>
      </c>
      <c r="O51" s="70"/>
    </row>
    <row r="52" spans="1:15">
      <c r="A52" s="69"/>
      <c r="C52" t="s">
        <v>123</v>
      </c>
      <c r="E52" t="s">
        <v>123</v>
      </c>
      <c r="H52" t="s">
        <v>123</v>
      </c>
      <c r="O52" s="70"/>
    </row>
    <row r="53" spans="1:15">
      <c r="A53" s="69"/>
      <c r="C53" t="s">
        <v>123</v>
      </c>
      <c r="E53" t="s">
        <v>123</v>
      </c>
      <c r="H53" t="s">
        <v>123</v>
      </c>
      <c r="O53" s="70"/>
    </row>
    <row r="54" spans="1:15" ht="15.75" thickBot="1">
      <c r="A54" s="71"/>
      <c r="B54" s="72"/>
      <c r="C54" s="72" t="s">
        <v>123</v>
      </c>
      <c r="D54" s="72"/>
      <c r="E54" s="72" t="s">
        <v>123</v>
      </c>
      <c r="F54" s="72"/>
      <c r="G54" s="72"/>
      <c r="H54" s="72"/>
      <c r="I54" s="72"/>
      <c r="J54" s="72"/>
      <c r="K54" s="72"/>
      <c r="L54" s="72"/>
      <c r="M54" s="72"/>
      <c r="N54" s="72"/>
      <c r="O54" s="73"/>
    </row>
    <row r="55" spans="1:15">
      <c r="C55" t="s">
        <v>123</v>
      </c>
      <c r="E55" t="s">
        <v>123</v>
      </c>
    </row>
    <row r="56" spans="1:15">
      <c r="C56" t="s">
        <v>123</v>
      </c>
      <c r="E56" t="s">
        <v>123</v>
      </c>
    </row>
    <row r="57" spans="1:15">
      <c r="C57" t="s">
        <v>123</v>
      </c>
      <c r="E57" t="s">
        <v>123</v>
      </c>
    </row>
    <row r="58" spans="1:15">
      <c r="C58" t="s">
        <v>123</v>
      </c>
      <c r="E58" t="s">
        <v>123</v>
      </c>
    </row>
    <row r="59" spans="1:15">
      <c r="C59" t="s">
        <v>123</v>
      </c>
      <c r="E59" t="s">
        <v>123</v>
      </c>
    </row>
    <row r="60" spans="1:15">
      <c r="C60" t="s">
        <v>123</v>
      </c>
      <c r="E60" t="s">
        <v>123</v>
      </c>
    </row>
    <row r="61" spans="1:15">
      <c r="C61" t="s">
        <v>123</v>
      </c>
      <c r="E61" t="s">
        <v>123</v>
      </c>
    </row>
  </sheetData>
  <mergeCells count="2">
    <mergeCell ref="O1:O2"/>
    <mergeCell ref="Q1:Q2"/>
  </mergeCells>
  <dataValidations count="2">
    <dataValidation allowBlank="1" showInputMessage="1" showErrorMessage="1" prompt="Results will generate automatically" sqref="I3:I30 C3:C35 D3:E33 F3:H35 J3:J43 O36:O43 K3:O35" xr:uid="{44F42B67-8046-4EB1-BE98-25D1C4260261}"/>
    <dataValidation allowBlank="1" showInputMessage="1" showErrorMessage="1" prompt="Do not type name of learners here. Go to INPUT DATA sheet." sqref="B3:B34" xr:uid="{3A903CFA-6BBC-494F-93EC-E46667C12F86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0EC2-3339-4F43-8378-D8D90026F507}">
  <dimension ref="A1:R60"/>
  <sheetViews>
    <sheetView zoomScale="70" zoomScaleNormal="70" workbookViewId="0">
      <pane xSplit="2" topLeftCell="C1" activePane="topRight" state="frozen"/>
      <selection pane="topRight" activeCell="I15" sqref="I15"/>
    </sheetView>
  </sheetViews>
  <sheetFormatPr defaultRowHeight="15"/>
  <cols>
    <col min="1" max="1" width="5.28515625" customWidth="1"/>
    <col min="2" max="2" width="34.85546875" customWidth="1"/>
    <col min="16" max="16" width="11.42578125" customWidth="1"/>
    <col min="18" max="18" width="17.28515625" style="61" customWidth="1"/>
  </cols>
  <sheetData>
    <row r="1" spans="1:18" ht="42.75" customHeight="1" thickBot="1">
      <c r="A1" s="55"/>
      <c r="B1" s="56" t="s">
        <v>109</v>
      </c>
      <c r="C1" s="57" t="s">
        <v>110</v>
      </c>
      <c r="D1" s="57" t="s">
        <v>111</v>
      </c>
      <c r="E1" s="58" t="s">
        <v>112</v>
      </c>
      <c r="F1" s="58" t="s">
        <v>113</v>
      </c>
      <c r="G1" s="58" t="s">
        <v>114</v>
      </c>
      <c r="H1" s="57" t="s">
        <v>115</v>
      </c>
      <c r="I1" s="58" t="s">
        <v>116</v>
      </c>
      <c r="J1" s="59" t="s">
        <v>59</v>
      </c>
      <c r="K1" s="60"/>
      <c r="L1" s="60"/>
      <c r="M1" s="60"/>
      <c r="N1" s="60"/>
      <c r="O1" s="387" t="s">
        <v>117</v>
      </c>
      <c r="Q1" s="389" t="s">
        <v>118</v>
      </c>
    </row>
    <row r="2" spans="1:18" ht="15.75" thickBot="1">
      <c r="A2" s="55"/>
      <c r="B2" s="62"/>
      <c r="C2" s="63">
        <v>1</v>
      </c>
      <c r="D2" s="63">
        <v>2</v>
      </c>
      <c r="E2" s="63">
        <v>3</v>
      </c>
      <c r="F2" s="63">
        <v>4</v>
      </c>
      <c r="G2" s="63">
        <v>5</v>
      </c>
      <c r="H2" s="63">
        <v>6</v>
      </c>
      <c r="I2" s="63">
        <v>7</v>
      </c>
      <c r="J2" s="63">
        <v>8</v>
      </c>
      <c r="K2" s="64" t="s">
        <v>119</v>
      </c>
      <c r="L2" s="64" t="s">
        <v>120</v>
      </c>
      <c r="M2" s="64" t="s">
        <v>121</v>
      </c>
      <c r="N2" s="64" t="s">
        <v>122</v>
      </c>
      <c r="O2" s="388"/>
      <c r="Q2" s="389"/>
    </row>
    <row r="3" spans="1:18" ht="15.75" thickBot="1">
      <c r="A3" s="65">
        <v>1</v>
      </c>
      <c r="B3" s="74" t="s">
        <v>156</v>
      </c>
      <c r="C3" s="166">
        <v>87</v>
      </c>
      <c r="D3" s="166">
        <v>81</v>
      </c>
      <c r="E3" s="166">
        <v>80</v>
      </c>
      <c r="F3" s="166">
        <v>80</v>
      </c>
      <c r="G3" s="166">
        <v>81</v>
      </c>
      <c r="H3" s="166">
        <v>86</v>
      </c>
      <c r="I3" s="181">
        <v>89</v>
      </c>
      <c r="J3" s="182">
        <v>85</v>
      </c>
      <c r="K3" s="183">
        <v>85</v>
      </c>
      <c r="L3" s="184">
        <v>84</v>
      </c>
      <c r="M3" s="184"/>
      <c r="N3" s="185"/>
      <c r="O3" s="66">
        <f>ROUND(P3,0)</f>
        <v>84</v>
      </c>
      <c r="P3">
        <f>SUM(C3:J3)/8</f>
        <v>83.625</v>
      </c>
      <c r="Q3">
        <f t="shared" ref="Q3:Q34" si="0">RANK(P3,$P$3:$P$34)</f>
        <v>3</v>
      </c>
    </row>
    <row r="4" spans="1:18" ht="15.75" thickBot="1">
      <c r="A4" s="67">
        <v>2</v>
      </c>
      <c r="B4" s="75" t="s">
        <v>157</v>
      </c>
      <c r="C4" s="166">
        <v>85</v>
      </c>
      <c r="D4" s="166">
        <v>81</v>
      </c>
      <c r="E4" s="166">
        <v>80</v>
      </c>
      <c r="F4" s="166">
        <v>80</v>
      </c>
      <c r="G4" s="166">
        <v>81</v>
      </c>
      <c r="H4" s="166">
        <v>83</v>
      </c>
      <c r="I4" s="181">
        <v>87</v>
      </c>
      <c r="J4" s="182">
        <v>85</v>
      </c>
      <c r="K4" s="183">
        <v>84</v>
      </c>
      <c r="L4" s="184">
        <v>85</v>
      </c>
      <c r="M4" s="184"/>
      <c r="N4" s="185"/>
      <c r="O4" s="66">
        <f t="shared" ref="O4:O43" si="1">ROUND(P4,0)</f>
        <v>83</v>
      </c>
      <c r="P4">
        <f t="shared" ref="P4:P33" si="2">SUM(C4:J4)/8</f>
        <v>82.75</v>
      </c>
      <c r="Q4">
        <f t="shared" si="0"/>
        <v>5</v>
      </c>
    </row>
    <row r="5" spans="1:18" ht="15.75" thickBot="1">
      <c r="A5" s="67">
        <v>3</v>
      </c>
      <c r="B5" s="75" t="s">
        <v>158</v>
      </c>
      <c r="C5" s="166">
        <v>84</v>
      </c>
      <c r="D5" s="166">
        <v>84</v>
      </c>
      <c r="E5" s="166">
        <v>83</v>
      </c>
      <c r="F5" s="166">
        <v>82</v>
      </c>
      <c r="G5" s="166">
        <v>85</v>
      </c>
      <c r="H5" s="166">
        <v>82</v>
      </c>
      <c r="I5" s="181">
        <v>82</v>
      </c>
      <c r="J5" s="182">
        <v>81</v>
      </c>
      <c r="K5" s="183">
        <v>80</v>
      </c>
      <c r="L5" s="184">
        <v>81</v>
      </c>
      <c r="M5" s="184"/>
      <c r="N5" s="185"/>
      <c r="O5" s="66">
        <f t="shared" si="1"/>
        <v>83</v>
      </c>
      <c r="P5">
        <f t="shared" si="2"/>
        <v>82.875</v>
      </c>
      <c r="Q5">
        <f t="shared" si="0"/>
        <v>4</v>
      </c>
    </row>
    <row r="6" spans="1:18" ht="15.75" thickBot="1">
      <c r="A6" s="65">
        <v>4</v>
      </c>
      <c r="B6" s="75" t="s">
        <v>159</v>
      </c>
      <c r="C6" s="166">
        <v>85</v>
      </c>
      <c r="D6" s="166">
        <v>80</v>
      </c>
      <c r="E6" s="166">
        <v>78</v>
      </c>
      <c r="F6" s="166">
        <v>77</v>
      </c>
      <c r="G6" s="166">
        <v>84</v>
      </c>
      <c r="H6" s="166">
        <v>81</v>
      </c>
      <c r="I6" s="181">
        <v>86</v>
      </c>
      <c r="J6" s="182">
        <v>84</v>
      </c>
      <c r="K6" s="183">
        <v>83</v>
      </c>
      <c r="L6" s="184">
        <v>84</v>
      </c>
      <c r="M6" s="184"/>
      <c r="N6" s="185"/>
      <c r="O6" s="66">
        <f t="shared" si="1"/>
        <v>82</v>
      </c>
      <c r="P6">
        <f t="shared" si="2"/>
        <v>81.875</v>
      </c>
      <c r="Q6">
        <f t="shared" si="0"/>
        <v>7</v>
      </c>
    </row>
    <row r="7" spans="1:18" ht="15.75" thickBot="1">
      <c r="A7" s="67">
        <v>5</v>
      </c>
      <c r="B7" s="75" t="s">
        <v>160</v>
      </c>
      <c r="C7" s="166">
        <v>87</v>
      </c>
      <c r="D7" s="166">
        <v>83</v>
      </c>
      <c r="E7" s="166">
        <v>82</v>
      </c>
      <c r="F7" s="166">
        <v>80</v>
      </c>
      <c r="G7" s="166">
        <v>83</v>
      </c>
      <c r="H7" s="166">
        <v>83</v>
      </c>
      <c r="I7" s="181">
        <v>86</v>
      </c>
      <c r="J7" s="182">
        <v>86</v>
      </c>
      <c r="K7" s="183">
        <v>86</v>
      </c>
      <c r="L7" s="184">
        <v>86</v>
      </c>
      <c r="M7" s="184"/>
      <c r="N7" s="185"/>
      <c r="O7" s="66">
        <f t="shared" si="1"/>
        <v>84</v>
      </c>
      <c r="P7">
        <f t="shared" si="2"/>
        <v>83.75</v>
      </c>
      <c r="Q7">
        <f t="shared" si="0"/>
        <v>2</v>
      </c>
    </row>
    <row r="8" spans="1:18" ht="15.75" thickBot="1">
      <c r="A8" s="67">
        <v>6</v>
      </c>
      <c r="B8" s="75" t="s">
        <v>161</v>
      </c>
      <c r="C8" s="166">
        <v>86</v>
      </c>
      <c r="D8" s="166">
        <v>78</v>
      </c>
      <c r="E8" s="166">
        <v>79</v>
      </c>
      <c r="F8" s="166">
        <v>81</v>
      </c>
      <c r="G8" s="166">
        <v>80</v>
      </c>
      <c r="H8" s="166">
        <v>85</v>
      </c>
      <c r="I8" s="181">
        <v>85</v>
      </c>
      <c r="J8" s="182">
        <v>85</v>
      </c>
      <c r="K8" s="183">
        <v>85</v>
      </c>
      <c r="L8" s="184">
        <v>85</v>
      </c>
      <c r="M8" s="184"/>
      <c r="N8" s="185"/>
      <c r="O8" s="66">
        <f t="shared" si="1"/>
        <v>82</v>
      </c>
      <c r="P8">
        <f t="shared" si="2"/>
        <v>82.375</v>
      </c>
      <c r="Q8">
        <f t="shared" si="0"/>
        <v>6</v>
      </c>
    </row>
    <row r="9" spans="1:18" ht="15.75" thickBot="1">
      <c r="A9" s="65">
        <v>7</v>
      </c>
      <c r="B9" s="75" t="s">
        <v>162</v>
      </c>
      <c r="C9" s="166">
        <v>91</v>
      </c>
      <c r="D9" s="166">
        <v>87</v>
      </c>
      <c r="E9" s="166">
        <v>82</v>
      </c>
      <c r="F9" s="166">
        <v>83</v>
      </c>
      <c r="G9" s="166">
        <v>86</v>
      </c>
      <c r="H9" s="166">
        <v>90</v>
      </c>
      <c r="I9" s="181">
        <v>90</v>
      </c>
      <c r="J9" s="182">
        <v>89</v>
      </c>
      <c r="K9" s="183">
        <v>89</v>
      </c>
      <c r="L9" s="184">
        <v>89</v>
      </c>
      <c r="M9" s="184"/>
      <c r="N9" s="185"/>
      <c r="O9" s="66">
        <f t="shared" si="1"/>
        <v>87</v>
      </c>
      <c r="P9">
        <f t="shared" ref="P9" si="3">SUM(C9:J9)/8</f>
        <v>87.25</v>
      </c>
      <c r="Q9">
        <f t="shared" si="0"/>
        <v>1</v>
      </c>
    </row>
    <row r="10" spans="1:18" s="260" customFormat="1" ht="15.75" thickBot="1">
      <c r="A10" s="255">
        <v>8</v>
      </c>
      <c r="B10" s="75" t="s">
        <v>163</v>
      </c>
      <c r="C10" s="166"/>
      <c r="D10" s="166"/>
      <c r="E10" s="166"/>
      <c r="F10" s="166"/>
      <c r="G10" s="166"/>
      <c r="H10" s="166"/>
      <c r="I10" s="181"/>
      <c r="J10" s="182" t="s">
        <v>123</v>
      </c>
      <c r="K10" s="256"/>
      <c r="L10" s="257" t="s">
        <v>123</v>
      </c>
      <c r="M10" s="257"/>
      <c r="N10" s="258"/>
      <c r="O10" s="259">
        <f t="shared" si="1"/>
        <v>0</v>
      </c>
      <c r="P10" s="260">
        <f t="shared" si="2"/>
        <v>0</v>
      </c>
      <c r="Q10" s="260">
        <f t="shared" si="0"/>
        <v>10</v>
      </c>
      <c r="R10" s="261"/>
    </row>
    <row r="11" spans="1:18" ht="15.75" thickBot="1">
      <c r="A11" s="253">
        <v>9</v>
      </c>
      <c r="B11" s="75" t="s">
        <v>164</v>
      </c>
      <c r="C11" s="166">
        <v>83</v>
      </c>
      <c r="D11" s="166">
        <v>80</v>
      </c>
      <c r="E11" s="166">
        <v>80</v>
      </c>
      <c r="F11" s="166">
        <v>81</v>
      </c>
      <c r="G11" s="166">
        <v>82</v>
      </c>
      <c r="H11" s="166">
        <v>78</v>
      </c>
      <c r="I11" s="181">
        <v>81</v>
      </c>
      <c r="J11" s="182">
        <v>79</v>
      </c>
      <c r="K11" s="183">
        <v>78</v>
      </c>
      <c r="L11" s="184">
        <v>80</v>
      </c>
      <c r="M11" s="184"/>
      <c r="N11" s="185"/>
      <c r="O11" s="66">
        <f t="shared" si="1"/>
        <v>81</v>
      </c>
      <c r="P11">
        <f t="shared" si="2"/>
        <v>80.5</v>
      </c>
      <c r="Q11">
        <f t="shared" si="0"/>
        <v>8</v>
      </c>
    </row>
    <row r="12" spans="1:18" ht="15.75" thickBot="1">
      <c r="A12" s="254">
        <v>10</v>
      </c>
      <c r="B12" s="75" t="s">
        <v>165</v>
      </c>
      <c r="C12" s="166">
        <v>83</v>
      </c>
      <c r="D12" s="166">
        <v>78</v>
      </c>
      <c r="E12" s="166">
        <v>78</v>
      </c>
      <c r="F12" s="166">
        <v>80</v>
      </c>
      <c r="G12" s="166">
        <v>81</v>
      </c>
      <c r="H12" s="166">
        <v>79</v>
      </c>
      <c r="I12" s="181">
        <v>82</v>
      </c>
      <c r="J12" s="182">
        <v>79</v>
      </c>
      <c r="K12" s="183">
        <v>78</v>
      </c>
      <c r="L12" s="184">
        <v>79</v>
      </c>
      <c r="M12" s="184"/>
      <c r="N12" s="185"/>
      <c r="O12" s="66">
        <f t="shared" si="1"/>
        <v>80</v>
      </c>
      <c r="P12">
        <f t="shared" si="2"/>
        <v>80</v>
      </c>
      <c r="Q12">
        <f t="shared" si="0"/>
        <v>9</v>
      </c>
    </row>
    <row r="13" spans="1:18" ht="15.75" thickBot="1">
      <c r="A13" s="253">
        <v>11</v>
      </c>
      <c r="B13" s="75"/>
      <c r="C13" s="166"/>
      <c r="D13" s="166"/>
      <c r="E13" s="166"/>
      <c r="F13" s="166"/>
      <c r="G13" s="166"/>
      <c r="H13" s="166"/>
      <c r="I13" s="181"/>
      <c r="J13" s="182"/>
      <c r="K13" s="183"/>
      <c r="L13" s="184"/>
      <c r="M13" s="184"/>
      <c r="N13" s="185"/>
      <c r="O13" s="66">
        <f t="shared" si="1"/>
        <v>0</v>
      </c>
      <c r="P13">
        <f t="shared" si="2"/>
        <v>0</v>
      </c>
      <c r="Q13">
        <f t="shared" si="0"/>
        <v>10</v>
      </c>
    </row>
    <row r="14" spans="1:18" ht="15.75" thickBot="1">
      <c r="A14" s="253">
        <v>12</v>
      </c>
      <c r="B14" s="75"/>
      <c r="C14" s="166"/>
      <c r="D14" s="166"/>
      <c r="E14" s="166"/>
      <c r="F14" s="166"/>
      <c r="G14" s="166"/>
      <c r="H14" s="166"/>
      <c r="I14" s="181"/>
      <c r="J14" s="182"/>
      <c r="K14" s="183"/>
      <c r="L14" s="184"/>
      <c r="M14" s="184"/>
      <c r="N14" s="185"/>
      <c r="O14" s="66">
        <f>ROUND(P14,0)</f>
        <v>0</v>
      </c>
      <c r="P14">
        <f>SUM(C14:J14)/8</f>
        <v>0</v>
      </c>
      <c r="Q14">
        <f t="shared" si="0"/>
        <v>10</v>
      </c>
    </row>
    <row r="15" spans="1:18" ht="15.75" thickBot="1">
      <c r="A15" s="254">
        <v>13</v>
      </c>
      <c r="B15" s="75"/>
      <c r="C15" s="166"/>
      <c r="D15" s="166"/>
      <c r="E15" s="166"/>
      <c r="F15" s="166"/>
      <c r="G15" s="166"/>
      <c r="H15" s="166"/>
      <c r="I15" s="181"/>
      <c r="J15" s="182"/>
      <c r="K15" s="183"/>
      <c r="L15" s="184"/>
      <c r="M15" s="184"/>
      <c r="N15" s="185"/>
      <c r="O15" s="66">
        <f>ROUND(P15,0)</f>
        <v>0</v>
      </c>
      <c r="P15">
        <f>SUM(C15:J15)/8</f>
        <v>0</v>
      </c>
      <c r="Q15">
        <f t="shared" si="0"/>
        <v>10</v>
      </c>
    </row>
    <row r="16" spans="1:18" ht="15.75" thickBot="1">
      <c r="A16" s="253">
        <v>14</v>
      </c>
      <c r="B16" s="75"/>
      <c r="C16" s="166"/>
      <c r="D16" s="166"/>
      <c r="E16" s="166"/>
      <c r="F16" s="166"/>
      <c r="G16" s="166"/>
      <c r="H16" s="166"/>
      <c r="I16" s="181"/>
      <c r="J16" s="182"/>
      <c r="K16" s="183"/>
      <c r="L16" s="184"/>
      <c r="M16" s="184"/>
      <c r="N16" s="185"/>
      <c r="O16" s="66">
        <f>ROUND(P16,0)</f>
        <v>0</v>
      </c>
      <c r="P16">
        <f t="shared" si="2"/>
        <v>0</v>
      </c>
      <c r="Q16">
        <f t="shared" si="0"/>
        <v>10</v>
      </c>
    </row>
    <row r="17" spans="1:17" ht="15.75" thickBot="1">
      <c r="A17" s="254">
        <v>15</v>
      </c>
      <c r="B17" s="68"/>
      <c r="C17" s="166"/>
      <c r="D17" s="166"/>
      <c r="E17" s="166"/>
      <c r="F17" s="166"/>
      <c r="G17" s="166"/>
      <c r="H17" s="166"/>
      <c r="I17" s="181"/>
      <c r="J17" s="182"/>
      <c r="K17" s="183"/>
      <c r="L17" s="184"/>
      <c r="M17" s="184"/>
      <c r="N17" s="185"/>
      <c r="O17" s="66">
        <f t="shared" si="1"/>
        <v>0</v>
      </c>
      <c r="P17">
        <f t="shared" si="2"/>
        <v>0</v>
      </c>
      <c r="Q17">
        <f t="shared" si="0"/>
        <v>10</v>
      </c>
    </row>
    <row r="18" spans="1:17" ht="15.75" thickBot="1">
      <c r="A18" s="253">
        <v>16</v>
      </c>
      <c r="B18" s="75"/>
      <c r="C18" s="166"/>
      <c r="D18" s="166"/>
      <c r="E18" s="166"/>
      <c r="F18" s="166"/>
      <c r="G18" s="166"/>
      <c r="H18" s="166"/>
      <c r="I18" s="181"/>
      <c r="J18" s="182"/>
      <c r="K18" s="183"/>
      <c r="L18" s="184"/>
      <c r="M18" s="184"/>
      <c r="N18" s="185"/>
      <c r="O18" s="66">
        <f t="shared" si="1"/>
        <v>0</v>
      </c>
      <c r="P18">
        <f t="shared" si="2"/>
        <v>0</v>
      </c>
      <c r="Q18">
        <f t="shared" si="0"/>
        <v>10</v>
      </c>
    </row>
    <row r="19" spans="1:17" ht="15.75" thickBot="1">
      <c r="A19" s="253">
        <v>17</v>
      </c>
      <c r="B19" s="75"/>
      <c r="C19" s="166"/>
      <c r="D19" s="166"/>
      <c r="E19" s="166"/>
      <c r="F19" s="166"/>
      <c r="G19" s="166"/>
      <c r="H19" s="166"/>
      <c r="I19" s="181"/>
      <c r="J19" s="182"/>
      <c r="K19" s="183"/>
      <c r="L19" s="184"/>
      <c r="M19" s="184"/>
      <c r="N19" s="185"/>
      <c r="O19" s="157">
        <f t="shared" si="1"/>
        <v>0</v>
      </c>
      <c r="P19">
        <f t="shared" si="2"/>
        <v>0</v>
      </c>
      <c r="Q19">
        <f t="shared" si="0"/>
        <v>10</v>
      </c>
    </row>
    <row r="20" spans="1:17" ht="15.75" thickBot="1">
      <c r="A20" s="254">
        <v>18</v>
      </c>
      <c r="B20" s="75"/>
      <c r="C20" s="166"/>
      <c r="D20" s="166"/>
      <c r="E20" s="166"/>
      <c r="F20" s="166"/>
      <c r="G20" s="166"/>
      <c r="H20" s="166"/>
      <c r="I20" s="181"/>
      <c r="J20" s="182"/>
      <c r="K20" s="183"/>
      <c r="L20" s="184"/>
      <c r="M20" s="184"/>
      <c r="N20" s="185"/>
      <c r="O20" s="66">
        <f t="shared" si="1"/>
        <v>0</v>
      </c>
      <c r="P20">
        <f t="shared" si="2"/>
        <v>0</v>
      </c>
      <c r="Q20">
        <f t="shared" si="0"/>
        <v>10</v>
      </c>
    </row>
    <row r="21" spans="1:17" ht="15.75" thickBot="1">
      <c r="A21" s="253">
        <v>19</v>
      </c>
      <c r="B21" s="75"/>
      <c r="C21" s="166"/>
      <c r="D21" s="166"/>
      <c r="E21" s="166"/>
      <c r="F21" s="166"/>
      <c r="G21" s="166"/>
      <c r="H21" s="166"/>
      <c r="I21" s="181"/>
      <c r="J21" s="182"/>
      <c r="K21" s="183"/>
      <c r="L21" s="184"/>
      <c r="M21" s="184"/>
      <c r="N21" s="185"/>
      <c r="O21" s="66">
        <f t="shared" si="1"/>
        <v>0</v>
      </c>
      <c r="P21">
        <f t="shared" si="2"/>
        <v>0</v>
      </c>
      <c r="Q21">
        <f t="shared" si="0"/>
        <v>10</v>
      </c>
    </row>
    <row r="22" spans="1:17" ht="15.75" thickBot="1">
      <c r="A22" s="253">
        <v>20</v>
      </c>
      <c r="B22" s="75"/>
      <c r="C22" s="166"/>
      <c r="D22" s="166"/>
      <c r="E22" s="166"/>
      <c r="F22" s="166"/>
      <c r="G22" s="166"/>
      <c r="H22" s="166"/>
      <c r="I22" s="181"/>
      <c r="J22" s="182"/>
      <c r="K22" s="183"/>
      <c r="L22" s="184"/>
      <c r="M22" s="184"/>
      <c r="N22" s="185"/>
      <c r="O22" s="66">
        <f t="shared" si="1"/>
        <v>0</v>
      </c>
      <c r="P22">
        <f t="shared" si="2"/>
        <v>0</v>
      </c>
      <c r="Q22">
        <f t="shared" si="0"/>
        <v>10</v>
      </c>
    </row>
    <row r="23" spans="1:17" ht="15.75" thickBot="1">
      <c r="A23" s="254">
        <v>21</v>
      </c>
      <c r="B23" s="75"/>
      <c r="C23" s="166"/>
      <c r="D23" s="166"/>
      <c r="E23" s="166"/>
      <c r="F23" s="166"/>
      <c r="G23" s="166"/>
      <c r="H23" s="166"/>
      <c r="I23" s="181"/>
      <c r="J23" s="182"/>
      <c r="K23" s="183"/>
      <c r="L23" s="184"/>
      <c r="M23" s="184"/>
      <c r="N23" s="185"/>
      <c r="O23" s="66">
        <f t="shared" si="1"/>
        <v>0</v>
      </c>
      <c r="P23">
        <f t="shared" si="2"/>
        <v>0</v>
      </c>
      <c r="Q23">
        <f t="shared" si="0"/>
        <v>10</v>
      </c>
    </row>
    <row r="24" spans="1:17">
      <c r="A24" s="253">
        <v>22</v>
      </c>
      <c r="B24" s="75"/>
      <c r="C24" s="186"/>
      <c r="D24" s="186"/>
      <c r="E24" s="186"/>
      <c r="F24" s="186"/>
      <c r="G24" s="186"/>
      <c r="H24" s="186"/>
      <c r="I24" s="187"/>
      <c r="J24" s="182"/>
      <c r="K24" s="188"/>
      <c r="L24" s="189"/>
      <c r="M24" s="189"/>
      <c r="N24" s="190"/>
      <c r="O24" s="191">
        <f t="shared" si="1"/>
        <v>0</v>
      </c>
      <c r="P24">
        <f t="shared" si="2"/>
        <v>0</v>
      </c>
      <c r="Q24">
        <f t="shared" si="0"/>
        <v>10</v>
      </c>
    </row>
    <row r="25" spans="1:17">
      <c r="A25" s="67">
        <v>23</v>
      </c>
      <c r="B25" s="204"/>
      <c r="C25" s="192"/>
      <c r="D25" s="192"/>
      <c r="E25" s="192"/>
      <c r="F25" s="192"/>
      <c r="G25" s="192"/>
      <c r="H25" s="192"/>
      <c r="I25" s="192"/>
      <c r="J25" s="192"/>
      <c r="K25" s="193"/>
      <c r="L25" s="193"/>
      <c r="M25" s="193"/>
      <c r="N25" s="193"/>
      <c r="O25" s="163">
        <f t="shared" si="1"/>
        <v>0</v>
      </c>
      <c r="P25">
        <f t="shared" si="2"/>
        <v>0</v>
      </c>
      <c r="Q25">
        <f t="shared" si="0"/>
        <v>10</v>
      </c>
    </row>
    <row r="26" spans="1:17">
      <c r="A26" s="65">
        <v>24</v>
      </c>
      <c r="B26" s="204"/>
      <c r="C26" s="192"/>
      <c r="D26" s="192"/>
      <c r="E26" s="192"/>
      <c r="F26" s="192"/>
      <c r="G26" s="192"/>
      <c r="H26" s="192"/>
      <c r="I26" s="192"/>
      <c r="J26" s="192"/>
      <c r="K26" s="193"/>
      <c r="L26" s="193"/>
      <c r="M26" s="193"/>
      <c r="N26" s="193"/>
      <c r="O26" s="163">
        <f>ROUND(P26,0)</f>
        <v>0</v>
      </c>
      <c r="P26">
        <f t="shared" si="2"/>
        <v>0</v>
      </c>
      <c r="Q26">
        <f t="shared" si="0"/>
        <v>10</v>
      </c>
    </row>
    <row r="27" spans="1:17">
      <c r="A27" s="67">
        <v>25</v>
      </c>
      <c r="B27" s="204"/>
      <c r="C27" s="192"/>
      <c r="D27" s="192"/>
      <c r="E27" s="192"/>
      <c r="F27" s="192"/>
      <c r="G27" s="192"/>
      <c r="H27" s="192"/>
      <c r="I27" s="192"/>
      <c r="J27" s="192"/>
      <c r="K27" s="193"/>
      <c r="L27" s="193"/>
      <c r="M27" s="193"/>
      <c r="N27" s="193"/>
      <c r="O27" s="194">
        <f t="shared" si="1"/>
        <v>0</v>
      </c>
      <c r="P27">
        <f t="shared" si="2"/>
        <v>0</v>
      </c>
      <c r="Q27">
        <f t="shared" si="0"/>
        <v>10</v>
      </c>
    </row>
    <row r="28" spans="1:17">
      <c r="A28" s="65">
        <v>26</v>
      </c>
      <c r="B28" s="205"/>
      <c r="C28" s="192"/>
      <c r="D28" s="192"/>
      <c r="E28" s="192"/>
      <c r="F28" s="192"/>
      <c r="G28" s="192"/>
      <c r="H28" s="192"/>
      <c r="I28" s="192"/>
      <c r="J28" s="192"/>
      <c r="K28" s="193"/>
      <c r="L28" s="193"/>
      <c r="M28" s="193"/>
      <c r="N28" s="193"/>
      <c r="O28" s="163">
        <f t="shared" si="1"/>
        <v>0</v>
      </c>
      <c r="P28">
        <f t="shared" si="2"/>
        <v>0</v>
      </c>
      <c r="Q28">
        <f t="shared" si="0"/>
        <v>10</v>
      </c>
    </row>
    <row r="29" spans="1:17">
      <c r="A29" s="67">
        <v>27</v>
      </c>
      <c r="B29" s="205"/>
      <c r="C29" s="192"/>
      <c r="D29" s="192"/>
      <c r="E29" s="192"/>
      <c r="F29" s="192"/>
      <c r="G29" s="192"/>
      <c r="H29" s="192"/>
      <c r="I29" s="192"/>
      <c r="J29" s="192"/>
      <c r="K29" s="193"/>
      <c r="L29" s="193"/>
      <c r="M29" s="193"/>
      <c r="N29" s="193"/>
      <c r="O29" s="163">
        <f t="shared" si="1"/>
        <v>0</v>
      </c>
      <c r="P29">
        <f>SUM(C29:J29)/8</f>
        <v>0</v>
      </c>
      <c r="Q29">
        <f t="shared" si="0"/>
        <v>10</v>
      </c>
    </row>
    <row r="30" spans="1:17">
      <c r="A30" s="67">
        <v>28</v>
      </c>
      <c r="B30" s="204"/>
      <c r="C30" s="192"/>
      <c r="D30" s="192"/>
      <c r="E30" s="192"/>
      <c r="F30" s="192"/>
      <c r="G30" s="192"/>
      <c r="H30" s="192"/>
      <c r="I30" s="192"/>
      <c r="J30" s="192"/>
      <c r="K30" s="193"/>
      <c r="L30" s="193"/>
      <c r="M30" s="193"/>
      <c r="N30" s="193"/>
      <c r="O30" s="163">
        <f t="shared" si="1"/>
        <v>0</v>
      </c>
      <c r="P30">
        <f t="shared" si="2"/>
        <v>0</v>
      </c>
      <c r="Q30">
        <f t="shared" si="0"/>
        <v>10</v>
      </c>
    </row>
    <row r="31" spans="1:17">
      <c r="A31" s="65">
        <v>29</v>
      </c>
      <c r="B31" s="204"/>
      <c r="C31" s="192"/>
      <c r="D31" s="192"/>
      <c r="E31" s="192"/>
      <c r="F31" s="192"/>
      <c r="G31" s="192"/>
      <c r="H31" s="192"/>
      <c r="I31" s="195"/>
      <c r="J31" s="192"/>
      <c r="K31" s="193"/>
      <c r="L31" s="193"/>
      <c r="M31" s="193"/>
      <c r="N31" s="193"/>
      <c r="O31" s="163">
        <f t="shared" si="1"/>
        <v>0</v>
      </c>
      <c r="P31">
        <f t="shared" si="2"/>
        <v>0</v>
      </c>
      <c r="Q31">
        <f t="shared" si="0"/>
        <v>10</v>
      </c>
    </row>
    <row r="32" spans="1:17">
      <c r="A32" s="67">
        <v>30</v>
      </c>
      <c r="B32" s="204"/>
      <c r="C32" s="192"/>
      <c r="D32" s="192"/>
      <c r="E32" s="192"/>
      <c r="F32" s="192"/>
      <c r="G32" s="192"/>
      <c r="H32" s="192"/>
      <c r="I32" s="195"/>
      <c r="J32" s="192"/>
      <c r="K32" s="193"/>
      <c r="L32" s="193"/>
      <c r="M32" s="193"/>
      <c r="N32" s="193"/>
      <c r="O32" s="197">
        <f>ROUND(P32,0)</f>
        <v>0</v>
      </c>
      <c r="P32">
        <f t="shared" si="2"/>
        <v>0</v>
      </c>
      <c r="Q32">
        <f t="shared" si="0"/>
        <v>10</v>
      </c>
    </row>
    <row r="33" spans="1:18">
      <c r="A33" s="67">
        <v>31</v>
      </c>
      <c r="B33" s="204"/>
      <c r="C33" s="192"/>
      <c r="D33" s="192"/>
      <c r="E33" s="192"/>
      <c r="F33" s="192"/>
      <c r="G33" s="192"/>
      <c r="H33" s="192"/>
      <c r="I33" s="195"/>
      <c r="J33" s="192"/>
      <c r="K33" s="193"/>
      <c r="L33" s="193"/>
      <c r="M33" s="193"/>
      <c r="N33" s="193"/>
      <c r="O33" s="197">
        <f t="shared" si="1"/>
        <v>0</v>
      </c>
      <c r="P33">
        <f t="shared" si="2"/>
        <v>0</v>
      </c>
      <c r="Q33">
        <f t="shared" si="0"/>
        <v>10</v>
      </c>
    </row>
    <row r="34" spans="1:18">
      <c r="A34" s="65">
        <v>32</v>
      </c>
      <c r="B34" s="204"/>
      <c r="C34" s="192"/>
      <c r="D34" s="195"/>
      <c r="E34" s="195"/>
      <c r="F34" s="192"/>
      <c r="G34" s="192"/>
      <c r="H34" s="192"/>
      <c r="I34" s="195"/>
      <c r="J34" s="192"/>
      <c r="K34" s="193"/>
      <c r="L34" s="193"/>
      <c r="M34" s="193"/>
      <c r="N34" s="193"/>
      <c r="O34" s="163">
        <f t="shared" si="1"/>
        <v>0</v>
      </c>
      <c r="P34">
        <f t="shared" ref="P34:P43" si="4">SUM(C34:J34)/8</f>
        <v>0</v>
      </c>
      <c r="Q34">
        <f t="shared" si="0"/>
        <v>10</v>
      </c>
    </row>
    <row r="35" spans="1:18">
      <c r="A35" s="67">
        <v>33</v>
      </c>
      <c r="B35" s="205"/>
      <c r="C35" s="192"/>
      <c r="D35" s="195"/>
      <c r="E35" s="195"/>
      <c r="F35" s="192"/>
      <c r="G35" s="192"/>
      <c r="H35" s="192"/>
      <c r="I35" s="195"/>
      <c r="J35" s="192"/>
      <c r="K35" s="193"/>
      <c r="L35" s="193"/>
      <c r="M35" s="193"/>
      <c r="N35" s="193"/>
      <c r="O35" s="197">
        <f t="shared" si="1"/>
        <v>0</v>
      </c>
      <c r="P35">
        <f>SUM(C35:J35)/8</f>
        <v>0</v>
      </c>
      <c r="Q35">
        <f>RANK(P35,$P$3:$P$35)</f>
        <v>10</v>
      </c>
      <c r="R35" s="81"/>
    </row>
    <row r="36" spans="1:18">
      <c r="A36" s="67">
        <v>34</v>
      </c>
      <c r="B36" s="206"/>
      <c r="C36" s="195"/>
      <c r="D36" s="195"/>
      <c r="E36" s="195"/>
      <c r="F36" s="195"/>
      <c r="G36" s="195"/>
      <c r="H36" s="195"/>
      <c r="I36" s="195"/>
      <c r="J36" s="192"/>
      <c r="K36" s="196"/>
      <c r="L36" s="196"/>
      <c r="M36" s="196"/>
      <c r="N36" s="196"/>
      <c r="O36" s="163">
        <f t="shared" si="1"/>
        <v>0</v>
      </c>
      <c r="P36">
        <f t="shared" si="4"/>
        <v>0</v>
      </c>
      <c r="Q36">
        <f>RANK(P36,$P$3:$P$43)</f>
        <v>10</v>
      </c>
    </row>
    <row r="37" spans="1:18">
      <c r="A37" s="65">
        <v>35</v>
      </c>
      <c r="B37" s="205"/>
      <c r="C37" s="195"/>
      <c r="D37" s="195"/>
      <c r="E37" s="195"/>
      <c r="F37" s="195"/>
      <c r="G37" s="195"/>
      <c r="H37" s="195"/>
      <c r="I37" s="195"/>
      <c r="J37" s="192"/>
      <c r="K37" s="196"/>
      <c r="L37" s="196"/>
      <c r="M37" s="196"/>
      <c r="N37" s="196"/>
      <c r="O37" s="163">
        <f t="shared" si="1"/>
        <v>0</v>
      </c>
      <c r="P37">
        <f t="shared" si="4"/>
        <v>0</v>
      </c>
      <c r="Q37">
        <f t="shared" ref="Q37:Q43" si="5">RANK(P37,$P$3:$P$43)</f>
        <v>10</v>
      </c>
    </row>
    <row r="38" spans="1:18">
      <c r="A38" s="67">
        <v>36</v>
      </c>
      <c r="B38" s="205"/>
      <c r="C38" s="195"/>
      <c r="D38" s="195"/>
      <c r="E38" s="195"/>
      <c r="F38" s="195"/>
      <c r="G38" s="195"/>
      <c r="H38" s="195"/>
      <c r="I38" s="195"/>
      <c r="J38" s="192"/>
      <c r="K38" s="196"/>
      <c r="L38" s="196"/>
      <c r="M38" s="196"/>
      <c r="N38" s="196"/>
      <c r="O38" s="163">
        <f t="shared" si="1"/>
        <v>0</v>
      </c>
      <c r="P38">
        <f t="shared" si="4"/>
        <v>0</v>
      </c>
      <c r="Q38">
        <f t="shared" si="5"/>
        <v>10</v>
      </c>
    </row>
    <row r="39" spans="1:18">
      <c r="A39" s="65">
        <v>37</v>
      </c>
      <c r="B39" s="205"/>
      <c r="C39" s="195"/>
      <c r="D39" s="195"/>
      <c r="E39" s="195"/>
      <c r="F39" s="195"/>
      <c r="G39" s="195"/>
      <c r="H39" s="195"/>
      <c r="I39" s="195"/>
      <c r="J39" s="192"/>
      <c r="K39" s="196"/>
      <c r="L39" s="196"/>
      <c r="M39" s="196"/>
      <c r="N39" s="196"/>
      <c r="O39" s="163">
        <f t="shared" si="1"/>
        <v>0</v>
      </c>
      <c r="P39">
        <f t="shared" si="4"/>
        <v>0</v>
      </c>
      <c r="Q39">
        <f t="shared" si="5"/>
        <v>10</v>
      </c>
    </row>
    <row r="40" spans="1:18">
      <c r="A40" s="67">
        <v>38</v>
      </c>
      <c r="B40" s="205"/>
      <c r="C40" s="195"/>
      <c r="D40" s="195"/>
      <c r="E40" s="195"/>
      <c r="F40" s="195"/>
      <c r="G40" s="195"/>
      <c r="H40" s="195"/>
      <c r="I40" s="195"/>
      <c r="J40" s="192"/>
      <c r="K40" s="196"/>
      <c r="L40" s="196"/>
      <c r="M40" s="196"/>
      <c r="N40" s="196"/>
      <c r="O40" s="163">
        <f t="shared" si="1"/>
        <v>0</v>
      </c>
      <c r="P40">
        <f t="shared" si="4"/>
        <v>0</v>
      </c>
      <c r="Q40">
        <f t="shared" si="5"/>
        <v>10</v>
      </c>
    </row>
    <row r="41" spans="1:18">
      <c r="A41" s="67">
        <v>39</v>
      </c>
      <c r="B41" s="205"/>
      <c r="C41" s="195"/>
      <c r="D41" s="195"/>
      <c r="E41" s="195"/>
      <c r="F41" s="195"/>
      <c r="G41" s="195"/>
      <c r="H41" s="195"/>
      <c r="I41" s="195"/>
      <c r="J41" s="192"/>
      <c r="K41" s="196"/>
      <c r="L41" s="196"/>
      <c r="M41" s="196"/>
      <c r="N41" s="196"/>
      <c r="O41" s="163">
        <f t="shared" si="1"/>
        <v>0</v>
      </c>
      <c r="P41">
        <f t="shared" si="4"/>
        <v>0</v>
      </c>
      <c r="Q41">
        <f t="shared" si="5"/>
        <v>10</v>
      </c>
    </row>
    <row r="42" spans="1:18">
      <c r="A42" s="65">
        <v>40</v>
      </c>
      <c r="B42" s="165"/>
      <c r="C42" s="195"/>
      <c r="D42" s="195"/>
      <c r="E42" s="195"/>
      <c r="F42" s="195"/>
      <c r="G42" s="195"/>
      <c r="H42" s="195"/>
      <c r="I42" s="195"/>
      <c r="J42" s="192"/>
      <c r="K42" s="196"/>
      <c r="L42" s="196"/>
      <c r="M42" s="196"/>
      <c r="N42" s="196"/>
      <c r="O42" s="163">
        <f t="shared" si="1"/>
        <v>0</v>
      </c>
      <c r="P42">
        <f t="shared" si="4"/>
        <v>0</v>
      </c>
      <c r="Q42">
        <f t="shared" si="5"/>
        <v>10</v>
      </c>
    </row>
    <row r="43" spans="1:18">
      <c r="A43" s="65">
        <v>41</v>
      </c>
      <c r="B43" s="165"/>
      <c r="C43" s="195"/>
      <c r="D43" s="195"/>
      <c r="E43" s="195"/>
      <c r="F43" s="195"/>
      <c r="G43" s="195"/>
      <c r="H43" s="195"/>
      <c r="I43" s="195"/>
      <c r="J43" s="192"/>
      <c r="K43" s="196"/>
      <c r="L43" s="196"/>
      <c r="M43" s="196"/>
      <c r="N43" s="196"/>
      <c r="O43" s="163">
        <f t="shared" si="1"/>
        <v>0</v>
      </c>
      <c r="P43">
        <f t="shared" si="4"/>
        <v>0</v>
      </c>
      <c r="Q43">
        <f t="shared" si="5"/>
        <v>10</v>
      </c>
    </row>
    <row r="44" spans="1:18">
      <c r="A44" s="69"/>
      <c r="C44" t="s">
        <v>123</v>
      </c>
      <c r="E44" t="s">
        <v>123</v>
      </c>
      <c r="H44" t="s">
        <v>123</v>
      </c>
      <c r="O44" s="70"/>
    </row>
    <row r="45" spans="1:18">
      <c r="A45" s="69"/>
      <c r="C45" t="s">
        <v>123</v>
      </c>
      <c r="E45" t="s">
        <v>123</v>
      </c>
      <c r="H45" t="s">
        <v>123</v>
      </c>
      <c r="O45" s="70"/>
    </row>
    <row r="46" spans="1:18">
      <c r="A46" s="69"/>
      <c r="C46" t="s">
        <v>123</v>
      </c>
      <c r="E46" t="s">
        <v>123</v>
      </c>
      <c r="H46" t="s">
        <v>123</v>
      </c>
      <c r="O46" s="70"/>
    </row>
    <row r="47" spans="1:18">
      <c r="A47" s="69"/>
      <c r="C47" t="s">
        <v>123</v>
      </c>
      <c r="E47" t="s">
        <v>123</v>
      </c>
      <c r="H47" t="s">
        <v>123</v>
      </c>
      <c r="O47" s="70"/>
    </row>
    <row r="48" spans="1:18">
      <c r="A48" s="69"/>
      <c r="C48" t="s">
        <v>123</v>
      </c>
      <c r="E48" t="s">
        <v>123</v>
      </c>
      <c r="H48" t="s">
        <v>123</v>
      </c>
      <c r="O48" s="70"/>
    </row>
    <row r="49" spans="1:15">
      <c r="A49" s="69"/>
      <c r="C49" t="s">
        <v>123</v>
      </c>
      <c r="E49" t="s">
        <v>123</v>
      </c>
      <c r="H49" t="s">
        <v>123</v>
      </c>
      <c r="O49" s="70"/>
    </row>
    <row r="50" spans="1:15">
      <c r="A50" s="69"/>
      <c r="C50" t="s">
        <v>123</v>
      </c>
      <c r="E50" t="s">
        <v>123</v>
      </c>
      <c r="H50" t="s">
        <v>123</v>
      </c>
      <c r="O50" s="70"/>
    </row>
    <row r="51" spans="1:15">
      <c r="A51" s="69"/>
      <c r="C51" t="s">
        <v>123</v>
      </c>
      <c r="E51" t="s">
        <v>123</v>
      </c>
      <c r="H51" t="s">
        <v>123</v>
      </c>
      <c r="O51" s="70"/>
    </row>
    <row r="52" spans="1:15">
      <c r="A52" s="69"/>
      <c r="C52" t="s">
        <v>123</v>
      </c>
      <c r="E52" t="s">
        <v>123</v>
      </c>
      <c r="H52" t="s">
        <v>123</v>
      </c>
      <c r="O52" s="70"/>
    </row>
    <row r="53" spans="1:15" ht="15.75" thickBot="1">
      <c r="A53" s="71"/>
      <c r="B53" s="72"/>
      <c r="C53" s="72" t="s">
        <v>123</v>
      </c>
      <c r="D53" s="72"/>
      <c r="E53" s="72" t="s">
        <v>123</v>
      </c>
      <c r="F53" s="72"/>
      <c r="G53" s="72"/>
      <c r="H53" s="72" t="s">
        <v>123</v>
      </c>
      <c r="I53" s="72"/>
      <c r="J53" s="72"/>
      <c r="K53" s="72"/>
      <c r="L53" s="72"/>
      <c r="M53" s="72"/>
      <c r="N53" s="72"/>
      <c r="O53" s="73"/>
    </row>
    <row r="54" spans="1:15">
      <c r="C54" t="s">
        <v>123</v>
      </c>
    </row>
    <row r="55" spans="1:15">
      <c r="C55" t="s">
        <v>123</v>
      </c>
    </row>
    <row r="56" spans="1:15">
      <c r="C56" t="s">
        <v>123</v>
      </c>
    </row>
    <row r="57" spans="1:15">
      <c r="C57" t="s">
        <v>123</v>
      </c>
    </row>
    <row r="58" spans="1:15">
      <c r="C58" t="s">
        <v>123</v>
      </c>
    </row>
    <row r="59" spans="1:15">
      <c r="C59" t="s">
        <v>123</v>
      </c>
    </row>
    <row r="60" spans="1:15">
      <c r="C60" t="s">
        <v>123</v>
      </c>
    </row>
  </sheetData>
  <mergeCells count="2">
    <mergeCell ref="O1:O2"/>
    <mergeCell ref="Q1:Q2"/>
  </mergeCells>
  <dataValidations count="2">
    <dataValidation allowBlank="1" showInputMessage="1" showErrorMessage="1" prompt="Do not type name of learners here. Go to INPUT DATA sheet." sqref="B3:B34" xr:uid="{56F7B106-CDA6-4834-96AB-F00AE55C9EEA}"/>
    <dataValidation allowBlank="1" showInputMessage="1" showErrorMessage="1" prompt="Results will generate automatically" sqref="I3:I30 C3:C35 D3:E33 F3:H35 J3:J43 O36:O43 K3:O35" xr:uid="{7B57E2F5-1A53-4D42-89EB-0A5E7DCA914D}"/>
  </dataValidation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847B-44A7-4941-852F-0F3DC53BC2D0}">
  <dimension ref="A1:T60"/>
  <sheetViews>
    <sheetView zoomScale="85" zoomScaleNormal="85" workbookViewId="0">
      <selection activeCell="B14" sqref="B14"/>
    </sheetView>
  </sheetViews>
  <sheetFormatPr defaultRowHeight="15"/>
  <cols>
    <col min="1" max="1" width="5.28515625" customWidth="1"/>
    <col min="2" max="2" width="34.85546875" customWidth="1"/>
    <col min="10" max="10" width="8.7109375" customWidth="1"/>
    <col min="16" max="16" width="11.42578125" customWidth="1"/>
  </cols>
  <sheetData>
    <row r="1" spans="1:17" ht="42.75" customHeight="1" thickBot="1">
      <c r="A1" s="55"/>
      <c r="B1" s="56" t="s">
        <v>109</v>
      </c>
      <c r="C1" s="57" t="s">
        <v>110</v>
      </c>
      <c r="D1" s="57" t="s">
        <v>111</v>
      </c>
      <c r="E1" s="58" t="s">
        <v>112</v>
      </c>
      <c r="F1" s="58" t="s">
        <v>113</v>
      </c>
      <c r="G1" s="58" t="s">
        <v>114</v>
      </c>
      <c r="H1" s="57" t="s">
        <v>115</v>
      </c>
      <c r="I1" s="58" t="s">
        <v>116</v>
      </c>
      <c r="J1" s="59" t="s">
        <v>59</v>
      </c>
      <c r="K1" s="60"/>
      <c r="L1" s="60"/>
      <c r="M1" s="60"/>
      <c r="N1" s="60"/>
      <c r="O1" s="387" t="s">
        <v>117</v>
      </c>
      <c r="Q1" s="389" t="s">
        <v>118</v>
      </c>
    </row>
    <row r="2" spans="1:17" ht="15.75" thickBot="1">
      <c r="A2" s="55"/>
      <c r="B2" s="62"/>
      <c r="C2" s="63">
        <v>1</v>
      </c>
      <c r="D2" s="63">
        <v>2</v>
      </c>
      <c r="E2" s="63">
        <v>3</v>
      </c>
      <c r="F2" s="63">
        <v>4</v>
      </c>
      <c r="G2" s="63">
        <v>5</v>
      </c>
      <c r="H2" s="63">
        <v>6</v>
      </c>
      <c r="I2" s="63">
        <v>7</v>
      </c>
      <c r="J2" s="158">
        <v>8</v>
      </c>
      <c r="K2" s="64" t="s">
        <v>119</v>
      </c>
      <c r="L2" s="64" t="s">
        <v>120</v>
      </c>
      <c r="M2" s="64" t="s">
        <v>121</v>
      </c>
      <c r="N2" s="64" t="s">
        <v>122</v>
      </c>
      <c r="O2" s="388"/>
      <c r="Q2" s="389"/>
    </row>
    <row r="3" spans="1:17" ht="15.75" thickBot="1">
      <c r="A3" s="65">
        <v>1</v>
      </c>
      <c r="B3" s="74" t="s">
        <v>156</v>
      </c>
      <c r="C3" s="166">
        <v>88</v>
      </c>
      <c r="D3" s="166">
        <v>81</v>
      </c>
      <c r="E3" s="166">
        <v>81</v>
      </c>
      <c r="F3" s="166">
        <v>80</v>
      </c>
      <c r="G3" s="166">
        <v>81</v>
      </c>
      <c r="H3" s="166">
        <v>87</v>
      </c>
      <c r="I3" s="181">
        <v>90</v>
      </c>
      <c r="J3" s="182">
        <v>86</v>
      </c>
      <c r="K3" s="183">
        <v>87</v>
      </c>
      <c r="L3" s="184">
        <v>85</v>
      </c>
      <c r="M3" s="184"/>
      <c r="N3" s="185"/>
      <c r="O3" s="66">
        <f>ROUND(P3,0)</f>
        <v>84</v>
      </c>
      <c r="P3">
        <f>SUM(C3:J3)/8</f>
        <v>84.25</v>
      </c>
      <c r="Q3">
        <f t="shared" ref="Q3:Q34" si="0">RANK(P3,$P$3:$P$34)</f>
        <v>4</v>
      </c>
    </row>
    <row r="4" spans="1:17" ht="15.75" thickBot="1">
      <c r="A4" s="67">
        <v>2</v>
      </c>
      <c r="B4" s="75" t="s">
        <v>157</v>
      </c>
      <c r="C4" s="166">
        <v>86</v>
      </c>
      <c r="D4" s="166">
        <v>81</v>
      </c>
      <c r="E4" s="166">
        <v>86</v>
      </c>
      <c r="F4" s="166">
        <v>85</v>
      </c>
      <c r="G4" s="166">
        <v>81</v>
      </c>
      <c r="H4" s="166">
        <v>85</v>
      </c>
      <c r="I4" s="181">
        <v>88</v>
      </c>
      <c r="J4" s="182">
        <v>86</v>
      </c>
      <c r="K4" s="183">
        <v>85</v>
      </c>
      <c r="L4" s="184">
        <v>86</v>
      </c>
      <c r="M4" s="184"/>
      <c r="N4" s="185"/>
      <c r="O4" s="66">
        <f t="shared" ref="O4:O43" si="1">ROUND(P4,0)</f>
        <v>85</v>
      </c>
      <c r="P4">
        <f t="shared" ref="P4:P33" si="2">SUM(C4:J4)/8</f>
        <v>84.75</v>
      </c>
      <c r="Q4">
        <f t="shared" si="0"/>
        <v>2</v>
      </c>
    </row>
    <row r="5" spans="1:17" ht="15.75" thickBot="1">
      <c r="A5" s="67">
        <v>3</v>
      </c>
      <c r="B5" s="75" t="s">
        <v>158</v>
      </c>
      <c r="C5" s="166">
        <v>85</v>
      </c>
      <c r="D5" s="166">
        <v>84</v>
      </c>
      <c r="E5" s="166">
        <v>81</v>
      </c>
      <c r="F5" s="166">
        <v>81</v>
      </c>
      <c r="G5" s="166">
        <v>85</v>
      </c>
      <c r="H5" s="166">
        <v>84</v>
      </c>
      <c r="I5" s="181">
        <v>85</v>
      </c>
      <c r="J5" s="182">
        <v>83</v>
      </c>
      <c r="K5" s="183">
        <v>82</v>
      </c>
      <c r="L5" s="184">
        <v>83</v>
      </c>
      <c r="M5" s="184"/>
      <c r="N5" s="185"/>
      <c r="O5" s="66">
        <f t="shared" si="1"/>
        <v>84</v>
      </c>
      <c r="P5">
        <f t="shared" si="2"/>
        <v>83.5</v>
      </c>
      <c r="Q5">
        <f t="shared" si="0"/>
        <v>6</v>
      </c>
    </row>
    <row r="6" spans="1:17" ht="15.75" thickBot="1">
      <c r="A6" s="67">
        <v>4</v>
      </c>
      <c r="B6" s="75" t="s">
        <v>159</v>
      </c>
      <c r="C6" s="166">
        <v>87</v>
      </c>
      <c r="D6" s="166">
        <v>80</v>
      </c>
      <c r="E6" s="166">
        <v>81</v>
      </c>
      <c r="F6" s="166">
        <v>81</v>
      </c>
      <c r="G6" s="166">
        <v>84</v>
      </c>
      <c r="H6" s="166">
        <v>83</v>
      </c>
      <c r="I6" s="181">
        <v>88</v>
      </c>
      <c r="J6" s="182">
        <v>86</v>
      </c>
      <c r="K6" s="183">
        <v>85</v>
      </c>
      <c r="L6" s="184">
        <v>86</v>
      </c>
      <c r="M6" s="184"/>
      <c r="N6" s="185"/>
      <c r="O6" s="66">
        <f t="shared" si="1"/>
        <v>84</v>
      </c>
      <c r="P6">
        <f t="shared" si="2"/>
        <v>83.75</v>
      </c>
      <c r="Q6">
        <f t="shared" si="0"/>
        <v>5</v>
      </c>
    </row>
    <row r="7" spans="1:17" ht="15.75" thickBot="1">
      <c r="A7" s="67">
        <v>5</v>
      </c>
      <c r="B7" s="75" t="s">
        <v>160</v>
      </c>
      <c r="C7" s="166">
        <v>88</v>
      </c>
      <c r="D7" s="166">
        <v>83</v>
      </c>
      <c r="E7" s="166">
        <v>83</v>
      </c>
      <c r="F7" s="166">
        <v>81</v>
      </c>
      <c r="G7" s="166">
        <v>83</v>
      </c>
      <c r="H7" s="166">
        <v>84</v>
      </c>
      <c r="I7" s="181">
        <v>87</v>
      </c>
      <c r="J7" s="182">
        <v>87</v>
      </c>
      <c r="K7" s="183">
        <v>87</v>
      </c>
      <c r="L7" s="184">
        <v>87</v>
      </c>
      <c r="M7" s="184"/>
      <c r="N7" s="185"/>
      <c r="O7" s="66">
        <f t="shared" si="1"/>
        <v>85</v>
      </c>
      <c r="P7">
        <f t="shared" si="2"/>
        <v>84.5</v>
      </c>
      <c r="Q7">
        <f t="shared" si="0"/>
        <v>3</v>
      </c>
    </row>
    <row r="8" spans="1:17" ht="15.75" thickBot="1">
      <c r="A8" s="67">
        <v>6</v>
      </c>
      <c r="B8" s="75" t="s">
        <v>161</v>
      </c>
      <c r="C8" s="166">
        <v>86</v>
      </c>
      <c r="D8" s="166">
        <v>78</v>
      </c>
      <c r="E8" s="166">
        <v>80</v>
      </c>
      <c r="F8" s="166">
        <v>80</v>
      </c>
      <c r="G8" s="166">
        <v>80</v>
      </c>
      <c r="H8" s="166">
        <v>87</v>
      </c>
      <c r="I8" s="181">
        <v>86</v>
      </c>
      <c r="J8" s="182">
        <v>86</v>
      </c>
      <c r="K8" s="183">
        <v>86</v>
      </c>
      <c r="L8" s="184">
        <v>86</v>
      </c>
      <c r="M8" s="184"/>
      <c r="N8" s="185"/>
      <c r="O8" s="66">
        <f t="shared" si="1"/>
        <v>83</v>
      </c>
      <c r="P8">
        <f t="shared" si="2"/>
        <v>82.875</v>
      </c>
      <c r="Q8">
        <f t="shared" si="0"/>
        <v>7</v>
      </c>
    </row>
    <row r="9" spans="1:17" ht="15.75" thickBot="1">
      <c r="A9" s="67">
        <v>7</v>
      </c>
      <c r="B9" s="75" t="s">
        <v>162</v>
      </c>
      <c r="C9" s="166">
        <v>92</v>
      </c>
      <c r="D9" s="166">
        <v>87</v>
      </c>
      <c r="E9" s="166">
        <v>85</v>
      </c>
      <c r="F9" s="166">
        <v>85</v>
      </c>
      <c r="G9" s="166">
        <v>86</v>
      </c>
      <c r="H9" s="166">
        <v>91</v>
      </c>
      <c r="I9" s="181">
        <v>91</v>
      </c>
      <c r="J9" s="182">
        <v>90</v>
      </c>
      <c r="K9" s="183">
        <v>90</v>
      </c>
      <c r="L9" s="184">
        <v>90</v>
      </c>
      <c r="M9" s="184"/>
      <c r="N9" s="185"/>
      <c r="O9" s="66">
        <f t="shared" si="1"/>
        <v>88</v>
      </c>
      <c r="P9">
        <f t="shared" si="2"/>
        <v>88.375</v>
      </c>
      <c r="Q9">
        <f t="shared" si="0"/>
        <v>1</v>
      </c>
    </row>
    <row r="10" spans="1:17" ht="15.75" thickBot="1">
      <c r="A10" s="67">
        <v>8</v>
      </c>
      <c r="B10" s="75" t="s">
        <v>163</v>
      </c>
      <c r="C10" s="166" t="s">
        <v>123</v>
      </c>
      <c r="D10" s="166" t="s">
        <v>123</v>
      </c>
      <c r="E10" s="166"/>
      <c r="F10" s="166"/>
      <c r="G10" s="166" t="s">
        <v>123</v>
      </c>
      <c r="H10" s="166" t="s">
        <v>123</v>
      </c>
      <c r="I10" s="181" t="s">
        <v>123</v>
      </c>
      <c r="J10" s="182" t="s">
        <v>123</v>
      </c>
      <c r="K10" s="183" t="s">
        <v>123</v>
      </c>
      <c r="L10" s="184" t="s">
        <v>123</v>
      </c>
      <c r="M10" s="184"/>
      <c r="N10" s="185"/>
      <c r="O10" s="66">
        <f t="shared" si="1"/>
        <v>0</v>
      </c>
      <c r="P10">
        <f t="shared" si="2"/>
        <v>0</v>
      </c>
      <c r="Q10">
        <f t="shared" si="0"/>
        <v>10</v>
      </c>
    </row>
    <row r="11" spans="1:17" ht="15.75" thickBot="1">
      <c r="A11" s="67">
        <v>9</v>
      </c>
      <c r="B11" s="75" t="s">
        <v>164</v>
      </c>
      <c r="C11" s="166">
        <v>85</v>
      </c>
      <c r="D11" s="166">
        <v>80</v>
      </c>
      <c r="E11" s="166">
        <v>80</v>
      </c>
      <c r="F11" s="166">
        <v>80</v>
      </c>
      <c r="G11" s="166">
        <v>82</v>
      </c>
      <c r="H11" s="166">
        <v>81</v>
      </c>
      <c r="I11" s="181">
        <v>83</v>
      </c>
      <c r="J11" s="182">
        <v>81</v>
      </c>
      <c r="K11" s="183">
        <v>80</v>
      </c>
      <c r="L11" s="184">
        <v>82</v>
      </c>
      <c r="M11" s="184"/>
      <c r="N11" s="185"/>
      <c r="O11" s="66">
        <f t="shared" si="1"/>
        <v>82</v>
      </c>
      <c r="P11">
        <f t="shared" si="2"/>
        <v>81.5</v>
      </c>
      <c r="Q11">
        <f t="shared" si="0"/>
        <v>8</v>
      </c>
    </row>
    <row r="12" spans="1:17" ht="15.75" thickBot="1">
      <c r="A12" s="67">
        <v>10</v>
      </c>
      <c r="B12" s="75" t="s">
        <v>165</v>
      </c>
      <c r="C12" s="166">
        <v>85</v>
      </c>
      <c r="D12" s="166">
        <v>78</v>
      </c>
      <c r="E12" s="166">
        <v>80</v>
      </c>
      <c r="F12" s="166">
        <v>82</v>
      </c>
      <c r="G12" s="166">
        <v>81</v>
      </c>
      <c r="H12" s="166">
        <v>81</v>
      </c>
      <c r="I12" s="181">
        <v>84</v>
      </c>
      <c r="J12" s="182">
        <v>80</v>
      </c>
      <c r="K12" s="183">
        <v>80</v>
      </c>
      <c r="L12" s="184">
        <v>80</v>
      </c>
      <c r="M12" s="184"/>
      <c r="N12" s="185"/>
      <c r="O12" s="66">
        <f t="shared" si="1"/>
        <v>81</v>
      </c>
      <c r="P12">
        <f t="shared" si="2"/>
        <v>81.375</v>
      </c>
      <c r="Q12">
        <f t="shared" si="0"/>
        <v>9</v>
      </c>
    </row>
    <row r="13" spans="1:17" ht="15.75" thickBot="1">
      <c r="A13" s="67">
        <v>11</v>
      </c>
      <c r="B13" s="75"/>
      <c r="C13" s="166"/>
      <c r="D13" s="166"/>
      <c r="E13" s="166"/>
      <c r="F13" s="166"/>
      <c r="G13" s="166"/>
      <c r="H13" s="166"/>
      <c r="I13" s="181"/>
      <c r="J13" s="182"/>
      <c r="K13" s="183"/>
      <c r="L13" s="184"/>
      <c r="M13" s="184"/>
      <c r="N13" s="185"/>
      <c r="O13" s="66">
        <f t="shared" si="1"/>
        <v>0</v>
      </c>
      <c r="P13">
        <f t="shared" si="2"/>
        <v>0</v>
      </c>
      <c r="Q13">
        <f t="shared" si="0"/>
        <v>10</v>
      </c>
    </row>
    <row r="14" spans="1:17" ht="15.75" thickBot="1">
      <c r="A14" s="67">
        <v>12</v>
      </c>
      <c r="B14" s="75"/>
      <c r="C14" s="166"/>
      <c r="D14" s="166"/>
      <c r="E14" s="166"/>
      <c r="F14" s="166"/>
      <c r="G14" s="166"/>
      <c r="H14" s="166"/>
      <c r="I14" s="181"/>
      <c r="J14" s="182"/>
      <c r="K14" s="183"/>
      <c r="L14" s="184"/>
      <c r="M14" s="184"/>
      <c r="N14" s="185"/>
      <c r="O14" s="66">
        <f>ROUND(P14,0)</f>
        <v>0</v>
      </c>
      <c r="P14">
        <f>SUM(C14:J14)/8</f>
        <v>0</v>
      </c>
      <c r="Q14">
        <f t="shared" si="0"/>
        <v>10</v>
      </c>
    </row>
    <row r="15" spans="1:17" ht="15.75" thickBot="1">
      <c r="A15" s="67">
        <v>13</v>
      </c>
      <c r="B15" s="75"/>
      <c r="C15" s="166"/>
      <c r="D15" s="166"/>
      <c r="E15" s="166"/>
      <c r="F15" s="166"/>
      <c r="G15" s="166"/>
      <c r="H15" s="166"/>
      <c r="I15" s="181"/>
      <c r="J15" s="182"/>
      <c r="K15" s="183"/>
      <c r="L15" s="184"/>
      <c r="M15" s="184"/>
      <c r="N15" s="185"/>
      <c r="O15" s="66">
        <f>ROUND(P15,0)</f>
        <v>0</v>
      </c>
      <c r="P15">
        <f>SUM(C15:J15)/8</f>
        <v>0</v>
      </c>
      <c r="Q15">
        <f t="shared" si="0"/>
        <v>10</v>
      </c>
    </row>
    <row r="16" spans="1:17" ht="15.75" thickBot="1">
      <c r="A16" s="67">
        <v>14</v>
      </c>
      <c r="B16" s="75"/>
      <c r="C16" s="166"/>
      <c r="D16" s="166"/>
      <c r="E16" s="166"/>
      <c r="F16" s="166"/>
      <c r="G16" s="166"/>
      <c r="H16" s="166"/>
      <c r="I16" s="181"/>
      <c r="J16" s="182"/>
      <c r="K16" s="183"/>
      <c r="L16" s="184"/>
      <c r="M16" s="184"/>
      <c r="N16" s="185"/>
      <c r="O16" s="66">
        <f>ROUND(P16,0)</f>
        <v>0</v>
      </c>
      <c r="P16">
        <f t="shared" si="2"/>
        <v>0</v>
      </c>
      <c r="Q16">
        <f t="shared" si="0"/>
        <v>10</v>
      </c>
    </row>
    <row r="17" spans="1:20" ht="15.75" thickBot="1">
      <c r="A17" s="67">
        <v>15</v>
      </c>
      <c r="B17" s="68"/>
      <c r="C17" s="166"/>
      <c r="D17" s="166"/>
      <c r="E17" s="166"/>
      <c r="F17" s="166"/>
      <c r="G17" s="166"/>
      <c r="H17" s="166"/>
      <c r="I17" s="181"/>
      <c r="J17" s="182"/>
      <c r="K17" s="183"/>
      <c r="L17" s="184"/>
      <c r="M17" s="184"/>
      <c r="N17" s="185"/>
      <c r="O17" s="66">
        <f t="shared" si="1"/>
        <v>0</v>
      </c>
      <c r="P17">
        <f t="shared" si="2"/>
        <v>0</v>
      </c>
      <c r="Q17">
        <f t="shared" si="0"/>
        <v>10</v>
      </c>
    </row>
    <row r="18" spans="1:20" ht="15.75" thickBot="1">
      <c r="A18" s="67">
        <v>16</v>
      </c>
      <c r="B18" s="75"/>
      <c r="C18" s="166"/>
      <c r="D18" s="166"/>
      <c r="E18" s="166"/>
      <c r="F18" s="166"/>
      <c r="G18" s="166"/>
      <c r="H18" s="166"/>
      <c r="I18" s="181"/>
      <c r="J18" s="182"/>
      <c r="K18" s="183"/>
      <c r="L18" s="184"/>
      <c r="M18" s="184"/>
      <c r="N18" s="185"/>
      <c r="O18" s="66">
        <f t="shared" si="1"/>
        <v>0</v>
      </c>
      <c r="P18">
        <f t="shared" si="2"/>
        <v>0</v>
      </c>
      <c r="Q18">
        <f t="shared" si="0"/>
        <v>10</v>
      </c>
    </row>
    <row r="19" spans="1:20" ht="15.75" thickBot="1">
      <c r="A19" s="67">
        <v>17</v>
      </c>
      <c r="B19" s="75"/>
      <c r="C19" s="166"/>
      <c r="D19" s="166"/>
      <c r="E19" s="166"/>
      <c r="F19" s="166"/>
      <c r="G19" s="166"/>
      <c r="H19" s="166"/>
      <c r="I19" s="181"/>
      <c r="J19" s="182"/>
      <c r="K19" s="183"/>
      <c r="L19" s="184"/>
      <c r="M19" s="184"/>
      <c r="N19" s="185"/>
      <c r="O19" s="157">
        <f t="shared" si="1"/>
        <v>0</v>
      </c>
      <c r="P19">
        <f t="shared" si="2"/>
        <v>0</v>
      </c>
      <c r="Q19">
        <f t="shared" si="0"/>
        <v>10</v>
      </c>
    </row>
    <row r="20" spans="1:20" ht="15.75" thickBot="1">
      <c r="A20" s="67">
        <v>18</v>
      </c>
      <c r="B20" s="75"/>
      <c r="C20" s="166"/>
      <c r="D20" s="166"/>
      <c r="E20" s="166"/>
      <c r="F20" s="166"/>
      <c r="G20" s="166"/>
      <c r="H20" s="166"/>
      <c r="I20" s="181"/>
      <c r="J20" s="182"/>
      <c r="K20" s="183"/>
      <c r="L20" s="184"/>
      <c r="M20" s="184"/>
      <c r="N20" s="185"/>
      <c r="O20" s="66">
        <f t="shared" si="1"/>
        <v>0</v>
      </c>
      <c r="P20">
        <f t="shared" si="2"/>
        <v>0</v>
      </c>
      <c r="Q20">
        <f t="shared" si="0"/>
        <v>10</v>
      </c>
    </row>
    <row r="21" spans="1:20" ht="15.75" thickBot="1">
      <c r="A21" s="67">
        <v>19</v>
      </c>
      <c r="B21" s="203"/>
      <c r="C21" s="166"/>
      <c r="D21" s="166"/>
      <c r="E21" s="166"/>
      <c r="F21" s="166"/>
      <c r="G21" s="166"/>
      <c r="H21" s="166"/>
      <c r="I21" s="181"/>
      <c r="J21" s="182"/>
      <c r="K21" s="183"/>
      <c r="L21" s="184"/>
      <c r="M21" s="184"/>
      <c r="N21" s="185"/>
      <c r="O21" s="66">
        <f t="shared" si="1"/>
        <v>0</v>
      </c>
      <c r="P21">
        <f t="shared" si="2"/>
        <v>0</v>
      </c>
      <c r="Q21">
        <f t="shared" si="0"/>
        <v>10</v>
      </c>
    </row>
    <row r="22" spans="1:20" ht="15.75" thickBot="1">
      <c r="A22" s="67">
        <v>20</v>
      </c>
      <c r="B22" s="203"/>
      <c r="C22" s="166"/>
      <c r="D22" s="166"/>
      <c r="E22" s="166"/>
      <c r="F22" s="166"/>
      <c r="G22" s="166"/>
      <c r="H22" s="166"/>
      <c r="I22" s="181"/>
      <c r="J22" s="182"/>
      <c r="K22" s="183"/>
      <c r="L22" s="184"/>
      <c r="M22" s="184"/>
      <c r="N22" s="185"/>
      <c r="O22" s="66">
        <f t="shared" si="1"/>
        <v>0</v>
      </c>
      <c r="P22">
        <f t="shared" si="2"/>
        <v>0</v>
      </c>
      <c r="Q22">
        <f t="shared" si="0"/>
        <v>10</v>
      </c>
    </row>
    <row r="23" spans="1:20" ht="15.75" thickBot="1">
      <c r="A23" s="67">
        <v>21</v>
      </c>
      <c r="B23" s="203"/>
      <c r="C23" s="166"/>
      <c r="D23" s="166"/>
      <c r="E23" s="166"/>
      <c r="F23" s="166"/>
      <c r="G23" s="166"/>
      <c r="H23" s="166"/>
      <c r="I23" s="181"/>
      <c r="J23" s="182"/>
      <c r="K23" s="183"/>
      <c r="L23" s="184"/>
      <c r="M23" s="184"/>
      <c r="N23" s="185"/>
      <c r="O23" s="66">
        <f t="shared" si="1"/>
        <v>0</v>
      </c>
      <c r="P23">
        <f t="shared" si="2"/>
        <v>0</v>
      </c>
      <c r="Q23">
        <f t="shared" si="0"/>
        <v>10</v>
      </c>
      <c r="T23" s="50"/>
    </row>
    <row r="24" spans="1:20">
      <c r="A24" s="67">
        <v>22</v>
      </c>
      <c r="B24" s="203"/>
      <c r="C24" s="186"/>
      <c r="D24" s="186"/>
      <c r="E24" s="186"/>
      <c r="F24" s="186"/>
      <c r="G24" s="186"/>
      <c r="H24" s="186"/>
      <c r="I24" s="187"/>
      <c r="J24" s="182"/>
      <c r="K24" s="188"/>
      <c r="L24" s="189"/>
      <c r="M24" s="189"/>
      <c r="N24" s="190"/>
      <c r="O24" s="191">
        <f t="shared" si="1"/>
        <v>0</v>
      </c>
      <c r="P24">
        <f t="shared" si="2"/>
        <v>0</v>
      </c>
      <c r="Q24">
        <f t="shared" si="0"/>
        <v>10</v>
      </c>
      <c r="T24" s="50"/>
    </row>
    <row r="25" spans="1:20">
      <c r="A25" s="67">
        <v>23</v>
      </c>
      <c r="B25" s="204"/>
      <c r="C25" s="192"/>
      <c r="D25" s="192"/>
      <c r="E25" s="192"/>
      <c r="F25" s="192"/>
      <c r="G25" s="192"/>
      <c r="H25" s="192"/>
      <c r="I25" s="192"/>
      <c r="J25" s="192"/>
      <c r="K25" s="193"/>
      <c r="L25" s="193"/>
      <c r="M25" s="193"/>
      <c r="N25" s="193"/>
      <c r="O25" s="163">
        <f t="shared" si="1"/>
        <v>0</v>
      </c>
      <c r="P25">
        <f t="shared" si="2"/>
        <v>0</v>
      </c>
      <c r="Q25">
        <f t="shared" si="0"/>
        <v>10</v>
      </c>
      <c r="T25" s="50"/>
    </row>
    <row r="26" spans="1:20">
      <c r="A26" s="67">
        <v>24</v>
      </c>
      <c r="B26" s="204"/>
      <c r="C26" s="192"/>
      <c r="D26" s="192"/>
      <c r="E26" s="192"/>
      <c r="F26" s="192"/>
      <c r="G26" s="192"/>
      <c r="H26" s="192"/>
      <c r="I26" s="192"/>
      <c r="J26" s="192"/>
      <c r="K26" s="193"/>
      <c r="L26" s="193"/>
      <c r="M26" s="193"/>
      <c r="N26" s="193"/>
      <c r="O26" s="163">
        <f>ROUND(P26,0)</f>
        <v>0</v>
      </c>
      <c r="P26">
        <f t="shared" si="2"/>
        <v>0</v>
      </c>
      <c r="Q26">
        <f t="shared" si="0"/>
        <v>10</v>
      </c>
      <c r="T26" s="50"/>
    </row>
    <row r="27" spans="1:20">
      <c r="A27" s="67">
        <v>25</v>
      </c>
      <c r="B27" s="204"/>
      <c r="C27" s="192"/>
      <c r="D27" s="192"/>
      <c r="E27" s="192"/>
      <c r="F27" s="192"/>
      <c r="G27" s="192"/>
      <c r="H27" s="192"/>
      <c r="I27" s="192"/>
      <c r="J27" s="192"/>
      <c r="K27" s="193"/>
      <c r="L27" s="193"/>
      <c r="M27" s="193"/>
      <c r="N27" s="193"/>
      <c r="O27" s="194">
        <f t="shared" si="1"/>
        <v>0</v>
      </c>
      <c r="P27">
        <f t="shared" si="2"/>
        <v>0</v>
      </c>
      <c r="Q27">
        <f t="shared" si="0"/>
        <v>10</v>
      </c>
      <c r="T27" s="50"/>
    </row>
    <row r="28" spans="1:20">
      <c r="A28" s="67">
        <v>26</v>
      </c>
      <c r="B28" s="205"/>
      <c r="C28" s="192"/>
      <c r="D28" s="192"/>
      <c r="E28" s="192"/>
      <c r="F28" s="192"/>
      <c r="G28" s="192"/>
      <c r="H28" s="192"/>
      <c r="I28" s="192"/>
      <c r="J28" s="192"/>
      <c r="K28" s="193"/>
      <c r="L28" s="193"/>
      <c r="M28" s="193"/>
      <c r="N28" s="193"/>
      <c r="O28" s="163">
        <f t="shared" si="1"/>
        <v>0</v>
      </c>
      <c r="P28">
        <f t="shared" si="2"/>
        <v>0</v>
      </c>
      <c r="Q28">
        <f t="shared" si="0"/>
        <v>10</v>
      </c>
      <c r="T28" s="50"/>
    </row>
    <row r="29" spans="1:20">
      <c r="A29" s="67">
        <v>27</v>
      </c>
      <c r="B29" s="205"/>
      <c r="C29" s="192"/>
      <c r="D29" s="192"/>
      <c r="E29" s="192"/>
      <c r="F29" s="192"/>
      <c r="G29" s="192"/>
      <c r="H29" s="192"/>
      <c r="I29" s="192"/>
      <c r="J29" s="192"/>
      <c r="K29" s="193"/>
      <c r="L29" s="193"/>
      <c r="M29" s="193"/>
      <c r="N29" s="193"/>
      <c r="O29" s="163">
        <f t="shared" si="1"/>
        <v>0</v>
      </c>
      <c r="P29">
        <f>SUM(C29:J29)/8</f>
        <v>0</v>
      </c>
      <c r="Q29">
        <f t="shared" si="0"/>
        <v>10</v>
      </c>
      <c r="T29" s="50"/>
    </row>
    <row r="30" spans="1:20">
      <c r="A30" s="67">
        <v>28</v>
      </c>
      <c r="B30" s="204"/>
      <c r="C30" s="192"/>
      <c r="D30" s="192"/>
      <c r="E30" s="192"/>
      <c r="F30" s="192"/>
      <c r="G30" s="192"/>
      <c r="H30" s="192"/>
      <c r="I30" s="192"/>
      <c r="J30" s="192"/>
      <c r="K30" s="193"/>
      <c r="L30" s="193"/>
      <c r="M30" s="193"/>
      <c r="N30" s="193"/>
      <c r="O30" s="163">
        <f t="shared" si="1"/>
        <v>0</v>
      </c>
      <c r="P30">
        <f t="shared" si="2"/>
        <v>0</v>
      </c>
      <c r="Q30">
        <f t="shared" si="0"/>
        <v>10</v>
      </c>
      <c r="T30" s="50"/>
    </row>
    <row r="31" spans="1:20">
      <c r="A31" s="67">
        <v>29</v>
      </c>
      <c r="B31" s="204"/>
      <c r="C31" s="192"/>
      <c r="D31" s="192"/>
      <c r="E31" s="192"/>
      <c r="F31" s="192"/>
      <c r="G31" s="192"/>
      <c r="H31" s="192"/>
      <c r="I31" s="195"/>
      <c r="J31" s="192"/>
      <c r="K31" s="193"/>
      <c r="L31" s="193"/>
      <c r="M31" s="193"/>
      <c r="N31" s="193"/>
      <c r="O31" s="163">
        <f t="shared" si="1"/>
        <v>0</v>
      </c>
      <c r="P31">
        <f t="shared" si="2"/>
        <v>0</v>
      </c>
      <c r="Q31">
        <f t="shared" si="0"/>
        <v>10</v>
      </c>
      <c r="T31" s="50"/>
    </row>
    <row r="32" spans="1:20">
      <c r="A32" s="67">
        <v>30</v>
      </c>
      <c r="B32" s="204"/>
      <c r="C32" s="192"/>
      <c r="D32" s="192"/>
      <c r="E32" s="192"/>
      <c r="F32" s="192"/>
      <c r="G32" s="192"/>
      <c r="H32" s="192"/>
      <c r="I32" s="195"/>
      <c r="J32" s="192"/>
      <c r="K32" s="193"/>
      <c r="L32" s="193"/>
      <c r="M32" s="193"/>
      <c r="N32" s="193"/>
      <c r="O32" s="197">
        <f>ROUND(P32,0)</f>
        <v>0</v>
      </c>
      <c r="P32">
        <f t="shared" si="2"/>
        <v>0</v>
      </c>
      <c r="Q32">
        <f t="shared" si="0"/>
        <v>10</v>
      </c>
      <c r="T32" s="50"/>
    </row>
    <row r="33" spans="1:20">
      <c r="A33" s="67">
        <v>31</v>
      </c>
      <c r="B33" s="204"/>
      <c r="C33" s="192"/>
      <c r="D33" s="192"/>
      <c r="E33" s="192"/>
      <c r="F33" s="192"/>
      <c r="G33" s="192"/>
      <c r="H33" s="192"/>
      <c r="I33" s="195"/>
      <c r="J33" s="192"/>
      <c r="K33" s="193"/>
      <c r="L33" s="193"/>
      <c r="M33" s="193"/>
      <c r="N33" s="193"/>
      <c r="O33" s="197">
        <f t="shared" si="1"/>
        <v>0</v>
      </c>
      <c r="P33">
        <f t="shared" si="2"/>
        <v>0</v>
      </c>
      <c r="Q33">
        <f t="shared" si="0"/>
        <v>10</v>
      </c>
      <c r="T33" s="50"/>
    </row>
    <row r="34" spans="1:20">
      <c r="A34" s="67">
        <v>32</v>
      </c>
      <c r="B34" s="204"/>
      <c r="C34" s="192"/>
      <c r="D34" s="195"/>
      <c r="E34" s="195"/>
      <c r="F34" s="192"/>
      <c r="G34" s="192"/>
      <c r="H34" s="192"/>
      <c r="I34" s="195"/>
      <c r="J34" s="192"/>
      <c r="K34" s="193"/>
      <c r="L34" s="193"/>
      <c r="M34" s="193"/>
      <c r="N34" s="193"/>
      <c r="O34" s="163">
        <f t="shared" si="1"/>
        <v>0</v>
      </c>
      <c r="P34">
        <f t="shared" ref="P34:P43" si="3">SUM(C34:J34)/8</f>
        <v>0</v>
      </c>
      <c r="Q34">
        <f t="shared" si="0"/>
        <v>10</v>
      </c>
      <c r="T34" s="50"/>
    </row>
    <row r="35" spans="1:20">
      <c r="A35" s="67">
        <v>33</v>
      </c>
      <c r="B35" s="205"/>
      <c r="C35" s="192"/>
      <c r="D35" s="195"/>
      <c r="E35" s="195"/>
      <c r="F35" s="192"/>
      <c r="G35" s="192"/>
      <c r="H35" s="192"/>
      <c r="I35" s="195"/>
      <c r="J35" s="192"/>
      <c r="K35" s="193"/>
      <c r="L35" s="193"/>
      <c r="M35" s="193"/>
      <c r="N35" s="193"/>
      <c r="O35" s="197">
        <f t="shared" si="1"/>
        <v>0</v>
      </c>
      <c r="P35">
        <f>SUM(C35:J35)/8</f>
        <v>0</v>
      </c>
      <c r="Q35">
        <f>RANK(P35,$P$3:$P$35)</f>
        <v>10</v>
      </c>
      <c r="T35" s="50"/>
    </row>
    <row r="36" spans="1:20">
      <c r="A36" s="67">
        <v>34</v>
      </c>
      <c r="B36" s="206"/>
      <c r="C36" s="195"/>
      <c r="D36" s="195"/>
      <c r="E36" s="195"/>
      <c r="F36" s="195"/>
      <c r="G36" s="195"/>
      <c r="H36" s="195"/>
      <c r="I36" s="195"/>
      <c r="J36" s="192"/>
      <c r="K36" s="196"/>
      <c r="L36" s="196"/>
      <c r="M36" s="196"/>
      <c r="N36" s="196"/>
      <c r="O36" s="163">
        <f t="shared" si="1"/>
        <v>0</v>
      </c>
      <c r="P36">
        <f t="shared" si="3"/>
        <v>0</v>
      </c>
      <c r="Q36">
        <f>RANK(P36,$P$3:$P$43)</f>
        <v>10</v>
      </c>
      <c r="T36" s="50"/>
    </row>
    <row r="37" spans="1:20">
      <c r="A37" s="67">
        <v>35</v>
      </c>
      <c r="B37" s="205"/>
      <c r="C37" s="195"/>
      <c r="D37" s="195"/>
      <c r="E37" s="195"/>
      <c r="F37" s="195"/>
      <c r="G37" s="195"/>
      <c r="H37" s="195"/>
      <c r="I37" s="195"/>
      <c r="J37" s="192"/>
      <c r="K37" s="196"/>
      <c r="L37" s="196"/>
      <c r="M37" s="196"/>
      <c r="N37" s="196"/>
      <c r="O37" s="163">
        <f t="shared" si="1"/>
        <v>0</v>
      </c>
      <c r="P37">
        <f t="shared" si="3"/>
        <v>0</v>
      </c>
      <c r="Q37">
        <f t="shared" ref="Q37:Q43" si="4">RANK(P37,$P$3:$P$43)</f>
        <v>10</v>
      </c>
    </row>
    <row r="38" spans="1:20">
      <c r="A38" s="67">
        <v>36</v>
      </c>
      <c r="B38" s="205"/>
      <c r="C38" s="195"/>
      <c r="D38" s="195"/>
      <c r="E38" s="195"/>
      <c r="F38" s="195"/>
      <c r="G38" s="195"/>
      <c r="H38" s="195"/>
      <c r="I38" s="195"/>
      <c r="J38" s="192"/>
      <c r="K38" s="196"/>
      <c r="L38" s="196"/>
      <c r="M38" s="196"/>
      <c r="N38" s="196"/>
      <c r="O38" s="163">
        <f t="shared" si="1"/>
        <v>0</v>
      </c>
      <c r="P38">
        <f t="shared" si="3"/>
        <v>0</v>
      </c>
      <c r="Q38">
        <f t="shared" si="4"/>
        <v>10</v>
      </c>
    </row>
    <row r="39" spans="1:20">
      <c r="A39" s="67">
        <v>37</v>
      </c>
      <c r="B39" s="205"/>
      <c r="C39" s="195"/>
      <c r="D39" s="195"/>
      <c r="E39" s="195"/>
      <c r="F39" s="195"/>
      <c r="G39" s="195"/>
      <c r="H39" s="195"/>
      <c r="I39" s="195"/>
      <c r="J39" s="192"/>
      <c r="K39" s="196"/>
      <c r="L39" s="196"/>
      <c r="M39" s="196"/>
      <c r="N39" s="196"/>
      <c r="O39" s="163">
        <f t="shared" si="1"/>
        <v>0</v>
      </c>
      <c r="P39">
        <f t="shared" si="3"/>
        <v>0</v>
      </c>
      <c r="Q39">
        <f t="shared" si="4"/>
        <v>10</v>
      </c>
    </row>
    <row r="40" spans="1:20">
      <c r="A40" s="67">
        <v>38</v>
      </c>
      <c r="B40" s="205"/>
      <c r="C40" s="195"/>
      <c r="D40" s="195"/>
      <c r="E40" s="195"/>
      <c r="F40" s="195"/>
      <c r="G40" s="195"/>
      <c r="H40" s="195"/>
      <c r="I40" s="195"/>
      <c r="J40" s="192"/>
      <c r="K40" s="196"/>
      <c r="L40" s="196"/>
      <c r="M40" s="196"/>
      <c r="N40" s="196"/>
      <c r="O40" s="163">
        <f t="shared" si="1"/>
        <v>0</v>
      </c>
      <c r="P40">
        <f t="shared" si="3"/>
        <v>0</v>
      </c>
      <c r="Q40">
        <f t="shared" si="4"/>
        <v>10</v>
      </c>
    </row>
    <row r="41" spans="1:20">
      <c r="A41" s="67">
        <v>39</v>
      </c>
      <c r="B41" s="205"/>
      <c r="C41" s="195"/>
      <c r="D41" s="195"/>
      <c r="E41" s="195"/>
      <c r="F41" s="195"/>
      <c r="G41" s="195"/>
      <c r="H41" s="195"/>
      <c r="I41" s="195"/>
      <c r="J41" s="192"/>
      <c r="K41" s="196"/>
      <c r="L41" s="196"/>
      <c r="M41" s="196"/>
      <c r="N41" s="196"/>
      <c r="O41" s="163">
        <f t="shared" si="1"/>
        <v>0</v>
      </c>
      <c r="P41">
        <f t="shared" si="3"/>
        <v>0</v>
      </c>
      <c r="Q41">
        <f t="shared" si="4"/>
        <v>10</v>
      </c>
    </row>
    <row r="42" spans="1:20">
      <c r="A42" s="67">
        <v>40</v>
      </c>
      <c r="B42" s="165"/>
      <c r="C42" s="195"/>
      <c r="D42" s="195"/>
      <c r="E42" s="195"/>
      <c r="F42" s="195"/>
      <c r="G42" s="195"/>
      <c r="H42" s="195"/>
      <c r="I42" s="195"/>
      <c r="J42" s="192"/>
      <c r="K42" s="196"/>
      <c r="L42" s="196"/>
      <c r="M42" s="196"/>
      <c r="N42" s="196"/>
      <c r="O42" s="163">
        <f t="shared" si="1"/>
        <v>0</v>
      </c>
      <c r="P42">
        <f t="shared" si="3"/>
        <v>0</v>
      </c>
      <c r="Q42">
        <f t="shared" si="4"/>
        <v>10</v>
      </c>
    </row>
    <row r="43" spans="1:20">
      <c r="A43" s="67">
        <v>41</v>
      </c>
      <c r="B43" s="165"/>
      <c r="C43" s="195"/>
      <c r="D43" s="195"/>
      <c r="E43" s="195"/>
      <c r="F43" s="195"/>
      <c r="G43" s="195"/>
      <c r="H43" s="195"/>
      <c r="I43" s="195"/>
      <c r="J43" s="192"/>
      <c r="K43" s="196"/>
      <c r="L43" s="196"/>
      <c r="M43" s="196"/>
      <c r="N43" s="196"/>
      <c r="O43" s="163">
        <f t="shared" si="1"/>
        <v>0</v>
      </c>
      <c r="P43">
        <f t="shared" si="3"/>
        <v>0</v>
      </c>
      <c r="Q43">
        <f t="shared" si="4"/>
        <v>10</v>
      </c>
    </row>
    <row r="44" spans="1:20">
      <c r="A44" s="69"/>
      <c r="C44" t="s">
        <v>123</v>
      </c>
      <c r="E44" t="s">
        <v>123</v>
      </c>
      <c r="H44" t="s">
        <v>123</v>
      </c>
      <c r="O44" s="70"/>
    </row>
    <row r="45" spans="1:20">
      <c r="A45" s="69"/>
      <c r="C45" t="s">
        <v>123</v>
      </c>
      <c r="E45" t="s">
        <v>123</v>
      </c>
      <c r="H45" t="s">
        <v>123</v>
      </c>
      <c r="O45" s="70"/>
    </row>
    <row r="46" spans="1:20">
      <c r="A46" s="69"/>
      <c r="C46" t="s">
        <v>123</v>
      </c>
      <c r="E46" t="s">
        <v>123</v>
      </c>
      <c r="H46" t="s">
        <v>123</v>
      </c>
      <c r="O46" s="70"/>
    </row>
    <row r="47" spans="1:20">
      <c r="A47" s="69"/>
      <c r="C47" t="s">
        <v>123</v>
      </c>
      <c r="E47" t="s">
        <v>123</v>
      </c>
      <c r="H47" t="s">
        <v>123</v>
      </c>
      <c r="O47" s="70"/>
    </row>
    <row r="48" spans="1:20">
      <c r="A48" s="69"/>
      <c r="C48" t="s">
        <v>123</v>
      </c>
      <c r="E48" t="s">
        <v>123</v>
      </c>
      <c r="H48" t="s">
        <v>123</v>
      </c>
      <c r="O48" s="70"/>
    </row>
    <row r="49" spans="1:15">
      <c r="A49" s="69"/>
      <c r="C49" t="s">
        <v>123</v>
      </c>
      <c r="E49" t="s">
        <v>123</v>
      </c>
      <c r="H49" t="s">
        <v>123</v>
      </c>
      <c r="O49" s="70"/>
    </row>
    <row r="50" spans="1:15">
      <c r="A50" s="69"/>
      <c r="C50" t="s">
        <v>123</v>
      </c>
      <c r="E50" t="s">
        <v>123</v>
      </c>
      <c r="H50" t="s">
        <v>123</v>
      </c>
      <c r="O50" s="70"/>
    </row>
    <row r="51" spans="1:15">
      <c r="A51" s="69"/>
      <c r="C51" t="s">
        <v>123</v>
      </c>
      <c r="E51" t="s">
        <v>123</v>
      </c>
      <c r="H51" t="s">
        <v>123</v>
      </c>
      <c r="O51" s="70"/>
    </row>
    <row r="52" spans="1:15">
      <c r="A52" s="69"/>
      <c r="C52" t="s">
        <v>123</v>
      </c>
      <c r="E52" t="s">
        <v>123</v>
      </c>
      <c r="H52" t="s">
        <v>123</v>
      </c>
      <c r="O52" s="70"/>
    </row>
    <row r="53" spans="1:15" ht="15.75" thickBot="1">
      <c r="A53" s="71"/>
      <c r="B53" s="72"/>
      <c r="C53" s="72" t="s">
        <v>123</v>
      </c>
      <c r="D53" s="72"/>
      <c r="E53" s="72" t="s">
        <v>123</v>
      </c>
      <c r="F53" s="72"/>
      <c r="G53" s="72"/>
      <c r="H53" s="72" t="s">
        <v>123</v>
      </c>
      <c r="I53" s="72"/>
      <c r="J53" s="72"/>
      <c r="K53" s="72"/>
      <c r="L53" s="72"/>
      <c r="M53" s="72"/>
      <c r="N53" s="72"/>
      <c r="O53" s="73"/>
    </row>
    <row r="54" spans="1:15">
      <c r="C54" t="s">
        <v>123</v>
      </c>
      <c r="E54" t="s">
        <v>123</v>
      </c>
    </row>
    <row r="55" spans="1:15">
      <c r="C55" t="s">
        <v>123</v>
      </c>
      <c r="E55" t="s">
        <v>123</v>
      </c>
    </row>
    <row r="56" spans="1:15">
      <c r="C56" t="s">
        <v>123</v>
      </c>
      <c r="E56" t="s">
        <v>123</v>
      </c>
    </row>
    <row r="57" spans="1:15">
      <c r="C57" t="s">
        <v>123</v>
      </c>
      <c r="E57" t="s">
        <v>123</v>
      </c>
    </row>
    <row r="58" spans="1:15">
      <c r="C58" t="s">
        <v>123</v>
      </c>
      <c r="E58" t="s">
        <v>123</v>
      </c>
    </row>
    <row r="59" spans="1:15">
      <c r="C59" t="s">
        <v>123</v>
      </c>
      <c r="E59" t="s">
        <v>123</v>
      </c>
    </row>
    <row r="60" spans="1:15">
      <c r="C60" t="s">
        <v>123</v>
      </c>
      <c r="E60" t="s">
        <v>123</v>
      </c>
    </row>
  </sheetData>
  <mergeCells count="2">
    <mergeCell ref="O1:O2"/>
    <mergeCell ref="Q1:Q2"/>
  </mergeCells>
  <dataValidations xWindow="868" yWindow="497" count="2">
    <dataValidation allowBlank="1" showInputMessage="1" showErrorMessage="1" prompt="Results will generate automatically" sqref="I3:I30 C3:C35 D3:E33 F3:H35 J3:J43 O36:O43 K3:O35" xr:uid="{2423696E-BE22-49D1-9273-DE635BF357D5}"/>
    <dataValidation allowBlank="1" showInputMessage="1" showErrorMessage="1" prompt="Do not type name of learners here. Go to INPUT DATA sheet." sqref="B3:B34" xr:uid="{D0BDBC11-C5C4-4A6C-BA4D-C55D5EFC84BF}"/>
  </dataValidation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14F8-B6B2-425C-9F9B-D8E1C9C1BAE6}">
  <sheetPr>
    <pageSetUpPr fitToPage="1"/>
  </sheetPr>
  <dimension ref="A1:DA41"/>
  <sheetViews>
    <sheetView zoomScaleNormal="100" workbookViewId="0">
      <selection activeCell="AC3" sqref="AC3"/>
    </sheetView>
  </sheetViews>
  <sheetFormatPr defaultColWidth="9.140625" defaultRowHeight="15"/>
  <cols>
    <col min="1" max="1" width="3.85546875" style="83" customWidth="1"/>
    <col min="2" max="2" width="26.28515625" style="83" customWidth="1"/>
    <col min="3" max="3" width="4.140625" style="83" customWidth="1"/>
    <col min="4" max="4" width="4" style="83" customWidth="1"/>
    <col min="5" max="5" width="5" style="83" customWidth="1"/>
    <col min="6" max="9" width="3.7109375" style="83" customWidth="1"/>
    <col min="10" max="10" width="6.7109375" style="83" customWidth="1"/>
    <col min="11" max="14" width="3.7109375" style="83" customWidth="1"/>
    <col min="15" max="15" width="6.7109375" style="83" customWidth="1"/>
    <col min="16" max="19" width="3.7109375" style="83" customWidth="1"/>
    <col min="20" max="20" width="6.7109375" style="83" customWidth="1"/>
    <col min="21" max="24" width="3.7109375" style="83" customWidth="1"/>
    <col min="25" max="25" width="6.7109375" style="83" customWidth="1"/>
    <col min="26" max="29" width="3.7109375" style="83" customWidth="1"/>
    <col min="30" max="30" width="6.7109375" style="83" customWidth="1"/>
    <col min="31" max="34" width="3.7109375" style="83" customWidth="1"/>
    <col min="35" max="35" width="6.7109375" style="83" customWidth="1"/>
    <col min="36" max="39" width="3.7109375" style="83" customWidth="1"/>
    <col min="40" max="40" width="6.7109375" style="83" customWidth="1"/>
    <col min="41" max="42" width="3.7109375" style="83" customWidth="1"/>
    <col min="43" max="44" width="3.7109375" style="86" customWidth="1"/>
    <col min="45" max="45" width="6.5703125" style="87" customWidth="1"/>
    <col min="46" max="46" width="9" style="83" customWidth="1"/>
    <col min="47" max="47" width="8.85546875" style="83" customWidth="1"/>
    <col min="48" max="16384" width="9.140625" style="83"/>
  </cols>
  <sheetData>
    <row r="1" spans="1:105" ht="30">
      <c r="B1" s="428" t="s">
        <v>125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</row>
    <row r="2" spans="1:105"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5"/>
      <c r="V2" s="85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5"/>
      <c r="AL2" s="85"/>
      <c r="AM2" s="84"/>
      <c r="AN2" s="85"/>
      <c r="AO2" s="85"/>
      <c r="AP2" s="85"/>
    </row>
    <row r="3" spans="1:105" ht="20.25" customHeight="1">
      <c r="C3" s="406" t="s">
        <v>126</v>
      </c>
      <c r="D3" s="406"/>
      <c r="E3" s="406"/>
      <c r="F3" s="429"/>
      <c r="G3" s="430" t="s">
        <v>127</v>
      </c>
      <c r="H3" s="431"/>
      <c r="I3" s="431"/>
      <c r="J3" s="431"/>
      <c r="K3" s="432"/>
      <c r="L3" s="88"/>
      <c r="M3" s="88"/>
      <c r="N3" s="88"/>
      <c r="O3" s="88"/>
      <c r="P3" s="88"/>
      <c r="Q3" s="88"/>
      <c r="R3" s="403" t="s">
        <v>128</v>
      </c>
      <c r="S3" s="403"/>
      <c r="T3" s="403"/>
      <c r="U3" s="393"/>
      <c r="V3" s="394"/>
      <c r="W3" s="394"/>
      <c r="X3" s="394"/>
      <c r="Y3" s="394"/>
      <c r="Z3" s="395"/>
      <c r="AA3" s="90"/>
      <c r="AB3" s="90"/>
      <c r="AC3" s="90"/>
      <c r="AD3" s="90"/>
      <c r="AE3" s="91" t="s">
        <v>129</v>
      </c>
      <c r="AF3" s="91"/>
      <c r="AG3" s="91"/>
      <c r="AH3" s="91"/>
      <c r="AI3" s="92"/>
      <c r="AK3" s="393" t="s">
        <v>172</v>
      </c>
      <c r="AL3" s="394"/>
      <c r="AM3" s="394"/>
      <c r="AN3" s="394"/>
      <c r="AO3" s="394"/>
      <c r="AP3" s="395"/>
      <c r="AQ3" s="93"/>
      <c r="AR3" s="93"/>
      <c r="AS3" s="93"/>
    </row>
    <row r="4" spans="1:105" ht="10.5" customHeight="1">
      <c r="C4" s="94"/>
      <c r="D4" s="95"/>
      <c r="F4" s="84"/>
      <c r="G4" s="95"/>
      <c r="K4" s="95"/>
      <c r="L4" s="95"/>
      <c r="M4" s="95"/>
      <c r="N4" s="96"/>
      <c r="O4" s="96"/>
      <c r="P4" s="96"/>
      <c r="Q4" s="96"/>
      <c r="R4" s="97"/>
      <c r="S4" s="98"/>
      <c r="T4" s="98"/>
      <c r="V4" s="93"/>
      <c r="W4" s="99"/>
      <c r="X4" s="99"/>
      <c r="Y4" s="90"/>
      <c r="Z4" s="90"/>
      <c r="AA4" s="90"/>
      <c r="AB4" s="90"/>
      <c r="AC4" s="90"/>
      <c r="AD4" s="90"/>
      <c r="AE4" s="98"/>
      <c r="AF4" s="91"/>
      <c r="AG4" s="91"/>
      <c r="AH4" s="91"/>
      <c r="AI4" s="92"/>
      <c r="AM4" s="96"/>
      <c r="AN4" s="96"/>
      <c r="AO4" s="93"/>
      <c r="AP4" s="93"/>
      <c r="AQ4" s="96"/>
      <c r="AR4" s="93"/>
      <c r="AS4" s="93"/>
    </row>
    <row r="5" spans="1:105" ht="20.25" customHeight="1">
      <c r="A5" s="84"/>
      <c r="B5" s="84"/>
      <c r="C5" s="100" t="s">
        <v>130</v>
      </c>
      <c r="D5" s="84"/>
      <c r="F5" s="84"/>
      <c r="G5" s="393" t="s">
        <v>169</v>
      </c>
      <c r="H5" s="394"/>
      <c r="I5" s="394"/>
      <c r="J5" s="394"/>
      <c r="K5" s="394"/>
      <c r="L5" s="394"/>
      <c r="M5" s="394"/>
      <c r="N5" s="394"/>
      <c r="O5" s="394"/>
      <c r="P5" s="395"/>
      <c r="Q5" s="88"/>
      <c r="R5" s="403" t="s">
        <v>131</v>
      </c>
      <c r="S5" s="403"/>
      <c r="T5" s="403"/>
      <c r="U5" s="404">
        <v>123456</v>
      </c>
      <c r="V5" s="405"/>
      <c r="W5" s="405"/>
      <c r="X5" s="405"/>
      <c r="Y5" s="405"/>
      <c r="Z5" s="89"/>
      <c r="AA5" s="90"/>
      <c r="AB5" s="90"/>
      <c r="AC5" s="90"/>
      <c r="AD5" s="90"/>
      <c r="AE5" s="406" t="s">
        <v>132</v>
      </c>
      <c r="AF5" s="406"/>
      <c r="AG5" s="406"/>
      <c r="AH5" s="406"/>
      <c r="AI5" s="406"/>
      <c r="AK5" s="390" t="s">
        <v>177</v>
      </c>
      <c r="AL5" s="391"/>
      <c r="AM5" s="391"/>
      <c r="AN5" s="391"/>
      <c r="AO5" s="391"/>
      <c r="AP5" s="392"/>
      <c r="AQ5" s="93"/>
      <c r="AR5" s="93"/>
      <c r="AS5" s="93"/>
    </row>
    <row r="6" spans="1:105" ht="18.75" customHeight="1" thickBot="1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96"/>
      <c r="O6" s="96"/>
      <c r="P6" s="96"/>
      <c r="Q6" s="96"/>
      <c r="R6" s="96"/>
      <c r="S6" s="96"/>
      <c r="T6" s="96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101"/>
      <c r="AI6" s="99"/>
      <c r="AJ6" s="99"/>
      <c r="AK6" s="99"/>
      <c r="AL6" s="93"/>
      <c r="AM6" s="93"/>
      <c r="AN6" s="93"/>
      <c r="AO6" s="93"/>
      <c r="AP6" s="93"/>
    </row>
    <row r="7" spans="1:105" s="103" customFormat="1" ht="33.75" customHeight="1">
      <c r="A7" s="419" t="s">
        <v>133</v>
      </c>
      <c r="B7" s="420"/>
      <c r="C7" s="420"/>
      <c r="D7" s="420"/>
      <c r="E7" s="420"/>
      <c r="F7" s="425" t="s">
        <v>134</v>
      </c>
      <c r="G7" s="426"/>
      <c r="H7" s="426"/>
      <c r="I7" s="426"/>
      <c r="J7" s="427"/>
      <c r="K7" s="417" t="s">
        <v>111</v>
      </c>
      <c r="L7" s="415"/>
      <c r="M7" s="415"/>
      <c r="N7" s="415"/>
      <c r="O7" s="418"/>
      <c r="P7" s="425" t="s">
        <v>135</v>
      </c>
      <c r="Q7" s="426"/>
      <c r="R7" s="426"/>
      <c r="S7" s="426"/>
      <c r="T7" s="427"/>
      <c r="U7" s="417" t="s">
        <v>113</v>
      </c>
      <c r="V7" s="415"/>
      <c r="W7" s="415"/>
      <c r="X7" s="415"/>
      <c r="Y7" s="418"/>
      <c r="Z7" s="414" t="s">
        <v>136</v>
      </c>
      <c r="AA7" s="415"/>
      <c r="AB7" s="415"/>
      <c r="AC7" s="415"/>
      <c r="AD7" s="416"/>
      <c r="AE7" s="402" t="s">
        <v>116</v>
      </c>
      <c r="AF7" s="402"/>
      <c r="AG7" s="402"/>
      <c r="AH7" s="402"/>
      <c r="AI7" s="402"/>
      <c r="AJ7" s="414" t="s">
        <v>59</v>
      </c>
      <c r="AK7" s="415"/>
      <c r="AL7" s="415"/>
      <c r="AM7" s="415"/>
      <c r="AN7" s="416"/>
      <c r="AO7" s="417" t="s">
        <v>110</v>
      </c>
      <c r="AP7" s="415"/>
      <c r="AQ7" s="415"/>
      <c r="AR7" s="415"/>
      <c r="AS7" s="418"/>
      <c r="AT7" s="407"/>
      <c r="AU7" s="410" t="s">
        <v>137</v>
      </c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</row>
    <row r="8" spans="1:105" s="103" customFormat="1" ht="17.25" customHeight="1">
      <c r="A8" s="421"/>
      <c r="B8" s="422"/>
      <c r="C8" s="422"/>
      <c r="D8" s="422"/>
      <c r="E8" s="422"/>
      <c r="F8" s="413" t="s">
        <v>42</v>
      </c>
      <c r="G8" s="398"/>
      <c r="H8" s="398"/>
      <c r="I8" s="399"/>
      <c r="J8" s="396" t="s">
        <v>138</v>
      </c>
      <c r="K8" s="398" t="s">
        <v>42</v>
      </c>
      <c r="L8" s="398"/>
      <c r="M8" s="398"/>
      <c r="N8" s="399"/>
      <c r="O8" s="400" t="s">
        <v>138</v>
      </c>
      <c r="P8" s="413" t="s">
        <v>42</v>
      </c>
      <c r="Q8" s="398"/>
      <c r="R8" s="398"/>
      <c r="S8" s="399"/>
      <c r="T8" s="396" t="s">
        <v>138</v>
      </c>
      <c r="U8" s="398" t="s">
        <v>42</v>
      </c>
      <c r="V8" s="398"/>
      <c r="W8" s="398"/>
      <c r="X8" s="399"/>
      <c r="Y8" s="400" t="s">
        <v>138</v>
      </c>
      <c r="Z8" s="413" t="s">
        <v>42</v>
      </c>
      <c r="AA8" s="398"/>
      <c r="AB8" s="398"/>
      <c r="AC8" s="399"/>
      <c r="AD8" s="396" t="s">
        <v>138</v>
      </c>
      <c r="AE8" s="398" t="s">
        <v>42</v>
      </c>
      <c r="AF8" s="398"/>
      <c r="AG8" s="398"/>
      <c r="AH8" s="399"/>
      <c r="AI8" s="400" t="s">
        <v>138</v>
      </c>
      <c r="AJ8" s="413" t="s">
        <v>42</v>
      </c>
      <c r="AK8" s="398"/>
      <c r="AL8" s="398"/>
      <c r="AM8" s="399"/>
      <c r="AN8" s="396" t="s">
        <v>138</v>
      </c>
      <c r="AO8" s="398" t="s">
        <v>42</v>
      </c>
      <c r="AP8" s="398"/>
      <c r="AQ8" s="398"/>
      <c r="AR8" s="399"/>
      <c r="AS8" s="400" t="s">
        <v>138</v>
      </c>
      <c r="AT8" s="408"/>
      <c r="AU8" s="411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</row>
    <row r="9" spans="1:105" s="103" customFormat="1" ht="15.75" customHeight="1">
      <c r="A9" s="423"/>
      <c r="B9" s="424"/>
      <c r="C9" s="424"/>
      <c r="D9" s="424"/>
      <c r="E9" s="424"/>
      <c r="F9" s="104">
        <v>1</v>
      </c>
      <c r="G9" s="105">
        <v>2</v>
      </c>
      <c r="H9" s="105">
        <v>3</v>
      </c>
      <c r="I9" s="105">
        <v>4</v>
      </c>
      <c r="J9" s="397"/>
      <c r="K9" s="106">
        <v>1</v>
      </c>
      <c r="L9" s="105">
        <v>2</v>
      </c>
      <c r="M9" s="105">
        <v>3</v>
      </c>
      <c r="N9" s="105">
        <v>4</v>
      </c>
      <c r="O9" s="401"/>
      <c r="P9" s="104">
        <v>1</v>
      </c>
      <c r="Q9" s="105">
        <v>2</v>
      </c>
      <c r="R9" s="105">
        <v>3</v>
      </c>
      <c r="S9" s="105">
        <v>4</v>
      </c>
      <c r="T9" s="397"/>
      <c r="U9" s="106">
        <v>1</v>
      </c>
      <c r="V9" s="105">
        <v>2</v>
      </c>
      <c r="W9" s="105">
        <v>3</v>
      </c>
      <c r="X9" s="105">
        <v>4</v>
      </c>
      <c r="Y9" s="401"/>
      <c r="Z9" s="104">
        <v>1</v>
      </c>
      <c r="AA9" s="105">
        <v>2</v>
      </c>
      <c r="AB9" s="105">
        <v>3</v>
      </c>
      <c r="AC9" s="105">
        <v>4</v>
      </c>
      <c r="AD9" s="397"/>
      <c r="AE9" s="106">
        <v>1</v>
      </c>
      <c r="AF9" s="105">
        <v>2</v>
      </c>
      <c r="AG9" s="105">
        <v>3</v>
      </c>
      <c r="AH9" s="105">
        <v>4</v>
      </c>
      <c r="AI9" s="401"/>
      <c r="AJ9" s="104">
        <v>1</v>
      </c>
      <c r="AK9" s="105">
        <v>2</v>
      </c>
      <c r="AL9" s="105">
        <v>3</v>
      </c>
      <c r="AM9" s="105">
        <v>4</v>
      </c>
      <c r="AN9" s="397"/>
      <c r="AO9" s="106">
        <v>1</v>
      </c>
      <c r="AP9" s="105">
        <v>2</v>
      </c>
      <c r="AQ9" s="105">
        <v>3</v>
      </c>
      <c r="AR9" s="105">
        <v>4</v>
      </c>
      <c r="AS9" s="401"/>
      <c r="AT9" s="409"/>
      <c r="AU9" s="41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</row>
    <row r="10" spans="1:105" s="103" customFormat="1">
      <c r="A10" s="107"/>
      <c r="B10" s="108" t="s">
        <v>139</v>
      </c>
      <c r="C10" s="109"/>
      <c r="D10" s="109"/>
      <c r="E10" s="109"/>
      <c r="F10" s="107"/>
      <c r="G10" s="110"/>
      <c r="H10" s="110"/>
      <c r="I10" s="110"/>
      <c r="J10" s="111"/>
      <c r="K10" s="112"/>
      <c r="L10" s="110"/>
      <c r="M10" s="110"/>
      <c r="N10" s="110"/>
      <c r="O10" s="113"/>
      <c r="P10" s="107"/>
      <c r="Q10" s="110"/>
      <c r="R10" s="110"/>
      <c r="S10" s="110"/>
      <c r="T10" s="111"/>
      <c r="U10" s="112"/>
      <c r="V10" s="110"/>
      <c r="W10" s="110"/>
      <c r="X10" s="110"/>
      <c r="Y10" s="113"/>
      <c r="Z10" s="107"/>
      <c r="AA10" s="110"/>
      <c r="AB10" s="110"/>
      <c r="AC10" s="110"/>
      <c r="AD10" s="111"/>
      <c r="AE10" s="112"/>
      <c r="AF10" s="110"/>
      <c r="AG10" s="110"/>
      <c r="AH10" s="110"/>
      <c r="AI10" s="113"/>
      <c r="AJ10" s="107"/>
      <c r="AK10" s="110"/>
      <c r="AL10" s="110"/>
      <c r="AM10" s="110"/>
      <c r="AN10" s="111"/>
      <c r="AO10" s="112"/>
      <c r="AP10" s="110"/>
      <c r="AQ10" s="110"/>
      <c r="AR10" s="110"/>
      <c r="AS10" s="113"/>
      <c r="AT10" s="114"/>
      <c r="AU10" s="115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</row>
    <row r="11" spans="1:105" s="103" customFormat="1" ht="18" customHeight="1">
      <c r="A11" s="116">
        <v>1</v>
      </c>
      <c r="B11" s="117"/>
      <c r="C11" s="118"/>
      <c r="D11" s="118"/>
      <c r="E11" s="118"/>
      <c r="F11" s="131"/>
      <c r="G11" s="119"/>
      <c r="H11" s="128"/>
      <c r="I11" s="119"/>
      <c r="J11" s="146" t="str">
        <f>IF(OR(F11="",G11="",H11="",I11=""),"",IF(ISERROR(ROUND(AVERAGE(F11,G11,H11,I11),0)),"",ROUND(AVERAGE(F11,G11,H11,I11),0)))</f>
        <v/>
      </c>
      <c r="K11" s="129"/>
      <c r="L11" s="119"/>
      <c r="M11" s="119"/>
      <c r="N11" s="119"/>
      <c r="O11" s="149" t="str">
        <f>IF(OR(K11="",L11="",M11="",N11=""),"",IF(ISERROR(ROUND(AVERAGE(K11,L11,M11,N11),0)),"",ROUND(AVERAGE(K11,L11,M11,N11),0)))</f>
        <v/>
      </c>
      <c r="P11" s="131"/>
      <c r="Q11" s="119"/>
      <c r="R11" s="119"/>
      <c r="S11" s="119"/>
      <c r="T11" s="146" t="str">
        <f>IF(OR(P11="",Q11="",R11="",S11=""),"",IF(ISERROR(ROUND(AVERAGE(P11,Q11,R11,S11),0)),"",ROUND(AVERAGE(P11,Q11,R11,S11),0)))</f>
        <v/>
      </c>
      <c r="U11" s="129"/>
      <c r="V11" s="119"/>
      <c r="W11" s="128"/>
      <c r="X11" s="130"/>
      <c r="Y11" s="149" t="str">
        <f>IF(OR(U11="",V11="",W11="",X11=""),"",IF(ISERROR(ROUND(AVERAGE(U11,V11,W11,X11),0)),"",ROUND(AVERAGE(U11,V11,W11,X11),0)))</f>
        <v/>
      </c>
      <c r="Z11" s="131"/>
      <c r="AA11" s="119"/>
      <c r="AB11" s="119"/>
      <c r="AC11" s="119"/>
      <c r="AD11" s="146" t="str">
        <f>IF(OR(Z11="",AA11="",AB11="",AC11=""),"",IF(ISERROR(ROUND(AVERAGE(Z11,AA11,AB11,AC11),0)),"",ROUND(AVERAGE(Z11,AA11,AB11,AC11),0)))</f>
        <v/>
      </c>
      <c r="AE11" s="129"/>
      <c r="AF11" s="130"/>
      <c r="AG11" s="130"/>
      <c r="AH11" s="119"/>
      <c r="AI11" s="149" t="str">
        <f>IF(OR(AE11="",AF11="",AG11="",AH11=""),"",IF(ISERROR(ROUND(AVERAGE(AE11,AF11,AG11,AH11),0)),"",ROUND(AVERAGE(AE11,AF11,AG11,AH11),0)))</f>
        <v/>
      </c>
      <c r="AJ11" s="131"/>
      <c r="AK11" s="119"/>
      <c r="AL11" s="119"/>
      <c r="AM11" s="119"/>
      <c r="AN11" s="146" t="str">
        <f>IF(OR(AJ11="",AK11="",AL11="",AM11=""),"",IF(ISERROR(ROUND(AVERAGE(AJ11,AK11,AL11,AM11),0)),"",ROUND(AVERAGE(AJ11,AK11,AL11,AM11),0)))</f>
        <v/>
      </c>
      <c r="AO11" s="129"/>
      <c r="AP11" s="143"/>
      <c r="AQ11" s="143"/>
      <c r="AR11" s="119"/>
      <c r="AS11" s="149" t="str">
        <f>IF(OR(AO11="",AP11="",AQ11="",AR11=""),"",IF(ISERROR(ROUND(AVERAGE(AO11,AP11,AQ11,AR11),0)),"",ROUND(AVERAGE(AO11,AP11,AQ11,AR11),0)))</f>
        <v/>
      </c>
      <c r="AT11" s="132" t="str">
        <f>IF(ISERROR(J11+O11+T11+Y11+AD11+AI11+AN11+AS11)/8,"",(J11+O11+T11+Y11+AD11+AI11+AN11+AS11)/8)</f>
        <v/>
      </c>
      <c r="AU11" s="152" t="str">
        <f>IF(ISERROR(ROUND(AT11,0)),"",ROUND(AT11,0))</f>
        <v/>
      </c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</row>
    <row r="12" spans="1:105" s="103" customFormat="1" ht="18" customHeight="1">
      <c r="A12" s="116">
        <v>2</v>
      </c>
      <c r="B12" s="117"/>
      <c r="C12" s="118"/>
      <c r="D12" s="118"/>
      <c r="E12" s="118"/>
      <c r="F12" s="131"/>
      <c r="G12" s="119"/>
      <c r="H12" s="128"/>
      <c r="I12" s="119"/>
      <c r="J12" s="146" t="str">
        <f t="shared" ref="J12:J41" si="0">IF(OR(F12="",G12="",H12="",I12=""),"",IF(ISERROR(ROUND(AVERAGE(F12,G12,H12,I12),0)),"",ROUND(AVERAGE(F12,G12,H12,I12),0)))</f>
        <v/>
      </c>
      <c r="K12" s="129"/>
      <c r="L12" s="119"/>
      <c r="M12" s="119"/>
      <c r="N12" s="119"/>
      <c r="O12" s="149" t="str">
        <f t="shared" ref="O12:O41" si="1">IF(OR(K12="",L12="",M12="",N12=""),"",IF(ISERROR(ROUND(AVERAGE(K12,L12,M12,N12),0)),"",ROUND(AVERAGE(K12,L12,M12,N12),0)))</f>
        <v/>
      </c>
      <c r="P12" s="131"/>
      <c r="Q12" s="119"/>
      <c r="R12" s="119"/>
      <c r="S12" s="119"/>
      <c r="T12" s="146" t="str">
        <f t="shared" ref="T12:T41" si="2">IF(OR(P12="",Q12="",R12="",S12=""),"",IF(ISERROR(ROUND(AVERAGE(P12,Q12,R12,S12),0)),"",ROUND(AVERAGE(P12,Q12,R12,S12),0)))</f>
        <v/>
      </c>
      <c r="U12" s="129"/>
      <c r="V12" s="119"/>
      <c r="W12" s="128"/>
      <c r="X12" s="130"/>
      <c r="Y12" s="149" t="str">
        <f t="shared" ref="Y12:Y41" si="3">IF(OR(U12="",V12="",W12="",X12=""),"",IF(ISERROR(ROUND(AVERAGE(U12,V12,W12,X12),0)),"",ROUND(AVERAGE(U12,V12,W12,X12),0)))</f>
        <v/>
      </c>
      <c r="Z12" s="131"/>
      <c r="AA12" s="119"/>
      <c r="AB12" s="119"/>
      <c r="AC12" s="119"/>
      <c r="AD12" s="146" t="str">
        <f t="shared" ref="AD12:AD41" si="4">IF(OR(Z12="",AA12="",AB12="",AC12=""),"",IF(ISERROR(ROUND(AVERAGE(Z12,AA12,AB12,AC12),0)),"",ROUND(AVERAGE(Z12,AA12,AB12,AC12),0)))</f>
        <v/>
      </c>
      <c r="AE12" s="129"/>
      <c r="AF12" s="130"/>
      <c r="AG12" s="130"/>
      <c r="AH12" s="119"/>
      <c r="AI12" s="149" t="str">
        <f t="shared" ref="AI12:AI41" si="5">IF(OR(AE12="",AF12="",AG12="",AH12=""),"",IF(ISERROR(ROUND(AVERAGE(AE12,AF12,AG12,AH12),0)),"",ROUND(AVERAGE(AE12,AF12,AG12,AH12),0)))</f>
        <v/>
      </c>
      <c r="AJ12" s="131"/>
      <c r="AK12" s="119"/>
      <c r="AL12" s="119"/>
      <c r="AM12" s="119"/>
      <c r="AN12" s="146" t="str">
        <f t="shared" ref="AN12:AN41" si="6">IF(OR(AJ12="",AK12="",AL12="",AM12=""),"",IF(ISERROR(ROUND(AVERAGE(AJ12,AK12,AL12,AM12),0)),"",ROUND(AVERAGE(AJ12,AK12,AL12,AM12),0)))</f>
        <v/>
      </c>
      <c r="AO12" s="129"/>
      <c r="AP12" s="143"/>
      <c r="AQ12" s="143"/>
      <c r="AR12" s="119"/>
      <c r="AS12" s="149" t="str">
        <f t="shared" ref="AS12:AS41" si="7">IF(OR(AO12="",AP12="",AQ12="",AR12=""),"",IF(ISERROR(ROUND(AVERAGE(AO12,AP12,AQ12,AR12),0)),"",ROUND(AVERAGE(AO12,AP12,AQ12,AR12),0)))</f>
        <v/>
      </c>
      <c r="AT12" s="132" t="str">
        <f t="shared" ref="AT12:AT41" si="8">IF(ISERROR(J12+O12+T12+Y12+AD12+AI12+AN12+AS12)/8,"",(J12+O12+T12+Y12+AD12+AI12+AN12+AS12)/8)</f>
        <v/>
      </c>
      <c r="AU12" s="152" t="str">
        <f t="shared" ref="AU12:AU41" si="9">IF(ISERROR(ROUND(AT12,0)),"",ROUND(AT12,0))</f>
        <v/>
      </c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</row>
    <row r="13" spans="1:105" s="103" customFormat="1" ht="18" customHeight="1">
      <c r="A13" s="116">
        <v>3</v>
      </c>
      <c r="B13" s="117"/>
      <c r="C13" s="118"/>
      <c r="D13" s="118"/>
      <c r="E13" s="118"/>
      <c r="F13" s="131"/>
      <c r="G13" s="119"/>
      <c r="H13" s="128"/>
      <c r="I13" s="119"/>
      <c r="J13" s="146" t="str">
        <f t="shared" si="0"/>
        <v/>
      </c>
      <c r="K13" s="129"/>
      <c r="L13" s="119"/>
      <c r="M13" s="119"/>
      <c r="N13" s="119"/>
      <c r="O13" s="149" t="str">
        <f t="shared" si="1"/>
        <v/>
      </c>
      <c r="P13" s="131"/>
      <c r="Q13" s="119"/>
      <c r="R13" s="119"/>
      <c r="S13" s="119"/>
      <c r="T13" s="146" t="str">
        <f t="shared" si="2"/>
        <v/>
      </c>
      <c r="U13" s="129"/>
      <c r="V13" s="119"/>
      <c r="W13" s="128"/>
      <c r="X13" s="130"/>
      <c r="Y13" s="149" t="str">
        <f t="shared" si="3"/>
        <v/>
      </c>
      <c r="Z13" s="131"/>
      <c r="AA13" s="119"/>
      <c r="AB13" s="119"/>
      <c r="AC13" s="119"/>
      <c r="AD13" s="146" t="str">
        <f t="shared" si="4"/>
        <v/>
      </c>
      <c r="AE13" s="129"/>
      <c r="AF13" s="130"/>
      <c r="AG13" s="130"/>
      <c r="AH13" s="119"/>
      <c r="AI13" s="149" t="str">
        <f t="shared" si="5"/>
        <v/>
      </c>
      <c r="AJ13" s="131"/>
      <c r="AK13" s="119"/>
      <c r="AL13" s="119"/>
      <c r="AM13" s="119"/>
      <c r="AN13" s="146" t="str">
        <f t="shared" si="6"/>
        <v/>
      </c>
      <c r="AO13" s="129"/>
      <c r="AP13" s="143"/>
      <c r="AQ13" s="143"/>
      <c r="AR13" s="119"/>
      <c r="AS13" s="149" t="str">
        <f t="shared" si="7"/>
        <v/>
      </c>
      <c r="AT13" s="132" t="str">
        <f t="shared" si="8"/>
        <v/>
      </c>
      <c r="AU13" s="152" t="str">
        <f t="shared" si="9"/>
        <v/>
      </c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</row>
    <row r="14" spans="1:105" s="103" customFormat="1" ht="18" customHeight="1">
      <c r="A14" s="116">
        <v>4</v>
      </c>
      <c r="B14" s="117"/>
      <c r="C14" s="118"/>
      <c r="D14" s="118"/>
      <c r="E14" s="118"/>
      <c r="F14" s="131"/>
      <c r="G14" s="119"/>
      <c r="H14" s="128"/>
      <c r="I14" s="119"/>
      <c r="J14" s="146" t="str">
        <f t="shared" si="0"/>
        <v/>
      </c>
      <c r="K14" s="129"/>
      <c r="L14" s="119"/>
      <c r="M14" s="119"/>
      <c r="N14" s="119"/>
      <c r="O14" s="149" t="str">
        <f t="shared" si="1"/>
        <v/>
      </c>
      <c r="P14" s="131"/>
      <c r="Q14" s="119"/>
      <c r="R14" s="119"/>
      <c r="S14" s="119"/>
      <c r="T14" s="146" t="str">
        <f t="shared" si="2"/>
        <v/>
      </c>
      <c r="U14" s="129"/>
      <c r="V14" s="119"/>
      <c r="W14" s="128"/>
      <c r="X14" s="130"/>
      <c r="Y14" s="149" t="str">
        <f t="shared" si="3"/>
        <v/>
      </c>
      <c r="Z14" s="131"/>
      <c r="AA14" s="119"/>
      <c r="AB14" s="119"/>
      <c r="AC14" s="119"/>
      <c r="AD14" s="146" t="str">
        <f t="shared" si="4"/>
        <v/>
      </c>
      <c r="AE14" s="129"/>
      <c r="AF14" s="130"/>
      <c r="AG14" s="130"/>
      <c r="AH14" s="119"/>
      <c r="AI14" s="149" t="str">
        <f t="shared" si="5"/>
        <v/>
      </c>
      <c r="AJ14" s="131"/>
      <c r="AK14" s="119"/>
      <c r="AL14" s="119"/>
      <c r="AM14" s="119"/>
      <c r="AN14" s="146" t="str">
        <f t="shared" si="6"/>
        <v/>
      </c>
      <c r="AO14" s="129"/>
      <c r="AP14" s="143"/>
      <c r="AQ14" s="143"/>
      <c r="AR14" s="119"/>
      <c r="AS14" s="149" t="str">
        <f t="shared" si="7"/>
        <v/>
      </c>
      <c r="AT14" s="132" t="str">
        <f t="shared" si="8"/>
        <v/>
      </c>
      <c r="AU14" s="152" t="str">
        <f t="shared" si="9"/>
        <v/>
      </c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</row>
    <row r="15" spans="1:105" s="103" customFormat="1" ht="18" customHeight="1">
      <c r="A15" s="116">
        <v>5</v>
      </c>
      <c r="B15" s="117"/>
      <c r="C15" s="118"/>
      <c r="D15" s="118"/>
      <c r="E15" s="118"/>
      <c r="F15" s="131"/>
      <c r="G15" s="119"/>
      <c r="H15" s="128"/>
      <c r="I15" s="119"/>
      <c r="J15" s="146" t="str">
        <f t="shared" si="0"/>
        <v/>
      </c>
      <c r="K15" s="129"/>
      <c r="L15" s="119"/>
      <c r="M15" s="119"/>
      <c r="N15" s="119"/>
      <c r="O15" s="149" t="str">
        <f t="shared" si="1"/>
        <v/>
      </c>
      <c r="P15" s="131"/>
      <c r="Q15" s="119"/>
      <c r="R15" s="119"/>
      <c r="S15" s="119"/>
      <c r="T15" s="146" t="str">
        <f t="shared" si="2"/>
        <v/>
      </c>
      <c r="U15" s="129"/>
      <c r="V15" s="119"/>
      <c r="W15" s="128"/>
      <c r="X15" s="130"/>
      <c r="Y15" s="149" t="str">
        <f t="shared" si="3"/>
        <v/>
      </c>
      <c r="Z15" s="131"/>
      <c r="AA15" s="119"/>
      <c r="AB15" s="119"/>
      <c r="AC15" s="119"/>
      <c r="AD15" s="146" t="str">
        <f t="shared" si="4"/>
        <v/>
      </c>
      <c r="AE15" s="129"/>
      <c r="AF15" s="130"/>
      <c r="AG15" s="130"/>
      <c r="AH15" s="119"/>
      <c r="AI15" s="149" t="str">
        <f t="shared" si="5"/>
        <v/>
      </c>
      <c r="AJ15" s="131"/>
      <c r="AK15" s="119"/>
      <c r="AL15" s="119"/>
      <c r="AM15" s="119"/>
      <c r="AN15" s="146" t="str">
        <f t="shared" si="6"/>
        <v/>
      </c>
      <c r="AO15" s="129"/>
      <c r="AP15" s="143"/>
      <c r="AQ15" s="143"/>
      <c r="AR15" s="119"/>
      <c r="AS15" s="149" t="str">
        <f t="shared" si="7"/>
        <v/>
      </c>
      <c r="AT15" s="132" t="str">
        <f t="shared" si="8"/>
        <v/>
      </c>
      <c r="AU15" s="152" t="str">
        <f t="shared" si="9"/>
        <v/>
      </c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</row>
    <row r="16" spans="1:105" s="103" customFormat="1" ht="18" customHeight="1">
      <c r="A16" s="116">
        <v>6</v>
      </c>
      <c r="B16" s="117"/>
      <c r="C16" s="118"/>
      <c r="D16" s="118"/>
      <c r="E16" s="118"/>
      <c r="F16" s="131"/>
      <c r="G16" s="119"/>
      <c r="H16" s="128"/>
      <c r="I16" s="119"/>
      <c r="J16" s="146" t="str">
        <f t="shared" si="0"/>
        <v/>
      </c>
      <c r="K16" s="129"/>
      <c r="L16" s="119"/>
      <c r="M16" s="119"/>
      <c r="N16" s="119"/>
      <c r="O16" s="149" t="str">
        <f t="shared" si="1"/>
        <v/>
      </c>
      <c r="P16" s="131"/>
      <c r="Q16" s="119"/>
      <c r="R16" s="119"/>
      <c r="S16" s="119"/>
      <c r="T16" s="146" t="str">
        <f t="shared" si="2"/>
        <v/>
      </c>
      <c r="U16" s="129"/>
      <c r="V16" s="119"/>
      <c r="W16" s="128"/>
      <c r="X16" s="130"/>
      <c r="Y16" s="149" t="str">
        <f t="shared" si="3"/>
        <v/>
      </c>
      <c r="Z16" s="131"/>
      <c r="AA16" s="119"/>
      <c r="AB16" s="119"/>
      <c r="AC16" s="119"/>
      <c r="AD16" s="146" t="str">
        <f t="shared" si="4"/>
        <v/>
      </c>
      <c r="AE16" s="129"/>
      <c r="AF16" s="130"/>
      <c r="AG16" s="130"/>
      <c r="AH16" s="119"/>
      <c r="AI16" s="149" t="str">
        <f t="shared" si="5"/>
        <v/>
      </c>
      <c r="AJ16" s="131"/>
      <c r="AK16" s="119"/>
      <c r="AL16" s="119"/>
      <c r="AM16" s="119"/>
      <c r="AN16" s="146" t="str">
        <f t="shared" si="6"/>
        <v/>
      </c>
      <c r="AO16" s="129"/>
      <c r="AP16" s="143"/>
      <c r="AQ16" s="143"/>
      <c r="AR16" s="119"/>
      <c r="AS16" s="149" t="str">
        <f t="shared" si="7"/>
        <v/>
      </c>
      <c r="AT16" s="132" t="str">
        <f t="shared" si="8"/>
        <v/>
      </c>
      <c r="AU16" s="152" t="str">
        <f t="shared" si="9"/>
        <v/>
      </c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</row>
    <row r="17" spans="1:105" s="103" customFormat="1" ht="18" customHeight="1">
      <c r="A17" s="116">
        <v>7</v>
      </c>
      <c r="B17" s="117"/>
      <c r="C17" s="118"/>
      <c r="D17" s="118"/>
      <c r="E17" s="118"/>
      <c r="F17" s="131"/>
      <c r="G17" s="119"/>
      <c r="H17" s="128"/>
      <c r="I17" s="119"/>
      <c r="J17" s="146" t="str">
        <f t="shared" si="0"/>
        <v/>
      </c>
      <c r="K17" s="129"/>
      <c r="L17" s="119"/>
      <c r="M17" s="119"/>
      <c r="N17" s="119"/>
      <c r="O17" s="149" t="str">
        <f t="shared" si="1"/>
        <v/>
      </c>
      <c r="P17" s="131"/>
      <c r="Q17" s="119"/>
      <c r="R17" s="119"/>
      <c r="S17" s="119"/>
      <c r="T17" s="146" t="str">
        <f t="shared" si="2"/>
        <v/>
      </c>
      <c r="U17" s="129"/>
      <c r="V17" s="119"/>
      <c r="W17" s="128"/>
      <c r="X17" s="130"/>
      <c r="Y17" s="149" t="str">
        <f t="shared" si="3"/>
        <v/>
      </c>
      <c r="Z17" s="131"/>
      <c r="AA17" s="119"/>
      <c r="AB17" s="119"/>
      <c r="AC17" s="119"/>
      <c r="AD17" s="146" t="str">
        <f t="shared" si="4"/>
        <v/>
      </c>
      <c r="AE17" s="129"/>
      <c r="AF17" s="130"/>
      <c r="AG17" s="130"/>
      <c r="AH17" s="119"/>
      <c r="AI17" s="149" t="str">
        <f t="shared" si="5"/>
        <v/>
      </c>
      <c r="AJ17" s="131"/>
      <c r="AK17" s="119"/>
      <c r="AL17" s="119"/>
      <c r="AM17" s="119"/>
      <c r="AN17" s="146" t="str">
        <f t="shared" si="6"/>
        <v/>
      </c>
      <c r="AO17" s="129"/>
      <c r="AP17" s="143"/>
      <c r="AQ17" s="143"/>
      <c r="AR17" s="119"/>
      <c r="AS17" s="149" t="str">
        <f t="shared" si="7"/>
        <v/>
      </c>
      <c r="AT17" s="132" t="str">
        <f t="shared" si="8"/>
        <v/>
      </c>
      <c r="AU17" s="152" t="str">
        <f t="shared" si="9"/>
        <v/>
      </c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</row>
    <row r="18" spans="1:105" s="103" customFormat="1" ht="18" customHeight="1">
      <c r="A18" s="116">
        <v>8</v>
      </c>
      <c r="B18" s="117"/>
      <c r="C18" s="118"/>
      <c r="D18" s="118"/>
      <c r="E18" s="118"/>
      <c r="F18" s="131"/>
      <c r="G18" s="119"/>
      <c r="H18" s="128"/>
      <c r="I18" s="119"/>
      <c r="J18" s="146" t="str">
        <f t="shared" si="0"/>
        <v/>
      </c>
      <c r="K18" s="129"/>
      <c r="L18" s="119"/>
      <c r="M18" s="119"/>
      <c r="N18" s="119"/>
      <c r="O18" s="149" t="str">
        <f t="shared" si="1"/>
        <v/>
      </c>
      <c r="P18" s="131"/>
      <c r="Q18" s="119"/>
      <c r="R18" s="119"/>
      <c r="S18" s="119"/>
      <c r="T18" s="146" t="str">
        <f t="shared" si="2"/>
        <v/>
      </c>
      <c r="U18" s="129"/>
      <c r="V18" s="119"/>
      <c r="W18" s="128"/>
      <c r="X18" s="130"/>
      <c r="Y18" s="149" t="str">
        <f t="shared" si="3"/>
        <v/>
      </c>
      <c r="Z18" s="131"/>
      <c r="AA18" s="119"/>
      <c r="AB18" s="119"/>
      <c r="AC18" s="119"/>
      <c r="AD18" s="146" t="str">
        <f t="shared" si="4"/>
        <v/>
      </c>
      <c r="AE18" s="129"/>
      <c r="AF18" s="130"/>
      <c r="AG18" s="130"/>
      <c r="AH18" s="119"/>
      <c r="AI18" s="149" t="str">
        <f t="shared" si="5"/>
        <v/>
      </c>
      <c r="AJ18" s="131"/>
      <c r="AK18" s="119"/>
      <c r="AL18" s="119"/>
      <c r="AM18" s="119"/>
      <c r="AN18" s="146" t="str">
        <f t="shared" si="6"/>
        <v/>
      </c>
      <c r="AO18" s="129"/>
      <c r="AP18" s="143"/>
      <c r="AQ18" s="143"/>
      <c r="AR18" s="119"/>
      <c r="AS18" s="149" t="str">
        <f t="shared" si="7"/>
        <v/>
      </c>
      <c r="AT18" s="132" t="str">
        <f t="shared" si="8"/>
        <v/>
      </c>
      <c r="AU18" s="152" t="str">
        <f t="shared" si="9"/>
        <v/>
      </c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</row>
    <row r="19" spans="1:105" s="103" customFormat="1" ht="18" customHeight="1">
      <c r="A19" s="116">
        <v>9</v>
      </c>
      <c r="B19" s="117"/>
      <c r="C19" s="118"/>
      <c r="D19" s="118"/>
      <c r="E19" s="118"/>
      <c r="F19" s="131"/>
      <c r="G19" s="119"/>
      <c r="H19" s="128"/>
      <c r="I19" s="119"/>
      <c r="J19" s="146" t="str">
        <f t="shared" si="0"/>
        <v/>
      </c>
      <c r="K19" s="129"/>
      <c r="L19" s="119"/>
      <c r="M19" s="119"/>
      <c r="N19" s="119"/>
      <c r="O19" s="149" t="str">
        <f t="shared" si="1"/>
        <v/>
      </c>
      <c r="P19" s="131"/>
      <c r="Q19" s="119"/>
      <c r="R19" s="119"/>
      <c r="S19" s="119"/>
      <c r="T19" s="146" t="str">
        <f t="shared" si="2"/>
        <v/>
      </c>
      <c r="U19" s="129"/>
      <c r="V19" s="119"/>
      <c r="W19" s="128"/>
      <c r="X19" s="130"/>
      <c r="Y19" s="149" t="str">
        <f t="shared" si="3"/>
        <v/>
      </c>
      <c r="Z19" s="131"/>
      <c r="AA19" s="119"/>
      <c r="AB19" s="119"/>
      <c r="AC19" s="119"/>
      <c r="AD19" s="146" t="str">
        <f t="shared" si="4"/>
        <v/>
      </c>
      <c r="AE19" s="129"/>
      <c r="AF19" s="130"/>
      <c r="AG19" s="130"/>
      <c r="AH19" s="119"/>
      <c r="AI19" s="149" t="str">
        <f t="shared" si="5"/>
        <v/>
      </c>
      <c r="AJ19" s="131"/>
      <c r="AK19" s="119"/>
      <c r="AL19" s="119"/>
      <c r="AM19" s="119"/>
      <c r="AN19" s="146" t="str">
        <f t="shared" si="6"/>
        <v/>
      </c>
      <c r="AO19" s="129"/>
      <c r="AP19" s="143"/>
      <c r="AQ19" s="143"/>
      <c r="AR19" s="119"/>
      <c r="AS19" s="149" t="str">
        <f t="shared" si="7"/>
        <v/>
      </c>
      <c r="AT19" s="132" t="str">
        <f t="shared" si="8"/>
        <v/>
      </c>
      <c r="AU19" s="152" t="str">
        <f t="shared" si="9"/>
        <v/>
      </c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</row>
    <row r="20" spans="1:105" s="103" customFormat="1" ht="18" customHeight="1">
      <c r="A20" s="116">
        <v>10</v>
      </c>
      <c r="B20" s="117"/>
      <c r="C20" s="118"/>
      <c r="D20" s="118"/>
      <c r="E20" s="118"/>
      <c r="F20" s="131"/>
      <c r="G20" s="119"/>
      <c r="H20" s="128"/>
      <c r="I20" s="119"/>
      <c r="J20" s="146" t="str">
        <f>IF(OR(F20="",G20="",H20="",I20=""),"",IF(ISERROR(ROUND(AVERAGE(F20,G20,H20,I20),0)),"",ROUND(AVERAGE(F20,G20,H20,I20),0)))</f>
        <v/>
      </c>
      <c r="K20" s="129"/>
      <c r="L20" s="119"/>
      <c r="M20" s="119"/>
      <c r="N20" s="119"/>
      <c r="O20" s="149" t="str">
        <f t="shared" si="1"/>
        <v/>
      </c>
      <c r="P20" s="131"/>
      <c r="Q20" s="119"/>
      <c r="R20" s="119"/>
      <c r="S20" s="119"/>
      <c r="T20" s="146" t="str">
        <f t="shared" si="2"/>
        <v/>
      </c>
      <c r="U20" s="129"/>
      <c r="V20" s="119"/>
      <c r="W20" s="128"/>
      <c r="X20" s="130"/>
      <c r="Y20" s="149" t="str">
        <f t="shared" si="3"/>
        <v/>
      </c>
      <c r="Z20" s="131"/>
      <c r="AA20" s="119"/>
      <c r="AB20" s="119"/>
      <c r="AC20" s="119"/>
      <c r="AD20" s="146" t="str">
        <f>IF(OR(Z20="",AA20="",AB20="",AC20=""),"",IF(ISERROR(ROUND(AVERAGE(Z20,AA20,AB20,AC20),0)),"",ROUND(AVERAGE(Z20,AA20,AB20,AC20),0)))</f>
        <v/>
      </c>
      <c r="AE20" s="129"/>
      <c r="AF20" s="130"/>
      <c r="AG20" s="130"/>
      <c r="AH20" s="119"/>
      <c r="AI20" s="149" t="str">
        <f t="shared" si="5"/>
        <v/>
      </c>
      <c r="AJ20" s="131"/>
      <c r="AK20" s="119"/>
      <c r="AL20" s="119"/>
      <c r="AM20" s="119"/>
      <c r="AN20" s="146" t="str">
        <f t="shared" si="6"/>
        <v/>
      </c>
      <c r="AO20" s="129"/>
      <c r="AP20" s="143"/>
      <c r="AQ20" s="143"/>
      <c r="AR20" s="119"/>
      <c r="AS20" s="149" t="str">
        <f t="shared" si="7"/>
        <v/>
      </c>
      <c r="AT20" s="132" t="str">
        <f t="shared" si="8"/>
        <v/>
      </c>
      <c r="AU20" s="152" t="str">
        <f t="shared" si="9"/>
        <v/>
      </c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</row>
    <row r="21" spans="1:105" s="103" customFormat="1" ht="18" customHeight="1">
      <c r="A21" s="116">
        <v>11</v>
      </c>
      <c r="B21" s="117"/>
      <c r="C21" s="118"/>
      <c r="D21" s="118"/>
      <c r="E21" s="118"/>
      <c r="F21" s="131"/>
      <c r="G21" s="119"/>
      <c r="H21" s="128"/>
      <c r="I21" s="119"/>
      <c r="J21" s="146" t="str">
        <f t="shared" si="0"/>
        <v/>
      </c>
      <c r="K21" s="129"/>
      <c r="L21" s="119"/>
      <c r="M21" s="119"/>
      <c r="N21" s="119"/>
      <c r="O21" s="149" t="str">
        <f t="shared" si="1"/>
        <v/>
      </c>
      <c r="P21" s="131"/>
      <c r="Q21" s="119"/>
      <c r="R21" s="119"/>
      <c r="S21" s="119"/>
      <c r="T21" s="146" t="str">
        <f t="shared" si="2"/>
        <v/>
      </c>
      <c r="U21" s="129"/>
      <c r="V21" s="119"/>
      <c r="W21" s="128"/>
      <c r="X21" s="130"/>
      <c r="Y21" s="149" t="str">
        <f t="shared" si="3"/>
        <v/>
      </c>
      <c r="Z21" s="131"/>
      <c r="AA21" s="119"/>
      <c r="AB21" s="119"/>
      <c r="AC21" s="119"/>
      <c r="AD21" s="146" t="str">
        <f t="shared" si="4"/>
        <v/>
      </c>
      <c r="AE21" s="129"/>
      <c r="AF21" s="130"/>
      <c r="AG21" s="130"/>
      <c r="AH21" s="119"/>
      <c r="AI21" s="149" t="str">
        <f t="shared" si="5"/>
        <v/>
      </c>
      <c r="AJ21" s="131"/>
      <c r="AK21" s="119"/>
      <c r="AL21" s="119"/>
      <c r="AM21" s="119"/>
      <c r="AN21" s="146" t="str">
        <f t="shared" si="6"/>
        <v/>
      </c>
      <c r="AO21" s="129"/>
      <c r="AP21" s="143"/>
      <c r="AQ21" s="143"/>
      <c r="AR21" s="119"/>
      <c r="AS21" s="149" t="str">
        <f t="shared" si="7"/>
        <v/>
      </c>
      <c r="AT21" s="132" t="str">
        <f t="shared" si="8"/>
        <v/>
      </c>
      <c r="AU21" s="152" t="str">
        <f t="shared" si="9"/>
        <v/>
      </c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</row>
    <row r="22" spans="1:105" s="103" customFormat="1" ht="18" customHeight="1">
      <c r="A22" s="116">
        <v>12</v>
      </c>
      <c r="B22" s="117"/>
      <c r="C22" s="118"/>
      <c r="D22" s="118"/>
      <c r="E22" s="118"/>
      <c r="F22" s="131"/>
      <c r="G22" s="119"/>
      <c r="H22" s="128"/>
      <c r="I22" s="119"/>
      <c r="J22" s="146" t="str">
        <f t="shared" si="0"/>
        <v/>
      </c>
      <c r="K22" s="129"/>
      <c r="L22" s="119"/>
      <c r="M22" s="119"/>
      <c r="N22" s="119"/>
      <c r="O22" s="149" t="str">
        <f>IF(OR(K22="",L22="",M22="",N22=""),"",IF(ISERROR(ROUND(AVERAGE(K22,L22,M22,N22),0)),"",ROUND(AVERAGE(K22,L22,M22,N22),0)))</f>
        <v/>
      </c>
      <c r="P22" s="131"/>
      <c r="Q22" s="119"/>
      <c r="R22" s="119"/>
      <c r="S22" s="119"/>
      <c r="T22" s="146" t="str">
        <f t="shared" si="2"/>
        <v/>
      </c>
      <c r="U22" s="129"/>
      <c r="V22" s="119"/>
      <c r="W22" s="128"/>
      <c r="X22" s="130"/>
      <c r="Y22" s="149" t="str">
        <f t="shared" si="3"/>
        <v/>
      </c>
      <c r="Z22" s="131"/>
      <c r="AA22" s="119"/>
      <c r="AB22" s="119"/>
      <c r="AC22" s="119"/>
      <c r="AD22" s="146" t="str">
        <f t="shared" si="4"/>
        <v/>
      </c>
      <c r="AE22" s="129"/>
      <c r="AF22" s="130"/>
      <c r="AG22" s="130"/>
      <c r="AH22" s="119"/>
      <c r="AI22" s="149" t="str">
        <f t="shared" si="5"/>
        <v/>
      </c>
      <c r="AJ22" s="131"/>
      <c r="AK22" s="119"/>
      <c r="AL22" s="119"/>
      <c r="AM22" s="119"/>
      <c r="AN22" s="146" t="str">
        <f t="shared" si="6"/>
        <v/>
      </c>
      <c r="AO22" s="129"/>
      <c r="AP22" s="143"/>
      <c r="AQ22" s="143"/>
      <c r="AR22" s="119"/>
      <c r="AS22" s="149" t="str">
        <f t="shared" si="7"/>
        <v/>
      </c>
      <c r="AT22" s="132" t="str">
        <f t="shared" si="8"/>
        <v/>
      </c>
      <c r="AU22" s="152" t="str">
        <f t="shared" si="9"/>
        <v/>
      </c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</row>
    <row r="23" spans="1:105" s="103" customFormat="1" ht="18" customHeight="1">
      <c r="A23" s="116">
        <v>13</v>
      </c>
      <c r="B23" s="117"/>
      <c r="C23" s="118"/>
      <c r="D23" s="118"/>
      <c r="E23" s="118"/>
      <c r="F23" s="131"/>
      <c r="G23" s="119"/>
      <c r="H23" s="128"/>
      <c r="I23" s="119"/>
      <c r="J23" s="146" t="str">
        <f t="shared" si="0"/>
        <v/>
      </c>
      <c r="K23" s="129"/>
      <c r="L23" s="119"/>
      <c r="M23" s="119"/>
      <c r="N23" s="119"/>
      <c r="O23" s="149" t="str">
        <f t="shared" si="1"/>
        <v/>
      </c>
      <c r="P23" s="131"/>
      <c r="Q23" s="119"/>
      <c r="R23" s="119"/>
      <c r="S23" s="119"/>
      <c r="T23" s="146" t="str">
        <f>IF(OR(P23="",Q23="",R23="",S23=""),"",IF(ISERROR(ROUND(AVERAGE(P23,Q23,R23,S23),0)),"",ROUND(AVERAGE(P23,Q23,R23,S23),0)))</f>
        <v/>
      </c>
      <c r="U23" s="129"/>
      <c r="V23" s="119"/>
      <c r="W23" s="128"/>
      <c r="X23" s="130"/>
      <c r="Y23" s="149" t="str">
        <f t="shared" si="3"/>
        <v/>
      </c>
      <c r="Z23" s="131"/>
      <c r="AA23" s="119"/>
      <c r="AB23" s="119"/>
      <c r="AC23" s="119"/>
      <c r="AD23" s="146" t="str">
        <f t="shared" si="4"/>
        <v/>
      </c>
      <c r="AE23" s="129"/>
      <c r="AF23" s="130"/>
      <c r="AG23" s="130"/>
      <c r="AH23" s="119"/>
      <c r="AI23" s="149" t="str">
        <f t="shared" si="5"/>
        <v/>
      </c>
      <c r="AJ23" s="131"/>
      <c r="AK23" s="119"/>
      <c r="AL23" s="119"/>
      <c r="AM23" s="119"/>
      <c r="AN23" s="146" t="str">
        <f t="shared" si="6"/>
        <v/>
      </c>
      <c r="AO23" s="129"/>
      <c r="AP23" s="143"/>
      <c r="AQ23" s="143"/>
      <c r="AR23" s="119"/>
      <c r="AS23" s="149" t="str">
        <f t="shared" si="7"/>
        <v/>
      </c>
      <c r="AT23" s="132" t="str">
        <f t="shared" si="8"/>
        <v/>
      </c>
      <c r="AU23" s="152" t="str">
        <f t="shared" si="9"/>
        <v/>
      </c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2"/>
      <c r="CG23" s="102"/>
      <c r="CH23" s="102"/>
      <c r="CI23" s="102"/>
      <c r="CJ23" s="102"/>
      <c r="CK23" s="102"/>
      <c r="CL23" s="102"/>
      <c r="CM23" s="102"/>
      <c r="CN23" s="102"/>
      <c r="CO23" s="102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</row>
    <row r="24" spans="1:105" s="103" customFormat="1" ht="18" customHeight="1">
      <c r="A24" s="116">
        <v>14</v>
      </c>
      <c r="B24" s="117"/>
      <c r="C24" s="118"/>
      <c r="D24" s="118"/>
      <c r="E24" s="118"/>
      <c r="F24" s="131"/>
      <c r="G24" s="119"/>
      <c r="H24" s="128"/>
      <c r="I24" s="119"/>
      <c r="J24" s="146" t="str">
        <f t="shared" si="0"/>
        <v/>
      </c>
      <c r="K24" s="129"/>
      <c r="L24" s="119"/>
      <c r="M24" s="119"/>
      <c r="N24" s="119"/>
      <c r="O24" s="149" t="str">
        <f t="shared" si="1"/>
        <v/>
      </c>
      <c r="P24" s="131"/>
      <c r="Q24" s="119"/>
      <c r="R24" s="119"/>
      <c r="S24" s="119"/>
      <c r="T24" s="146" t="str">
        <f>IF(OR(P24="",Q24="",R24="",S24=""),"",IF(ISERROR(ROUND(AVERAGE(P24,Q24,R24,S24),0)),"",ROUND(AVERAGE(P24,Q24,R24,S24),0)))</f>
        <v/>
      </c>
      <c r="U24" s="129"/>
      <c r="V24" s="119"/>
      <c r="W24" s="128"/>
      <c r="X24" s="130"/>
      <c r="Y24" s="149" t="str">
        <f>IF(OR(U24="",V24="",W24="",X24=""),"",IF(ISERROR(ROUND(AVERAGE(U24,V24,W24,X24),0)),"",ROUND(AVERAGE(U24,V24,W24,X24),0)))</f>
        <v/>
      </c>
      <c r="Z24" s="131"/>
      <c r="AA24" s="119"/>
      <c r="AB24" s="119"/>
      <c r="AC24" s="119"/>
      <c r="AD24" s="146" t="str">
        <f t="shared" si="4"/>
        <v/>
      </c>
      <c r="AE24" s="129"/>
      <c r="AF24" s="130"/>
      <c r="AG24" s="130"/>
      <c r="AH24" s="119"/>
      <c r="AI24" s="149" t="str">
        <f t="shared" si="5"/>
        <v/>
      </c>
      <c r="AJ24" s="131"/>
      <c r="AK24" s="119"/>
      <c r="AL24" s="119"/>
      <c r="AM24" s="119"/>
      <c r="AN24" s="146" t="str">
        <f t="shared" si="6"/>
        <v/>
      </c>
      <c r="AO24" s="129"/>
      <c r="AP24" s="143"/>
      <c r="AQ24" s="143"/>
      <c r="AR24" s="119"/>
      <c r="AS24" s="149" t="str">
        <f t="shared" si="7"/>
        <v/>
      </c>
      <c r="AT24" s="132" t="str">
        <f t="shared" si="8"/>
        <v/>
      </c>
      <c r="AU24" s="152" t="str">
        <f t="shared" si="9"/>
        <v/>
      </c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</row>
    <row r="25" spans="1:105" s="103" customFormat="1" ht="18" customHeight="1">
      <c r="A25" s="116">
        <v>15</v>
      </c>
      <c r="B25" s="117"/>
      <c r="C25" s="118"/>
      <c r="D25" s="118"/>
      <c r="E25" s="118"/>
      <c r="F25" s="131"/>
      <c r="G25" s="119"/>
      <c r="H25" s="128"/>
      <c r="I25" s="119"/>
      <c r="J25" s="146" t="str">
        <f t="shared" si="0"/>
        <v/>
      </c>
      <c r="K25" s="129"/>
      <c r="L25" s="119"/>
      <c r="M25" s="119"/>
      <c r="N25" s="119"/>
      <c r="O25" s="149" t="str">
        <f t="shared" si="1"/>
        <v/>
      </c>
      <c r="P25" s="131"/>
      <c r="Q25" s="119"/>
      <c r="R25" s="119"/>
      <c r="S25" s="119"/>
      <c r="T25" s="146" t="str">
        <f t="shared" si="2"/>
        <v/>
      </c>
      <c r="U25" s="129"/>
      <c r="V25" s="119"/>
      <c r="W25" s="128"/>
      <c r="X25" s="130"/>
      <c r="Y25" s="149" t="str">
        <f t="shared" si="3"/>
        <v/>
      </c>
      <c r="Z25" s="131"/>
      <c r="AA25" s="119"/>
      <c r="AB25" s="119"/>
      <c r="AC25" s="119"/>
      <c r="AD25" s="146" t="str">
        <f t="shared" si="4"/>
        <v/>
      </c>
      <c r="AE25" s="129"/>
      <c r="AF25" s="130"/>
      <c r="AG25" s="130"/>
      <c r="AH25" s="119"/>
      <c r="AI25" s="149" t="str">
        <f>IF(OR(AE25="",AF25="",AG25="",AH25=""),"",IF(ISERROR(ROUND(AVERAGE(AE25,AF25,AG25,AH25),0)),"",ROUND(AVERAGE(AE25,AF25,AG25,AH25),0)))</f>
        <v/>
      </c>
      <c r="AJ25" s="131"/>
      <c r="AK25" s="119"/>
      <c r="AL25" s="119"/>
      <c r="AM25" s="119"/>
      <c r="AN25" s="146" t="str">
        <f t="shared" si="6"/>
        <v/>
      </c>
      <c r="AO25" s="129"/>
      <c r="AP25" s="143"/>
      <c r="AQ25" s="143"/>
      <c r="AR25" s="119"/>
      <c r="AS25" s="149" t="str">
        <f>IF(OR(AO25="",AP25="",AQ25="",AR25=""),"",IF(ISERROR(ROUND(AVERAGE(AO25,AP25,AQ25,AR25),0)),"",ROUND(AVERAGE(AO25,AP25,AQ25,AR25),0)))</f>
        <v/>
      </c>
      <c r="AT25" s="132" t="str">
        <f t="shared" si="8"/>
        <v/>
      </c>
      <c r="AU25" s="152" t="str">
        <f t="shared" si="9"/>
        <v/>
      </c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</row>
    <row r="26" spans="1:105" s="103" customFormat="1" ht="18" customHeight="1">
      <c r="A26" s="116">
        <v>16</v>
      </c>
      <c r="B26" s="117"/>
      <c r="C26" s="118"/>
      <c r="D26" s="118"/>
      <c r="E26" s="118"/>
      <c r="F26" s="131"/>
      <c r="G26" s="119"/>
      <c r="H26" s="128"/>
      <c r="I26" s="119"/>
      <c r="J26" s="146" t="str">
        <f t="shared" si="0"/>
        <v/>
      </c>
      <c r="K26" s="129"/>
      <c r="L26" s="119"/>
      <c r="M26" s="119"/>
      <c r="N26" s="119"/>
      <c r="O26" s="149" t="str">
        <f t="shared" si="1"/>
        <v/>
      </c>
      <c r="P26" s="131"/>
      <c r="Q26" s="119"/>
      <c r="R26" s="119"/>
      <c r="S26" s="119"/>
      <c r="T26" s="146" t="str">
        <f t="shared" si="2"/>
        <v/>
      </c>
      <c r="U26" s="129"/>
      <c r="V26" s="119"/>
      <c r="W26" s="128"/>
      <c r="X26" s="130"/>
      <c r="Y26" s="149" t="str">
        <f t="shared" si="3"/>
        <v/>
      </c>
      <c r="Z26" s="131"/>
      <c r="AA26" s="119"/>
      <c r="AB26" s="119"/>
      <c r="AC26" s="119"/>
      <c r="AD26" s="146" t="str">
        <f t="shared" si="4"/>
        <v/>
      </c>
      <c r="AE26" s="129"/>
      <c r="AF26" s="130"/>
      <c r="AG26" s="130"/>
      <c r="AH26" s="119"/>
      <c r="AI26" s="149" t="str">
        <f t="shared" si="5"/>
        <v/>
      </c>
      <c r="AJ26" s="131"/>
      <c r="AK26" s="119"/>
      <c r="AL26" s="119"/>
      <c r="AM26" s="119"/>
      <c r="AN26" s="146" t="str">
        <f t="shared" si="6"/>
        <v/>
      </c>
      <c r="AO26" s="129"/>
      <c r="AP26" s="143"/>
      <c r="AQ26" s="143"/>
      <c r="AR26" s="119"/>
      <c r="AS26" s="149" t="str">
        <f t="shared" si="7"/>
        <v/>
      </c>
      <c r="AT26" s="132" t="str">
        <f t="shared" si="8"/>
        <v/>
      </c>
      <c r="AU26" s="152" t="str">
        <f t="shared" si="9"/>
        <v/>
      </c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</row>
    <row r="27" spans="1:105" s="103" customFormat="1" ht="18" customHeight="1" thickBot="1">
      <c r="A27" s="116">
        <v>17</v>
      </c>
      <c r="B27" s="117"/>
      <c r="C27" s="118"/>
      <c r="D27" s="118"/>
      <c r="E27" s="118"/>
      <c r="F27" s="131"/>
      <c r="G27" s="119"/>
      <c r="H27" s="128"/>
      <c r="I27" s="119"/>
      <c r="J27" s="146" t="str">
        <f t="shared" si="0"/>
        <v/>
      </c>
      <c r="K27" s="129"/>
      <c r="L27" s="119"/>
      <c r="M27" s="119"/>
      <c r="N27" s="119"/>
      <c r="O27" s="149" t="str">
        <f t="shared" si="1"/>
        <v/>
      </c>
      <c r="P27" s="131"/>
      <c r="Q27" s="119"/>
      <c r="R27" s="119"/>
      <c r="S27" s="119"/>
      <c r="T27" s="146" t="str">
        <f t="shared" si="2"/>
        <v/>
      </c>
      <c r="U27" s="129"/>
      <c r="V27" s="119"/>
      <c r="W27" s="128"/>
      <c r="X27" s="130"/>
      <c r="Y27" s="149" t="str">
        <f t="shared" si="3"/>
        <v/>
      </c>
      <c r="Z27" s="131"/>
      <c r="AA27" s="119"/>
      <c r="AB27" s="119"/>
      <c r="AC27" s="119"/>
      <c r="AD27" s="146" t="str">
        <f t="shared" si="4"/>
        <v/>
      </c>
      <c r="AE27" s="129"/>
      <c r="AF27" s="130"/>
      <c r="AG27" s="130"/>
      <c r="AH27" s="119"/>
      <c r="AI27" s="149" t="str">
        <f t="shared" si="5"/>
        <v/>
      </c>
      <c r="AJ27" s="131"/>
      <c r="AK27" s="119"/>
      <c r="AL27" s="119"/>
      <c r="AM27" s="119"/>
      <c r="AN27" s="146" t="str">
        <f t="shared" si="6"/>
        <v/>
      </c>
      <c r="AO27" s="129"/>
      <c r="AP27" s="143"/>
      <c r="AQ27" s="143"/>
      <c r="AR27" s="119"/>
      <c r="AS27" s="149" t="str">
        <f t="shared" si="7"/>
        <v/>
      </c>
      <c r="AT27" s="132" t="str">
        <f t="shared" si="8"/>
        <v/>
      </c>
      <c r="AU27" s="152" t="str">
        <f t="shared" si="9"/>
        <v/>
      </c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</row>
    <row r="28" spans="1:105" s="103" customFormat="1" ht="18" customHeight="1" thickBot="1">
      <c r="A28" s="120"/>
      <c r="B28" s="121" t="s">
        <v>140</v>
      </c>
      <c r="C28" s="122"/>
      <c r="D28" s="122"/>
      <c r="E28" s="122"/>
      <c r="F28" s="136"/>
      <c r="G28" s="123"/>
      <c r="H28" s="133"/>
      <c r="I28" s="123"/>
      <c r="J28" s="147" t="str">
        <f t="shared" si="0"/>
        <v/>
      </c>
      <c r="K28" s="134"/>
      <c r="L28" s="123"/>
      <c r="M28" s="123"/>
      <c r="N28" s="123"/>
      <c r="O28" s="150" t="str">
        <f t="shared" si="1"/>
        <v/>
      </c>
      <c r="P28" s="136"/>
      <c r="Q28" s="123"/>
      <c r="R28" s="123"/>
      <c r="S28" s="123"/>
      <c r="T28" s="147" t="str">
        <f t="shared" si="2"/>
        <v/>
      </c>
      <c r="U28" s="134"/>
      <c r="V28" s="123"/>
      <c r="W28" s="133"/>
      <c r="X28" s="135"/>
      <c r="Y28" s="150" t="str">
        <f t="shared" si="3"/>
        <v/>
      </c>
      <c r="Z28" s="136"/>
      <c r="AA28" s="123"/>
      <c r="AB28" s="123"/>
      <c r="AC28" s="123"/>
      <c r="AD28" s="147" t="str">
        <f t="shared" si="4"/>
        <v/>
      </c>
      <c r="AE28" s="134"/>
      <c r="AF28" s="135"/>
      <c r="AG28" s="135"/>
      <c r="AH28" s="123"/>
      <c r="AI28" s="150" t="str">
        <f t="shared" si="5"/>
        <v/>
      </c>
      <c r="AJ28" s="136"/>
      <c r="AK28" s="123"/>
      <c r="AL28" s="123"/>
      <c r="AM28" s="123"/>
      <c r="AN28" s="147" t="str">
        <f t="shared" si="6"/>
        <v/>
      </c>
      <c r="AO28" s="134"/>
      <c r="AP28" s="144"/>
      <c r="AQ28" s="144"/>
      <c r="AR28" s="123"/>
      <c r="AS28" s="150" t="str">
        <f t="shared" si="7"/>
        <v/>
      </c>
      <c r="AT28" s="137" t="str">
        <f t="shared" si="8"/>
        <v/>
      </c>
      <c r="AU28" s="153" t="str">
        <f t="shared" si="9"/>
        <v/>
      </c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</row>
    <row r="29" spans="1:105" s="103" customFormat="1" ht="18" customHeight="1">
      <c r="A29" s="124">
        <v>1</v>
      </c>
      <c r="B29" s="125"/>
      <c r="C29" s="126"/>
      <c r="D29" s="126"/>
      <c r="E29" s="126"/>
      <c r="F29" s="141"/>
      <c r="G29" s="127"/>
      <c r="H29" s="138"/>
      <c r="I29" s="127"/>
      <c r="J29" s="148" t="str">
        <f t="shared" si="0"/>
        <v/>
      </c>
      <c r="K29" s="139"/>
      <c r="L29" s="127"/>
      <c r="M29" s="127"/>
      <c r="N29" s="127"/>
      <c r="O29" s="151" t="str">
        <f t="shared" si="1"/>
        <v/>
      </c>
      <c r="P29" s="141"/>
      <c r="Q29" s="127"/>
      <c r="R29" s="127"/>
      <c r="S29" s="127"/>
      <c r="T29" s="148" t="str">
        <f t="shared" si="2"/>
        <v/>
      </c>
      <c r="U29" s="139"/>
      <c r="V29" s="127"/>
      <c r="W29" s="138"/>
      <c r="X29" s="140"/>
      <c r="Y29" s="151" t="str">
        <f t="shared" si="3"/>
        <v/>
      </c>
      <c r="Z29" s="141"/>
      <c r="AA29" s="127"/>
      <c r="AB29" s="127"/>
      <c r="AC29" s="127"/>
      <c r="AD29" s="148" t="str">
        <f t="shared" si="4"/>
        <v/>
      </c>
      <c r="AE29" s="139"/>
      <c r="AF29" s="140"/>
      <c r="AG29" s="140"/>
      <c r="AH29" s="127"/>
      <c r="AI29" s="151" t="str">
        <f t="shared" si="5"/>
        <v/>
      </c>
      <c r="AJ29" s="141"/>
      <c r="AK29" s="127"/>
      <c r="AL29" s="127"/>
      <c r="AM29" s="127"/>
      <c r="AN29" s="148" t="str">
        <f t="shared" si="6"/>
        <v/>
      </c>
      <c r="AO29" s="139"/>
      <c r="AP29" s="145"/>
      <c r="AQ29" s="145"/>
      <c r="AR29" s="127"/>
      <c r="AS29" s="151" t="str">
        <f t="shared" si="7"/>
        <v/>
      </c>
      <c r="AT29" s="142" t="str">
        <f t="shared" si="8"/>
        <v/>
      </c>
      <c r="AU29" s="154" t="str">
        <f t="shared" si="9"/>
        <v/>
      </c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</row>
    <row r="30" spans="1:105" s="103" customFormat="1" ht="18" customHeight="1">
      <c r="A30" s="116">
        <v>2</v>
      </c>
      <c r="B30" s="117"/>
      <c r="C30" s="118"/>
      <c r="D30" s="118"/>
      <c r="E30" s="118"/>
      <c r="F30" s="141"/>
      <c r="G30" s="127"/>
      <c r="H30" s="138"/>
      <c r="I30" s="127"/>
      <c r="J30" s="146" t="str">
        <f t="shared" si="0"/>
        <v/>
      </c>
      <c r="K30" s="139"/>
      <c r="L30" s="127"/>
      <c r="M30" s="127"/>
      <c r="N30" s="127"/>
      <c r="O30" s="149" t="str">
        <f t="shared" si="1"/>
        <v/>
      </c>
      <c r="P30" s="141"/>
      <c r="Q30" s="127"/>
      <c r="R30" s="127"/>
      <c r="S30" s="127"/>
      <c r="T30" s="146" t="str">
        <f t="shared" si="2"/>
        <v/>
      </c>
      <c r="U30" s="139"/>
      <c r="V30" s="127"/>
      <c r="W30" s="138"/>
      <c r="X30" s="140"/>
      <c r="Y30" s="149" t="str">
        <f t="shared" si="3"/>
        <v/>
      </c>
      <c r="Z30" s="141"/>
      <c r="AA30" s="127"/>
      <c r="AB30" s="127"/>
      <c r="AC30" s="127"/>
      <c r="AD30" s="146" t="str">
        <f t="shared" si="4"/>
        <v/>
      </c>
      <c r="AE30" s="139"/>
      <c r="AF30" s="140"/>
      <c r="AG30" s="140"/>
      <c r="AH30" s="127"/>
      <c r="AI30" s="149" t="str">
        <f t="shared" si="5"/>
        <v/>
      </c>
      <c r="AJ30" s="141"/>
      <c r="AK30" s="127"/>
      <c r="AL30" s="127"/>
      <c r="AM30" s="127"/>
      <c r="AN30" s="146" t="str">
        <f t="shared" si="6"/>
        <v/>
      </c>
      <c r="AO30" s="139"/>
      <c r="AP30" s="145"/>
      <c r="AQ30" s="145"/>
      <c r="AR30" s="127"/>
      <c r="AS30" s="149" t="str">
        <f t="shared" si="7"/>
        <v/>
      </c>
      <c r="AT30" s="132" t="str">
        <f t="shared" si="8"/>
        <v/>
      </c>
      <c r="AU30" s="152" t="str">
        <f t="shared" si="9"/>
        <v/>
      </c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</row>
    <row r="31" spans="1:105" s="103" customFormat="1" ht="18" customHeight="1">
      <c r="A31" s="116">
        <v>3</v>
      </c>
      <c r="B31" s="117"/>
      <c r="C31" s="118"/>
      <c r="D31" s="118"/>
      <c r="E31" s="118"/>
      <c r="F31" s="141"/>
      <c r="G31" s="127"/>
      <c r="H31" s="138"/>
      <c r="I31" s="127"/>
      <c r="J31" s="146" t="str">
        <f t="shared" si="0"/>
        <v/>
      </c>
      <c r="K31" s="139"/>
      <c r="L31" s="127"/>
      <c r="M31" s="127"/>
      <c r="N31" s="127"/>
      <c r="O31" s="149" t="str">
        <f t="shared" si="1"/>
        <v/>
      </c>
      <c r="P31" s="141"/>
      <c r="Q31" s="127"/>
      <c r="R31" s="127"/>
      <c r="S31" s="127"/>
      <c r="T31" s="146" t="str">
        <f t="shared" si="2"/>
        <v/>
      </c>
      <c r="U31" s="139"/>
      <c r="V31" s="127"/>
      <c r="W31" s="138"/>
      <c r="X31" s="140"/>
      <c r="Y31" s="149" t="str">
        <f t="shared" si="3"/>
        <v/>
      </c>
      <c r="Z31" s="141"/>
      <c r="AA31" s="127"/>
      <c r="AB31" s="127"/>
      <c r="AC31" s="127"/>
      <c r="AD31" s="146" t="str">
        <f t="shared" si="4"/>
        <v/>
      </c>
      <c r="AE31" s="139"/>
      <c r="AF31" s="140"/>
      <c r="AG31" s="140"/>
      <c r="AH31" s="127"/>
      <c r="AI31" s="149" t="str">
        <f t="shared" si="5"/>
        <v/>
      </c>
      <c r="AJ31" s="141"/>
      <c r="AK31" s="127"/>
      <c r="AL31" s="127"/>
      <c r="AM31" s="127"/>
      <c r="AN31" s="146" t="str">
        <f t="shared" si="6"/>
        <v/>
      </c>
      <c r="AO31" s="139"/>
      <c r="AP31" s="145"/>
      <c r="AQ31" s="145"/>
      <c r="AR31" s="127"/>
      <c r="AS31" s="149" t="str">
        <f t="shared" si="7"/>
        <v/>
      </c>
      <c r="AT31" s="132" t="str">
        <f t="shared" si="8"/>
        <v/>
      </c>
      <c r="AU31" s="152" t="str">
        <f t="shared" si="9"/>
        <v/>
      </c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</row>
    <row r="32" spans="1:105" s="103" customFormat="1" ht="18" customHeight="1">
      <c r="A32" s="116">
        <v>4</v>
      </c>
      <c r="B32" s="117"/>
      <c r="C32" s="118"/>
      <c r="D32" s="118"/>
      <c r="E32" s="118"/>
      <c r="F32" s="141"/>
      <c r="G32" s="127"/>
      <c r="H32" s="138"/>
      <c r="I32" s="127"/>
      <c r="J32" s="146" t="str">
        <f t="shared" si="0"/>
        <v/>
      </c>
      <c r="K32" s="139"/>
      <c r="L32" s="127"/>
      <c r="M32" s="127"/>
      <c r="N32" s="127"/>
      <c r="O32" s="149" t="str">
        <f t="shared" si="1"/>
        <v/>
      </c>
      <c r="P32" s="141"/>
      <c r="Q32" s="127"/>
      <c r="R32" s="127"/>
      <c r="S32" s="127"/>
      <c r="T32" s="146" t="str">
        <f t="shared" si="2"/>
        <v/>
      </c>
      <c r="U32" s="139"/>
      <c r="V32" s="127"/>
      <c r="W32" s="138"/>
      <c r="X32" s="140"/>
      <c r="Y32" s="149" t="str">
        <f t="shared" si="3"/>
        <v/>
      </c>
      <c r="Z32" s="141"/>
      <c r="AA32" s="127"/>
      <c r="AB32" s="127"/>
      <c r="AC32" s="127"/>
      <c r="AD32" s="146" t="str">
        <f t="shared" si="4"/>
        <v/>
      </c>
      <c r="AE32" s="139"/>
      <c r="AF32" s="140"/>
      <c r="AG32" s="140"/>
      <c r="AH32" s="127"/>
      <c r="AI32" s="149" t="str">
        <f t="shared" si="5"/>
        <v/>
      </c>
      <c r="AJ32" s="141"/>
      <c r="AK32" s="127"/>
      <c r="AL32" s="127"/>
      <c r="AM32" s="127"/>
      <c r="AN32" s="146" t="str">
        <f t="shared" si="6"/>
        <v/>
      </c>
      <c r="AO32" s="139"/>
      <c r="AP32" s="145"/>
      <c r="AQ32" s="145"/>
      <c r="AR32" s="127"/>
      <c r="AS32" s="149" t="str">
        <f t="shared" si="7"/>
        <v/>
      </c>
      <c r="AT32" s="132" t="str">
        <f t="shared" si="8"/>
        <v/>
      </c>
      <c r="AU32" s="152" t="str">
        <f t="shared" si="9"/>
        <v/>
      </c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</row>
    <row r="33" spans="1:105" s="103" customFormat="1" ht="18" customHeight="1">
      <c r="A33" s="116">
        <v>5</v>
      </c>
      <c r="B33" s="117"/>
      <c r="C33" s="118"/>
      <c r="D33" s="118"/>
      <c r="E33" s="118"/>
      <c r="F33" s="141"/>
      <c r="G33" s="127"/>
      <c r="H33" s="138"/>
      <c r="I33" s="127"/>
      <c r="J33" s="146" t="str">
        <f t="shared" si="0"/>
        <v/>
      </c>
      <c r="K33" s="139"/>
      <c r="L33" s="127"/>
      <c r="M33" s="127"/>
      <c r="N33" s="127"/>
      <c r="O33" s="149" t="str">
        <f t="shared" si="1"/>
        <v/>
      </c>
      <c r="P33" s="141"/>
      <c r="Q33" s="127"/>
      <c r="R33" s="127"/>
      <c r="S33" s="127"/>
      <c r="T33" s="146" t="str">
        <f t="shared" si="2"/>
        <v/>
      </c>
      <c r="U33" s="139"/>
      <c r="V33" s="127"/>
      <c r="W33" s="138"/>
      <c r="X33" s="140"/>
      <c r="Y33" s="149" t="str">
        <f t="shared" si="3"/>
        <v/>
      </c>
      <c r="Z33" s="141"/>
      <c r="AA33" s="127"/>
      <c r="AB33" s="127"/>
      <c r="AC33" s="127"/>
      <c r="AD33" s="146" t="str">
        <f t="shared" si="4"/>
        <v/>
      </c>
      <c r="AE33" s="139"/>
      <c r="AF33" s="140"/>
      <c r="AG33" s="140"/>
      <c r="AH33" s="127"/>
      <c r="AI33" s="149" t="str">
        <f t="shared" si="5"/>
        <v/>
      </c>
      <c r="AJ33" s="141"/>
      <c r="AK33" s="127"/>
      <c r="AL33" s="127"/>
      <c r="AM33" s="127"/>
      <c r="AN33" s="146" t="str">
        <f t="shared" si="6"/>
        <v/>
      </c>
      <c r="AO33" s="139"/>
      <c r="AP33" s="145"/>
      <c r="AQ33" s="145"/>
      <c r="AR33" s="127"/>
      <c r="AS33" s="149" t="str">
        <f t="shared" si="7"/>
        <v/>
      </c>
      <c r="AT33" s="132" t="str">
        <f t="shared" si="8"/>
        <v/>
      </c>
      <c r="AU33" s="152" t="str">
        <f t="shared" si="9"/>
        <v/>
      </c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</row>
    <row r="34" spans="1:105" s="103" customFormat="1" ht="18" customHeight="1">
      <c r="A34" s="116">
        <v>6</v>
      </c>
      <c r="B34" s="117"/>
      <c r="C34" s="118"/>
      <c r="D34" s="118"/>
      <c r="E34" s="118"/>
      <c r="F34" s="141"/>
      <c r="G34" s="127"/>
      <c r="H34" s="138"/>
      <c r="I34" s="127"/>
      <c r="J34" s="146" t="str">
        <f t="shared" si="0"/>
        <v/>
      </c>
      <c r="K34" s="139"/>
      <c r="L34" s="127"/>
      <c r="M34" s="127"/>
      <c r="N34" s="127"/>
      <c r="O34" s="149" t="str">
        <f t="shared" si="1"/>
        <v/>
      </c>
      <c r="P34" s="141"/>
      <c r="Q34" s="127"/>
      <c r="R34" s="127"/>
      <c r="S34" s="127"/>
      <c r="T34" s="146" t="str">
        <f t="shared" si="2"/>
        <v/>
      </c>
      <c r="U34" s="139"/>
      <c r="V34" s="127"/>
      <c r="W34" s="138"/>
      <c r="X34" s="140"/>
      <c r="Y34" s="149" t="str">
        <f t="shared" si="3"/>
        <v/>
      </c>
      <c r="Z34" s="141"/>
      <c r="AA34" s="127"/>
      <c r="AB34" s="127"/>
      <c r="AC34" s="127"/>
      <c r="AD34" s="146" t="str">
        <f t="shared" si="4"/>
        <v/>
      </c>
      <c r="AE34" s="139"/>
      <c r="AF34" s="140"/>
      <c r="AG34" s="140"/>
      <c r="AH34" s="127"/>
      <c r="AI34" s="149" t="str">
        <f t="shared" si="5"/>
        <v/>
      </c>
      <c r="AJ34" s="141"/>
      <c r="AK34" s="127"/>
      <c r="AL34" s="127"/>
      <c r="AM34" s="127"/>
      <c r="AN34" s="146" t="str">
        <f t="shared" si="6"/>
        <v/>
      </c>
      <c r="AO34" s="139"/>
      <c r="AP34" s="145"/>
      <c r="AQ34" s="145"/>
      <c r="AR34" s="127"/>
      <c r="AS34" s="149" t="str">
        <f t="shared" si="7"/>
        <v/>
      </c>
      <c r="AT34" s="132" t="str">
        <f t="shared" si="8"/>
        <v/>
      </c>
      <c r="AU34" s="152" t="str">
        <f t="shared" si="9"/>
        <v/>
      </c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</row>
    <row r="35" spans="1:105" s="103" customFormat="1" ht="18" customHeight="1">
      <c r="A35" s="116">
        <v>7</v>
      </c>
      <c r="B35" s="117"/>
      <c r="C35" s="118"/>
      <c r="D35" s="118"/>
      <c r="E35" s="118"/>
      <c r="F35" s="141"/>
      <c r="G35" s="127"/>
      <c r="H35" s="138"/>
      <c r="I35" s="127"/>
      <c r="J35" s="146" t="str">
        <f t="shared" si="0"/>
        <v/>
      </c>
      <c r="K35" s="139"/>
      <c r="L35" s="127"/>
      <c r="M35" s="127"/>
      <c r="N35" s="127"/>
      <c r="O35" s="149" t="str">
        <f t="shared" si="1"/>
        <v/>
      </c>
      <c r="P35" s="141"/>
      <c r="Q35" s="127"/>
      <c r="R35" s="127"/>
      <c r="S35" s="127"/>
      <c r="T35" s="146" t="str">
        <f t="shared" si="2"/>
        <v/>
      </c>
      <c r="U35" s="139"/>
      <c r="V35" s="127"/>
      <c r="W35" s="138"/>
      <c r="X35" s="140"/>
      <c r="Y35" s="149" t="str">
        <f t="shared" si="3"/>
        <v/>
      </c>
      <c r="Z35" s="141"/>
      <c r="AA35" s="127"/>
      <c r="AB35" s="127"/>
      <c r="AC35" s="127"/>
      <c r="AD35" s="146" t="str">
        <f t="shared" si="4"/>
        <v/>
      </c>
      <c r="AE35" s="139"/>
      <c r="AF35" s="140"/>
      <c r="AG35" s="140"/>
      <c r="AH35" s="127"/>
      <c r="AI35" s="149" t="str">
        <f t="shared" si="5"/>
        <v/>
      </c>
      <c r="AJ35" s="141"/>
      <c r="AK35" s="127"/>
      <c r="AL35" s="127"/>
      <c r="AM35" s="127"/>
      <c r="AN35" s="146" t="str">
        <f t="shared" si="6"/>
        <v/>
      </c>
      <c r="AO35" s="139"/>
      <c r="AP35" s="145"/>
      <c r="AQ35" s="145"/>
      <c r="AR35" s="127"/>
      <c r="AS35" s="149" t="str">
        <f t="shared" si="7"/>
        <v/>
      </c>
      <c r="AT35" s="132" t="str">
        <f t="shared" si="8"/>
        <v/>
      </c>
      <c r="AU35" s="152" t="str">
        <f t="shared" si="9"/>
        <v/>
      </c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</row>
    <row r="36" spans="1:105" s="103" customFormat="1" ht="18" customHeight="1">
      <c r="A36" s="116">
        <v>8</v>
      </c>
      <c r="B36" s="117"/>
      <c r="C36" s="118"/>
      <c r="D36" s="118"/>
      <c r="E36" s="118"/>
      <c r="F36" s="141"/>
      <c r="G36" s="127"/>
      <c r="H36" s="138"/>
      <c r="I36" s="127"/>
      <c r="J36" s="146" t="str">
        <f t="shared" si="0"/>
        <v/>
      </c>
      <c r="K36" s="139"/>
      <c r="L36" s="127"/>
      <c r="M36" s="127"/>
      <c r="N36" s="127"/>
      <c r="O36" s="149" t="str">
        <f t="shared" si="1"/>
        <v/>
      </c>
      <c r="P36" s="141"/>
      <c r="Q36" s="127"/>
      <c r="R36" s="127"/>
      <c r="S36" s="127"/>
      <c r="T36" s="146" t="str">
        <f t="shared" si="2"/>
        <v/>
      </c>
      <c r="U36" s="139"/>
      <c r="V36" s="127"/>
      <c r="W36" s="138"/>
      <c r="X36" s="140"/>
      <c r="Y36" s="149" t="str">
        <f t="shared" si="3"/>
        <v/>
      </c>
      <c r="Z36" s="141"/>
      <c r="AA36" s="127"/>
      <c r="AB36" s="127"/>
      <c r="AC36" s="127"/>
      <c r="AD36" s="146" t="str">
        <f t="shared" si="4"/>
        <v/>
      </c>
      <c r="AE36" s="139"/>
      <c r="AF36" s="140"/>
      <c r="AG36" s="140"/>
      <c r="AH36" s="127"/>
      <c r="AI36" s="149" t="str">
        <f t="shared" si="5"/>
        <v/>
      </c>
      <c r="AJ36" s="141"/>
      <c r="AK36" s="127"/>
      <c r="AL36" s="127"/>
      <c r="AM36" s="127"/>
      <c r="AN36" s="146" t="str">
        <f t="shared" si="6"/>
        <v/>
      </c>
      <c r="AO36" s="139"/>
      <c r="AP36" s="145"/>
      <c r="AQ36" s="145"/>
      <c r="AR36" s="127"/>
      <c r="AS36" s="149" t="str">
        <f t="shared" si="7"/>
        <v/>
      </c>
      <c r="AT36" s="132" t="str">
        <f t="shared" si="8"/>
        <v/>
      </c>
      <c r="AU36" s="152" t="str">
        <f t="shared" si="9"/>
        <v/>
      </c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</row>
    <row r="37" spans="1:105" s="103" customFormat="1" ht="18" customHeight="1">
      <c r="A37" s="116">
        <v>9</v>
      </c>
      <c r="B37" s="117"/>
      <c r="C37" s="118"/>
      <c r="D37" s="118"/>
      <c r="E37" s="118"/>
      <c r="F37" s="141"/>
      <c r="G37" s="127"/>
      <c r="H37" s="138"/>
      <c r="I37" s="127"/>
      <c r="J37" s="146" t="str">
        <f t="shared" si="0"/>
        <v/>
      </c>
      <c r="K37" s="139"/>
      <c r="L37" s="127"/>
      <c r="M37" s="127"/>
      <c r="N37" s="127"/>
      <c r="O37" s="149" t="str">
        <f t="shared" si="1"/>
        <v/>
      </c>
      <c r="P37" s="141"/>
      <c r="Q37" s="127"/>
      <c r="R37" s="127"/>
      <c r="S37" s="127"/>
      <c r="T37" s="146" t="str">
        <f t="shared" si="2"/>
        <v/>
      </c>
      <c r="U37" s="139"/>
      <c r="V37" s="127"/>
      <c r="W37" s="138"/>
      <c r="X37" s="140"/>
      <c r="Y37" s="149" t="str">
        <f t="shared" si="3"/>
        <v/>
      </c>
      <c r="Z37" s="141"/>
      <c r="AA37" s="127"/>
      <c r="AB37" s="127"/>
      <c r="AC37" s="127"/>
      <c r="AD37" s="146" t="str">
        <f t="shared" si="4"/>
        <v/>
      </c>
      <c r="AE37" s="139"/>
      <c r="AF37" s="140"/>
      <c r="AG37" s="140"/>
      <c r="AH37" s="127"/>
      <c r="AI37" s="149" t="str">
        <f t="shared" si="5"/>
        <v/>
      </c>
      <c r="AJ37" s="141"/>
      <c r="AK37" s="127"/>
      <c r="AL37" s="127"/>
      <c r="AM37" s="127"/>
      <c r="AN37" s="146" t="str">
        <f t="shared" si="6"/>
        <v/>
      </c>
      <c r="AO37" s="139"/>
      <c r="AP37" s="145"/>
      <c r="AQ37" s="145"/>
      <c r="AR37" s="127"/>
      <c r="AS37" s="149" t="str">
        <f t="shared" si="7"/>
        <v/>
      </c>
      <c r="AT37" s="132" t="str">
        <f t="shared" si="8"/>
        <v/>
      </c>
      <c r="AU37" s="152" t="str">
        <f t="shared" si="9"/>
        <v/>
      </c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</row>
    <row r="38" spans="1:105" s="103" customFormat="1" ht="18" customHeight="1">
      <c r="A38" s="116">
        <v>10</v>
      </c>
      <c r="B38" s="117"/>
      <c r="C38" s="118"/>
      <c r="D38" s="118"/>
      <c r="E38" s="118"/>
      <c r="F38" s="141"/>
      <c r="G38" s="127"/>
      <c r="H38" s="138"/>
      <c r="I38" s="127"/>
      <c r="J38" s="146" t="str">
        <f t="shared" si="0"/>
        <v/>
      </c>
      <c r="K38" s="139"/>
      <c r="L38" s="127"/>
      <c r="M38" s="127"/>
      <c r="N38" s="127"/>
      <c r="O38" s="149" t="str">
        <f t="shared" si="1"/>
        <v/>
      </c>
      <c r="P38" s="141"/>
      <c r="Q38" s="127"/>
      <c r="R38" s="127"/>
      <c r="S38" s="127"/>
      <c r="T38" s="146" t="str">
        <f t="shared" si="2"/>
        <v/>
      </c>
      <c r="U38" s="139"/>
      <c r="V38" s="127"/>
      <c r="W38" s="138"/>
      <c r="X38" s="140"/>
      <c r="Y38" s="149" t="str">
        <f t="shared" si="3"/>
        <v/>
      </c>
      <c r="Z38" s="141"/>
      <c r="AA38" s="127"/>
      <c r="AB38" s="127"/>
      <c r="AC38" s="127"/>
      <c r="AD38" s="146" t="str">
        <f t="shared" si="4"/>
        <v/>
      </c>
      <c r="AE38" s="139"/>
      <c r="AF38" s="140"/>
      <c r="AG38" s="140"/>
      <c r="AH38" s="127"/>
      <c r="AI38" s="149" t="str">
        <f t="shared" si="5"/>
        <v/>
      </c>
      <c r="AJ38" s="141"/>
      <c r="AK38" s="127"/>
      <c r="AL38" s="127"/>
      <c r="AM38" s="127"/>
      <c r="AN38" s="146" t="str">
        <f t="shared" si="6"/>
        <v/>
      </c>
      <c r="AO38" s="139"/>
      <c r="AP38" s="145"/>
      <c r="AQ38" s="145"/>
      <c r="AR38" s="127"/>
      <c r="AS38" s="149" t="str">
        <f t="shared" si="7"/>
        <v/>
      </c>
      <c r="AT38" s="132" t="str">
        <f t="shared" si="8"/>
        <v/>
      </c>
      <c r="AU38" s="152" t="str">
        <f t="shared" si="9"/>
        <v/>
      </c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</row>
    <row r="39" spans="1:105" s="103" customFormat="1" ht="18" customHeight="1">
      <c r="A39" s="116">
        <v>11</v>
      </c>
      <c r="B39" s="117"/>
      <c r="C39" s="118"/>
      <c r="D39" s="118"/>
      <c r="E39" s="118"/>
      <c r="F39" s="141"/>
      <c r="G39" s="127"/>
      <c r="H39" s="138"/>
      <c r="I39" s="127"/>
      <c r="J39" s="146" t="str">
        <f t="shared" si="0"/>
        <v/>
      </c>
      <c r="K39" s="139"/>
      <c r="L39" s="127"/>
      <c r="M39" s="127"/>
      <c r="N39" s="127"/>
      <c r="O39" s="149" t="str">
        <f t="shared" si="1"/>
        <v/>
      </c>
      <c r="P39" s="141"/>
      <c r="Q39" s="127"/>
      <c r="R39" s="127"/>
      <c r="S39" s="127"/>
      <c r="T39" s="146" t="str">
        <f t="shared" si="2"/>
        <v/>
      </c>
      <c r="U39" s="139"/>
      <c r="V39" s="127"/>
      <c r="W39" s="138"/>
      <c r="X39" s="140"/>
      <c r="Y39" s="149" t="str">
        <f t="shared" si="3"/>
        <v/>
      </c>
      <c r="Z39" s="141"/>
      <c r="AA39" s="127"/>
      <c r="AB39" s="127"/>
      <c r="AC39" s="127"/>
      <c r="AD39" s="146" t="str">
        <f t="shared" si="4"/>
        <v/>
      </c>
      <c r="AE39" s="139"/>
      <c r="AF39" s="140"/>
      <c r="AG39" s="140"/>
      <c r="AH39" s="127"/>
      <c r="AI39" s="149" t="str">
        <f t="shared" si="5"/>
        <v/>
      </c>
      <c r="AJ39" s="141"/>
      <c r="AK39" s="127"/>
      <c r="AL39" s="127"/>
      <c r="AM39" s="127"/>
      <c r="AN39" s="146" t="str">
        <f t="shared" si="6"/>
        <v/>
      </c>
      <c r="AO39" s="139"/>
      <c r="AP39" s="145"/>
      <c r="AQ39" s="145"/>
      <c r="AR39" s="127"/>
      <c r="AS39" s="149" t="str">
        <f t="shared" si="7"/>
        <v/>
      </c>
      <c r="AT39" s="132" t="str">
        <f t="shared" si="8"/>
        <v/>
      </c>
      <c r="AU39" s="152" t="str">
        <f t="shared" si="9"/>
        <v/>
      </c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</row>
    <row r="40" spans="1:105" s="103" customFormat="1" ht="18" customHeight="1">
      <c r="A40" s="116">
        <v>12</v>
      </c>
      <c r="B40" s="117"/>
      <c r="C40" s="118"/>
      <c r="D40" s="118"/>
      <c r="E40" s="118"/>
      <c r="F40" s="141"/>
      <c r="G40" s="127"/>
      <c r="H40" s="138"/>
      <c r="I40" s="127"/>
      <c r="J40" s="146" t="str">
        <f t="shared" si="0"/>
        <v/>
      </c>
      <c r="K40" s="139"/>
      <c r="L40" s="127"/>
      <c r="M40" s="127"/>
      <c r="N40" s="127"/>
      <c r="O40" s="149" t="str">
        <f t="shared" si="1"/>
        <v/>
      </c>
      <c r="P40" s="141"/>
      <c r="Q40" s="127"/>
      <c r="R40" s="127"/>
      <c r="S40" s="127"/>
      <c r="T40" s="146" t="str">
        <f t="shared" si="2"/>
        <v/>
      </c>
      <c r="U40" s="139"/>
      <c r="V40" s="127"/>
      <c r="W40" s="138"/>
      <c r="X40" s="140"/>
      <c r="Y40" s="149" t="str">
        <f t="shared" si="3"/>
        <v/>
      </c>
      <c r="Z40" s="141"/>
      <c r="AA40" s="127"/>
      <c r="AB40" s="127"/>
      <c r="AC40" s="127"/>
      <c r="AD40" s="146" t="str">
        <f t="shared" si="4"/>
        <v/>
      </c>
      <c r="AE40" s="139"/>
      <c r="AF40" s="140"/>
      <c r="AG40" s="140"/>
      <c r="AH40" s="127"/>
      <c r="AI40" s="149" t="str">
        <f t="shared" si="5"/>
        <v/>
      </c>
      <c r="AJ40" s="141"/>
      <c r="AK40" s="127"/>
      <c r="AL40" s="127"/>
      <c r="AM40" s="127"/>
      <c r="AN40" s="146" t="str">
        <f t="shared" si="6"/>
        <v/>
      </c>
      <c r="AO40" s="139"/>
      <c r="AP40" s="145"/>
      <c r="AQ40" s="145"/>
      <c r="AR40" s="127"/>
      <c r="AS40" s="149" t="str">
        <f t="shared" si="7"/>
        <v/>
      </c>
      <c r="AT40" s="132" t="str">
        <f t="shared" si="8"/>
        <v/>
      </c>
      <c r="AU40" s="152" t="str">
        <f t="shared" si="9"/>
        <v/>
      </c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</row>
    <row r="41" spans="1:105" s="103" customFormat="1" ht="18" customHeight="1">
      <c r="A41" s="116">
        <v>13</v>
      </c>
      <c r="B41" s="117"/>
      <c r="C41" s="118"/>
      <c r="D41" s="118"/>
      <c r="E41" s="118"/>
      <c r="F41" s="141"/>
      <c r="G41" s="127"/>
      <c r="H41" s="138"/>
      <c r="I41" s="127"/>
      <c r="J41" s="146" t="str">
        <f t="shared" si="0"/>
        <v/>
      </c>
      <c r="K41" s="139"/>
      <c r="L41" s="127"/>
      <c r="M41" s="127"/>
      <c r="N41" s="127"/>
      <c r="O41" s="149" t="str">
        <f t="shared" si="1"/>
        <v/>
      </c>
      <c r="P41" s="141"/>
      <c r="Q41" s="127"/>
      <c r="R41" s="127"/>
      <c r="S41" s="127"/>
      <c r="T41" s="146" t="str">
        <f t="shared" si="2"/>
        <v/>
      </c>
      <c r="U41" s="139"/>
      <c r="V41" s="127"/>
      <c r="W41" s="138"/>
      <c r="X41" s="140"/>
      <c r="Y41" s="149" t="str">
        <f t="shared" si="3"/>
        <v/>
      </c>
      <c r="Z41" s="141"/>
      <c r="AA41" s="127"/>
      <c r="AB41" s="127"/>
      <c r="AC41" s="127"/>
      <c r="AD41" s="146" t="str">
        <f t="shared" si="4"/>
        <v/>
      </c>
      <c r="AE41" s="139"/>
      <c r="AF41" s="140"/>
      <c r="AG41" s="140"/>
      <c r="AH41" s="127"/>
      <c r="AI41" s="149" t="str">
        <f t="shared" si="5"/>
        <v/>
      </c>
      <c r="AJ41" s="141"/>
      <c r="AK41" s="127"/>
      <c r="AL41" s="127"/>
      <c r="AM41" s="127"/>
      <c r="AN41" s="146" t="str">
        <f t="shared" si="6"/>
        <v/>
      </c>
      <c r="AO41" s="139"/>
      <c r="AP41" s="145"/>
      <c r="AQ41" s="145"/>
      <c r="AR41" s="127"/>
      <c r="AS41" s="149" t="str">
        <f t="shared" si="7"/>
        <v/>
      </c>
      <c r="AT41" s="132" t="str">
        <f t="shared" si="8"/>
        <v/>
      </c>
      <c r="AU41" s="152" t="str">
        <f t="shared" si="9"/>
        <v/>
      </c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</row>
  </sheetData>
  <mergeCells count="38">
    <mergeCell ref="B1:AU1"/>
    <mergeCell ref="C3:F3"/>
    <mergeCell ref="G3:K3"/>
    <mergeCell ref="R3:T3"/>
    <mergeCell ref="AK3:AP3"/>
    <mergeCell ref="A7:E9"/>
    <mergeCell ref="F7:J7"/>
    <mergeCell ref="K7:O7"/>
    <mergeCell ref="P7:T7"/>
    <mergeCell ref="U7:Y7"/>
    <mergeCell ref="T8:T9"/>
    <mergeCell ref="U8:X8"/>
    <mergeCell ref="Y8:Y9"/>
    <mergeCell ref="AT7:AT9"/>
    <mergeCell ref="AU7:AU9"/>
    <mergeCell ref="F8:I8"/>
    <mergeCell ref="J8:J9"/>
    <mergeCell ref="K8:N8"/>
    <mergeCell ref="O8:O9"/>
    <mergeCell ref="P8:S8"/>
    <mergeCell ref="Z7:AD7"/>
    <mergeCell ref="Z8:AC8"/>
    <mergeCell ref="AS8:AS9"/>
    <mergeCell ref="AJ8:AM8"/>
    <mergeCell ref="AN8:AN9"/>
    <mergeCell ref="AO8:AR8"/>
    <mergeCell ref="AJ7:AN7"/>
    <mergeCell ref="AO7:AS7"/>
    <mergeCell ref="AK5:AP5"/>
    <mergeCell ref="G5:P5"/>
    <mergeCell ref="U3:Z3"/>
    <mergeCell ref="AD8:AD9"/>
    <mergeCell ref="AE8:AH8"/>
    <mergeCell ref="AI8:AI9"/>
    <mergeCell ref="AE7:AI7"/>
    <mergeCell ref="R5:T5"/>
    <mergeCell ref="U5:Y5"/>
    <mergeCell ref="AE5:AI5"/>
  </mergeCells>
  <pageMargins left="0.19685039370078741" right="0.19685039370078741" top="0.74803149606299213" bottom="0.74803149606299213" header="0.31496062992125984" footer="0.31496062992125984"/>
  <pageSetup paperSize="9" scale="62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S403"/>
  <sheetViews>
    <sheetView showGridLines="0" topLeftCell="A7" workbookViewId="0">
      <selection activeCell="B28" sqref="B28:E28"/>
    </sheetView>
  </sheetViews>
  <sheetFormatPr defaultColWidth="9" defaultRowHeight="15"/>
  <cols>
    <col min="1" max="1" width="15.28515625" customWidth="1"/>
    <col min="2" max="5" width="7.7109375" customWidth="1"/>
    <col min="6" max="6" width="9.28515625" customWidth="1"/>
    <col min="7" max="7" width="10.140625" customWidth="1"/>
    <col min="8" max="8" width="7.140625" customWidth="1"/>
    <col min="9" max="10" width="6.28515625" customWidth="1"/>
    <col min="11" max="15" width="5.28515625" customWidth="1"/>
    <col min="16" max="19" width="6.42578125" customWidth="1"/>
    <col min="20" max="25" width="5.7109375" customWidth="1"/>
  </cols>
  <sheetData>
    <row r="1" spans="1:19" ht="15" customHeight="1">
      <c r="A1" s="296" t="s">
        <v>39</v>
      </c>
      <c r="B1" s="296"/>
      <c r="C1" s="296"/>
      <c r="D1" s="296"/>
      <c r="E1" s="296"/>
      <c r="F1" s="296"/>
      <c r="G1" s="296"/>
      <c r="H1" s="1"/>
      <c r="I1" s="296" t="s">
        <v>40</v>
      </c>
      <c r="J1" s="296"/>
      <c r="K1" s="296"/>
      <c r="L1" s="296"/>
      <c r="M1" s="296"/>
      <c r="N1" s="296"/>
      <c r="O1" s="296"/>
      <c r="P1" s="296"/>
      <c r="Q1" s="296"/>
      <c r="R1" s="296"/>
      <c r="S1" s="296"/>
    </row>
    <row r="2" spans="1:19" ht="15" customHeight="1">
      <c r="H2" s="1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5" customHeight="1">
      <c r="A3" s="441" t="s">
        <v>41</v>
      </c>
      <c r="B3" s="433" t="s">
        <v>42</v>
      </c>
      <c r="C3" s="434"/>
      <c r="D3" s="434"/>
      <c r="E3" s="435"/>
      <c r="F3" s="2" t="s">
        <v>43</v>
      </c>
      <c r="G3" s="441" t="s">
        <v>44</v>
      </c>
      <c r="H3" s="1"/>
      <c r="I3" s="456" t="s">
        <v>45</v>
      </c>
      <c r="J3" s="457"/>
      <c r="K3" s="460" t="s">
        <v>46</v>
      </c>
      <c r="L3" s="460"/>
      <c r="M3" s="460"/>
      <c r="N3" s="460"/>
      <c r="O3" s="460"/>
      <c r="P3" s="436" t="s">
        <v>42</v>
      </c>
      <c r="Q3" s="436"/>
      <c r="R3" s="436"/>
      <c r="S3" s="436"/>
    </row>
    <row r="4" spans="1:19" ht="15.95" customHeight="1">
      <c r="A4" s="442"/>
      <c r="B4" s="3">
        <v>1</v>
      </c>
      <c r="C4" s="3">
        <v>2</v>
      </c>
      <c r="D4" s="3">
        <v>3</v>
      </c>
      <c r="E4" s="3">
        <v>4</v>
      </c>
      <c r="F4" s="4" t="s">
        <v>47</v>
      </c>
      <c r="G4" s="442"/>
      <c r="H4" s="1"/>
      <c r="I4" s="458"/>
      <c r="J4" s="459"/>
      <c r="K4" s="460"/>
      <c r="L4" s="460"/>
      <c r="M4" s="460"/>
      <c r="N4" s="460"/>
      <c r="O4" s="460"/>
      <c r="P4" s="3">
        <v>1</v>
      </c>
      <c r="Q4" s="3">
        <v>2</v>
      </c>
      <c r="R4" s="3">
        <v>3</v>
      </c>
      <c r="S4" s="3">
        <v>4</v>
      </c>
    </row>
    <row r="5" spans="1:19" ht="12.95" customHeight="1">
      <c r="A5" s="443" t="s">
        <v>49</v>
      </c>
      <c r="B5" s="437"/>
      <c r="C5" s="437"/>
      <c r="D5" s="437"/>
      <c r="E5" s="437"/>
      <c r="F5" s="448"/>
      <c r="G5" s="450"/>
      <c r="H5" s="1"/>
      <c r="I5" s="22"/>
      <c r="J5" s="23"/>
      <c r="K5" s="358" t="s">
        <v>48</v>
      </c>
      <c r="L5" s="359"/>
      <c r="M5" s="359"/>
      <c r="N5" s="359"/>
      <c r="O5" s="359"/>
      <c r="P5" s="452"/>
      <c r="Q5" s="452"/>
      <c r="R5" s="452"/>
      <c r="S5" s="452"/>
    </row>
    <row r="6" spans="1:19" ht="12.95" customHeight="1">
      <c r="A6" s="444"/>
      <c r="B6" s="437"/>
      <c r="C6" s="437"/>
      <c r="D6" s="437"/>
      <c r="E6" s="437"/>
      <c r="F6" s="448"/>
      <c r="G6" s="450"/>
      <c r="H6" s="1"/>
      <c r="I6" s="24"/>
      <c r="J6" s="25"/>
      <c r="K6" s="358"/>
      <c r="L6" s="359"/>
      <c r="M6" s="359"/>
      <c r="N6" s="359"/>
      <c r="O6" s="359"/>
      <c r="P6" s="452"/>
      <c r="Q6" s="452"/>
      <c r="R6" s="452"/>
      <c r="S6" s="452"/>
    </row>
    <row r="7" spans="1:19" ht="12.95" customHeight="1">
      <c r="A7" s="445" t="s">
        <v>52</v>
      </c>
      <c r="B7" s="437"/>
      <c r="C7" s="437"/>
      <c r="D7" s="437"/>
      <c r="E7" s="437"/>
      <c r="F7" s="448"/>
      <c r="G7" s="450"/>
      <c r="H7" s="1"/>
      <c r="I7" s="301" t="s">
        <v>50</v>
      </c>
      <c r="J7" s="302"/>
      <c r="K7" s="358"/>
      <c r="L7" s="359"/>
      <c r="M7" s="359"/>
      <c r="N7" s="359"/>
      <c r="O7" s="359"/>
      <c r="P7" s="452"/>
      <c r="Q7" s="452"/>
      <c r="R7" s="452"/>
      <c r="S7" s="452"/>
    </row>
    <row r="8" spans="1:19" ht="12.95" customHeight="1">
      <c r="A8" s="445"/>
      <c r="B8" s="437"/>
      <c r="C8" s="437"/>
      <c r="D8" s="437"/>
      <c r="E8" s="437"/>
      <c r="F8" s="448"/>
      <c r="G8" s="450"/>
      <c r="H8" s="1"/>
      <c r="I8" s="24" t="s">
        <v>51</v>
      </c>
      <c r="J8" s="25"/>
      <c r="K8" s="358"/>
      <c r="L8" s="359"/>
      <c r="M8" s="359"/>
      <c r="N8" s="359"/>
      <c r="O8" s="359"/>
      <c r="P8" s="452"/>
      <c r="Q8" s="452"/>
      <c r="R8" s="452"/>
      <c r="S8" s="452"/>
    </row>
    <row r="9" spans="1:19" ht="12.95" customHeight="1">
      <c r="A9" s="446" t="s">
        <v>54</v>
      </c>
      <c r="B9" s="438"/>
      <c r="C9" s="438"/>
      <c r="D9" s="438"/>
      <c r="E9" s="438"/>
      <c r="F9" s="448"/>
      <c r="G9" s="450"/>
      <c r="H9" s="1"/>
      <c r="I9" s="24"/>
      <c r="J9" s="25"/>
      <c r="K9" s="360" t="s">
        <v>53</v>
      </c>
      <c r="L9" s="360"/>
      <c r="M9" s="360"/>
      <c r="N9" s="360"/>
      <c r="O9" s="361"/>
      <c r="P9" s="453"/>
      <c r="Q9" s="453"/>
      <c r="R9" s="453"/>
      <c r="S9" s="453"/>
    </row>
    <row r="10" spans="1:19" ht="12.95" customHeight="1">
      <c r="A10" s="446"/>
      <c r="B10" s="438"/>
      <c r="C10" s="438"/>
      <c r="D10" s="438"/>
      <c r="E10" s="438"/>
      <c r="F10" s="448"/>
      <c r="G10" s="450"/>
      <c r="H10" s="1"/>
      <c r="I10" s="24"/>
      <c r="J10" s="25"/>
      <c r="K10" s="362"/>
      <c r="L10" s="362"/>
      <c r="M10" s="362"/>
      <c r="N10" s="362"/>
      <c r="O10" s="363"/>
      <c r="P10" s="454"/>
      <c r="Q10" s="454"/>
      <c r="R10" s="454"/>
      <c r="S10" s="454"/>
    </row>
    <row r="11" spans="1:19" ht="12.95" customHeight="1">
      <c r="A11" s="446" t="s">
        <v>95</v>
      </c>
      <c r="B11" s="438"/>
      <c r="C11" s="438"/>
      <c r="D11" s="438"/>
      <c r="E11" s="438"/>
      <c r="F11" s="448"/>
      <c r="G11" s="450"/>
      <c r="H11" s="1"/>
      <c r="I11" s="26"/>
      <c r="J11" s="27"/>
      <c r="K11" s="364"/>
      <c r="L11" s="364"/>
      <c r="M11" s="364"/>
      <c r="N11" s="364"/>
      <c r="O11" s="365"/>
      <c r="P11" s="455"/>
      <c r="Q11" s="455"/>
      <c r="R11" s="455"/>
      <c r="S11" s="455"/>
    </row>
    <row r="12" spans="1:19" ht="12.95" customHeight="1">
      <c r="A12" s="446"/>
      <c r="B12" s="438"/>
      <c r="C12" s="438"/>
      <c r="D12" s="438"/>
      <c r="E12" s="438"/>
      <c r="F12" s="448"/>
      <c r="G12" s="450"/>
      <c r="H12" s="1"/>
      <c r="I12" s="366" t="s">
        <v>55</v>
      </c>
      <c r="J12" s="367"/>
      <c r="K12" s="370" t="s">
        <v>56</v>
      </c>
      <c r="L12" s="370"/>
      <c r="M12" s="370"/>
      <c r="N12" s="370"/>
      <c r="O12" s="370"/>
      <c r="P12" s="452"/>
      <c r="Q12" s="452"/>
      <c r="R12" s="452"/>
      <c r="S12" s="452"/>
    </row>
    <row r="13" spans="1:19" ht="12.95" customHeight="1">
      <c r="A13" s="446" t="s">
        <v>57</v>
      </c>
      <c r="B13" s="438"/>
      <c r="C13" s="438"/>
      <c r="D13" s="438"/>
      <c r="E13" s="438"/>
      <c r="F13" s="449"/>
      <c r="G13" s="451"/>
      <c r="H13" s="1"/>
      <c r="I13" s="368"/>
      <c r="J13" s="369"/>
      <c r="K13" s="370"/>
      <c r="L13" s="370"/>
      <c r="M13" s="370"/>
      <c r="N13" s="370"/>
      <c r="O13" s="370"/>
      <c r="P13" s="452"/>
      <c r="Q13" s="452"/>
      <c r="R13" s="452"/>
      <c r="S13" s="452"/>
    </row>
    <row r="14" spans="1:19" ht="12.95" customHeight="1">
      <c r="A14" s="446"/>
      <c r="B14" s="438"/>
      <c r="C14" s="438"/>
      <c r="D14" s="438"/>
      <c r="E14" s="438"/>
      <c r="F14" s="449"/>
      <c r="G14" s="451"/>
      <c r="H14" s="1"/>
      <c r="I14" s="368"/>
      <c r="J14" s="369"/>
      <c r="K14" s="370"/>
      <c r="L14" s="370"/>
      <c r="M14" s="370"/>
      <c r="N14" s="370"/>
      <c r="O14" s="370"/>
      <c r="P14" s="452"/>
      <c r="Q14" s="452"/>
      <c r="R14" s="452"/>
      <c r="S14" s="452"/>
    </row>
    <row r="15" spans="1:19" ht="12.95" customHeight="1">
      <c r="A15" s="446"/>
      <c r="B15" s="438"/>
      <c r="C15" s="438"/>
      <c r="D15" s="438"/>
      <c r="E15" s="438"/>
      <c r="F15" s="449"/>
      <c r="G15" s="451"/>
      <c r="H15" s="1"/>
      <c r="I15" s="368"/>
      <c r="J15" s="369"/>
      <c r="K15" s="370" t="s">
        <v>58</v>
      </c>
      <c r="L15" s="370"/>
      <c r="M15" s="370"/>
      <c r="N15" s="370"/>
      <c r="O15" s="370"/>
      <c r="P15" s="452"/>
      <c r="Q15" s="452"/>
      <c r="R15" s="452"/>
      <c r="S15" s="452"/>
    </row>
    <row r="16" spans="1:19" ht="12.95" customHeight="1">
      <c r="A16" s="370" t="s">
        <v>63</v>
      </c>
      <c r="B16" s="438"/>
      <c r="C16" s="438"/>
      <c r="D16" s="438"/>
      <c r="E16" s="438"/>
      <c r="F16" s="449"/>
      <c r="G16" s="451"/>
      <c r="H16" s="5"/>
      <c r="I16" s="368"/>
      <c r="J16" s="369"/>
      <c r="K16" s="370"/>
      <c r="L16" s="370"/>
      <c r="M16" s="370"/>
      <c r="N16" s="370"/>
      <c r="O16" s="370"/>
      <c r="P16" s="452"/>
      <c r="Q16" s="452"/>
      <c r="R16" s="452"/>
      <c r="S16" s="452"/>
    </row>
    <row r="17" spans="1:19" ht="15" customHeight="1">
      <c r="A17" s="370"/>
      <c r="B17" s="438"/>
      <c r="C17" s="438"/>
      <c r="D17" s="438"/>
      <c r="E17" s="438"/>
      <c r="F17" s="449"/>
      <c r="G17" s="451"/>
      <c r="H17" s="5"/>
      <c r="I17" s="368"/>
      <c r="J17" s="369"/>
      <c r="K17" s="370"/>
      <c r="L17" s="370"/>
      <c r="M17" s="370"/>
      <c r="N17" s="370"/>
      <c r="O17" s="370"/>
      <c r="P17" s="452"/>
      <c r="Q17" s="452"/>
      <c r="R17" s="452"/>
      <c r="S17" s="452"/>
    </row>
    <row r="18" spans="1:19" ht="15" customHeight="1">
      <c r="A18" s="370"/>
      <c r="B18" s="438"/>
      <c r="C18" s="438"/>
      <c r="D18" s="438"/>
      <c r="E18" s="438"/>
      <c r="F18" s="449"/>
      <c r="G18" s="451"/>
      <c r="H18" s="5"/>
      <c r="I18" s="28" t="s">
        <v>60</v>
      </c>
      <c r="J18" s="29"/>
      <c r="K18" s="371" t="s">
        <v>61</v>
      </c>
      <c r="L18" s="371"/>
      <c r="M18" s="371"/>
      <c r="N18" s="371"/>
      <c r="O18" s="372"/>
      <c r="P18" s="453"/>
      <c r="Q18" s="453"/>
      <c r="R18" s="453"/>
      <c r="S18" s="453"/>
    </row>
    <row r="19" spans="1:19" ht="15" customHeight="1">
      <c r="A19" s="370" t="s">
        <v>94</v>
      </c>
      <c r="B19" s="438"/>
      <c r="C19" s="438"/>
      <c r="D19" s="438"/>
      <c r="E19" s="438"/>
      <c r="F19" s="449"/>
      <c r="G19" s="451"/>
      <c r="H19" s="5"/>
      <c r="I19" s="30" t="s">
        <v>62</v>
      </c>
      <c r="J19" s="25"/>
      <c r="K19" s="373"/>
      <c r="L19" s="373"/>
      <c r="M19" s="373"/>
      <c r="N19" s="373"/>
      <c r="O19" s="374"/>
      <c r="P19" s="454"/>
      <c r="Q19" s="454"/>
      <c r="R19" s="454"/>
      <c r="S19" s="454"/>
    </row>
    <row r="20" spans="1:19" ht="15" customHeight="1">
      <c r="A20" s="370"/>
      <c r="B20" s="438"/>
      <c r="C20" s="438"/>
      <c r="D20" s="438"/>
      <c r="E20" s="438"/>
      <c r="F20" s="449"/>
      <c r="G20" s="451"/>
      <c r="H20" s="5"/>
      <c r="I20" s="26"/>
      <c r="J20" s="31"/>
      <c r="K20" s="375"/>
      <c r="L20" s="375"/>
      <c r="M20" s="375"/>
      <c r="N20" s="375"/>
      <c r="O20" s="376"/>
      <c r="P20" s="455"/>
      <c r="Q20" s="455"/>
      <c r="R20" s="455"/>
      <c r="S20" s="455"/>
    </row>
    <row r="21" spans="1:19" ht="15" customHeight="1">
      <c r="A21" s="370"/>
      <c r="B21" s="438"/>
      <c r="C21" s="438"/>
      <c r="D21" s="438"/>
      <c r="E21" s="438"/>
      <c r="F21" s="449"/>
      <c r="G21" s="451"/>
      <c r="H21" s="5"/>
      <c r="I21" s="30"/>
      <c r="J21" s="32"/>
      <c r="K21" s="370" t="s">
        <v>64</v>
      </c>
      <c r="L21" s="370"/>
      <c r="M21" s="370"/>
      <c r="N21" s="370"/>
      <c r="O21" s="370"/>
      <c r="P21" s="452"/>
      <c r="Q21" s="452"/>
      <c r="R21" s="452"/>
      <c r="S21" s="452"/>
    </row>
    <row r="22" spans="1:19" ht="15" customHeight="1">
      <c r="A22" s="447"/>
      <c r="B22" s="438"/>
      <c r="C22" s="438"/>
      <c r="D22" s="438"/>
      <c r="E22" s="438"/>
      <c r="F22" s="449"/>
      <c r="G22" s="451"/>
      <c r="H22" s="5"/>
      <c r="I22" s="30"/>
      <c r="J22" s="32"/>
      <c r="K22" s="370"/>
      <c r="L22" s="370"/>
      <c r="M22" s="370"/>
      <c r="N22" s="370"/>
      <c r="O22" s="370"/>
      <c r="P22" s="452"/>
      <c r="Q22" s="452"/>
      <c r="R22" s="452"/>
      <c r="S22" s="452"/>
    </row>
    <row r="23" spans="1:19" ht="20.100000000000001" customHeight="1">
      <c r="A23" s="6" t="s">
        <v>59</v>
      </c>
      <c r="B23" s="7"/>
      <c r="C23" s="7"/>
      <c r="D23" s="7"/>
      <c r="E23" s="7"/>
      <c r="F23" s="8"/>
      <c r="G23" s="9"/>
      <c r="H23" s="5"/>
      <c r="I23" s="24"/>
      <c r="J23" s="32"/>
      <c r="K23" s="370"/>
      <c r="L23" s="370"/>
      <c r="M23" s="370"/>
      <c r="N23" s="370"/>
      <c r="O23" s="370"/>
      <c r="P23" s="452"/>
      <c r="Q23" s="452"/>
      <c r="R23" s="452"/>
      <c r="S23" s="452"/>
    </row>
    <row r="24" spans="1:19" ht="20.100000000000001" customHeight="1">
      <c r="A24" s="10" t="s">
        <v>96</v>
      </c>
      <c r="B24" s="11"/>
      <c r="C24" s="12"/>
      <c r="D24" s="12"/>
      <c r="E24" s="12"/>
      <c r="F24" s="13"/>
      <c r="G24" s="14"/>
      <c r="H24" s="5"/>
      <c r="I24" s="346" t="s">
        <v>66</v>
      </c>
      <c r="J24" s="347"/>
      <c r="K24" s="370"/>
      <c r="L24" s="370"/>
      <c r="M24" s="370"/>
      <c r="N24" s="370"/>
      <c r="O24" s="370"/>
      <c r="P24" s="452"/>
      <c r="Q24" s="452"/>
      <c r="R24" s="452"/>
      <c r="S24" s="452"/>
    </row>
    <row r="25" spans="1:19" ht="20.100000000000001" customHeight="1">
      <c r="A25" s="10" t="s">
        <v>97</v>
      </c>
      <c r="B25" s="11"/>
      <c r="C25" s="12"/>
      <c r="D25" s="12"/>
      <c r="E25" s="12"/>
      <c r="F25" s="13"/>
      <c r="G25" s="14"/>
      <c r="H25" s="5"/>
      <c r="I25" s="383" t="s">
        <v>67</v>
      </c>
      <c r="J25" s="384"/>
      <c r="K25" s="461" t="s">
        <v>68</v>
      </c>
      <c r="L25" s="360"/>
      <c r="M25" s="360"/>
      <c r="N25" s="360"/>
      <c r="O25" s="361"/>
      <c r="P25" s="453"/>
      <c r="Q25" s="453"/>
      <c r="R25" s="453"/>
      <c r="S25" s="453"/>
    </row>
    <row r="26" spans="1:19" ht="20.100000000000001" customHeight="1">
      <c r="A26" s="10" t="s">
        <v>98</v>
      </c>
      <c r="B26" s="11"/>
      <c r="C26" s="12"/>
      <c r="D26" s="12"/>
      <c r="E26" s="12"/>
      <c r="F26" s="13"/>
      <c r="G26" s="14"/>
      <c r="H26" s="5"/>
      <c r="I26" s="30"/>
      <c r="J26" s="32"/>
      <c r="K26" s="462"/>
      <c r="L26" s="362"/>
      <c r="M26" s="362"/>
      <c r="N26" s="362"/>
      <c r="O26" s="363"/>
      <c r="P26" s="454"/>
      <c r="Q26" s="454"/>
      <c r="R26" s="454"/>
      <c r="S26" s="454"/>
    </row>
    <row r="27" spans="1:19" ht="20.100000000000001" customHeight="1">
      <c r="A27" s="15" t="s">
        <v>99</v>
      </c>
      <c r="B27" s="11"/>
      <c r="C27" s="12"/>
      <c r="D27" s="12"/>
      <c r="E27" s="12"/>
      <c r="F27" s="13"/>
      <c r="G27" s="14"/>
      <c r="H27" s="5"/>
      <c r="I27" s="30"/>
      <c r="J27" s="32"/>
      <c r="K27" s="462"/>
      <c r="L27" s="362"/>
      <c r="M27" s="362"/>
      <c r="N27" s="362"/>
      <c r="O27" s="363"/>
      <c r="P27" s="454"/>
      <c r="Q27" s="454"/>
      <c r="R27" s="454"/>
      <c r="S27" s="454"/>
    </row>
    <row r="28" spans="1:19" ht="20.100000000000001" customHeight="1">
      <c r="A28" s="16"/>
      <c r="B28" s="303" t="s">
        <v>65</v>
      </c>
      <c r="C28" s="304"/>
      <c r="D28" s="304"/>
      <c r="E28" s="305"/>
      <c r="F28" s="17"/>
      <c r="G28" s="18"/>
      <c r="H28" s="5"/>
      <c r="I28" s="33"/>
      <c r="J28" s="31"/>
      <c r="K28" s="463"/>
      <c r="L28" s="364"/>
      <c r="M28" s="364"/>
      <c r="N28" s="364"/>
      <c r="O28" s="365"/>
      <c r="P28" s="455"/>
      <c r="Q28" s="455"/>
      <c r="R28" s="455"/>
      <c r="S28" s="455"/>
    </row>
    <row r="29" spans="1:1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5" customHeight="1">
      <c r="A30" s="337" t="s">
        <v>69</v>
      </c>
      <c r="B30" s="337"/>
      <c r="C30" s="19"/>
      <c r="D30" s="336" t="s">
        <v>70</v>
      </c>
      <c r="E30" s="336"/>
      <c r="F30" s="306" t="s">
        <v>44</v>
      </c>
      <c r="G30" s="306"/>
      <c r="H30" s="20"/>
      <c r="I30" s="19"/>
      <c r="J30" s="306" t="s">
        <v>71</v>
      </c>
      <c r="K30" s="306"/>
      <c r="L30" s="306"/>
      <c r="M30" s="34"/>
      <c r="N30" s="306" t="s">
        <v>72</v>
      </c>
      <c r="O30" s="306"/>
      <c r="P30" s="306"/>
      <c r="Q30" s="306"/>
      <c r="R30" s="306"/>
      <c r="S30" s="5"/>
    </row>
    <row r="31" spans="1:19" ht="15" customHeight="1">
      <c r="A31" s="439" t="s">
        <v>73</v>
      </c>
      <c r="B31" s="439"/>
      <c r="C31" s="439"/>
      <c r="D31" s="440" t="s">
        <v>74</v>
      </c>
      <c r="E31" s="440"/>
      <c r="F31" s="440" t="s">
        <v>75</v>
      </c>
      <c r="G31" s="440"/>
      <c r="H31" s="20"/>
      <c r="I31" s="20"/>
      <c r="J31" s="440" t="s">
        <v>76</v>
      </c>
      <c r="K31" s="440"/>
      <c r="L31" s="440"/>
      <c r="M31" s="34"/>
      <c r="N31" s="20"/>
      <c r="O31" s="20" t="s">
        <v>77</v>
      </c>
      <c r="P31" s="20"/>
      <c r="Q31" s="20"/>
      <c r="R31" s="20"/>
      <c r="S31" s="5"/>
    </row>
    <row r="32" spans="1:19" ht="15" customHeight="1">
      <c r="A32" s="439" t="s">
        <v>78</v>
      </c>
      <c r="B32" s="439"/>
      <c r="C32" s="439"/>
      <c r="D32" s="440" t="s">
        <v>79</v>
      </c>
      <c r="E32" s="440"/>
      <c r="F32" s="440" t="s">
        <v>75</v>
      </c>
      <c r="G32" s="440"/>
      <c r="H32" s="20"/>
      <c r="I32" s="20"/>
      <c r="J32" s="440" t="s">
        <v>80</v>
      </c>
      <c r="K32" s="440"/>
      <c r="L32" s="440"/>
      <c r="M32" s="34"/>
      <c r="N32" s="20"/>
      <c r="O32" s="20" t="s">
        <v>81</v>
      </c>
      <c r="P32" s="20"/>
      <c r="Q32" s="20"/>
      <c r="R32" s="20"/>
      <c r="S32" s="5"/>
    </row>
    <row r="33" spans="1:19" ht="15" customHeight="1">
      <c r="A33" s="439" t="s">
        <v>82</v>
      </c>
      <c r="B33" s="439"/>
      <c r="C33" s="439"/>
      <c r="D33" s="440" t="s">
        <v>83</v>
      </c>
      <c r="E33" s="440"/>
      <c r="F33" s="440" t="s">
        <v>75</v>
      </c>
      <c r="G33" s="440"/>
      <c r="H33" s="20"/>
      <c r="I33" s="20"/>
      <c r="J33" s="440" t="s">
        <v>84</v>
      </c>
      <c r="K33" s="440"/>
      <c r="L33" s="440"/>
      <c r="M33" s="34"/>
      <c r="N33" s="20"/>
      <c r="O33" s="20" t="s">
        <v>85</v>
      </c>
      <c r="P33" s="20"/>
      <c r="Q33" s="20"/>
      <c r="R33" s="20"/>
      <c r="S33" s="5"/>
    </row>
    <row r="34" spans="1:19" ht="15" customHeight="1">
      <c r="A34" s="439" t="s">
        <v>86</v>
      </c>
      <c r="B34" s="439"/>
      <c r="C34" s="439"/>
      <c r="D34" s="440" t="s">
        <v>87</v>
      </c>
      <c r="E34" s="440"/>
      <c r="F34" s="440" t="s">
        <v>75</v>
      </c>
      <c r="G34" s="440"/>
      <c r="H34" s="20"/>
      <c r="I34" s="20"/>
      <c r="J34" s="440" t="s">
        <v>88</v>
      </c>
      <c r="K34" s="440"/>
      <c r="L34" s="440"/>
      <c r="M34" s="34"/>
      <c r="N34" s="20"/>
      <c r="O34" s="20" t="s">
        <v>89</v>
      </c>
      <c r="P34" s="20"/>
      <c r="Q34" s="20"/>
      <c r="R34" s="20"/>
      <c r="S34" s="5"/>
    </row>
    <row r="35" spans="1:19" ht="15" customHeight="1">
      <c r="A35" s="439" t="s">
        <v>90</v>
      </c>
      <c r="B35" s="439"/>
      <c r="C35" s="439"/>
      <c r="D35" s="440" t="s">
        <v>91</v>
      </c>
      <c r="E35" s="440"/>
      <c r="F35" s="440" t="s">
        <v>92</v>
      </c>
      <c r="G35" s="44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5"/>
    </row>
    <row r="36" spans="1:19" ht="14.1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15"/>
      <c r="S36" s="315"/>
    </row>
    <row r="37" spans="1:19" ht="14.1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4.1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ht="14.1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1:19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1:1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1:19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19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1:19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1:19" ht="12.9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1:19" ht="12.9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1:19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1:19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1:19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1:19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1:1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19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1:19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1:19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1:19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1:19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1:19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1:19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1:19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1:19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1:1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1:19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1:19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1:19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1:19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1:19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1:19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1:19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1:19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1:19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1:1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spans="1:19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1:19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1:19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1:19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spans="1:19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1:19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1:19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1:19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1:19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1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1:19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1:19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1:19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1:19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1:19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1:19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1:19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1:19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1:1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</sheetData>
  <mergeCells count="122">
    <mergeCell ref="I3:J4"/>
    <mergeCell ref="K3:O4"/>
    <mergeCell ref="K5:O8"/>
    <mergeCell ref="I12:J17"/>
    <mergeCell ref="K12:O14"/>
    <mergeCell ref="K15:O17"/>
    <mergeCell ref="K9:O11"/>
    <mergeCell ref="K18:O20"/>
    <mergeCell ref="K25:O28"/>
    <mergeCell ref="K21:O24"/>
    <mergeCell ref="R5:R8"/>
    <mergeCell ref="R9:R11"/>
    <mergeCell ref="R12:R14"/>
    <mergeCell ref="R15:R17"/>
    <mergeCell ref="R18:R20"/>
    <mergeCell ref="R21:R24"/>
    <mergeCell ref="R25:R28"/>
    <mergeCell ref="S5:S8"/>
    <mergeCell ref="S9:S11"/>
    <mergeCell ref="S12:S14"/>
    <mergeCell ref="S15:S17"/>
    <mergeCell ref="S18:S20"/>
    <mergeCell ref="S21:S24"/>
    <mergeCell ref="S25:S28"/>
    <mergeCell ref="P5:P8"/>
    <mergeCell ref="P9:P11"/>
    <mergeCell ref="P12:P14"/>
    <mergeCell ref="P15:P17"/>
    <mergeCell ref="P18:P20"/>
    <mergeCell ref="P21:P24"/>
    <mergeCell ref="P25:P28"/>
    <mergeCell ref="Q5:Q8"/>
    <mergeCell ref="Q9:Q11"/>
    <mergeCell ref="Q12:Q14"/>
    <mergeCell ref="Q15:Q17"/>
    <mergeCell ref="Q18:Q20"/>
    <mergeCell ref="Q21:Q24"/>
    <mergeCell ref="Q25:Q28"/>
    <mergeCell ref="F5:F6"/>
    <mergeCell ref="F7:F8"/>
    <mergeCell ref="F9:F10"/>
    <mergeCell ref="F11:F12"/>
    <mergeCell ref="F13:F15"/>
    <mergeCell ref="F16:F18"/>
    <mergeCell ref="F19:F22"/>
    <mergeCell ref="G3:G4"/>
    <mergeCell ref="G5:G6"/>
    <mergeCell ref="G7:G8"/>
    <mergeCell ref="G9:G10"/>
    <mergeCell ref="G11:G12"/>
    <mergeCell ref="G13:G15"/>
    <mergeCell ref="G16:G18"/>
    <mergeCell ref="G19:G22"/>
    <mergeCell ref="D16:D18"/>
    <mergeCell ref="D19:D22"/>
    <mergeCell ref="E5:E6"/>
    <mergeCell ref="E7:E8"/>
    <mergeCell ref="E9:E10"/>
    <mergeCell ref="E11:E12"/>
    <mergeCell ref="E13:E15"/>
    <mergeCell ref="E16:E18"/>
    <mergeCell ref="E19:E22"/>
    <mergeCell ref="A34:C34"/>
    <mergeCell ref="D34:E34"/>
    <mergeCell ref="F34:G34"/>
    <mergeCell ref="J34:L34"/>
    <mergeCell ref="A35:C35"/>
    <mergeCell ref="D35:E35"/>
    <mergeCell ref="F35:G35"/>
    <mergeCell ref="R36:S36"/>
    <mergeCell ref="A3:A4"/>
    <mergeCell ref="A5:A6"/>
    <mergeCell ref="A7:A8"/>
    <mergeCell ref="A9:A10"/>
    <mergeCell ref="A11:A12"/>
    <mergeCell ref="A13:A15"/>
    <mergeCell ref="A16:A18"/>
    <mergeCell ref="A19:A22"/>
    <mergeCell ref="B5:B6"/>
    <mergeCell ref="B7:B8"/>
    <mergeCell ref="B9:B10"/>
    <mergeCell ref="B11:B12"/>
    <mergeCell ref="B13:B15"/>
    <mergeCell ref="B16:B18"/>
    <mergeCell ref="B19:B22"/>
    <mergeCell ref="C5:C6"/>
    <mergeCell ref="A31:C31"/>
    <mergeCell ref="D31:E31"/>
    <mergeCell ref="F31:G31"/>
    <mergeCell ref="J31:L31"/>
    <mergeCell ref="A32:C32"/>
    <mergeCell ref="D32:E32"/>
    <mergeCell ref="F32:G32"/>
    <mergeCell ref="J32:L32"/>
    <mergeCell ref="A33:C33"/>
    <mergeCell ref="D33:E33"/>
    <mergeCell ref="F33:G33"/>
    <mergeCell ref="J33:L33"/>
    <mergeCell ref="A1:G1"/>
    <mergeCell ref="I1:S1"/>
    <mergeCell ref="B3:E3"/>
    <mergeCell ref="P3:S3"/>
    <mergeCell ref="I7:J7"/>
    <mergeCell ref="I24:J24"/>
    <mergeCell ref="I25:J25"/>
    <mergeCell ref="B28:E28"/>
    <mergeCell ref="A30:B30"/>
    <mergeCell ref="D30:E30"/>
    <mergeCell ref="F30:G30"/>
    <mergeCell ref="J30:L30"/>
    <mergeCell ref="N30:R30"/>
    <mergeCell ref="C7:C8"/>
    <mergeCell ref="C9:C10"/>
    <mergeCell ref="C11:C12"/>
    <mergeCell ref="C13:C15"/>
    <mergeCell ref="C16:C18"/>
    <mergeCell ref="C19:C22"/>
    <mergeCell ref="D5:D6"/>
    <mergeCell ref="D7:D8"/>
    <mergeCell ref="D9:D10"/>
    <mergeCell ref="D11:D12"/>
    <mergeCell ref="D13:D15"/>
  </mergeCells>
  <pageMargins left="0.3" right="0" top="0.5" bottom="0.25" header="0" footer="0"/>
  <pageSetup scale="98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Instructions</vt:lpstr>
      <vt:lpstr>Class Info</vt:lpstr>
      <vt:lpstr>K-12 Front</vt:lpstr>
      <vt:lpstr>Grade 7 Inside</vt:lpstr>
      <vt:lpstr>QUARTER 1 GRADES</vt:lpstr>
      <vt:lpstr>QUARTER 2 GRADES</vt:lpstr>
      <vt:lpstr>QUARTER 3 GRADES</vt:lpstr>
      <vt:lpstr>QUARTER 4 GRADES</vt:lpstr>
      <vt:lpstr>FINAL SUMMARY</vt:lpstr>
      <vt:lpstr>K-12 Gr4-6 Inside</vt:lpstr>
      <vt:lpstr>'Grade 7 Inside'!Print_Area</vt:lpstr>
      <vt:lpstr>'K-12 Front'!Print_Area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2025-04-10T03:21:48Z</cp:lastPrinted>
  <dcterms:created xsi:type="dcterms:W3CDTF">2015-04-02T08:36:00Z</dcterms:created>
  <dcterms:modified xsi:type="dcterms:W3CDTF">2025-08-21T06:34:12Z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