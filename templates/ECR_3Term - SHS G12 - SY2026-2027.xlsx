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D:\Downloads\"/>
    </mc:Choice>
  </mc:AlternateContent>
  <xr:revisionPtr revIDLastSave="0" documentId="8_{8C4F7EE2-7750-4740-891E-E0F9746D459D}" xr6:coauthVersionLast="47" xr6:coauthVersionMax="47" xr10:uidLastSave="{00000000-0000-0000-0000-000000000000}"/>
  <bookViews>
    <workbookView xWindow="-120" yWindow="-120" windowWidth="29040" windowHeight="15720" tabRatio="797" xr2:uid="{00000000-000D-0000-FFFF-FFFF00000000}"/>
  </bookViews>
  <sheets>
    <sheet name="INSTRUCTIONS" sheetId="33" r:id="rId1"/>
    <sheet name="INPUT DATA" sheetId="26" r:id="rId2"/>
    <sheet name="Term 1" sheetId="30" r:id="rId3"/>
    <sheet name="Term 2" sheetId="36" r:id="rId4"/>
    <sheet name="Term 3" sheetId="37" r:id="rId5"/>
    <sheet name="FINAL GRADES" sheetId="29" r:id="rId6"/>
    <sheet name="HELPER" sheetId="31" state="hidden" r:id="rId7"/>
  </sheets>
  <externalReferences>
    <externalReference r:id="rId8"/>
  </externalReference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7" i="37" l="1"/>
  <c r="AA17" i="36"/>
  <c r="AA17" i="30"/>
  <c r="AE117" i="37"/>
  <c r="AF117" i="37" s="1"/>
  <c r="AA117" i="37"/>
  <c r="AB117" i="37" s="1"/>
  <c r="AC117" i="37" s="1"/>
  <c r="N117" i="37"/>
  <c r="O117" i="37" s="1"/>
  <c r="P117" i="37" s="1"/>
  <c r="AE116" i="37"/>
  <c r="AF116" i="37" s="1"/>
  <c r="AA116" i="37"/>
  <c r="AB116" i="37" s="1"/>
  <c r="AC116" i="37" s="1"/>
  <c r="N116" i="37"/>
  <c r="O116" i="37" s="1"/>
  <c r="P116" i="37" s="1"/>
  <c r="AE115" i="37"/>
  <c r="AF115" i="37" s="1"/>
  <c r="AA115" i="37"/>
  <c r="AB115" i="37" s="1"/>
  <c r="AC115" i="37" s="1"/>
  <c r="O115" i="37"/>
  <c r="P115" i="37" s="1"/>
  <c r="N115" i="37"/>
  <c r="AE114" i="37"/>
  <c r="AF114" i="37" s="1"/>
  <c r="AA114" i="37"/>
  <c r="AB114" i="37" s="1"/>
  <c r="AC114" i="37" s="1"/>
  <c r="N114" i="37"/>
  <c r="O114" i="37" s="1"/>
  <c r="P114" i="37" s="1"/>
  <c r="AE113" i="37"/>
  <c r="AF113" i="37" s="1"/>
  <c r="AA113" i="37"/>
  <c r="AB113" i="37" s="1"/>
  <c r="AC113" i="37" s="1"/>
  <c r="N113" i="37"/>
  <c r="O113" i="37" s="1"/>
  <c r="P113" i="37" s="1"/>
  <c r="AE112" i="37"/>
  <c r="AF112" i="37" s="1"/>
  <c r="AA112" i="37"/>
  <c r="AB112" i="37" s="1"/>
  <c r="AC112" i="37" s="1"/>
  <c r="N112" i="37"/>
  <c r="O112" i="37" s="1"/>
  <c r="P112" i="37" s="1"/>
  <c r="AE111" i="37"/>
  <c r="AF111" i="37" s="1"/>
  <c r="AB111" i="37"/>
  <c r="AC111" i="37" s="1"/>
  <c r="AA111" i="37"/>
  <c r="N111" i="37"/>
  <c r="O111" i="37" s="1"/>
  <c r="P111" i="37" s="1"/>
  <c r="AE110" i="37"/>
  <c r="AF110" i="37" s="1"/>
  <c r="AA110" i="37"/>
  <c r="AB110" i="37" s="1"/>
  <c r="AC110" i="37" s="1"/>
  <c r="N110" i="37"/>
  <c r="O110" i="37" s="1"/>
  <c r="P110" i="37" s="1"/>
  <c r="AE109" i="37"/>
  <c r="AF109" i="37" s="1"/>
  <c r="AA109" i="37"/>
  <c r="AB109" i="37" s="1"/>
  <c r="AC109" i="37" s="1"/>
  <c r="N109" i="37"/>
  <c r="O109" i="37" s="1"/>
  <c r="P109" i="37" s="1"/>
  <c r="AE108" i="37"/>
  <c r="AF108" i="37" s="1"/>
  <c r="AB108" i="37"/>
  <c r="AC108" i="37" s="1"/>
  <c r="AA108" i="37"/>
  <c r="O108" i="37"/>
  <c r="P108" i="37" s="1"/>
  <c r="N108" i="37"/>
  <c r="AE107" i="37"/>
  <c r="AF107" i="37" s="1"/>
  <c r="AA107" i="37"/>
  <c r="AB107" i="37" s="1"/>
  <c r="AC107" i="37" s="1"/>
  <c r="N107" i="37"/>
  <c r="O107" i="37" s="1"/>
  <c r="P107" i="37" s="1"/>
  <c r="AE106" i="37"/>
  <c r="AF106" i="37" s="1"/>
  <c r="AB106" i="37"/>
  <c r="AC106" i="37" s="1"/>
  <c r="AA106" i="37"/>
  <c r="N106" i="37"/>
  <c r="O106" i="37" s="1"/>
  <c r="P106" i="37" s="1"/>
  <c r="AE105" i="37"/>
  <c r="AF105" i="37" s="1"/>
  <c r="AA105" i="37"/>
  <c r="AB105" i="37" s="1"/>
  <c r="AC105" i="37" s="1"/>
  <c r="O105" i="37"/>
  <c r="P105" i="37" s="1"/>
  <c r="N105" i="37"/>
  <c r="AE104" i="37"/>
  <c r="AF104" i="37" s="1"/>
  <c r="AA104" i="37"/>
  <c r="AB104" i="37" s="1"/>
  <c r="AC104" i="37" s="1"/>
  <c r="N104" i="37"/>
  <c r="O104" i="37" s="1"/>
  <c r="P104" i="37" s="1"/>
  <c r="AE103" i="37"/>
  <c r="AF103" i="37" s="1"/>
  <c r="AB103" i="37"/>
  <c r="AC103" i="37" s="1"/>
  <c r="AA103" i="37"/>
  <c r="O103" i="37"/>
  <c r="P103" i="37" s="1"/>
  <c r="N103" i="37"/>
  <c r="AF102" i="37"/>
  <c r="AE102" i="37"/>
  <c r="AA102" i="37"/>
  <c r="AB102" i="37" s="1"/>
  <c r="AC102" i="37" s="1"/>
  <c r="N102" i="37"/>
  <c r="O102" i="37" s="1"/>
  <c r="P102" i="37" s="1"/>
  <c r="AE101" i="37"/>
  <c r="AF101" i="37" s="1"/>
  <c r="AA101" i="37"/>
  <c r="AB101" i="37" s="1"/>
  <c r="AC101" i="37" s="1"/>
  <c r="N101" i="37"/>
  <c r="O101" i="37" s="1"/>
  <c r="P101" i="37" s="1"/>
  <c r="AE100" i="37"/>
  <c r="AF100" i="37" s="1"/>
  <c r="AA100" i="37"/>
  <c r="AB100" i="37" s="1"/>
  <c r="AC100" i="37" s="1"/>
  <c r="O100" i="37"/>
  <c r="P100" i="37" s="1"/>
  <c r="N100" i="37"/>
  <c r="AE99" i="37"/>
  <c r="AF99" i="37" s="1"/>
  <c r="AB99" i="37"/>
  <c r="AC99" i="37" s="1"/>
  <c r="AA99" i="37"/>
  <c r="N99" i="37"/>
  <c r="O99" i="37" s="1"/>
  <c r="P99" i="37" s="1"/>
  <c r="AE98" i="37"/>
  <c r="AF98" i="37" s="1"/>
  <c r="AA98" i="37"/>
  <c r="AB98" i="37" s="1"/>
  <c r="AC98" i="37" s="1"/>
  <c r="N98" i="37"/>
  <c r="O98" i="37" s="1"/>
  <c r="P98" i="37" s="1"/>
  <c r="AF97" i="37"/>
  <c r="AE97" i="37"/>
  <c r="AA97" i="37"/>
  <c r="AB97" i="37" s="1"/>
  <c r="AC97" i="37" s="1"/>
  <c r="N97" i="37"/>
  <c r="O97" i="37" s="1"/>
  <c r="P97" i="37" s="1"/>
  <c r="AE96" i="37"/>
  <c r="AF96" i="37" s="1"/>
  <c r="AB96" i="37"/>
  <c r="AC96" i="37" s="1"/>
  <c r="AA96" i="37"/>
  <c r="O96" i="37"/>
  <c r="P96" i="37" s="1"/>
  <c r="N96" i="37"/>
  <c r="AE95" i="37"/>
  <c r="AF95" i="37" s="1"/>
  <c r="AA95" i="37"/>
  <c r="AB95" i="37" s="1"/>
  <c r="AC95" i="37" s="1"/>
  <c r="N95" i="37"/>
  <c r="O95" i="37" s="1"/>
  <c r="P95" i="37" s="1"/>
  <c r="AF94" i="37"/>
  <c r="AE94" i="37"/>
  <c r="AB94" i="37"/>
  <c r="AC94" i="37" s="1"/>
  <c r="AA94" i="37"/>
  <c r="N94" i="37"/>
  <c r="O94" i="37" s="1"/>
  <c r="P94" i="37" s="1"/>
  <c r="AE93" i="37"/>
  <c r="AF93" i="37" s="1"/>
  <c r="AA93" i="37"/>
  <c r="AB93" i="37" s="1"/>
  <c r="AC93" i="37" s="1"/>
  <c r="O93" i="37"/>
  <c r="P93" i="37" s="1"/>
  <c r="N93" i="37"/>
  <c r="AE92" i="37"/>
  <c r="AF92" i="37" s="1"/>
  <c r="AA92" i="37"/>
  <c r="AB92" i="37" s="1"/>
  <c r="AC92" i="37" s="1"/>
  <c r="N92" i="37"/>
  <c r="O92" i="37" s="1"/>
  <c r="P92" i="37" s="1"/>
  <c r="AE91" i="37"/>
  <c r="AF91" i="37" s="1"/>
  <c r="AB91" i="37"/>
  <c r="AC91" i="37" s="1"/>
  <c r="AA91" i="37"/>
  <c r="O91" i="37"/>
  <c r="P91" i="37" s="1"/>
  <c r="N91" i="37"/>
  <c r="AF90" i="37"/>
  <c r="AE90" i="37"/>
  <c r="AA90" i="37"/>
  <c r="AB90" i="37" s="1"/>
  <c r="AC90" i="37" s="1"/>
  <c r="N90" i="37"/>
  <c r="O90" i="37" s="1"/>
  <c r="P90" i="37" s="1"/>
  <c r="AE89" i="37"/>
  <c r="AF89" i="37" s="1"/>
  <c r="AB89" i="37"/>
  <c r="AC89" i="37" s="1"/>
  <c r="AA89" i="37"/>
  <c r="N89" i="37"/>
  <c r="O89" i="37" s="1"/>
  <c r="P89" i="37" s="1"/>
  <c r="AE88" i="37"/>
  <c r="AF88" i="37" s="1"/>
  <c r="AA88" i="37"/>
  <c r="AB88" i="37" s="1"/>
  <c r="AC88" i="37" s="1"/>
  <c r="O88" i="37"/>
  <c r="P88" i="37" s="1"/>
  <c r="N88" i="37"/>
  <c r="AF87" i="37"/>
  <c r="AE87" i="37"/>
  <c r="AB87" i="37"/>
  <c r="AC87" i="37" s="1"/>
  <c r="AA87" i="37"/>
  <c r="N87" i="37"/>
  <c r="O87" i="37" s="1"/>
  <c r="P87" i="37" s="1"/>
  <c r="AE86" i="37"/>
  <c r="AF86" i="37" s="1"/>
  <c r="AA86" i="37"/>
  <c r="AB86" i="37" s="1"/>
  <c r="AC86" i="37" s="1"/>
  <c r="O86" i="37"/>
  <c r="P86" i="37" s="1"/>
  <c r="N86" i="37"/>
  <c r="AE85" i="37"/>
  <c r="AF85" i="37" s="1"/>
  <c r="AA85" i="37"/>
  <c r="AB85" i="37" s="1"/>
  <c r="AC85" i="37" s="1"/>
  <c r="N85" i="37"/>
  <c r="O85" i="37" s="1"/>
  <c r="P85" i="37" s="1"/>
  <c r="AE84" i="37"/>
  <c r="AF84" i="37" s="1"/>
  <c r="AB84" i="37"/>
  <c r="AC84" i="37" s="1"/>
  <c r="AA84" i="37"/>
  <c r="O84" i="37"/>
  <c r="P84" i="37" s="1"/>
  <c r="N84" i="37"/>
  <c r="AE83" i="37"/>
  <c r="AF83" i="37" s="1"/>
  <c r="AA83" i="37"/>
  <c r="AB83" i="37" s="1"/>
  <c r="AC83" i="37" s="1"/>
  <c r="N83" i="37"/>
  <c r="O83" i="37" s="1"/>
  <c r="P83" i="37" s="1"/>
  <c r="AE82" i="37"/>
  <c r="AF82" i="37" s="1"/>
  <c r="AB82" i="37"/>
  <c r="AC82" i="37" s="1"/>
  <c r="AA82" i="37"/>
  <c r="N82" i="37"/>
  <c r="O82" i="37" s="1"/>
  <c r="P82" i="37" s="1"/>
  <c r="AE81" i="37"/>
  <c r="AF81" i="37" s="1"/>
  <c r="AA81" i="37"/>
  <c r="AB81" i="37" s="1"/>
  <c r="AC81" i="37" s="1"/>
  <c r="O81" i="37"/>
  <c r="P81" i="37" s="1"/>
  <c r="N81" i="37"/>
  <c r="AE80" i="37"/>
  <c r="AF80" i="37" s="1"/>
  <c r="AA80" i="37"/>
  <c r="AB80" i="37" s="1"/>
  <c r="AC80" i="37" s="1"/>
  <c r="N80" i="37"/>
  <c r="O80" i="37" s="1"/>
  <c r="P80" i="37" s="1"/>
  <c r="AE79" i="37"/>
  <c r="AF79" i="37" s="1"/>
  <c r="AB79" i="37"/>
  <c r="AC79" i="37" s="1"/>
  <c r="AA79" i="37"/>
  <c r="O79" i="37"/>
  <c r="P79" i="37" s="1"/>
  <c r="N79" i="37"/>
  <c r="AE78" i="37"/>
  <c r="AF78" i="37" s="1"/>
  <c r="AA78" i="37"/>
  <c r="AB78" i="37" s="1"/>
  <c r="AC78" i="37" s="1"/>
  <c r="N78" i="37"/>
  <c r="O78" i="37" s="1"/>
  <c r="P78" i="37" s="1"/>
  <c r="AE77" i="37"/>
  <c r="AF77" i="37" s="1"/>
  <c r="AA77" i="37"/>
  <c r="AB77" i="37" s="1"/>
  <c r="AC77" i="37" s="1"/>
  <c r="N77" i="37"/>
  <c r="O77" i="37" s="1"/>
  <c r="P77" i="37" s="1"/>
  <c r="AE76" i="37"/>
  <c r="AF76" i="37" s="1"/>
  <c r="AA76" i="37"/>
  <c r="AB76" i="37" s="1"/>
  <c r="AC76" i="37" s="1"/>
  <c r="O76" i="37"/>
  <c r="P76" i="37" s="1"/>
  <c r="N76" i="37"/>
  <c r="AE75" i="37"/>
  <c r="AF75" i="37" s="1"/>
  <c r="AB75" i="37"/>
  <c r="AC75" i="37" s="1"/>
  <c r="AA75" i="37"/>
  <c r="N75" i="37"/>
  <c r="O75" i="37" s="1"/>
  <c r="P75" i="37" s="1"/>
  <c r="AE74" i="37"/>
  <c r="AF74" i="37" s="1"/>
  <c r="AA74" i="37"/>
  <c r="AB74" i="37" s="1"/>
  <c r="AC74" i="37" s="1"/>
  <c r="N74" i="37"/>
  <c r="O74" i="37" s="1"/>
  <c r="P74" i="37" s="1"/>
  <c r="AE73" i="37"/>
  <c r="AF73" i="37" s="1"/>
  <c r="AA73" i="37"/>
  <c r="AB73" i="37" s="1"/>
  <c r="AC73" i="37" s="1"/>
  <c r="N73" i="37"/>
  <c r="O73" i="37" s="1"/>
  <c r="P73" i="37" s="1"/>
  <c r="AE72" i="37"/>
  <c r="AF72" i="37" s="1"/>
  <c r="AB72" i="37"/>
  <c r="AC72" i="37" s="1"/>
  <c r="AA72" i="37"/>
  <c r="O72" i="37"/>
  <c r="P72" i="37" s="1"/>
  <c r="N72" i="37"/>
  <c r="AE71" i="37"/>
  <c r="AF71" i="37" s="1"/>
  <c r="AA71" i="37"/>
  <c r="AB71" i="37" s="1"/>
  <c r="AC71" i="37" s="1"/>
  <c r="N71" i="37"/>
  <c r="O71" i="37" s="1"/>
  <c r="P71" i="37" s="1"/>
  <c r="AE70" i="37"/>
  <c r="AF70" i="37" s="1"/>
  <c r="AB70" i="37"/>
  <c r="AC70" i="37" s="1"/>
  <c r="AA70" i="37"/>
  <c r="N70" i="37"/>
  <c r="O70" i="37" s="1"/>
  <c r="P70" i="37" s="1"/>
  <c r="AE69" i="37"/>
  <c r="AF69" i="37" s="1"/>
  <c r="AA69" i="37"/>
  <c r="AB69" i="37" s="1"/>
  <c r="AC69" i="37" s="1"/>
  <c r="O69" i="37"/>
  <c r="P69" i="37" s="1"/>
  <c r="N69" i="37"/>
  <c r="AE68" i="37"/>
  <c r="AF68" i="37" s="1"/>
  <c r="AA68" i="37"/>
  <c r="N68" i="37"/>
  <c r="AF66" i="37"/>
  <c r="AE66" i="37"/>
  <c r="AB66" i="37"/>
  <c r="AC66" i="37" s="1"/>
  <c r="AA66" i="37"/>
  <c r="O66" i="37"/>
  <c r="P66" i="37" s="1"/>
  <c r="N66" i="37"/>
  <c r="AE65" i="37"/>
  <c r="AF65" i="37" s="1"/>
  <c r="AA65" i="37"/>
  <c r="AB65" i="37" s="1"/>
  <c r="AC65" i="37" s="1"/>
  <c r="N65" i="37"/>
  <c r="O65" i="37" s="1"/>
  <c r="P65" i="37" s="1"/>
  <c r="AE64" i="37"/>
  <c r="AF64" i="37" s="1"/>
  <c r="AA64" i="37"/>
  <c r="AB64" i="37" s="1"/>
  <c r="AC64" i="37" s="1"/>
  <c r="N64" i="37"/>
  <c r="O64" i="37" s="1"/>
  <c r="P64" i="37" s="1"/>
  <c r="AE63" i="37"/>
  <c r="AF63" i="37" s="1"/>
  <c r="AA63" i="37"/>
  <c r="AB63" i="37" s="1"/>
  <c r="AC63" i="37" s="1"/>
  <c r="O63" i="37"/>
  <c r="P63" i="37" s="1"/>
  <c r="N63" i="37"/>
  <c r="AE62" i="37"/>
  <c r="AF62" i="37" s="1"/>
  <c r="AB62" i="37"/>
  <c r="AC62" i="37" s="1"/>
  <c r="AA62" i="37"/>
  <c r="N62" i="37"/>
  <c r="O62" i="37" s="1"/>
  <c r="P62" i="37" s="1"/>
  <c r="AE61" i="37"/>
  <c r="AF61" i="37" s="1"/>
  <c r="AA61" i="37"/>
  <c r="AB61" i="37" s="1"/>
  <c r="AC61" i="37" s="1"/>
  <c r="N61" i="37"/>
  <c r="O61" i="37" s="1"/>
  <c r="P61" i="37" s="1"/>
  <c r="AF60" i="37"/>
  <c r="AE60" i="37"/>
  <c r="AA60" i="37"/>
  <c r="AB60" i="37" s="1"/>
  <c r="AC60" i="37" s="1"/>
  <c r="N60" i="37"/>
  <c r="O60" i="37" s="1"/>
  <c r="P60" i="37" s="1"/>
  <c r="AE59" i="37"/>
  <c r="AF59" i="37" s="1"/>
  <c r="AA59" i="37"/>
  <c r="AB59" i="37" s="1"/>
  <c r="AC59" i="37" s="1"/>
  <c r="O59" i="37"/>
  <c r="P59" i="37" s="1"/>
  <c r="N59" i="37"/>
  <c r="AE58" i="37"/>
  <c r="AF58" i="37" s="1"/>
  <c r="AA58" i="37"/>
  <c r="AB58" i="37" s="1"/>
  <c r="AC58" i="37" s="1"/>
  <c r="N58" i="37"/>
  <c r="O58" i="37" s="1"/>
  <c r="P58" i="37" s="1"/>
  <c r="AE57" i="37"/>
  <c r="AF57" i="37" s="1"/>
  <c r="AB57" i="37"/>
  <c r="AC57" i="37" s="1"/>
  <c r="AA57" i="37"/>
  <c r="N57" i="37"/>
  <c r="O57" i="37" s="1"/>
  <c r="P57" i="37" s="1"/>
  <c r="AE56" i="37"/>
  <c r="AF56" i="37" s="1"/>
  <c r="AA56" i="37"/>
  <c r="AB56" i="37" s="1"/>
  <c r="AC56" i="37" s="1"/>
  <c r="N56" i="37"/>
  <c r="O56" i="37" s="1"/>
  <c r="P56" i="37" s="1"/>
  <c r="AE55" i="37"/>
  <c r="AF55" i="37" s="1"/>
  <c r="AA55" i="37"/>
  <c r="AB55" i="37" s="1"/>
  <c r="AC55" i="37" s="1"/>
  <c r="N55" i="37"/>
  <c r="O55" i="37" s="1"/>
  <c r="P55" i="37" s="1"/>
  <c r="AE54" i="37"/>
  <c r="AF54" i="37" s="1"/>
  <c r="AB54" i="37"/>
  <c r="AC54" i="37" s="1"/>
  <c r="AA54" i="37"/>
  <c r="O54" i="37"/>
  <c r="P54" i="37" s="1"/>
  <c r="N54" i="37"/>
  <c r="AE53" i="37"/>
  <c r="AF53" i="37" s="1"/>
  <c r="AA53" i="37"/>
  <c r="AB53" i="37" s="1"/>
  <c r="AC53" i="37" s="1"/>
  <c r="N53" i="37"/>
  <c r="O53" i="37" s="1"/>
  <c r="P53" i="37" s="1"/>
  <c r="AE52" i="37"/>
  <c r="AF52" i="37" s="1"/>
  <c r="AA52" i="37"/>
  <c r="AB52" i="37" s="1"/>
  <c r="AC52" i="37" s="1"/>
  <c r="N52" i="37"/>
  <c r="O52" i="37" s="1"/>
  <c r="P52" i="37" s="1"/>
  <c r="AE51" i="37"/>
  <c r="AF51" i="37" s="1"/>
  <c r="AC51" i="37"/>
  <c r="AB51" i="37"/>
  <c r="AA51" i="37"/>
  <c r="O51" i="37"/>
  <c r="P51" i="37" s="1"/>
  <c r="N51" i="37"/>
  <c r="AE50" i="37"/>
  <c r="AF50" i="37" s="1"/>
  <c r="AB50" i="37"/>
  <c r="AC50" i="37" s="1"/>
  <c r="AA50" i="37"/>
  <c r="N50" i="37"/>
  <c r="O50" i="37" s="1"/>
  <c r="P50" i="37" s="1"/>
  <c r="AE49" i="37"/>
  <c r="AF49" i="37" s="1"/>
  <c r="AA49" i="37"/>
  <c r="AB49" i="37" s="1"/>
  <c r="AC49" i="37" s="1"/>
  <c r="N49" i="37"/>
  <c r="O49" i="37" s="1"/>
  <c r="P49" i="37" s="1"/>
  <c r="AF48" i="37"/>
  <c r="AE48" i="37"/>
  <c r="AA48" i="37"/>
  <c r="AB48" i="37" s="1"/>
  <c r="AC48" i="37" s="1"/>
  <c r="O48" i="37"/>
  <c r="P48" i="37" s="1"/>
  <c r="N48" i="37"/>
  <c r="AE47" i="37"/>
  <c r="AF47" i="37" s="1"/>
  <c r="AA47" i="37"/>
  <c r="AB47" i="37" s="1"/>
  <c r="AC47" i="37" s="1"/>
  <c r="O47" i="37"/>
  <c r="P47" i="37" s="1"/>
  <c r="N47" i="37"/>
  <c r="AE46" i="37"/>
  <c r="AF46" i="37" s="1"/>
  <c r="AA46" i="37"/>
  <c r="AB46" i="37" s="1"/>
  <c r="AC46" i="37" s="1"/>
  <c r="N46" i="37"/>
  <c r="O46" i="37" s="1"/>
  <c r="P46" i="37" s="1"/>
  <c r="AE45" i="37"/>
  <c r="AF45" i="37" s="1"/>
  <c r="AB45" i="37"/>
  <c r="AC45" i="37" s="1"/>
  <c r="AA45" i="37"/>
  <c r="N45" i="37"/>
  <c r="O45" i="37" s="1"/>
  <c r="P45" i="37" s="1"/>
  <c r="AE44" i="37"/>
  <c r="AF44" i="37" s="1"/>
  <c r="AA44" i="37"/>
  <c r="AB44" i="37" s="1"/>
  <c r="AC44" i="37" s="1"/>
  <c r="N44" i="37"/>
  <c r="O44" i="37" s="1"/>
  <c r="P44" i="37" s="1"/>
  <c r="AE43" i="37"/>
  <c r="AF43" i="37" s="1"/>
  <c r="AA43" i="37"/>
  <c r="AB43" i="37" s="1"/>
  <c r="AC43" i="37" s="1"/>
  <c r="N43" i="37"/>
  <c r="O43" i="37" s="1"/>
  <c r="P43" i="37" s="1"/>
  <c r="AF42" i="37"/>
  <c r="AE42" i="37"/>
  <c r="AB42" i="37"/>
  <c r="AC42" i="37" s="1"/>
  <c r="AA42" i="37"/>
  <c r="O42" i="37"/>
  <c r="P42" i="37" s="1"/>
  <c r="N42" i="37"/>
  <c r="AE41" i="37"/>
  <c r="AF41" i="37" s="1"/>
  <c r="AA41" i="37"/>
  <c r="AB41" i="37" s="1"/>
  <c r="AC41" i="37" s="1"/>
  <c r="N41" i="37"/>
  <c r="O41" i="37" s="1"/>
  <c r="P41" i="37" s="1"/>
  <c r="AE40" i="37"/>
  <c r="AF40" i="37" s="1"/>
  <c r="AA40" i="37"/>
  <c r="AB40" i="37" s="1"/>
  <c r="AC40" i="37" s="1"/>
  <c r="N40" i="37"/>
  <c r="O40" i="37" s="1"/>
  <c r="P40" i="37" s="1"/>
  <c r="AE39" i="37"/>
  <c r="AF39" i="37" s="1"/>
  <c r="AB39" i="37"/>
  <c r="AC39" i="37" s="1"/>
  <c r="AA39" i="37"/>
  <c r="O39" i="37"/>
  <c r="P39" i="37" s="1"/>
  <c r="N39" i="37"/>
  <c r="AE38" i="37"/>
  <c r="AF38" i="37" s="1"/>
  <c r="AB38" i="37"/>
  <c r="AC38" i="37" s="1"/>
  <c r="AA38" i="37"/>
  <c r="N38" i="37"/>
  <c r="O38" i="37" s="1"/>
  <c r="P38" i="37" s="1"/>
  <c r="AE37" i="37"/>
  <c r="AF37" i="37" s="1"/>
  <c r="AA37" i="37"/>
  <c r="AB37" i="37" s="1"/>
  <c r="AC37" i="37" s="1"/>
  <c r="N37" i="37"/>
  <c r="O37" i="37" s="1"/>
  <c r="P37" i="37" s="1"/>
  <c r="AE36" i="37"/>
  <c r="AF36" i="37" s="1"/>
  <c r="AA36" i="37"/>
  <c r="AB36" i="37" s="1"/>
  <c r="AC36" i="37" s="1"/>
  <c r="O36" i="37"/>
  <c r="P36" i="37" s="1"/>
  <c r="N36" i="37"/>
  <c r="AE35" i="37"/>
  <c r="AF35" i="37" s="1"/>
  <c r="AA35" i="37"/>
  <c r="AB35" i="37" s="1"/>
  <c r="AC35" i="37" s="1"/>
  <c r="O35" i="37"/>
  <c r="P35" i="37" s="1"/>
  <c r="N35" i="37"/>
  <c r="AE34" i="37"/>
  <c r="AF34" i="37" s="1"/>
  <c r="AA34" i="37"/>
  <c r="AB34" i="37" s="1"/>
  <c r="AC34" i="37" s="1"/>
  <c r="N34" i="37"/>
  <c r="O34" i="37" s="1"/>
  <c r="P34" i="37" s="1"/>
  <c r="AE33" i="37"/>
  <c r="AF33" i="37" s="1"/>
  <c r="AB33" i="37"/>
  <c r="AC33" i="37" s="1"/>
  <c r="AA33" i="37"/>
  <c r="N33" i="37"/>
  <c r="O33" i="37" s="1"/>
  <c r="P33" i="37" s="1"/>
  <c r="AE32" i="37"/>
  <c r="AF32" i="37" s="1"/>
  <c r="AA32" i="37"/>
  <c r="AB32" i="37" s="1"/>
  <c r="AC32" i="37" s="1"/>
  <c r="N32" i="37"/>
  <c r="O32" i="37" s="1"/>
  <c r="P32" i="37" s="1"/>
  <c r="AE31" i="37"/>
  <c r="AF31" i="37" s="1"/>
  <c r="AA31" i="37"/>
  <c r="AB31" i="37" s="1"/>
  <c r="AC31" i="37" s="1"/>
  <c r="N31" i="37"/>
  <c r="O31" i="37" s="1"/>
  <c r="P31" i="37" s="1"/>
  <c r="AF30" i="37"/>
  <c r="AE30" i="37"/>
  <c r="AB30" i="37"/>
  <c r="AC30" i="37" s="1"/>
  <c r="AA30" i="37"/>
  <c r="O30" i="37"/>
  <c r="P30" i="37" s="1"/>
  <c r="N30" i="37"/>
  <c r="AE29" i="37"/>
  <c r="AF29" i="37" s="1"/>
  <c r="AA29" i="37"/>
  <c r="AB29" i="37" s="1"/>
  <c r="AC29" i="37" s="1"/>
  <c r="N29" i="37"/>
  <c r="O29" i="37" s="1"/>
  <c r="P29" i="37" s="1"/>
  <c r="AE28" i="37"/>
  <c r="AF28" i="37" s="1"/>
  <c r="AA28" i="37"/>
  <c r="AB28" i="37" s="1"/>
  <c r="AC28" i="37" s="1"/>
  <c r="N28" i="37"/>
  <c r="O28" i="37" s="1"/>
  <c r="P28" i="37" s="1"/>
  <c r="AE27" i="37"/>
  <c r="AF27" i="37" s="1"/>
  <c r="AC27" i="37"/>
  <c r="AB27" i="37"/>
  <c r="AA27" i="37"/>
  <c r="O27" i="37"/>
  <c r="P27" i="37" s="1"/>
  <c r="N27" i="37"/>
  <c r="AE26" i="37"/>
  <c r="AF26" i="37" s="1"/>
  <c r="AB26" i="37"/>
  <c r="AC26" i="37" s="1"/>
  <c r="AA26" i="37"/>
  <c r="N26" i="37"/>
  <c r="O26" i="37" s="1"/>
  <c r="P26" i="37" s="1"/>
  <c r="AE25" i="37"/>
  <c r="AF25" i="37" s="1"/>
  <c r="AA25" i="37"/>
  <c r="AB25" i="37" s="1"/>
  <c r="AC25" i="37" s="1"/>
  <c r="N25" i="37"/>
  <c r="O25" i="37" s="1"/>
  <c r="P25" i="37" s="1"/>
  <c r="AF24" i="37"/>
  <c r="AE24" i="37"/>
  <c r="AA24" i="37"/>
  <c r="AB24" i="37" s="1"/>
  <c r="AC24" i="37" s="1"/>
  <c r="O24" i="37"/>
  <c r="P24" i="37" s="1"/>
  <c r="N24" i="37"/>
  <c r="AE23" i="37"/>
  <c r="AF23" i="37" s="1"/>
  <c r="AA23" i="37"/>
  <c r="AB23" i="37" s="1"/>
  <c r="AC23" i="37" s="1"/>
  <c r="O23" i="37"/>
  <c r="P23" i="37" s="1"/>
  <c r="N23" i="37"/>
  <c r="AE22" i="37"/>
  <c r="AF22" i="37" s="1"/>
  <c r="AA22" i="37"/>
  <c r="AB22" i="37" s="1"/>
  <c r="AC22" i="37" s="1"/>
  <c r="N22" i="37"/>
  <c r="O22" i="37" s="1"/>
  <c r="P22" i="37" s="1"/>
  <c r="AF21" i="37"/>
  <c r="AE21" i="37"/>
  <c r="AB21" i="37"/>
  <c r="AC21" i="37" s="1"/>
  <c r="AA21" i="37"/>
  <c r="N21" i="37"/>
  <c r="O21" i="37" s="1"/>
  <c r="P21" i="37" s="1"/>
  <c r="AE20" i="37"/>
  <c r="AF20" i="37" s="1"/>
  <c r="AA20" i="37"/>
  <c r="AB20" i="37" s="1"/>
  <c r="AC20" i="37" s="1"/>
  <c r="N20" i="37"/>
  <c r="O20" i="37" s="1"/>
  <c r="P20" i="37" s="1"/>
  <c r="AE19" i="37"/>
  <c r="AF19" i="37" s="1"/>
  <c r="AA19" i="37"/>
  <c r="AB19" i="37" s="1"/>
  <c r="AC19" i="37" s="1"/>
  <c r="N19" i="37"/>
  <c r="O19" i="37" s="1"/>
  <c r="P19" i="37" s="1"/>
  <c r="AE18" i="37"/>
  <c r="AF18" i="37" s="1"/>
  <c r="AB18" i="37"/>
  <c r="AC18" i="37" s="1"/>
  <c r="AA18" i="37"/>
  <c r="O18" i="37"/>
  <c r="P18" i="37" s="1"/>
  <c r="N18" i="37"/>
  <c r="AE17" i="37"/>
  <c r="AF17" i="37" s="1"/>
  <c r="AB17" i="37"/>
  <c r="AC17" i="37" s="1"/>
  <c r="N17" i="37"/>
  <c r="O17" i="37" s="1"/>
  <c r="P17" i="37" s="1"/>
  <c r="AE117" i="36"/>
  <c r="AF117" i="36" s="1"/>
  <c r="AA117" i="36"/>
  <c r="AB117" i="36" s="1"/>
  <c r="AC117" i="36" s="1"/>
  <c r="N117" i="36"/>
  <c r="O117" i="36" s="1"/>
  <c r="P117" i="36" s="1"/>
  <c r="AE116" i="36"/>
  <c r="AF116" i="36" s="1"/>
  <c r="AB116" i="36"/>
  <c r="AC116" i="36" s="1"/>
  <c r="AA116" i="36"/>
  <c r="N116" i="36"/>
  <c r="O116" i="36" s="1"/>
  <c r="P116" i="36" s="1"/>
  <c r="AE115" i="36"/>
  <c r="AF115" i="36" s="1"/>
  <c r="AB115" i="36"/>
  <c r="AC115" i="36" s="1"/>
  <c r="AA115" i="36"/>
  <c r="O115" i="36"/>
  <c r="P115" i="36" s="1"/>
  <c r="N115" i="36"/>
  <c r="AE114" i="36"/>
  <c r="AF114" i="36" s="1"/>
  <c r="AA114" i="36"/>
  <c r="AB114" i="36" s="1"/>
  <c r="AC114" i="36" s="1"/>
  <c r="N114" i="36"/>
  <c r="O114" i="36" s="1"/>
  <c r="P114" i="36" s="1"/>
  <c r="AE113" i="36"/>
  <c r="AF113" i="36" s="1"/>
  <c r="AA113" i="36"/>
  <c r="AB113" i="36" s="1"/>
  <c r="AC113" i="36" s="1"/>
  <c r="P113" i="36"/>
  <c r="O113" i="36"/>
  <c r="N113" i="36"/>
  <c r="AE112" i="36"/>
  <c r="AF112" i="36" s="1"/>
  <c r="AB112" i="36"/>
  <c r="AC112" i="36" s="1"/>
  <c r="AA112" i="36"/>
  <c r="O112" i="36"/>
  <c r="P112" i="36" s="1"/>
  <c r="N112" i="36"/>
  <c r="AE111" i="36"/>
  <c r="AF111" i="36" s="1"/>
  <c r="AB111" i="36"/>
  <c r="AC111" i="36" s="1"/>
  <c r="AA111" i="36"/>
  <c r="N111" i="36"/>
  <c r="O111" i="36" s="1"/>
  <c r="P111" i="36" s="1"/>
  <c r="AE110" i="36"/>
  <c r="AF110" i="36" s="1"/>
  <c r="AA110" i="36"/>
  <c r="AB110" i="36" s="1"/>
  <c r="AC110" i="36" s="1"/>
  <c r="N110" i="36"/>
  <c r="O110" i="36" s="1"/>
  <c r="P110" i="36" s="1"/>
  <c r="AE109" i="36"/>
  <c r="AF109" i="36" s="1"/>
  <c r="AA109" i="36"/>
  <c r="AB109" i="36" s="1"/>
  <c r="AC109" i="36" s="1"/>
  <c r="P109" i="36"/>
  <c r="O109" i="36"/>
  <c r="N109" i="36"/>
  <c r="AE108" i="36"/>
  <c r="AF108" i="36" s="1"/>
  <c r="AB108" i="36"/>
  <c r="AC108" i="36" s="1"/>
  <c r="AA108" i="36"/>
  <c r="O108" i="36"/>
  <c r="P108" i="36" s="1"/>
  <c r="N108" i="36"/>
  <c r="AF107" i="36"/>
  <c r="AE107" i="36"/>
  <c r="AA107" i="36"/>
  <c r="AB107" i="36" s="1"/>
  <c r="AC107" i="36" s="1"/>
  <c r="N107" i="36"/>
  <c r="O107" i="36" s="1"/>
  <c r="P107" i="36" s="1"/>
  <c r="AF106" i="36"/>
  <c r="AE106" i="36"/>
  <c r="AB106" i="36"/>
  <c r="AC106" i="36" s="1"/>
  <c r="AA106" i="36"/>
  <c r="N106" i="36"/>
  <c r="O106" i="36" s="1"/>
  <c r="P106" i="36" s="1"/>
  <c r="AE105" i="36"/>
  <c r="AF105" i="36" s="1"/>
  <c r="AA105" i="36"/>
  <c r="AB105" i="36" s="1"/>
  <c r="AC105" i="36" s="1"/>
  <c r="O105" i="36"/>
  <c r="P105" i="36" s="1"/>
  <c r="N105" i="36"/>
  <c r="AE104" i="36"/>
  <c r="AF104" i="36" s="1"/>
  <c r="AB104" i="36"/>
  <c r="AC104" i="36" s="1"/>
  <c r="AA104" i="36"/>
  <c r="N104" i="36"/>
  <c r="O104" i="36" s="1"/>
  <c r="P104" i="36" s="1"/>
  <c r="AF103" i="36"/>
  <c r="AE103" i="36"/>
  <c r="AB103" i="36"/>
  <c r="AC103" i="36" s="1"/>
  <c r="AA103" i="36"/>
  <c r="O103" i="36"/>
  <c r="P103" i="36" s="1"/>
  <c r="N103" i="36"/>
  <c r="AE102" i="36"/>
  <c r="AF102" i="36" s="1"/>
  <c r="AA102" i="36"/>
  <c r="AB102" i="36" s="1"/>
  <c r="AC102" i="36" s="1"/>
  <c r="N102" i="36"/>
  <c r="O102" i="36" s="1"/>
  <c r="P102" i="36" s="1"/>
  <c r="AE101" i="36"/>
  <c r="AF101" i="36" s="1"/>
  <c r="AA101" i="36"/>
  <c r="AB101" i="36" s="1"/>
  <c r="AC101" i="36" s="1"/>
  <c r="O101" i="36"/>
  <c r="P101" i="36" s="1"/>
  <c r="N101" i="36"/>
  <c r="AE100" i="36"/>
  <c r="AF100" i="36" s="1"/>
  <c r="AB100" i="36"/>
  <c r="AC100" i="36" s="1"/>
  <c r="AA100" i="36"/>
  <c r="O100" i="36"/>
  <c r="P100" i="36" s="1"/>
  <c r="N100" i="36"/>
  <c r="AE99" i="36"/>
  <c r="AF99" i="36" s="1"/>
  <c r="AB99" i="36"/>
  <c r="AC99" i="36" s="1"/>
  <c r="AA99" i="36"/>
  <c r="N99" i="36"/>
  <c r="O99" i="36" s="1"/>
  <c r="P99" i="36" s="1"/>
  <c r="AE98" i="36"/>
  <c r="AF98" i="36" s="1"/>
  <c r="AA98" i="36"/>
  <c r="AB98" i="36" s="1"/>
  <c r="AC98" i="36" s="1"/>
  <c r="N98" i="36"/>
  <c r="O98" i="36" s="1"/>
  <c r="P98" i="36" s="1"/>
  <c r="AE97" i="36"/>
  <c r="AF97" i="36" s="1"/>
  <c r="AA97" i="36"/>
  <c r="AB97" i="36" s="1"/>
  <c r="AC97" i="36" s="1"/>
  <c r="O97" i="36"/>
  <c r="P97" i="36" s="1"/>
  <c r="N97" i="36"/>
  <c r="AE96" i="36"/>
  <c r="AF96" i="36" s="1"/>
  <c r="AB96" i="36"/>
  <c r="AC96" i="36" s="1"/>
  <c r="AA96" i="36"/>
  <c r="O96" i="36"/>
  <c r="P96" i="36" s="1"/>
  <c r="N96" i="36"/>
  <c r="AE95" i="36"/>
  <c r="AF95" i="36" s="1"/>
  <c r="AA95" i="36"/>
  <c r="AB95" i="36" s="1"/>
  <c r="AC95" i="36" s="1"/>
  <c r="N95" i="36"/>
  <c r="O95" i="36" s="1"/>
  <c r="P95" i="36" s="1"/>
  <c r="AE94" i="36"/>
  <c r="AF94" i="36" s="1"/>
  <c r="AB94" i="36"/>
  <c r="AC94" i="36" s="1"/>
  <c r="AA94" i="36"/>
  <c r="N94" i="36"/>
  <c r="O94" i="36" s="1"/>
  <c r="P94" i="36" s="1"/>
  <c r="AE93" i="36"/>
  <c r="AF93" i="36" s="1"/>
  <c r="AA93" i="36"/>
  <c r="AB93" i="36" s="1"/>
  <c r="AC93" i="36" s="1"/>
  <c r="O93" i="36"/>
  <c r="P93" i="36" s="1"/>
  <c r="N93" i="36"/>
  <c r="AE92" i="36"/>
  <c r="AF92" i="36" s="1"/>
  <c r="AB92" i="36"/>
  <c r="AC92" i="36" s="1"/>
  <c r="AA92" i="36"/>
  <c r="N92" i="36"/>
  <c r="O92" i="36" s="1"/>
  <c r="P92" i="36" s="1"/>
  <c r="AE91" i="36"/>
  <c r="AF91" i="36" s="1"/>
  <c r="AA91" i="36"/>
  <c r="AB91" i="36" s="1"/>
  <c r="AC91" i="36" s="1"/>
  <c r="O91" i="36"/>
  <c r="P91" i="36" s="1"/>
  <c r="N91" i="36"/>
  <c r="AE90" i="36"/>
  <c r="AF90" i="36" s="1"/>
  <c r="AA90" i="36"/>
  <c r="AB90" i="36" s="1"/>
  <c r="AC90" i="36" s="1"/>
  <c r="N90" i="36"/>
  <c r="O90" i="36" s="1"/>
  <c r="P90" i="36" s="1"/>
  <c r="AE89" i="36"/>
  <c r="AF89" i="36" s="1"/>
  <c r="AA89" i="36"/>
  <c r="AB89" i="36" s="1"/>
  <c r="AC89" i="36" s="1"/>
  <c r="O89" i="36"/>
  <c r="P89" i="36" s="1"/>
  <c r="N89" i="36"/>
  <c r="AE88" i="36"/>
  <c r="AF88" i="36" s="1"/>
  <c r="AC88" i="36"/>
  <c r="AB88" i="36"/>
  <c r="AA88" i="36"/>
  <c r="N88" i="36"/>
  <c r="O88" i="36" s="1"/>
  <c r="P88" i="36" s="1"/>
  <c r="AF87" i="36"/>
  <c r="AE87" i="36"/>
  <c r="AB87" i="36"/>
  <c r="AC87" i="36" s="1"/>
  <c r="AA87" i="36"/>
  <c r="N87" i="36"/>
  <c r="O87" i="36" s="1"/>
  <c r="P87" i="36" s="1"/>
  <c r="AE86" i="36"/>
  <c r="AF86" i="36" s="1"/>
  <c r="AA86" i="36"/>
  <c r="AB86" i="36" s="1"/>
  <c r="AC86" i="36" s="1"/>
  <c r="N86" i="36"/>
  <c r="O86" i="36" s="1"/>
  <c r="P86" i="36" s="1"/>
  <c r="AE85" i="36"/>
  <c r="AF85" i="36" s="1"/>
  <c r="AA85" i="36"/>
  <c r="AB85" i="36" s="1"/>
  <c r="AC85" i="36" s="1"/>
  <c r="P85" i="36"/>
  <c r="O85" i="36"/>
  <c r="N85" i="36"/>
  <c r="AE84" i="36"/>
  <c r="AF84" i="36" s="1"/>
  <c r="AB84" i="36"/>
  <c r="AC84" i="36" s="1"/>
  <c r="AA84" i="36"/>
  <c r="O84" i="36"/>
  <c r="P84" i="36" s="1"/>
  <c r="N84" i="36"/>
  <c r="AE83" i="36"/>
  <c r="AF83" i="36" s="1"/>
  <c r="AA83" i="36"/>
  <c r="AB83" i="36" s="1"/>
  <c r="AC83" i="36" s="1"/>
  <c r="N83" i="36"/>
  <c r="O83" i="36" s="1"/>
  <c r="P83" i="36" s="1"/>
  <c r="AE82" i="36"/>
  <c r="AF82" i="36" s="1"/>
  <c r="AB82" i="36"/>
  <c r="AC82" i="36" s="1"/>
  <c r="AA82" i="36"/>
  <c r="N82" i="36"/>
  <c r="O82" i="36" s="1"/>
  <c r="P82" i="36" s="1"/>
  <c r="AE81" i="36"/>
  <c r="AF81" i="36" s="1"/>
  <c r="AA81" i="36"/>
  <c r="AB81" i="36" s="1"/>
  <c r="AC81" i="36" s="1"/>
  <c r="O81" i="36"/>
  <c r="P81" i="36" s="1"/>
  <c r="N81" i="36"/>
  <c r="AE80" i="36"/>
  <c r="AF80" i="36" s="1"/>
  <c r="AB80" i="36"/>
  <c r="AC80" i="36" s="1"/>
  <c r="AA80" i="36"/>
  <c r="N80" i="36"/>
  <c r="O80" i="36" s="1"/>
  <c r="P80" i="36" s="1"/>
  <c r="AE79" i="36"/>
  <c r="AF79" i="36" s="1"/>
  <c r="AA79" i="36"/>
  <c r="AB79" i="36" s="1"/>
  <c r="AC79" i="36" s="1"/>
  <c r="O79" i="36"/>
  <c r="P79" i="36" s="1"/>
  <c r="N79" i="36"/>
  <c r="AE78" i="36"/>
  <c r="AF78" i="36" s="1"/>
  <c r="AA78" i="36"/>
  <c r="AB78" i="36" s="1"/>
  <c r="AC78" i="36" s="1"/>
  <c r="N78" i="36"/>
  <c r="O78" i="36" s="1"/>
  <c r="P78" i="36" s="1"/>
  <c r="AE77" i="36"/>
  <c r="AF77" i="36" s="1"/>
  <c r="AA77" i="36"/>
  <c r="AB77" i="36" s="1"/>
  <c r="AC77" i="36" s="1"/>
  <c r="O77" i="36"/>
  <c r="P77" i="36" s="1"/>
  <c r="N77" i="36"/>
  <c r="AE76" i="36"/>
  <c r="AF76" i="36" s="1"/>
  <c r="AC76" i="36"/>
  <c r="AB76" i="36"/>
  <c r="AA76" i="36"/>
  <c r="N76" i="36"/>
  <c r="O76" i="36" s="1"/>
  <c r="P76" i="36" s="1"/>
  <c r="AF75" i="36"/>
  <c r="AE75" i="36"/>
  <c r="AB75" i="36"/>
  <c r="AC75" i="36" s="1"/>
  <c r="AA75" i="36"/>
  <c r="N75" i="36"/>
  <c r="O75" i="36" s="1"/>
  <c r="P75" i="36" s="1"/>
  <c r="AE74" i="36"/>
  <c r="AF74" i="36" s="1"/>
  <c r="AA74" i="36"/>
  <c r="AB74" i="36" s="1"/>
  <c r="AC74" i="36" s="1"/>
  <c r="N74" i="36"/>
  <c r="O74" i="36" s="1"/>
  <c r="P74" i="36" s="1"/>
  <c r="AF73" i="36"/>
  <c r="AE73" i="36"/>
  <c r="AA73" i="36"/>
  <c r="AB73" i="36" s="1"/>
  <c r="AC73" i="36" s="1"/>
  <c r="P73" i="36"/>
  <c r="O73" i="36"/>
  <c r="N73" i="36"/>
  <c r="AE72" i="36"/>
  <c r="AF72" i="36" s="1"/>
  <c r="AB72" i="36"/>
  <c r="AC72" i="36" s="1"/>
  <c r="AA72" i="36"/>
  <c r="O72" i="36"/>
  <c r="P72" i="36" s="1"/>
  <c r="N72" i="36"/>
  <c r="AE71" i="36"/>
  <c r="AF71" i="36" s="1"/>
  <c r="AA71" i="36"/>
  <c r="AB71" i="36" s="1"/>
  <c r="AC71" i="36" s="1"/>
  <c r="N71" i="36"/>
  <c r="O71" i="36" s="1"/>
  <c r="P71" i="36" s="1"/>
  <c r="AE70" i="36"/>
  <c r="AF70" i="36" s="1"/>
  <c r="AB70" i="36"/>
  <c r="AC70" i="36" s="1"/>
  <c r="AA70" i="36"/>
  <c r="N70" i="36"/>
  <c r="O70" i="36" s="1"/>
  <c r="P70" i="36" s="1"/>
  <c r="AE69" i="36"/>
  <c r="AF69" i="36" s="1"/>
  <c r="AA69" i="36"/>
  <c r="AB69" i="36" s="1"/>
  <c r="AC69" i="36" s="1"/>
  <c r="O69" i="36"/>
  <c r="P69" i="36" s="1"/>
  <c r="N69" i="36"/>
  <c r="AE68" i="36"/>
  <c r="AF68" i="36" s="1"/>
  <c r="AA68" i="36"/>
  <c r="N68" i="36"/>
  <c r="O68" i="36" s="1"/>
  <c r="P68" i="36" s="1"/>
  <c r="AE66" i="36"/>
  <c r="AF66" i="36" s="1"/>
  <c r="AA66" i="36"/>
  <c r="AB66" i="36" s="1"/>
  <c r="AC66" i="36" s="1"/>
  <c r="O66" i="36"/>
  <c r="P66" i="36" s="1"/>
  <c r="N66" i="36"/>
  <c r="AF65" i="36"/>
  <c r="AE65" i="36"/>
  <c r="AB65" i="36"/>
  <c r="AC65" i="36" s="1"/>
  <c r="AA65" i="36"/>
  <c r="N65" i="36"/>
  <c r="O65" i="36" s="1"/>
  <c r="P65" i="36" s="1"/>
  <c r="AE64" i="36"/>
  <c r="AF64" i="36" s="1"/>
  <c r="AA64" i="36"/>
  <c r="AB64" i="36" s="1"/>
  <c r="AC64" i="36" s="1"/>
  <c r="O64" i="36"/>
  <c r="P64" i="36" s="1"/>
  <c r="N64" i="36"/>
  <c r="AE63" i="36"/>
  <c r="AF63" i="36" s="1"/>
  <c r="AB63" i="36"/>
  <c r="AC63" i="36" s="1"/>
  <c r="AA63" i="36"/>
  <c r="N63" i="36"/>
  <c r="O63" i="36" s="1"/>
  <c r="P63" i="36" s="1"/>
  <c r="AE62" i="36"/>
  <c r="AF62" i="36" s="1"/>
  <c r="AB62" i="36"/>
  <c r="AC62" i="36" s="1"/>
  <c r="AA62" i="36"/>
  <c r="O62" i="36"/>
  <c r="P62" i="36" s="1"/>
  <c r="N62" i="36"/>
  <c r="AE61" i="36"/>
  <c r="AF61" i="36" s="1"/>
  <c r="AA61" i="36"/>
  <c r="AB61" i="36" s="1"/>
  <c r="AC61" i="36" s="1"/>
  <c r="N61" i="36"/>
  <c r="O61" i="36" s="1"/>
  <c r="P61" i="36" s="1"/>
  <c r="AE60" i="36"/>
  <c r="AF60" i="36" s="1"/>
  <c r="AA60" i="36"/>
  <c r="AB60" i="36" s="1"/>
  <c r="AC60" i="36" s="1"/>
  <c r="P60" i="36"/>
  <c r="O60" i="36"/>
  <c r="N60" i="36"/>
  <c r="AE59" i="36"/>
  <c r="AF59" i="36" s="1"/>
  <c r="AB59" i="36"/>
  <c r="AC59" i="36" s="1"/>
  <c r="AA59" i="36"/>
  <c r="O59" i="36"/>
  <c r="P59" i="36" s="1"/>
  <c r="N59" i="36"/>
  <c r="AE58" i="36"/>
  <c r="AF58" i="36" s="1"/>
  <c r="AA58" i="36"/>
  <c r="AB58" i="36" s="1"/>
  <c r="AC58" i="36" s="1"/>
  <c r="N58" i="36"/>
  <c r="O58" i="36" s="1"/>
  <c r="P58" i="36" s="1"/>
  <c r="AE57" i="36"/>
  <c r="AF57" i="36" s="1"/>
  <c r="AB57" i="36"/>
  <c r="AC57" i="36" s="1"/>
  <c r="AA57" i="36"/>
  <c r="N57" i="36"/>
  <c r="O57" i="36" s="1"/>
  <c r="P57" i="36" s="1"/>
  <c r="AF56" i="36"/>
  <c r="AE56" i="36"/>
  <c r="AA56" i="36"/>
  <c r="AB56" i="36" s="1"/>
  <c r="AC56" i="36" s="1"/>
  <c r="O56" i="36"/>
  <c r="P56" i="36" s="1"/>
  <c r="N56" i="36"/>
  <c r="AE55" i="36"/>
  <c r="AF55" i="36" s="1"/>
  <c r="AB55" i="36"/>
  <c r="AC55" i="36" s="1"/>
  <c r="AA55" i="36"/>
  <c r="N55" i="36"/>
  <c r="O55" i="36" s="1"/>
  <c r="P55" i="36" s="1"/>
  <c r="AE54" i="36"/>
  <c r="AF54" i="36" s="1"/>
  <c r="AA54" i="36"/>
  <c r="AB54" i="36" s="1"/>
  <c r="AC54" i="36" s="1"/>
  <c r="O54" i="36"/>
  <c r="P54" i="36" s="1"/>
  <c r="N54" i="36"/>
  <c r="AF53" i="36"/>
  <c r="AE53" i="36"/>
  <c r="AB53" i="36"/>
  <c r="AC53" i="36" s="1"/>
  <c r="AA53" i="36"/>
  <c r="N53" i="36"/>
  <c r="O53" i="36" s="1"/>
  <c r="P53" i="36" s="1"/>
  <c r="AE52" i="36"/>
  <c r="AF52" i="36" s="1"/>
  <c r="AA52" i="36"/>
  <c r="AB52" i="36" s="1"/>
  <c r="AC52" i="36" s="1"/>
  <c r="O52" i="36"/>
  <c r="P52" i="36" s="1"/>
  <c r="N52" i="36"/>
  <c r="AE51" i="36"/>
  <c r="AF51" i="36" s="1"/>
  <c r="AB51" i="36"/>
  <c r="AC51" i="36" s="1"/>
  <c r="AA51" i="36"/>
  <c r="N51" i="36"/>
  <c r="O51" i="36" s="1"/>
  <c r="P51" i="36" s="1"/>
  <c r="AE50" i="36"/>
  <c r="AF50" i="36" s="1"/>
  <c r="AB50" i="36"/>
  <c r="AC50" i="36" s="1"/>
  <c r="AA50" i="36"/>
  <c r="O50" i="36"/>
  <c r="P50" i="36" s="1"/>
  <c r="N50" i="36"/>
  <c r="AE49" i="36"/>
  <c r="AF49" i="36" s="1"/>
  <c r="AA49" i="36"/>
  <c r="AB49" i="36" s="1"/>
  <c r="AC49" i="36" s="1"/>
  <c r="N49" i="36"/>
  <c r="O49" i="36" s="1"/>
  <c r="P49" i="36" s="1"/>
  <c r="AF48" i="36"/>
  <c r="AE48" i="36"/>
  <c r="AA48" i="36"/>
  <c r="AB48" i="36" s="1"/>
  <c r="AC48" i="36" s="1"/>
  <c r="O48" i="36"/>
  <c r="P48" i="36" s="1"/>
  <c r="N48" i="36"/>
  <c r="AE47" i="36"/>
  <c r="AF47" i="36" s="1"/>
  <c r="AB47" i="36"/>
  <c r="AC47" i="36" s="1"/>
  <c r="AA47" i="36"/>
  <c r="O47" i="36"/>
  <c r="P47" i="36" s="1"/>
  <c r="N47" i="36"/>
  <c r="AF46" i="36"/>
  <c r="AE46" i="36"/>
  <c r="AA46" i="36"/>
  <c r="AB46" i="36" s="1"/>
  <c r="AC46" i="36" s="1"/>
  <c r="N46" i="36"/>
  <c r="O46" i="36" s="1"/>
  <c r="P46" i="36" s="1"/>
  <c r="AE45" i="36"/>
  <c r="AF45" i="36" s="1"/>
  <c r="AB45" i="36"/>
  <c r="AC45" i="36" s="1"/>
  <c r="AA45" i="36"/>
  <c r="N45" i="36"/>
  <c r="O45" i="36" s="1"/>
  <c r="P45" i="36" s="1"/>
  <c r="AE44" i="36"/>
  <c r="AF44" i="36" s="1"/>
  <c r="AA44" i="36"/>
  <c r="AB44" i="36" s="1"/>
  <c r="AC44" i="36" s="1"/>
  <c r="O44" i="36"/>
  <c r="P44" i="36" s="1"/>
  <c r="N44" i="36"/>
  <c r="AE43" i="36"/>
  <c r="AF43" i="36" s="1"/>
  <c r="AB43" i="36"/>
  <c r="AC43" i="36" s="1"/>
  <c r="AA43" i="36"/>
  <c r="N43" i="36"/>
  <c r="O43" i="36" s="1"/>
  <c r="P43" i="36" s="1"/>
  <c r="AF42" i="36"/>
  <c r="AE42" i="36"/>
  <c r="AA42" i="36"/>
  <c r="AB42" i="36" s="1"/>
  <c r="AC42" i="36" s="1"/>
  <c r="O42" i="36"/>
  <c r="P42" i="36" s="1"/>
  <c r="N42" i="36"/>
  <c r="AE41" i="36"/>
  <c r="AF41" i="36" s="1"/>
  <c r="AB41" i="36"/>
  <c r="AC41" i="36" s="1"/>
  <c r="AA41" i="36"/>
  <c r="N41" i="36"/>
  <c r="O41" i="36" s="1"/>
  <c r="P41" i="36" s="1"/>
  <c r="AE40" i="36"/>
  <c r="AF40" i="36" s="1"/>
  <c r="AA40" i="36"/>
  <c r="AB40" i="36" s="1"/>
  <c r="AC40" i="36" s="1"/>
  <c r="O40" i="36"/>
  <c r="P40" i="36" s="1"/>
  <c r="N40" i="36"/>
  <c r="AE39" i="36"/>
  <c r="AF39" i="36" s="1"/>
  <c r="AB39" i="36"/>
  <c r="AC39" i="36" s="1"/>
  <c r="AA39" i="36"/>
  <c r="N39" i="36"/>
  <c r="O39" i="36" s="1"/>
  <c r="P39" i="36" s="1"/>
  <c r="AE38" i="36"/>
  <c r="AF38" i="36" s="1"/>
  <c r="AA38" i="36"/>
  <c r="AB38" i="36" s="1"/>
  <c r="AC38" i="36" s="1"/>
  <c r="O38" i="36"/>
  <c r="P38" i="36" s="1"/>
  <c r="N38" i="36"/>
  <c r="AE37" i="36"/>
  <c r="AF37" i="36" s="1"/>
  <c r="AA37" i="36"/>
  <c r="AB37" i="36" s="1"/>
  <c r="AC37" i="36" s="1"/>
  <c r="N37" i="36"/>
  <c r="O37" i="36" s="1"/>
  <c r="P37" i="36" s="1"/>
  <c r="AE36" i="36"/>
  <c r="AF36" i="36" s="1"/>
  <c r="AA36" i="36"/>
  <c r="AB36" i="36" s="1"/>
  <c r="AC36" i="36" s="1"/>
  <c r="O36" i="36"/>
  <c r="P36" i="36" s="1"/>
  <c r="N36" i="36"/>
  <c r="AE35" i="36"/>
  <c r="AF35" i="36" s="1"/>
  <c r="AB35" i="36"/>
  <c r="AC35" i="36" s="1"/>
  <c r="AA35" i="36"/>
  <c r="N35" i="36"/>
  <c r="O35" i="36" s="1"/>
  <c r="P35" i="36" s="1"/>
  <c r="AE34" i="36"/>
  <c r="AF34" i="36" s="1"/>
  <c r="AA34" i="36"/>
  <c r="AB34" i="36" s="1"/>
  <c r="AC34" i="36" s="1"/>
  <c r="N34" i="36"/>
  <c r="O34" i="36" s="1"/>
  <c r="P34" i="36" s="1"/>
  <c r="AE33" i="36"/>
  <c r="AF33" i="36" s="1"/>
  <c r="AB33" i="36"/>
  <c r="AC33" i="36" s="1"/>
  <c r="AA33" i="36"/>
  <c r="N33" i="36"/>
  <c r="O33" i="36" s="1"/>
  <c r="P33" i="36" s="1"/>
  <c r="AE32" i="36"/>
  <c r="AF32" i="36" s="1"/>
  <c r="AA32" i="36"/>
  <c r="AB32" i="36" s="1"/>
  <c r="AC32" i="36" s="1"/>
  <c r="O32" i="36"/>
  <c r="P32" i="36" s="1"/>
  <c r="N32" i="36"/>
  <c r="AE31" i="36"/>
  <c r="AF31" i="36" s="1"/>
  <c r="AB31" i="36"/>
  <c r="AC31" i="36" s="1"/>
  <c r="AA31" i="36"/>
  <c r="N31" i="36"/>
  <c r="O31" i="36" s="1"/>
  <c r="P31" i="36" s="1"/>
  <c r="AF30" i="36"/>
  <c r="AE30" i="36"/>
  <c r="AA30" i="36"/>
  <c r="AB30" i="36" s="1"/>
  <c r="AC30" i="36" s="1"/>
  <c r="O30" i="36"/>
  <c r="P30" i="36" s="1"/>
  <c r="N30" i="36"/>
  <c r="AE29" i="36"/>
  <c r="AF29" i="36" s="1"/>
  <c r="AB29" i="36"/>
  <c r="AC29" i="36" s="1"/>
  <c r="AA29" i="36"/>
  <c r="N29" i="36"/>
  <c r="O29" i="36" s="1"/>
  <c r="P29" i="36" s="1"/>
  <c r="AE28" i="36"/>
  <c r="AF28" i="36" s="1"/>
  <c r="AA28" i="36"/>
  <c r="AB28" i="36" s="1"/>
  <c r="AC28" i="36" s="1"/>
  <c r="O28" i="36"/>
  <c r="P28" i="36" s="1"/>
  <c r="N28" i="36"/>
  <c r="AE27" i="36"/>
  <c r="AF27" i="36" s="1"/>
  <c r="AB27" i="36"/>
  <c r="AC27" i="36" s="1"/>
  <c r="AA27" i="36"/>
  <c r="N27" i="36"/>
  <c r="O27" i="36" s="1"/>
  <c r="P27" i="36" s="1"/>
  <c r="AF26" i="36"/>
  <c r="AE26" i="36"/>
  <c r="AA26" i="36"/>
  <c r="AB26" i="36" s="1"/>
  <c r="AC26" i="36" s="1"/>
  <c r="O26" i="36"/>
  <c r="P26" i="36" s="1"/>
  <c r="N26" i="36"/>
  <c r="AE25" i="36"/>
  <c r="AF25" i="36" s="1"/>
  <c r="AA25" i="36"/>
  <c r="AB25" i="36" s="1"/>
  <c r="AC25" i="36" s="1"/>
  <c r="N25" i="36"/>
  <c r="O25" i="36" s="1"/>
  <c r="P25" i="36" s="1"/>
  <c r="AF24" i="36"/>
  <c r="AE24" i="36"/>
  <c r="AA24" i="36"/>
  <c r="AB24" i="36" s="1"/>
  <c r="AC24" i="36" s="1"/>
  <c r="O24" i="36"/>
  <c r="P24" i="36" s="1"/>
  <c r="N24" i="36"/>
  <c r="AE23" i="36"/>
  <c r="AF23" i="36" s="1"/>
  <c r="AB23" i="36"/>
  <c r="AC23" i="36" s="1"/>
  <c r="AA23" i="36"/>
  <c r="N23" i="36"/>
  <c r="O23" i="36" s="1"/>
  <c r="P23" i="36" s="1"/>
  <c r="AE22" i="36"/>
  <c r="AF22" i="36" s="1"/>
  <c r="AA22" i="36"/>
  <c r="AB22" i="36" s="1"/>
  <c r="AC22" i="36" s="1"/>
  <c r="N22" i="36"/>
  <c r="O22" i="36" s="1"/>
  <c r="P22" i="36" s="1"/>
  <c r="AE21" i="36"/>
  <c r="AF21" i="36" s="1"/>
  <c r="AB21" i="36"/>
  <c r="AC21" i="36" s="1"/>
  <c r="AA21" i="36"/>
  <c r="N21" i="36"/>
  <c r="O21" i="36" s="1"/>
  <c r="P21" i="36" s="1"/>
  <c r="AE20" i="36"/>
  <c r="AF20" i="36" s="1"/>
  <c r="AA20" i="36"/>
  <c r="AB20" i="36" s="1"/>
  <c r="AC20" i="36" s="1"/>
  <c r="O20" i="36"/>
  <c r="P20" i="36" s="1"/>
  <c r="N20" i="36"/>
  <c r="AE19" i="36"/>
  <c r="AF19" i="36" s="1"/>
  <c r="AB19" i="36"/>
  <c r="AC19" i="36" s="1"/>
  <c r="AA19" i="36"/>
  <c r="N19" i="36"/>
  <c r="O19" i="36" s="1"/>
  <c r="P19" i="36" s="1"/>
  <c r="AE18" i="36"/>
  <c r="AF18" i="36" s="1"/>
  <c r="AA18" i="36"/>
  <c r="AB18" i="36" s="1"/>
  <c r="AC18" i="36" s="1"/>
  <c r="O18" i="36"/>
  <c r="P18" i="36" s="1"/>
  <c r="N18" i="36"/>
  <c r="AE17" i="36"/>
  <c r="AF17" i="36" s="1"/>
  <c r="AB17" i="36"/>
  <c r="AC17" i="36" s="1"/>
  <c r="O17" i="36"/>
  <c r="P17" i="36" s="1"/>
  <c r="N17" i="36"/>
  <c r="AE117" i="30"/>
  <c r="AE70" i="30"/>
  <c r="AF70" i="30" s="1"/>
  <c r="AE71" i="30"/>
  <c r="AE72" i="30"/>
  <c r="AE73" i="30"/>
  <c r="AE74" i="30"/>
  <c r="AF74" i="30" s="1"/>
  <c r="AE75" i="30"/>
  <c r="AF75" i="30" s="1"/>
  <c r="AE76" i="30"/>
  <c r="AE77" i="30"/>
  <c r="AF77" i="30" s="1"/>
  <c r="AE78" i="30"/>
  <c r="AF78" i="30" s="1"/>
  <c r="AE79" i="30"/>
  <c r="AE80" i="30"/>
  <c r="AF80" i="30" s="1"/>
  <c r="AE81" i="30"/>
  <c r="AF81" i="30" s="1"/>
  <c r="AE82" i="30"/>
  <c r="AF82" i="30" s="1"/>
  <c r="AE83" i="30"/>
  <c r="AE84" i="30"/>
  <c r="AE85" i="30"/>
  <c r="AE86" i="30"/>
  <c r="AF86" i="30" s="1"/>
  <c r="AE87" i="30"/>
  <c r="AF87" i="30" s="1"/>
  <c r="AE88" i="30"/>
  <c r="AF88" i="30" s="1"/>
  <c r="AE89" i="30"/>
  <c r="AF89" i="30" s="1"/>
  <c r="AE90" i="30"/>
  <c r="AF90" i="30" s="1"/>
  <c r="AE91" i="30"/>
  <c r="AF91" i="30" s="1"/>
  <c r="AE92" i="30"/>
  <c r="AF92" i="30" s="1"/>
  <c r="AE93" i="30"/>
  <c r="AF93" i="30" s="1"/>
  <c r="AE94" i="30"/>
  <c r="AF94" i="30" s="1"/>
  <c r="AE95" i="30"/>
  <c r="AE96" i="30"/>
  <c r="AE97" i="30"/>
  <c r="AE98" i="30"/>
  <c r="AF98" i="30" s="1"/>
  <c r="AE99" i="30"/>
  <c r="AE100" i="30"/>
  <c r="AE101" i="30"/>
  <c r="AF101" i="30" s="1"/>
  <c r="AE102" i="30"/>
  <c r="AF102" i="30" s="1"/>
  <c r="AE103" i="30"/>
  <c r="AF103" i="30" s="1"/>
  <c r="AE104" i="30"/>
  <c r="AF104" i="30" s="1"/>
  <c r="AE105" i="30"/>
  <c r="AF105" i="30" s="1"/>
  <c r="AE106" i="30"/>
  <c r="AF106" i="30" s="1"/>
  <c r="AE107" i="30"/>
  <c r="AE108" i="30"/>
  <c r="AE109" i="30"/>
  <c r="AE110" i="30"/>
  <c r="AE111" i="30"/>
  <c r="AF111" i="30" s="1"/>
  <c r="AE112" i="30"/>
  <c r="AE113" i="30"/>
  <c r="AF113" i="30" s="1"/>
  <c r="AE114" i="30"/>
  <c r="AF114" i="30" s="1"/>
  <c r="AE115" i="30"/>
  <c r="AF115" i="30" s="1"/>
  <c r="AE116" i="30"/>
  <c r="AF116" i="30" s="1"/>
  <c r="AF117" i="30"/>
  <c r="AE69" i="30"/>
  <c r="AF69" i="30" s="1"/>
  <c r="AE68" i="30"/>
  <c r="AE19" i="30"/>
  <c r="AE20" i="30"/>
  <c r="AE21" i="30"/>
  <c r="AF21" i="30" s="1"/>
  <c r="AE22" i="30"/>
  <c r="AE23" i="30"/>
  <c r="AE24" i="30"/>
  <c r="AF24" i="30" s="1"/>
  <c r="AE25" i="30"/>
  <c r="AE26" i="30"/>
  <c r="AF26" i="30" s="1"/>
  <c r="AE27" i="30"/>
  <c r="AF27" i="30" s="1"/>
  <c r="AE28" i="30"/>
  <c r="AF28" i="30" s="1"/>
  <c r="AE29" i="30"/>
  <c r="AF29" i="30" s="1"/>
  <c r="AE30" i="30"/>
  <c r="AF30" i="30" s="1"/>
  <c r="AE31" i="30"/>
  <c r="AE32" i="30"/>
  <c r="AE33" i="30"/>
  <c r="AE34" i="30"/>
  <c r="AF34" i="30" s="1"/>
  <c r="AE35" i="30"/>
  <c r="AF35" i="30" s="1"/>
  <c r="AE36" i="30"/>
  <c r="AF36" i="30" s="1"/>
  <c r="AE37" i="30"/>
  <c r="AF37" i="30" s="1"/>
  <c r="AE38" i="30"/>
  <c r="AF38" i="30" s="1"/>
  <c r="AE39" i="30"/>
  <c r="AF39" i="30" s="1"/>
  <c r="AE40" i="30"/>
  <c r="AE41" i="30"/>
  <c r="AF41" i="30" s="1"/>
  <c r="AE42" i="30"/>
  <c r="AF42" i="30" s="1"/>
  <c r="AE43" i="30"/>
  <c r="AE44" i="30"/>
  <c r="AE45" i="30"/>
  <c r="AF45" i="30" s="1"/>
  <c r="AE46" i="30"/>
  <c r="AE47" i="30"/>
  <c r="AE48" i="30"/>
  <c r="AF48" i="30" s="1"/>
  <c r="AE49" i="30"/>
  <c r="AF49" i="30" s="1"/>
  <c r="AE50" i="30"/>
  <c r="AF50" i="30" s="1"/>
  <c r="AE51" i="30"/>
  <c r="AF51" i="30" s="1"/>
  <c r="AE52" i="30"/>
  <c r="AF52" i="30" s="1"/>
  <c r="AE53" i="30"/>
  <c r="AF53" i="30" s="1"/>
  <c r="AE54" i="30"/>
  <c r="AF54" i="30" s="1"/>
  <c r="AE55" i="30"/>
  <c r="AE56" i="30"/>
  <c r="AE57" i="30"/>
  <c r="AE58" i="30"/>
  <c r="AF58" i="30" s="1"/>
  <c r="AE59" i="30"/>
  <c r="AF59" i="30" s="1"/>
  <c r="AE60" i="30"/>
  <c r="AF60" i="30" s="1"/>
  <c r="AE61" i="30"/>
  <c r="AF61" i="30" s="1"/>
  <c r="AE62" i="30"/>
  <c r="AF62" i="30" s="1"/>
  <c r="AE63" i="30"/>
  <c r="AF63" i="30" s="1"/>
  <c r="AE64" i="30"/>
  <c r="AF64" i="30" s="1"/>
  <c r="AE65" i="30"/>
  <c r="AF65" i="30" s="1"/>
  <c r="AE66" i="30"/>
  <c r="AF66" i="30" s="1"/>
  <c r="AE18" i="30"/>
  <c r="AE17" i="30"/>
  <c r="AB117" i="30"/>
  <c r="AC117" i="30" s="1"/>
  <c r="AA117" i="30"/>
  <c r="N117" i="30"/>
  <c r="O117" i="30" s="1"/>
  <c r="P117" i="30" s="1"/>
  <c r="AB116" i="30"/>
  <c r="AC116" i="30" s="1"/>
  <c r="AA116" i="30"/>
  <c r="O116" i="30"/>
  <c r="P116" i="30" s="1"/>
  <c r="N116" i="30"/>
  <c r="AA115" i="30"/>
  <c r="AB115" i="30" s="1"/>
  <c r="AC115" i="30" s="1"/>
  <c r="N115" i="30"/>
  <c r="O115" i="30" s="1"/>
  <c r="P115" i="30" s="1"/>
  <c r="AA114" i="30"/>
  <c r="AB114" i="30" s="1"/>
  <c r="AC114" i="30" s="1"/>
  <c r="O114" i="30"/>
  <c r="P114" i="30" s="1"/>
  <c r="N114" i="30"/>
  <c r="AA113" i="30"/>
  <c r="AB113" i="30" s="1"/>
  <c r="AC113" i="30" s="1"/>
  <c r="O113" i="30"/>
  <c r="P113" i="30" s="1"/>
  <c r="N113" i="30"/>
  <c r="AF112" i="30"/>
  <c r="AB112" i="30"/>
  <c r="AC112" i="30" s="1"/>
  <c r="AA112" i="30"/>
  <c r="N112" i="30"/>
  <c r="O112" i="30" s="1"/>
  <c r="P112" i="30" s="1"/>
  <c r="AA111" i="30"/>
  <c r="AB111" i="30" s="1"/>
  <c r="AC111" i="30" s="1"/>
  <c r="N111" i="30"/>
  <c r="O111" i="30" s="1"/>
  <c r="P111" i="30" s="1"/>
  <c r="AF110" i="30"/>
  <c r="AB110" i="30"/>
  <c r="AC110" i="30" s="1"/>
  <c r="AA110" i="30"/>
  <c r="N110" i="30"/>
  <c r="O110" i="30" s="1"/>
  <c r="P110" i="30" s="1"/>
  <c r="AF109" i="30"/>
  <c r="AB109" i="30"/>
  <c r="AC109" i="30" s="1"/>
  <c r="AA109" i="30"/>
  <c r="O109" i="30"/>
  <c r="P109" i="30" s="1"/>
  <c r="N109" i="30"/>
  <c r="AF108" i="30"/>
  <c r="AA108" i="30"/>
  <c r="AB108" i="30" s="1"/>
  <c r="AC108" i="30" s="1"/>
  <c r="N108" i="30"/>
  <c r="O108" i="30" s="1"/>
  <c r="P108" i="30" s="1"/>
  <c r="AF107" i="30"/>
  <c r="AB107" i="30"/>
  <c r="AC107" i="30" s="1"/>
  <c r="AA107" i="30"/>
  <c r="O107" i="30"/>
  <c r="P107" i="30" s="1"/>
  <c r="N107" i="30"/>
  <c r="AA106" i="30"/>
  <c r="AB106" i="30" s="1"/>
  <c r="AC106" i="30" s="1"/>
  <c r="O106" i="30"/>
  <c r="P106" i="30" s="1"/>
  <c r="N106" i="30"/>
  <c r="AB105" i="30"/>
  <c r="AC105" i="30" s="1"/>
  <c r="AA105" i="30"/>
  <c r="N105" i="30"/>
  <c r="O105" i="30" s="1"/>
  <c r="P105" i="30" s="1"/>
  <c r="AB104" i="30"/>
  <c r="AC104" i="30" s="1"/>
  <c r="AA104" i="30"/>
  <c r="O104" i="30"/>
  <c r="P104" i="30" s="1"/>
  <c r="N104" i="30"/>
  <c r="AA103" i="30"/>
  <c r="AB103" i="30" s="1"/>
  <c r="AC103" i="30" s="1"/>
  <c r="N103" i="30"/>
  <c r="O103" i="30" s="1"/>
  <c r="P103" i="30" s="1"/>
  <c r="AA102" i="30"/>
  <c r="AB102" i="30" s="1"/>
  <c r="AC102" i="30" s="1"/>
  <c r="O102" i="30"/>
  <c r="P102" i="30" s="1"/>
  <c r="N102" i="30"/>
  <c r="AA101" i="30"/>
  <c r="AB101" i="30" s="1"/>
  <c r="AC101" i="30" s="1"/>
  <c r="O101" i="30"/>
  <c r="P101" i="30" s="1"/>
  <c r="N101" i="30"/>
  <c r="AF100" i="30"/>
  <c r="AB100" i="30"/>
  <c r="AC100" i="30" s="1"/>
  <c r="AA100" i="30"/>
  <c r="N100" i="30"/>
  <c r="O100" i="30" s="1"/>
  <c r="P100" i="30" s="1"/>
  <c r="AF99" i="30"/>
  <c r="AA99" i="30"/>
  <c r="AB99" i="30" s="1"/>
  <c r="AC99" i="30" s="1"/>
  <c r="N99" i="30"/>
  <c r="O99" i="30" s="1"/>
  <c r="P99" i="30" s="1"/>
  <c r="AB98" i="30"/>
  <c r="AC98" i="30" s="1"/>
  <c r="AA98" i="30"/>
  <c r="N98" i="30"/>
  <c r="O98" i="30" s="1"/>
  <c r="P98" i="30" s="1"/>
  <c r="AF97" i="30"/>
  <c r="AB97" i="30"/>
  <c r="AC97" i="30" s="1"/>
  <c r="AA97" i="30"/>
  <c r="O97" i="30"/>
  <c r="P97" i="30" s="1"/>
  <c r="N97" i="30"/>
  <c r="AF96" i="30"/>
  <c r="AA96" i="30"/>
  <c r="AB96" i="30" s="1"/>
  <c r="AC96" i="30" s="1"/>
  <c r="N96" i="30"/>
  <c r="O96" i="30" s="1"/>
  <c r="P96" i="30" s="1"/>
  <c r="AF95" i="30"/>
  <c r="AB95" i="30"/>
  <c r="AC95" i="30" s="1"/>
  <c r="AA95" i="30"/>
  <c r="O95" i="30"/>
  <c r="P95" i="30" s="1"/>
  <c r="N95" i="30"/>
  <c r="AA94" i="30"/>
  <c r="AB94" i="30" s="1"/>
  <c r="AC94" i="30" s="1"/>
  <c r="O94" i="30"/>
  <c r="P94" i="30" s="1"/>
  <c r="N94" i="30"/>
  <c r="AB93" i="30"/>
  <c r="AC93" i="30" s="1"/>
  <c r="AA93" i="30"/>
  <c r="N93" i="30"/>
  <c r="O93" i="30" s="1"/>
  <c r="P93" i="30" s="1"/>
  <c r="AB92" i="30"/>
  <c r="AC92" i="30" s="1"/>
  <c r="AA92" i="30"/>
  <c r="O92" i="30"/>
  <c r="P92" i="30" s="1"/>
  <c r="N92" i="30"/>
  <c r="AA91" i="30"/>
  <c r="AB91" i="30" s="1"/>
  <c r="AC91" i="30" s="1"/>
  <c r="N91" i="30"/>
  <c r="O91" i="30" s="1"/>
  <c r="P91" i="30" s="1"/>
  <c r="AA90" i="30"/>
  <c r="AB90" i="30" s="1"/>
  <c r="AC90" i="30" s="1"/>
  <c r="O90" i="30"/>
  <c r="P90" i="30" s="1"/>
  <c r="N90" i="30"/>
  <c r="AA89" i="30"/>
  <c r="AB89" i="30" s="1"/>
  <c r="AC89" i="30" s="1"/>
  <c r="O89" i="30"/>
  <c r="P89" i="30" s="1"/>
  <c r="N89" i="30"/>
  <c r="AB88" i="30"/>
  <c r="AC88" i="30" s="1"/>
  <c r="AA88" i="30"/>
  <c r="N88" i="30"/>
  <c r="O88" i="30" s="1"/>
  <c r="P88" i="30" s="1"/>
  <c r="AA87" i="30"/>
  <c r="AB87" i="30" s="1"/>
  <c r="AC87" i="30" s="1"/>
  <c r="N87" i="30"/>
  <c r="O87" i="30" s="1"/>
  <c r="P87" i="30" s="1"/>
  <c r="AB86" i="30"/>
  <c r="AC86" i="30" s="1"/>
  <c r="AA86" i="30"/>
  <c r="N86" i="30"/>
  <c r="O86" i="30" s="1"/>
  <c r="P86" i="30" s="1"/>
  <c r="AF85" i="30"/>
  <c r="AB85" i="30"/>
  <c r="AC85" i="30" s="1"/>
  <c r="AA85" i="30"/>
  <c r="O85" i="30"/>
  <c r="P85" i="30" s="1"/>
  <c r="N85" i="30"/>
  <c r="AF84" i="30"/>
  <c r="AA84" i="30"/>
  <c r="AB84" i="30" s="1"/>
  <c r="AC84" i="30" s="1"/>
  <c r="N84" i="30"/>
  <c r="O84" i="30" s="1"/>
  <c r="P84" i="30" s="1"/>
  <c r="AF83" i="30"/>
  <c r="AB83" i="30"/>
  <c r="AC83" i="30" s="1"/>
  <c r="AA83" i="30"/>
  <c r="O83" i="30"/>
  <c r="P83" i="30" s="1"/>
  <c r="N83" i="30"/>
  <c r="AA82" i="30"/>
  <c r="AB82" i="30" s="1"/>
  <c r="AC82" i="30" s="1"/>
  <c r="O82" i="30"/>
  <c r="P82" i="30" s="1"/>
  <c r="N82" i="30"/>
  <c r="AB81" i="30"/>
  <c r="AC81" i="30" s="1"/>
  <c r="AA81" i="30"/>
  <c r="N81" i="30"/>
  <c r="O81" i="30" s="1"/>
  <c r="P81" i="30" s="1"/>
  <c r="AB80" i="30"/>
  <c r="AC80" i="30" s="1"/>
  <c r="AA80" i="30"/>
  <c r="O80" i="30"/>
  <c r="P80" i="30" s="1"/>
  <c r="N80" i="30"/>
  <c r="AF79" i="30"/>
  <c r="AA79" i="30"/>
  <c r="AB79" i="30" s="1"/>
  <c r="AC79" i="30" s="1"/>
  <c r="N79" i="30"/>
  <c r="O79" i="30" s="1"/>
  <c r="P79" i="30" s="1"/>
  <c r="AA78" i="30"/>
  <c r="AB78" i="30" s="1"/>
  <c r="AC78" i="30" s="1"/>
  <c r="O78" i="30"/>
  <c r="P78" i="30" s="1"/>
  <c r="N78" i="30"/>
  <c r="AA77" i="30"/>
  <c r="AB77" i="30" s="1"/>
  <c r="AC77" i="30" s="1"/>
  <c r="O77" i="30"/>
  <c r="P77" i="30" s="1"/>
  <c r="N77" i="30"/>
  <c r="AF76" i="30"/>
  <c r="AB76" i="30"/>
  <c r="AC76" i="30" s="1"/>
  <c r="AA76" i="30"/>
  <c r="N76" i="30"/>
  <c r="O76" i="30" s="1"/>
  <c r="P76" i="30" s="1"/>
  <c r="AA75" i="30"/>
  <c r="AB75" i="30" s="1"/>
  <c r="AC75" i="30" s="1"/>
  <c r="N75" i="30"/>
  <c r="O75" i="30" s="1"/>
  <c r="P75" i="30" s="1"/>
  <c r="AB74" i="30"/>
  <c r="AC74" i="30" s="1"/>
  <c r="AA74" i="30"/>
  <c r="N74" i="30"/>
  <c r="O74" i="30" s="1"/>
  <c r="P74" i="30" s="1"/>
  <c r="AF73" i="30"/>
  <c r="AB73" i="30"/>
  <c r="AC73" i="30" s="1"/>
  <c r="AA73" i="30"/>
  <c r="O73" i="30"/>
  <c r="P73" i="30" s="1"/>
  <c r="N73" i="30"/>
  <c r="AF72" i="30"/>
  <c r="AA72" i="30"/>
  <c r="AB72" i="30" s="1"/>
  <c r="AC72" i="30" s="1"/>
  <c r="N72" i="30"/>
  <c r="O72" i="30" s="1"/>
  <c r="P72" i="30" s="1"/>
  <c r="AF71" i="30"/>
  <c r="AB71" i="30"/>
  <c r="AC71" i="30" s="1"/>
  <c r="AA71" i="30"/>
  <c r="O71" i="30"/>
  <c r="P71" i="30" s="1"/>
  <c r="N71" i="30"/>
  <c r="AA70" i="30"/>
  <c r="AB70" i="30" s="1"/>
  <c r="AC70" i="30" s="1"/>
  <c r="O70" i="30"/>
  <c r="P70" i="30" s="1"/>
  <c r="N70" i="30"/>
  <c r="AB69" i="30"/>
  <c r="AC69" i="30" s="1"/>
  <c r="AA69" i="30"/>
  <c r="N69" i="30"/>
  <c r="O69" i="30" s="1"/>
  <c r="P69" i="30" s="1"/>
  <c r="AA68" i="30"/>
  <c r="N68" i="30"/>
  <c r="AA66" i="30"/>
  <c r="AB66" i="30" s="1"/>
  <c r="AC66" i="30" s="1"/>
  <c r="N66" i="30"/>
  <c r="O66" i="30" s="1"/>
  <c r="P66" i="30" s="1"/>
  <c r="AA65" i="30"/>
  <c r="AB65" i="30" s="1"/>
  <c r="AC65" i="30" s="1"/>
  <c r="O65" i="30"/>
  <c r="P65" i="30" s="1"/>
  <c r="N65" i="30"/>
  <c r="AA64" i="30"/>
  <c r="AB64" i="30" s="1"/>
  <c r="AC64" i="30" s="1"/>
  <c r="O64" i="30"/>
  <c r="P64" i="30" s="1"/>
  <c r="N64" i="30"/>
  <c r="AB63" i="30"/>
  <c r="AC63" i="30" s="1"/>
  <c r="AA63" i="30"/>
  <c r="N63" i="30"/>
  <c r="O63" i="30" s="1"/>
  <c r="P63" i="30" s="1"/>
  <c r="AA62" i="30"/>
  <c r="AB62" i="30" s="1"/>
  <c r="AC62" i="30" s="1"/>
  <c r="N62" i="30"/>
  <c r="O62" i="30" s="1"/>
  <c r="P62" i="30" s="1"/>
  <c r="AB61" i="30"/>
  <c r="AC61" i="30" s="1"/>
  <c r="AA61" i="30"/>
  <c r="N61" i="30"/>
  <c r="O61" i="30" s="1"/>
  <c r="P61" i="30" s="1"/>
  <c r="AB60" i="30"/>
  <c r="AC60" i="30" s="1"/>
  <c r="AA60" i="30"/>
  <c r="O60" i="30"/>
  <c r="P60" i="30" s="1"/>
  <c r="N60" i="30"/>
  <c r="AA59" i="30"/>
  <c r="AB59" i="30" s="1"/>
  <c r="AC59" i="30" s="1"/>
  <c r="N59" i="30"/>
  <c r="O59" i="30" s="1"/>
  <c r="P59" i="30" s="1"/>
  <c r="AB58" i="30"/>
  <c r="AC58" i="30" s="1"/>
  <c r="AA58" i="30"/>
  <c r="O58" i="30"/>
  <c r="P58" i="30" s="1"/>
  <c r="N58" i="30"/>
  <c r="AF57" i="30"/>
  <c r="AA57" i="30"/>
  <c r="AB57" i="30" s="1"/>
  <c r="AC57" i="30" s="1"/>
  <c r="O57" i="30"/>
  <c r="P57" i="30" s="1"/>
  <c r="N57" i="30"/>
  <c r="AF56" i="30"/>
  <c r="AB56" i="30"/>
  <c r="AC56" i="30" s="1"/>
  <c r="AA56" i="30"/>
  <c r="N56" i="30"/>
  <c r="O56" i="30" s="1"/>
  <c r="P56" i="30" s="1"/>
  <c r="AF55" i="30"/>
  <c r="AB55" i="30"/>
  <c r="AC55" i="30" s="1"/>
  <c r="AA55" i="30"/>
  <c r="O55" i="30"/>
  <c r="P55" i="30" s="1"/>
  <c r="N55" i="30"/>
  <c r="AA54" i="30"/>
  <c r="AB54" i="30" s="1"/>
  <c r="AC54" i="30" s="1"/>
  <c r="N54" i="30"/>
  <c r="O54" i="30" s="1"/>
  <c r="P54" i="30" s="1"/>
  <c r="AA53" i="30"/>
  <c r="AB53" i="30" s="1"/>
  <c r="AC53" i="30" s="1"/>
  <c r="O53" i="30"/>
  <c r="P53" i="30" s="1"/>
  <c r="N53" i="30"/>
  <c r="AA52" i="30"/>
  <c r="AB52" i="30" s="1"/>
  <c r="AC52" i="30" s="1"/>
  <c r="O52" i="30"/>
  <c r="P52" i="30" s="1"/>
  <c r="N52" i="30"/>
  <c r="AB51" i="30"/>
  <c r="AC51" i="30" s="1"/>
  <c r="AA51" i="30"/>
  <c r="N51" i="30"/>
  <c r="O51" i="30" s="1"/>
  <c r="P51" i="30" s="1"/>
  <c r="AA50" i="30"/>
  <c r="AB50" i="30" s="1"/>
  <c r="AC50" i="30" s="1"/>
  <c r="N50" i="30"/>
  <c r="O50" i="30" s="1"/>
  <c r="P50" i="30" s="1"/>
  <c r="AB49" i="30"/>
  <c r="AC49" i="30" s="1"/>
  <c r="AA49" i="30"/>
  <c r="N49" i="30"/>
  <c r="O49" i="30" s="1"/>
  <c r="P49" i="30" s="1"/>
  <c r="AB48" i="30"/>
  <c r="AC48" i="30" s="1"/>
  <c r="AA48" i="30"/>
  <c r="O48" i="30"/>
  <c r="P48" i="30" s="1"/>
  <c r="N48" i="30"/>
  <c r="AF47" i="30"/>
  <c r="AA47" i="30"/>
  <c r="AB47" i="30" s="1"/>
  <c r="AC47" i="30" s="1"/>
  <c r="N47" i="30"/>
  <c r="O47" i="30" s="1"/>
  <c r="P47" i="30" s="1"/>
  <c r="AF46" i="30"/>
  <c r="AB46" i="30"/>
  <c r="AC46" i="30" s="1"/>
  <c r="AA46" i="30"/>
  <c r="O46" i="30"/>
  <c r="P46" i="30" s="1"/>
  <c r="N46" i="30"/>
  <c r="AA45" i="30"/>
  <c r="AB45" i="30" s="1"/>
  <c r="AC45" i="30" s="1"/>
  <c r="O45" i="30"/>
  <c r="P45" i="30" s="1"/>
  <c r="N45" i="30"/>
  <c r="AF44" i="30"/>
  <c r="AB44" i="30"/>
  <c r="AC44" i="30" s="1"/>
  <c r="AA44" i="30"/>
  <c r="N44" i="30"/>
  <c r="O44" i="30" s="1"/>
  <c r="P44" i="30" s="1"/>
  <c r="AF43" i="30"/>
  <c r="AB43" i="30"/>
  <c r="AC43" i="30" s="1"/>
  <c r="AA43" i="30"/>
  <c r="O43" i="30"/>
  <c r="P43" i="30" s="1"/>
  <c r="N43" i="30"/>
  <c r="AA42" i="30"/>
  <c r="AB42" i="30" s="1"/>
  <c r="AC42" i="30" s="1"/>
  <c r="N42" i="30"/>
  <c r="O42" i="30" s="1"/>
  <c r="P42" i="30" s="1"/>
  <c r="AA41" i="30"/>
  <c r="AB41" i="30" s="1"/>
  <c r="AC41" i="30" s="1"/>
  <c r="O41" i="30"/>
  <c r="P41" i="30" s="1"/>
  <c r="N41" i="30"/>
  <c r="AF40" i="30"/>
  <c r="AA40" i="30"/>
  <c r="AB40" i="30" s="1"/>
  <c r="AC40" i="30" s="1"/>
  <c r="O40" i="30"/>
  <c r="P40" i="30" s="1"/>
  <c r="N40" i="30"/>
  <c r="AB39" i="30"/>
  <c r="AC39" i="30" s="1"/>
  <c r="AA39" i="30"/>
  <c r="N39" i="30"/>
  <c r="O39" i="30" s="1"/>
  <c r="P39" i="30" s="1"/>
  <c r="AA38" i="30"/>
  <c r="AB38" i="30" s="1"/>
  <c r="AC38" i="30" s="1"/>
  <c r="N38" i="30"/>
  <c r="O38" i="30" s="1"/>
  <c r="P38" i="30" s="1"/>
  <c r="AB37" i="30"/>
  <c r="AC37" i="30" s="1"/>
  <c r="AA37" i="30"/>
  <c r="N37" i="30"/>
  <c r="O37" i="30" s="1"/>
  <c r="P37" i="30" s="1"/>
  <c r="AB36" i="30"/>
  <c r="AC36" i="30" s="1"/>
  <c r="AA36" i="30"/>
  <c r="O36" i="30"/>
  <c r="P36" i="30" s="1"/>
  <c r="N36" i="30"/>
  <c r="AA35" i="30"/>
  <c r="AB35" i="30" s="1"/>
  <c r="AC35" i="30" s="1"/>
  <c r="N35" i="30"/>
  <c r="O35" i="30" s="1"/>
  <c r="P35" i="30" s="1"/>
  <c r="AB34" i="30"/>
  <c r="AC34" i="30" s="1"/>
  <c r="AA34" i="30"/>
  <c r="O34" i="30"/>
  <c r="P34" i="30" s="1"/>
  <c r="N34" i="30"/>
  <c r="AF33" i="30"/>
  <c r="AA33" i="30"/>
  <c r="AB33" i="30" s="1"/>
  <c r="AC33" i="30" s="1"/>
  <c r="O33" i="30"/>
  <c r="P33" i="30" s="1"/>
  <c r="N33" i="30"/>
  <c r="AF32" i="30"/>
  <c r="AB32" i="30"/>
  <c r="AC32" i="30" s="1"/>
  <c r="AA32" i="30"/>
  <c r="N32" i="30"/>
  <c r="O32" i="30" s="1"/>
  <c r="P32" i="30" s="1"/>
  <c r="AF31" i="30"/>
  <c r="AA31" i="30"/>
  <c r="AB31" i="30" s="1"/>
  <c r="AC31" i="30" s="1"/>
  <c r="O31" i="30"/>
  <c r="P31" i="30" s="1"/>
  <c r="N31" i="30"/>
  <c r="AA30" i="30"/>
  <c r="AB30" i="30" s="1"/>
  <c r="AC30" i="30" s="1"/>
  <c r="N30" i="30"/>
  <c r="O30" i="30" s="1"/>
  <c r="P30" i="30" s="1"/>
  <c r="AA29" i="30"/>
  <c r="AB29" i="30" s="1"/>
  <c r="AC29" i="30" s="1"/>
  <c r="O29" i="30"/>
  <c r="P29" i="30" s="1"/>
  <c r="N29" i="30"/>
  <c r="AA28" i="30"/>
  <c r="AB28" i="30" s="1"/>
  <c r="AC28" i="30" s="1"/>
  <c r="N28" i="30"/>
  <c r="O28" i="30" s="1"/>
  <c r="P28" i="30" s="1"/>
  <c r="AB27" i="30"/>
  <c r="AC27" i="30" s="1"/>
  <c r="AA27" i="30"/>
  <c r="N27" i="30"/>
  <c r="O27" i="30" s="1"/>
  <c r="P27" i="30" s="1"/>
  <c r="AA26" i="30"/>
  <c r="AB26" i="30" s="1"/>
  <c r="AC26" i="30" s="1"/>
  <c r="N26" i="30"/>
  <c r="O26" i="30" s="1"/>
  <c r="P26" i="30" s="1"/>
  <c r="AF25" i="30"/>
  <c r="AB25" i="30"/>
  <c r="AC25" i="30" s="1"/>
  <c r="AA25" i="30"/>
  <c r="N25" i="30"/>
  <c r="O25" i="30" s="1"/>
  <c r="P25" i="30" s="1"/>
  <c r="AB24" i="30"/>
  <c r="AC24" i="30" s="1"/>
  <c r="AA24" i="30"/>
  <c r="O24" i="30"/>
  <c r="P24" i="30" s="1"/>
  <c r="N24" i="30"/>
  <c r="AF23" i="30"/>
  <c r="AA23" i="30"/>
  <c r="AB23" i="30" s="1"/>
  <c r="AC23" i="30" s="1"/>
  <c r="N23" i="30"/>
  <c r="O23" i="30" s="1"/>
  <c r="P23" i="30" s="1"/>
  <c r="AF22" i="30"/>
  <c r="AB22" i="30"/>
  <c r="AC22" i="30" s="1"/>
  <c r="AA22" i="30"/>
  <c r="O22" i="30"/>
  <c r="P22" i="30" s="1"/>
  <c r="N22" i="30"/>
  <c r="AA21" i="30"/>
  <c r="AB21" i="30" s="1"/>
  <c r="AC21" i="30" s="1"/>
  <c r="O21" i="30"/>
  <c r="P21" i="30" s="1"/>
  <c r="N21" i="30"/>
  <c r="AF20" i="30"/>
  <c r="AB20" i="30"/>
  <c r="AC20" i="30" s="1"/>
  <c r="AA20" i="30"/>
  <c r="N20" i="30"/>
  <c r="O20" i="30" s="1"/>
  <c r="P20" i="30" s="1"/>
  <c r="AF19" i="30"/>
  <c r="AA19" i="30"/>
  <c r="AB19" i="30" s="1"/>
  <c r="AC19" i="30" s="1"/>
  <c r="O19" i="30"/>
  <c r="P19" i="30" s="1"/>
  <c r="N19" i="30"/>
  <c r="AF18" i="30"/>
  <c r="AA18" i="30"/>
  <c r="AB18" i="30" s="1"/>
  <c r="AC18" i="30" s="1"/>
  <c r="N18" i="30"/>
  <c r="O18" i="30" s="1"/>
  <c r="P18" i="30" s="1"/>
  <c r="N17" i="30"/>
  <c r="AD120" i="37" a="1"/>
  <c r="Z120" i="37" a="1"/>
  <c r="Y120" i="37" a="1"/>
  <c r="X120" i="37" a="1"/>
  <c r="W120" i="37" a="1"/>
  <c r="V120" i="37" a="1"/>
  <c r="U120" i="37" a="1"/>
  <c r="T120" i="37" a="1"/>
  <c r="S120" i="37" a="1"/>
  <c r="R120" i="37" a="1"/>
  <c r="Q120" i="37" a="1"/>
  <c r="M120" i="37" a="1"/>
  <c r="L120" i="37" a="1"/>
  <c r="K120" i="37" a="1"/>
  <c r="J120" i="37" a="1"/>
  <c r="I120" i="37" a="1"/>
  <c r="H120" i="37" a="1"/>
  <c r="G120" i="37" a="1"/>
  <c r="F120" i="37" a="1"/>
  <c r="E120" i="37" a="1"/>
  <c r="D120" i="37" a="1"/>
  <c r="AA14" i="37"/>
  <c r="N14" i="37"/>
  <c r="AA7" i="37"/>
  <c r="H7" i="37"/>
  <c r="AA6" i="37"/>
  <c r="P6" i="37"/>
  <c r="H6" i="37"/>
  <c r="AD120" i="36" a="1"/>
  <c r="Z120" i="36" a="1"/>
  <c r="Y120" i="36" a="1"/>
  <c r="X120" i="36" a="1"/>
  <c r="W120" i="36" a="1"/>
  <c r="V120" i="36" a="1"/>
  <c r="U120" i="36" a="1"/>
  <c r="T120" i="36" a="1"/>
  <c r="S120" i="36" a="1"/>
  <c r="R120" i="36" a="1"/>
  <c r="Q120" i="36" a="1"/>
  <c r="M120" i="36" a="1"/>
  <c r="L120" i="36" a="1"/>
  <c r="K120" i="36" a="1"/>
  <c r="J120" i="36" a="1"/>
  <c r="I120" i="36" a="1"/>
  <c r="H120" i="36" a="1"/>
  <c r="G120" i="36" a="1"/>
  <c r="F120" i="36" a="1"/>
  <c r="E120" i="36" a="1"/>
  <c r="D120" i="36" a="1"/>
  <c r="AA14" i="36"/>
  <c r="AB68" i="36" s="1"/>
  <c r="AC68" i="36" s="1"/>
  <c r="N14" i="36"/>
  <c r="AA7" i="36"/>
  <c r="H7" i="36"/>
  <c r="AA6" i="36"/>
  <c r="P6" i="36"/>
  <c r="H6" i="36"/>
  <c r="I33" i="26"/>
  <c r="C34" i="26"/>
  <c r="AB68" i="37" l="1"/>
  <c r="AC68" i="37" s="1"/>
  <c r="O68" i="37"/>
  <c r="P68" i="37" s="1"/>
  <c r="H34" i="26"/>
  <c r="Z10" i="31" l="1"/>
  <c r="Z9" i="31"/>
  <c r="Z8" i="31"/>
  <c r="Z7" i="31"/>
  <c r="C69" i="29" l="1"/>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G16" i="26"/>
  <c r="AA7" i="30" l="1"/>
  <c r="I6" i="29"/>
  <c r="G21" i="31"/>
  <c r="G22" i="31" l="1"/>
  <c r="I34" i="26"/>
  <c r="F23" i="31" s="1"/>
  <c r="G23" i="31" s="1"/>
  <c r="C17" i="29"/>
  <c r="D17" i="29"/>
  <c r="B8" i="37" l="1"/>
  <c r="B8" i="36"/>
  <c r="B8" i="30"/>
  <c r="D12" i="29"/>
  <c r="D9" i="29"/>
  <c r="I5" i="29"/>
  <c r="AA6" i="30"/>
  <c r="C115" i="36" l="1"/>
  <c r="C106" i="36"/>
  <c r="C80" i="36"/>
  <c r="C65" i="36"/>
  <c r="C58" i="36"/>
  <c r="C30" i="36"/>
  <c r="C23" i="36"/>
  <c r="C18" i="36"/>
  <c r="C71" i="36"/>
  <c r="C47" i="36"/>
  <c r="C117" i="36"/>
  <c r="C110" i="36"/>
  <c r="C108" i="36"/>
  <c r="C99" i="36"/>
  <c r="C94" i="36"/>
  <c r="C89" i="36"/>
  <c r="C87" i="36"/>
  <c r="C73" i="36"/>
  <c r="C68" i="36"/>
  <c r="C51" i="36"/>
  <c r="C42" i="36"/>
  <c r="C37" i="36"/>
  <c r="C32" i="36"/>
  <c r="C25" i="36"/>
  <c r="C104" i="36"/>
  <c r="C63" i="36"/>
  <c r="C101" i="36"/>
  <c r="C82" i="36"/>
  <c r="C77" i="36"/>
  <c r="C75" i="36"/>
  <c r="C60" i="36"/>
  <c r="C44" i="36"/>
  <c r="C20" i="36"/>
  <c r="C49" i="36"/>
  <c r="C53" i="36"/>
  <c r="C34" i="36"/>
  <c r="C27" i="36"/>
  <c r="C114" i="36"/>
  <c r="C112" i="36"/>
  <c r="C96" i="36"/>
  <c r="C91" i="36"/>
  <c r="C70" i="36"/>
  <c r="C62" i="36"/>
  <c r="C55" i="36"/>
  <c r="C46" i="36"/>
  <c r="C39" i="36"/>
  <c r="C22" i="36"/>
  <c r="C45" i="36"/>
  <c r="C105" i="36"/>
  <c r="C103" i="36"/>
  <c r="C98" i="36"/>
  <c r="C86" i="36"/>
  <c r="C84" i="36"/>
  <c r="C79" i="36"/>
  <c r="C64" i="36"/>
  <c r="C57" i="36"/>
  <c r="C48" i="36"/>
  <c r="C29" i="36"/>
  <c r="C17" i="36"/>
  <c r="C54" i="36"/>
  <c r="C97" i="36"/>
  <c r="C92" i="36"/>
  <c r="C35" i="36"/>
  <c r="C116" i="36"/>
  <c r="C107" i="36"/>
  <c r="C93" i="36"/>
  <c r="C74" i="36"/>
  <c r="C66" i="36"/>
  <c r="C41" i="36"/>
  <c r="C36" i="36"/>
  <c r="C31" i="36"/>
  <c r="C38" i="36"/>
  <c r="C21" i="36"/>
  <c r="C109" i="36"/>
  <c r="C88" i="36"/>
  <c r="C81" i="36"/>
  <c r="C72" i="36"/>
  <c r="C50" i="36"/>
  <c r="C43" i="36"/>
  <c r="C24" i="36"/>
  <c r="C19" i="36"/>
  <c r="C26" i="36"/>
  <c r="C113" i="36"/>
  <c r="C56" i="36"/>
  <c r="C100" i="36"/>
  <c r="C95" i="36"/>
  <c r="C90" i="36"/>
  <c r="C76" i="36"/>
  <c r="C61" i="36"/>
  <c r="C59" i="36"/>
  <c r="C52" i="36"/>
  <c r="C33" i="36"/>
  <c r="C28" i="36"/>
  <c r="C85" i="36"/>
  <c r="C40" i="36"/>
  <c r="C111" i="36"/>
  <c r="C102" i="36"/>
  <c r="C83" i="36"/>
  <c r="C78" i="36"/>
  <c r="C69" i="36"/>
  <c r="C115" i="37"/>
  <c r="C112" i="37"/>
  <c r="C102" i="37"/>
  <c r="C92" i="37"/>
  <c r="C85" i="37"/>
  <c r="C80" i="37"/>
  <c r="C75" i="37"/>
  <c r="C56" i="37"/>
  <c r="C24" i="37"/>
  <c r="C54" i="37"/>
  <c r="C39" i="37"/>
  <c r="C109" i="37"/>
  <c r="C104" i="37"/>
  <c r="C61" i="37"/>
  <c r="C51" i="37"/>
  <c r="C46" i="37"/>
  <c r="C41" i="37"/>
  <c r="C36" i="37"/>
  <c r="C99" i="37"/>
  <c r="C77" i="37"/>
  <c r="C72" i="37"/>
  <c r="C53" i="37"/>
  <c r="C43" i="37"/>
  <c r="C28" i="37"/>
  <c r="C26" i="37"/>
  <c r="C44" i="37"/>
  <c r="C70" i="37"/>
  <c r="C117" i="37"/>
  <c r="C94" i="37"/>
  <c r="C87" i="37"/>
  <c r="C82" i="37"/>
  <c r="C66" i="37"/>
  <c r="C58" i="37"/>
  <c r="C33" i="37"/>
  <c r="C21" i="37"/>
  <c r="C114" i="37"/>
  <c r="C106" i="37"/>
  <c r="C101" i="37"/>
  <c r="C89" i="37"/>
  <c r="C74" i="37"/>
  <c r="C69" i="37"/>
  <c r="C63" i="37"/>
  <c r="C55" i="37"/>
  <c r="C48" i="37"/>
  <c r="C38" i="37"/>
  <c r="C97" i="37"/>
  <c r="C111" i="37"/>
  <c r="C96" i="37"/>
  <c r="C40" i="37"/>
  <c r="C23" i="37"/>
  <c r="C18" i="37"/>
  <c r="C49" i="37"/>
  <c r="C90" i="37"/>
  <c r="C59" i="37"/>
  <c r="C98" i="37"/>
  <c r="C91" i="37"/>
  <c r="C84" i="37"/>
  <c r="C79" i="37"/>
  <c r="C71" i="37"/>
  <c r="C60" i="37"/>
  <c r="C52" i="37"/>
  <c r="C50" i="37"/>
  <c r="C45" i="37"/>
  <c r="C35" i="37"/>
  <c r="C30" i="37"/>
  <c r="C25" i="37"/>
  <c r="C78" i="37"/>
  <c r="C34" i="37"/>
  <c r="C31" i="37"/>
  <c r="C19" i="37"/>
  <c r="C116" i="37"/>
  <c r="C108" i="37"/>
  <c r="C103" i="37"/>
  <c r="C76" i="37"/>
  <c r="C65" i="37"/>
  <c r="C32" i="37"/>
  <c r="C20" i="37"/>
  <c r="C113" i="37"/>
  <c r="C93" i="37"/>
  <c r="C86" i="37"/>
  <c r="C81" i="37"/>
  <c r="C73" i="37"/>
  <c r="C68" i="37"/>
  <c r="C57" i="37"/>
  <c r="C37" i="37"/>
  <c r="C83" i="37"/>
  <c r="C29" i="37"/>
  <c r="C107" i="37"/>
  <c r="C64" i="37"/>
  <c r="C110" i="37"/>
  <c r="C105" i="37"/>
  <c r="C100" i="37"/>
  <c r="C95" i="37"/>
  <c r="C88" i="37"/>
  <c r="C62" i="37"/>
  <c r="C47" i="37"/>
  <c r="C42" i="37"/>
  <c r="C27" i="37"/>
  <c r="C22" i="37"/>
  <c r="C17" i="37"/>
  <c r="C114" i="30"/>
  <c r="C112" i="30"/>
  <c r="C87" i="30"/>
  <c r="C79" i="30"/>
  <c r="C77" i="30"/>
  <c r="C71" i="30"/>
  <c r="C47" i="30"/>
  <c r="C41" i="30"/>
  <c r="C39" i="30"/>
  <c r="C24" i="30"/>
  <c r="C22" i="30"/>
  <c r="C116" i="30"/>
  <c r="C85" i="30"/>
  <c r="C81" i="30"/>
  <c r="C49" i="30"/>
  <c r="C45" i="30"/>
  <c r="C43" i="30"/>
  <c r="C28" i="30"/>
  <c r="C17" i="30"/>
  <c r="C99" i="30"/>
  <c r="C91" i="30"/>
  <c r="C89" i="30"/>
  <c r="C83" i="30"/>
  <c r="C59" i="30"/>
  <c r="C53" i="30"/>
  <c r="C51" i="30"/>
  <c r="C113" i="30"/>
  <c r="C78" i="30"/>
  <c r="C42" i="30"/>
  <c r="C25" i="30"/>
  <c r="C97" i="30"/>
  <c r="C93" i="30"/>
  <c r="C61" i="30"/>
  <c r="C57" i="30"/>
  <c r="C55" i="30"/>
  <c r="C30" i="30"/>
  <c r="C19" i="30"/>
  <c r="C72" i="30"/>
  <c r="C38" i="30"/>
  <c r="C115" i="30"/>
  <c r="C76" i="30"/>
  <c r="C50" i="30"/>
  <c r="C34" i="30"/>
  <c r="C111" i="30"/>
  <c r="C103" i="30"/>
  <c r="C101" i="30"/>
  <c r="C95" i="30"/>
  <c r="C65" i="30"/>
  <c r="C63" i="30"/>
  <c r="C109" i="30"/>
  <c r="C105" i="30"/>
  <c r="C74" i="30"/>
  <c r="C70" i="30"/>
  <c r="C68" i="30"/>
  <c r="C36" i="30"/>
  <c r="C32" i="30"/>
  <c r="C23" i="30"/>
  <c r="C21" i="30"/>
  <c r="C107" i="30"/>
  <c r="C84" i="30"/>
  <c r="C40" i="30"/>
  <c r="C117" i="30"/>
  <c r="C86" i="30"/>
  <c r="C82" i="30"/>
  <c r="C80" i="30"/>
  <c r="C48" i="30"/>
  <c r="C44" i="30"/>
  <c r="C27" i="30"/>
  <c r="C96" i="30"/>
  <c r="C90" i="30"/>
  <c r="C88" i="30"/>
  <c r="C62" i="30"/>
  <c r="C54" i="30"/>
  <c r="C52" i="30"/>
  <c r="C46" i="30"/>
  <c r="C29" i="30"/>
  <c r="C18" i="30"/>
  <c r="C110" i="30"/>
  <c r="C106" i="30"/>
  <c r="C104" i="30"/>
  <c r="C73" i="30"/>
  <c r="C69" i="30"/>
  <c r="C98" i="30"/>
  <c r="C94" i="30"/>
  <c r="C92" i="30"/>
  <c r="C60" i="30"/>
  <c r="C56" i="30"/>
  <c r="C37" i="30"/>
  <c r="C33" i="30"/>
  <c r="C26" i="30"/>
  <c r="C108" i="30"/>
  <c r="C102" i="30"/>
  <c r="C100" i="30"/>
  <c r="C75" i="30"/>
  <c r="C66" i="30"/>
  <c r="C64" i="30"/>
  <c r="C58" i="30"/>
  <c r="C35" i="30"/>
  <c r="C31" i="30"/>
  <c r="C20" i="30"/>
  <c r="N9" i="36"/>
  <c r="H9" i="36"/>
  <c r="H10" i="36"/>
  <c r="H10" i="37"/>
  <c r="N9" i="37"/>
  <c r="H9" i="37"/>
  <c r="G11" i="29"/>
  <c r="F7" i="31"/>
  <c r="G9" i="31"/>
  <c r="U10" i="37" s="1"/>
  <c r="G8" i="31"/>
  <c r="F9" i="31" s="1" a="1"/>
  <c r="H7" i="30"/>
  <c r="H6" i="30"/>
  <c r="P6" i="30"/>
  <c r="E120" i="30" a="1"/>
  <c r="F120" i="30" a="1"/>
  <c r="G120" i="30" a="1"/>
  <c r="H120" i="30" a="1"/>
  <c r="I120" i="30" a="1"/>
  <c r="J120" i="30" a="1"/>
  <c r="K120" i="30" a="1"/>
  <c r="L120" i="30" a="1"/>
  <c r="M120" i="30" a="1"/>
  <c r="Q120" i="30" a="1"/>
  <c r="R120" i="30" a="1"/>
  <c r="S120" i="30" a="1"/>
  <c r="T120" i="30" a="1"/>
  <c r="U120" i="30" a="1"/>
  <c r="V120" i="30" a="1"/>
  <c r="W120" i="30" a="1"/>
  <c r="X120" i="30" a="1"/>
  <c r="Y120" i="30" a="1"/>
  <c r="Z120" i="30" a="1"/>
  <c r="AD120" i="30" a="1"/>
  <c r="D120" i="30" a="1"/>
  <c r="AA14" i="30"/>
  <c r="N14" i="30"/>
  <c r="D10" i="29"/>
  <c r="G5" i="29"/>
  <c r="E5" i="29"/>
  <c r="E6" i="29"/>
  <c r="AB68" i="30" l="1"/>
  <c r="AB17" i="30"/>
  <c r="O17" i="30"/>
  <c r="O68" i="30"/>
  <c r="U10" i="36"/>
  <c r="G10" i="31"/>
  <c r="L9" i="31"/>
  <c r="L10" i="31"/>
  <c r="I10" i="31"/>
  <c r="I8" i="31"/>
  <c r="I9" i="31"/>
  <c r="I7" i="31"/>
  <c r="L8" i="31" l="1"/>
  <c r="L7" i="31"/>
  <c r="G9" i="29"/>
  <c r="U9" i="36"/>
  <c r="U9" i="37"/>
  <c r="F10" i="31" a="1"/>
  <c r="F8" i="31" a="1"/>
  <c r="G13" i="31" l="1" a="1"/>
  <c r="G19" i="31" a="1"/>
  <c r="G18" i="31" a="1"/>
  <c r="G17" i="31" a="1"/>
  <c r="G14" i="31" a="1"/>
  <c r="G15" i="31" a="1"/>
  <c r="D12" i="37"/>
  <c r="P14" i="37" s="1"/>
  <c r="D12" i="36"/>
  <c r="P14" i="36" s="1"/>
  <c r="Q12" i="36" l="1"/>
  <c r="AC14" i="36" s="1"/>
  <c r="Q12" i="37"/>
  <c r="AC14" i="37" s="1"/>
  <c r="AD12" i="36"/>
  <c r="AD12" i="37"/>
  <c r="G27" i="31" a="1"/>
  <c r="G13" i="29"/>
  <c r="AG100" i="37" l="1"/>
  <c r="AH100" i="37" s="1"/>
  <c r="AG63" i="37"/>
  <c r="AH63" i="37" s="1"/>
  <c r="AG64" i="37"/>
  <c r="AH64" i="37" s="1"/>
  <c r="AG92" i="37"/>
  <c r="AH92" i="37" s="1"/>
  <c r="AG18" i="37"/>
  <c r="AH18" i="37" s="1"/>
  <c r="AG106" i="37"/>
  <c r="AH106" i="37" s="1"/>
  <c r="AG47" i="37"/>
  <c r="AH47" i="37" s="1"/>
  <c r="AG39" i="37"/>
  <c r="AH39" i="37" s="1"/>
  <c r="AG19" i="37"/>
  <c r="AH19" i="37" s="1"/>
  <c r="AG79" i="37"/>
  <c r="AH79" i="37" s="1"/>
  <c r="AG81" i="37"/>
  <c r="AH81" i="37" s="1"/>
  <c r="AG62" i="37"/>
  <c r="AH62" i="37" s="1"/>
  <c r="AG54" i="37"/>
  <c r="AH54" i="37" s="1"/>
  <c r="AG31" i="37"/>
  <c r="AH31" i="37" s="1"/>
  <c r="AG117" i="37"/>
  <c r="AH117" i="37" s="1"/>
  <c r="AG43" i="37"/>
  <c r="AH43" i="37" s="1"/>
  <c r="AG86" i="37"/>
  <c r="AH86" i="37" s="1"/>
  <c r="AG87" i="37"/>
  <c r="AH87" i="37" s="1"/>
  <c r="AG20" i="37"/>
  <c r="AH20" i="37" s="1"/>
  <c r="AG89" i="37"/>
  <c r="AH89" i="37" s="1"/>
  <c r="AG22" i="37"/>
  <c r="AH22" i="37" s="1"/>
  <c r="AG26" i="37"/>
  <c r="AH26" i="37" s="1"/>
  <c r="AG57" i="37"/>
  <c r="AH57" i="37" s="1"/>
  <c r="AG97" i="37"/>
  <c r="AH97" i="37" s="1"/>
  <c r="AG114" i="37"/>
  <c r="AH114" i="37" s="1"/>
  <c r="AG68" i="37"/>
  <c r="AH68" i="37" s="1"/>
  <c r="AG84" i="37"/>
  <c r="AH84" i="37" s="1"/>
  <c r="AG109" i="37"/>
  <c r="AH109" i="37" s="1"/>
  <c r="AG61" i="37"/>
  <c r="AH61" i="37" s="1"/>
  <c r="AG88" i="37"/>
  <c r="AH88" i="37" s="1"/>
  <c r="AG34" i="37"/>
  <c r="AH34" i="37" s="1"/>
  <c r="AG36" i="37"/>
  <c r="AH36" i="37" s="1"/>
  <c r="AG30" i="37"/>
  <c r="AH30" i="37" s="1"/>
  <c r="AG70" i="37"/>
  <c r="AH70" i="37" s="1"/>
  <c r="AG27" i="37"/>
  <c r="AH27" i="37" s="1"/>
  <c r="AG104" i="37"/>
  <c r="AH104" i="37" s="1"/>
  <c r="AG108" i="37"/>
  <c r="AH108" i="37" s="1"/>
  <c r="AG95" i="37"/>
  <c r="AH95" i="37" s="1"/>
  <c r="AG53" i="37"/>
  <c r="AH53" i="37" s="1"/>
  <c r="AG28" i="37"/>
  <c r="AH28" i="37" s="1"/>
  <c r="AG38" i="37"/>
  <c r="AH38" i="37" s="1"/>
  <c r="AG91" i="37"/>
  <c r="AH91" i="37" s="1"/>
  <c r="AG80" i="37"/>
  <c r="AH80" i="37" s="1"/>
  <c r="AG90" i="37"/>
  <c r="AH90" i="37" s="1"/>
  <c r="AG51" i="37"/>
  <c r="AH51" i="37" s="1"/>
  <c r="AG83" i="37"/>
  <c r="AH83" i="37" s="1"/>
  <c r="AG115" i="37"/>
  <c r="AH115" i="37" s="1"/>
  <c r="AG60" i="37"/>
  <c r="AH60" i="37" s="1"/>
  <c r="AG33" i="37"/>
  <c r="AH33" i="37" s="1"/>
  <c r="AG44" i="37"/>
  <c r="AH44" i="37" s="1"/>
  <c r="AG58" i="37"/>
  <c r="AH58" i="37" s="1"/>
  <c r="AG111" i="37"/>
  <c r="AH111" i="37" s="1"/>
  <c r="AG72" i="37"/>
  <c r="AH72" i="37" s="1"/>
  <c r="AG65" i="37"/>
  <c r="AH65" i="37" s="1"/>
  <c r="AG48" i="37"/>
  <c r="AH48" i="37" s="1"/>
  <c r="AG105" i="37"/>
  <c r="AH105" i="37" s="1"/>
  <c r="AG69" i="37"/>
  <c r="AH69" i="37" s="1"/>
  <c r="AG17" i="37"/>
  <c r="AH17" i="37" s="1"/>
  <c r="AG102" i="37"/>
  <c r="AH102" i="37" s="1"/>
  <c r="AG76" i="37"/>
  <c r="AH76" i="37" s="1"/>
  <c r="AG96" i="37"/>
  <c r="AH96" i="37" s="1"/>
  <c r="AG32" i="37"/>
  <c r="AH32" i="37" s="1"/>
  <c r="AG23" i="37"/>
  <c r="AH23" i="37" s="1"/>
  <c r="AG116" i="37"/>
  <c r="AH116" i="37" s="1"/>
  <c r="AG103" i="37"/>
  <c r="AH103" i="37" s="1"/>
  <c r="AG112" i="37"/>
  <c r="AH112" i="37" s="1"/>
  <c r="AG40" i="37"/>
  <c r="AH40" i="37" s="1"/>
  <c r="AG66" i="37"/>
  <c r="AH66" i="37" s="1"/>
  <c r="AG93" i="37"/>
  <c r="AH93" i="37" s="1"/>
  <c r="AG94" i="37"/>
  <c r="AH94" i="37" s="1"/>
  <c r="AG107" i="37"/>
  <c r="AH107" i="37" s="1"/>
  <c r="AG50" i="37"/>
  <c r="AH50" i="37" s="1"/>
  <c r="AG37" i="37"/>
  <c r="AH37" i="37" s="1"/>
  <c r="AG24" i="37"/>
  <c r="AH24" i="37" s="1"/>
  <c r="AG77" i="37"/>
  <c r="AH77" i="37" s="1"/>
  <c r="AG78" i="37"/>
  <c r="AH78" i="37" s="1"/>
  <c r="AG41" i="37"/>
  <c r="AH41" i="37" s="1"/>
  <c r="AG29" i="37"/>
  <c r="AH29" i="37" s="1"/>
  <c r="AG56" i="37"/>
  <c r="AH56" i="37" s="1"/>
  <c r="AG98" i="37"/>
  <c r="AH98" i="37" s="1"/>
  <c r="AG85" i="37"/>
  <c r="AH85" i="37" s="1"/>
  <c r="AG35" i="37"/>
  <c r="AH35" i="37" s="1"/>
  <c r="AG101" i="37"/>
  <c r="AH101" i="37" s="1"/>
  <c r="AG42" i="37"/>
  <c r="AH42" i="37" s="1"/>
  <c r="AG21" i="37"/>
  <c r="AH21" i="37" s="1"/>
  <c r="AG55" i="37"/>
  <c r="AH55" i="37" s="1"/>
  <c r="AG110" i="37"/>
  <c r="AH110" i="37" s="1"/>
  <c r="AG49" i="37"/>
  <c r="AH49" i="37" s="1"/>
  <c r="AG71" i="37"/>
  <c r="AH71" i="37" s="1"/>
  <c r="AG25" i="37"/>
  <c r="AH25" i="37" s="1"/>
  <c r="AG52" i="37"/>
  <c r="AH52" i="37" s="1"/>
  <c r="AG82" i="37"/>
  <c r="AH82" i="37" s="1"/>
  <c r="AG113" i="37"/>
  <c r="AH113" i="37" s="1"/>
  <c r="AG74" i="37"/>
  <c r="AH74" i="37" s="1"/>
  <c r="AG99" i="37"/>
  <c r="AH99" i="37" s="1"/>
  <c r="AG75" i="37"/>
  <c r="AH75" i="37" s="1"/>
  <c r="AG59" i="37"/>
  <c r="AH59" i="37" s="1"/>
  <c r="AG46" i="37"/>
  <c r="AH46" i="37" s="1"/>
  <c r="AG45" i="37"/>
  <c r="AH45" i="37" s="1"/>
  <c r="AG73" i="37"/>
  <c r="AH73" i="37" s="1"/>
  <c r="AG45" i="36"/>
  <c r="AH45" i="36" s="1"/>
  <c r="AG40" i="36"/>
  <c r="AH40" i="36" s="1"/>
  <c r="AG46" i="36"/>
  <c r="AH46" i="36" s="1"/>
  <c r="AG23" i="36"/>
  <c r="AH23" i="36" s="1"/>
  <c r="AG50" i="36"/>
  <c r="AH50" i="36" s="1"/>
  <c r="AG86" i="36"/>
  <c r="AH86" i="36" s="1"/>
  <c r="AG63" i="36"/>
  <c r="AH63" i="36" s="1"/>
  <c r="AG100" i="36"/>
  <c r="AH100" i="36" s="1"/>
  <c r="AG21" i="36"/>
  <c r="AH21" i="36" s="1"/>
  <c r="AG65" i="36"/>
  <c r="AH65" i="36" s="1"/>
  <c r="AG44" i="36"/>
  <c r="AH44" i="36" s="1"/>
  <c r="AG69" i="36"/>
  <c r="AH69" i="36" s="1"/>
  <c r="AG62" i="36"/>
  <c r="AH62" i="36" s="1"/>
  <c r="AG80" i="36"/>
  <c r="AH80" i="36" s="1"/>
  <c r="AG34" i="36"/>
  <c r="AH34" i="36" s="1"/>
  <c r="AG113" i="36"/>
  <c r="AH113" i="36" s="1"/>
  <c r="AG20" i="36"/>
  <c r="AH20" i="36" s="1"/>
  <c r="AG33" i="36"/>
  <c r="AH33" i="36" s="1"/>
  <c r="AG93" i="36"/>
  <c r="AH93" i="36" s="1"/>
  <c r="AG96" i="36"/>
  <c r="AH96" i="36" s="1"/>
  <c r="AG78" i="36"/>
  <c r="AH78" i="36" s="1"/>
  <c r="AG99" i="36"/>
  <c r="AH99" i="36" s="1"/>
  <c r="AG97" i="36"/>
  <c r="AH97" i="36" s="1"/>
  <c r="AG105" i="36"/>
  <c r="AH105" i="36" s="1"/>
  <c r="AG35" i="36"/>
  <c r="AH35" i="36" s="1"/>
  <c r="AG27" i="36"/>
  <c r="AH27" i="36" s="1"/>
  <c r="AG115" i="36"/>
  <c r="AH115" i="36" s="1"/>
  <c r="AG94" i="36"/>
  <c r="AH94" i="36" s="1"/>
  <c r="AG60" i="36"/>
  <c r="AH60" i="36" s="1"/>
  <c r="AG102" i="36"/>
  <c r="AH102" i="36" s="1"/>
  <c r="AG25" i="36"/>
  <c r="AH25" i="36" s="1"/>
  <c r="AG31" i="36"/>
  <c r="AH31" i="36" s="1"/>
  <c r="AG42" i="36"/>
  <c r="AH42" i="36" s="1"/>
  <c r="AG24" i="36"/>
  <c r="AH24" i="36" s="1"/>
  <c r="AG79" i="36"/>
  <c r="AH79" i="36" s="1"/>
  <c r="AG82" i="36"/>
  <c r="AH82" i="36" s="1"/>
  <c r="AG90" i="36"/>
  <c r="AH90" i="36" s="1"/>
  <c r="AG106" i="36"/>
  <c r="AH106" i="36" s="1"/>
  <c r="AG72" i="36"/>
  <c r="AH72" i="36" s="1"/>
  <c r="AG83" i="36"/>
  <c r="AH83" i="36" s="1"/>
  <c r="AG109" i="36"/>
  <c r="AH109" i="36" s="1"/>
  <c r="AG110" i="36"/>
  <c r="AH110" i="36" s="1"/>
  <c r="AG17" i="36"/>
  <c r="AH17" i="36" s="1"/>
  <c r="AG71" i="36"/>
  <c r="AH71" i="36" s="1"/>
  <c r="AG66" i="36"/>
  <c r="AH66" i="36" s="1"/>
  <c r="AG70" i="36"/>
  <c r="AH70" i="36" s="1"/>
  <c r="AG89" i="36"/>
  <c r="AH89" i="36" s="1"/>
  <c r="AG88" i="36"/>
  <c r="AH88" i="36" s="1"/>
  <c r="AG73" i="36"/>
  <c r="AH73" i="36" s="1"/>
  <c r="AG104" i="36"/>
  <c r="AH104" i="36" s="1"/>
  <c r="AG43" i="36"/>
  <c r="AH43" i="36" s="1"/>
  <c r="AG30" i="36"/>
  <c r="AH30" i="36" s="1"/>
  <c r="AG112" i="36"/>
  <c r="AH112" i="36" s="1"/>
  <c r="AG108" i="36"/>
  <c r="AH108" i="36" s="1"/>
  <c r="AG101" i="36"/>
  <c r="AH101" i="36" s="1"/>
  <c r="AG87" i="36"/>
  <c r="AH87" i="36" s="1"/>
  <c r="AG22" i="36"/>
  <c r="AH22" i="36" s="1"/>
  <c r="AG85" i="36"/>
  <c r="AH85" i="36" s="1"/>
  <c r="AG57" i="36"/>
  <c r="AH57" i="36" s="1"/>
  <c r="AG75" i="36"/>
  <c r="AH75" i="36" s="1"/>
  <c r="AG61" i="36"/>
  <c r="AH61" i="36" s="1"/>
  <c r="AG107" i="36"/>
  <c r="AH107" i="36" s="1"/>
  <c r="AG91" i="36"/>
  <c r="AH91" i="36" s="1"/>
  <c r="AG114" i="36"/>
  <c r="AH114" i="36" s="1"/>
  <c r="AG53" i="36"/>
  <c r="AH53" i="36" s="1"/>
  <c r="AG26" i="36"/>
  <c r="AH26" i="36" s="1"/>
  <c r="AG55" i="36"/>
  <c r="AH55" i="36" s="1"/>
  <c r="AG52" i="36"/>
  <c r="AH52" i="36" s="1"/>
  <c r="AG98" i="36"/>
  <c r="AH98" i="36" s="1"/>
  <c r="AG95" i="36"/>
  <c r="AH95" i="36" s="1"/>
  <c r="AG77" i="36"/>
  <c r="AH77" i="36" s="1"/>
  <c r="AG41" i="36"/>
  <c r="AH41" i="36" s="1"/>
  <c r="AG32" i="36"/>
  <c r="AH32" i="36" s="1"/>
  <c r="AG36" i="36"/>
  <c r="AH36" i="36" s="1"/>
  <c r="AG92" i="36"/>
  <c r="AH92" i="36" s="1"/>
  <c r="AG103" i="36"/>
  <c r="AH103" i="36" s="1"/>
  <c r="AG58" i="36"/>
  <c r="AH58" i="36" s="1"/>
  <c r="AG117" i="36"/>
  <c r="AH117" i="36" s="1"/>
  <c r="AG29" i="36"/>
  <c r="AH29" i="36" s="1"/>
  <c r="AG51" i="36"/>
  <c r="AH51" i="36" s="1"/>
  <c r="AG74" i="36"/>
  <c r="AH74" i="36" s="1"/>
  <c r="AG84" i="36"/>
  <c r="AH84" i="36" s="1"/>
  <c r="AG76" i="36"/>
  <c r="AH76" i="36" s="1"/>
  <c r="AG37" i="36"/>
  <c r="AH37" i="36" s="1"/>
  <c r="AG111" i="36"/>
  <c r="AH111" i="36" s="1"/>
  <c r="AG39" i="36"/>
  <c r="AH39" i="36" s="1"/>
  <c r="AG28" i="36"/>
  <c r="AH28" i="36" s="1"/>
  <c r="AG18" i="36"/>
  <c r="AH18" i="36" s="1"/>
  <c r="AG64" i="36"/>
  <c r="AH64" i="36" s="1"/>
  <c r="AG116" i="36"/>
  <c r="AH116" i="36" s="1"/>
  <c r="AG56" i="36"/>
  <c r="AH56" i="36" s="1"/>
  <c r="AG49" i="36"/>
  <c r="AH49" i="36" s="1"/>
  <c r="AG19" i="36"/>
  <c r="AH19" i="36" s="1"/>
  <c r="AG81" i="36"/>
  <c r="AH81" i="36" s="1"/>
  <c r="AG38" i="36"/>
  <c r="AH38" i="36" s="1"/>
  <c r="AG54" i="36"/>
  <c r="AH54" i="36" s="1"/>
  <c r="AG47" i="36"/>
  <c r="AH47" i="36" s="1"/>
  <c r="AG48" i="36"/>
  <c r="AH48" i="36" s="1"/>
  <c r="AG68" i="36"/>
  <c r="AH68" i="36" s="1"/>
  <c r="AG59" i="36"/>
  <c r="AH59" i="36" s="1"/>
  <c r="AF14" i="37"/>
  <c r="AE14" i="37"/>
  <c r="AE14" i="36"/>
  <c r="AF14" i="36"/>
  <c r="I13" i="29"/>
  <c r="N9" i="30"/>
  <c r="H9" i="30"/>
  <c r="U10" i="30"/>
  <c r="E16" i="29" l="1"/>
  <c r="G16" i="29"/>
  <c r="G56" i="29" s="1"/>
  <c r="F16" i="29"/>
  <c r="F85" i="29" s="1"/>
  <c r="H10" i="30"/>
  <c r="U9" i="30"/>
  <c r="G59" i="29" l="1"/>
  <c r="F35" i="29"/>
  <c r="G55" i="29"/>
  <c r="F61" i="29"/>
  <c r="G19" i="29"/>
  <c r="F36" i="29"/>
  <c r="G48" i="29"/>
  <c r="G98" i="29"/>
  <c r="F84" i="29"/>
  <c r="G46" i="29"/>
  <c r="F46" i="29"/>
  <c r="G22" i="29"/>
  <c r="F47" i="29"/>
  <c r="G99" i="29"/>
  <c r="F66" i="29"/>
  <c r="F70" i="29"/>
  <c r="G18" i="29"/>
  <c r="G38" i="29"/>
  <c r="G42" i="29"/>
  <c r="F30" i="29"/>
  <c r="G78" i="29"/>
  <c r="G70" i="29"/>
  <c r="F18" i="29"/>
  <c r="G49" i="29"/>
  <c r="F60" i="29"/>
  <c r="G96" i="29"/>
  <c r="F26" i="29"/>
  <c r="G95" i="29"/>
  <c r="F33" i="29"/>
  <c r="F105" i="29"/>
  <c r="G52" i="29"/>
  <c r="F48" i="29"/>
  <c r="G87" i="29"/>
  <c r="F86" i="29"/>
  <c r="G93" i="29"/>
  <c r="G88" i="29"/>
  <c r="G84" i="29"/>
  <c r="G103" i="29"/>
  <c r="F54" i="29"/>
  <c r="G44" i="29"/>
  <c r="F63" i="29"/>
  <c r="G71" i="29"/>
  <c r="F56" i="29"/>
  <c r="G36" i="29"/>
  <c r="F37" i="29"/>
  <c r="F99" i="29"/>
  <c r="G32" i="29"/>
  <c r="G106" i="29"/>
  <c r="G117" i="29"/>
  <c r="G54" i="29"/>
  <c r="F19" i="29"/>
  <c r="G40" i="29"/>
  <c r="F115" i="29"/>
  <c r="G89" i="29"/>
  <c r="G57" i="29"/>
  <c r="F62" i="29"/>
  <c r="G69" i="29"/>
  <c r="F57" i="29"/>
  <c r="G105" i="29"/>
  <c r="F25" i="29"/>
  <c r="G116" i="29"/>
  <c r="G75" i="29"/>
  <c r="F51" i="29"/>
  <c r="G17" i="29"/>
  <c r="G41" i="29"/>
  <c r="F75" i="29"/>
  <c r="G33" i="29"/>
  <c r="F101" i="29"/>
  <c r="F95" i="29"/>
  <c r="G27" i="29"/>
  <c r="F106" i="29"/>
  <c r="G83" i="29"/>
  <c r="F50" i="29"/>
  <c r="G74" i="29"/>
  <c r="G113" i="29"/>
  <c r="G76" i="29"/>
  <c r="F23" i="29"/>
  <c r="G101" i="29"/>
  <c r="G104" i="29"/>
  <c r="F40" i="29"/>
  <c r="F90" i="29"/>
  <c r="G37" i="29"/>
  <c r="G62" i="29"/>
  <c r="G91" i="29"/>
  <c r="F96" i="29"/>
  <c r="F55" i="29"/>
  <c r="F71" i="29"/>
  <c r="G107" i="29"/>
  <c r="F65" i="29"/>
  <c r="G65" i="29"/>
  <c r="G34" i="29"/>
  <c r="G30" i="29"/>
  <c r="F21" i="29"/>
  <c r="G72" i="29"/>
  <c r="G81" i="29"/>
  <c r="F45" i="29"/>
  <c r="F41" i="29"/>
  <c r="F81" i="29"/>
  <c r="F28" i="29"/>
  <c r="F110" i="29"/>
  <c r="G60" i="29"/>
  <c r="F72" i="29"/>
  <c r="G61" i="29"/>
  <c r="F102" i="29"/>
  <c r="G64" i="29"/>
  <c r="G110" i="29"/>
  <c r="G51" i="29"/>
  <c r="F103" i="29"/>
  <c r="G73" i="29"/>
  <c r="G31" i="29"/>
  <c r="G24" i="29"/>
  <c r="G43" i="29"/>
  <c r="F58" i="29"/>
  <c r="F88" i="29"/>
  <c r="G58" i="29"/>
  <c r="F73" i="29"/>
  <c r="F53" i="29"/>
  <c r="F109" i="29"/>
  <c r="F34" i="29"/>
  <c r="F114" i="29"/>
  <c r="G63" i="29"/>
  <c r="G35" i="29"/>
  <c r="G23" i="29"/>
  <c r="F49" i="29"/>
  <c r="G80" i="29"/>
  <c r="G45" i="29"/>
  <c r="G86" i="29"/>
  <c r="G102" i="29"/>
  <c r="G25" i="29"/>
  <c r="G53" i="29"/>
  <c r="F91" i="29"/>
  <c r="F43" i="29"/>
  <c r="F69" i="29"/>
  <c r="G77" i="29"/>
  <c r="F31" i="29"/>
  <c r="G109" i="29"/>
  <c r="F42" i="29"/>
  <c r="F108" i="29"/>
  <c r="F44" i="29"/>
  <c r="F112" i="29"/>
  <c r="F38" i="29"/>
  <c r="F94" i="29"/>
  <c r="F98" i="29"/>
  <c r="F82" i="29"/>
  <c r="G50" i="29"/>
  <c r="G26" i="29"/>
  <c r="G90" i="29"/>
  <c r="F64" i="29"/>
  <c r="G108" i="29"/>
  <c r="F104" i="29"/>
  <c r="G100" i="29"/>
  <c r="F22" i="29"/>
  <c r="G97" i="29"/>
  <c r="F32" i="29"/>
  <c r="F92" i="29"/>
  <c r="F107" i="29"/>
  <c r="F83" i="29"/>
  <c r="G94" i="29"/>
  <c r="F117" i="29"/>
  <c r="G111" i="29"/>
  <c r="F80" i="29"/>
  <c r="G20" i="29"/>
  <c r="G82" i="29"/>
  <c r="F68" i="29"/>
  <c r="G79" i="29"/>
  <c r="F59" i="29"/>
  <c r="G85" i="29"/>
  <c r="F29" i="29"/>
  <c r="G115" i="29"/>
  <c r="F27" i="29"/>
  <c r="G29" i="29"/>
  <c r="G21" i="29"/>
  <c r="F74" i="29"/>
  <c r="G66" i="29"/>
  <c r="F78" i="29"/>
  <c r="F89" i="29"/>
  <c r="F97" i="29"/>
  <c r="F77" i="29"/>
  <c r="F100" i="29"/>
  <c r="G112" i="29"/>
  <c r="G114" i="29"/>
  <c r="F17" i="29"/>
  <c r="G28" i="29"/>
  <c r="F20" i="29"/>
  <c r="G92" i="29"/>
  <c r="F24" i="29"/>
  <c r="G39" i="29"/>
  <c r="F52" i="29"/>
  <c r="G47" i="29"/>
  <c r="F116" i="29"/>
  <c r="F79" i="29"/>
  <c r="F87" i="29"/>
  <c r="F111" i="29"/>
  <c r="F113" i="29"/>
  <c r="F39" i="29"/>
  <c r="F93" i="29"/>
  <c r="F76" i="29"/>
  <c r="G68" i="29"/>
  <c r="AD12" i="30"/>
  <c r="AF14" i="30" s="1"/>
  <c r="Q12" i="30"/>
  <c r="AC14" i="30" s="1"/>
  <c r="D12" i="30"/>
  <c r="P14" i="30" s="1"/>
  <c r="AF17" i="30" l="1"/>
  <c r="AF68" i="30"/>
  <c r="P17" i="30"/>
  <c r="P68" i="30"/>
  <c r="AC68" i="30"/>
  <c r="AC17" i="30"/>
  <c r="AG42" i="30"/>
  <c r="AH42" i="30" s="1"/>
  <c r="E42" i="29" s="1"/>
  <c r="H42" i="29" s="1"/>
  <c r="AG40" i="30"/>
  <c r="AH40" i="30" s="1"/>
  <c r="E40" i="29" s="1"/>
  <c r="H40" i="29" s="1"/>
  <c r="AG86" i="30"/>
  <c r="AH86" i="30" s="1"/>
  <c r="E86" i="29" s="1"/>
  <c r="H86" i="29" s="1"/>
  <c r="AG95" i="30"/>
  <c r="AH95" i="30" s="1"/>
  <c r="E95" i="29" s="1"/>
  <c r="H95" i="29" s="1"/>
  <c r="AG85" i="30"/>
  <c r="AH85" i="30" s="1"/>
  <c r="E85" i="29" s="1"/>
  <c r="H85" i="29" s="1"/>
  <c r="J85" i="29" s="1"/>
  <c r="AG114" i="30"/>
  <c r="AH114" i="30" s="1"/>
  <c r="E114" i="29" s="1"/>
  <c r="H114" i="29" s="1"/>
  <c r="AG64" i="30"/>
  <c r="AH64" i="30" s="1"/>
  <c r="E64" i="29" s="1"/>
  <c r="H64" i="29" s="1"/>
  <c r="AG93" i="30"/>
  <c r="AH93" i="30" s="1"/>
  <c r="E93" i="29" s="1"/>
  <c r="H93" i="29" s="1"/>
  <c r="J93" i="29" s="1"/>
  <c r="AG89" i="30"/>
  <c r="AH89" i="30" s="1"/>
  <c r="E89" i="29" s="1"/>
  <c r="H89" i="29" s="1"/>
  <c r="J89" i="29" s="1"/>
  <c r="AG52" i="30"/>
  <c r="AH52" i="30" s="1"/>
  <c r="E52" i="29" s="1"/>
  <c r="H52" i="29" s="1"/>
  <c r="AG63" i="30"/>
  <c r="AH63" i="30" s="1"/>
  <c r="E63" i="29" s="1"/>
  <c r="H63" i="29" s="1"/>
  <c r="AG19" i="30"/>
  <c r="AH19" i="30" s="1"/>
  <c r="E19" i="29" s="1"/>
  <c r="H19" i="29" s="1"/>
  <c r="AG94" i="30"/>
  <c r="AH94" i="30" s="1"/>
  <c r="E94" i="29" s="1"/>
  <c r="H94" i="29" s="1"/>
  <c r="AG97" i="30"/>
  <c r="AH97" i="30" s="1"/>
  <c r="E97" i="29" s="1"/>
  <c r="H97" i="29" s="1"/>
  <c r="AG104" i="30"/>
  <c r="AH104" i="30" s="1"/>
  <c r="E104" i="29" s="1"/>
  <c r="H104" i="29" s="1"/>
  <c r="AG22" i="30"/>
  <c r="AH22" i="30" s="1"/>
  <c r="E22" i="29" s="1"/>
  <c r="H22" i="29" s="1"/>
  <c r="AG88" i="30"/>
  <c r="AH88" i="30" s="1"/>
  <c r="E88" i="29" s="1"/>
  <c r="H88" i="29" s="1"/>
  <c r="I88" i="29" s="1"/>
  <c r="AG107" i="30"/>
  <c r="AH107" i="30" s="1"/>
  <c r="E107" i="29" s="1"/>
  <c r="H107" i="29" s="1"/>
  <c r="AG92" i="30"/>
  <c r="AH92" i="30" s="1"/>
  <c r="E92" i="29" s="1"/>
  <c r="H92" i="29" s="1"/>
  <c r="AG70" i="30"/>
  <c r="AH70" i="30" s="1"/>
  <c r="E70" i="29" s="1"/>
  <c r="H70" i="29" s="1"/>
  <c r="AG75" i="30"/>
  <c r="AH75" i="30" s="1"/>
  <c r="E75" i="29" s="1"/>
  <c r="H75" i="29" s="1"/>
  <c r="AG76" i="30"/>
  <c r="AH76" i="30" s="1"/>
  <c r="E76" i="29" s="1"/>
  <c r="H76" i="29" s="1"/>
  <c r="AG103" i="30"/>
  <c r="AH103" i="30" s="1"/>
  <c r="E103" i="29" s="1"/>
  <c r="H103" i="29" s="1"/>
  <c r="AG21" i="30"/>
  <c r="AH21" i="30" s="1"/>
  <c r="E21" i="29" s="1"/>
  <c r="H21" i="29" s="1"/>
  <c r="AG96" i="30"/>
  <c r="AH96" i="30" s="1"/>
  <c r="E96" i="29" s="1"/>
  <c r="H96" i="29" s="1"/>
  <c r="AG116" i="30"/>
  <c r="AH116" i="30" s="1"/>
  <c r="E116" i="29" s="1"/>
  <c r="H116" i="29" s="1"/>
  <c r="AG33" i="30"/>
  <c r="AH33" i="30" s="1"/>
  <c r="E33" i="29" s="1"/>
  <c r="H33" i="29" s="1"/>
  <c r="AG32" i="30"/>
  <c r="AH32" i="30" s="1"/>
  <c r="E32" i="29" s="1"/>
  <c r="H32" i="29" s="1"/>
  <c r="AG109" i="30"/>
  <c r="AH109" i="30" s="1"/>
  <c r="E109" i="29" s="1"/>
  <c r="H109" i="29" s="1"/>
  <c r="AG18" i="30"/>
  <c r="AH18" i="30" s="1"/>
  <c r="E18" i="29" s="1"/>
  <c r="H18" i="29" s="1"/>
  <c r="AG115" i="30"/>
  <c r="AH115" i="30" s="1"/>
  <c r="E115" i="29" s="1"/>
  <c r="H115" i="29" s="1"/>
  <c r="AG111" i="30"/>
  <c r="AH111" i="30" s="1"/>
  <c r="E111" i="29" s="1"/>
  <c r="H111" i="29" s="1"/>
  <c r="AG30" i="30"/>
  <c r="AH30" i="30" s="1"/>
  <c r="E30" i="29" s="1"/>
  <c r="H30" i="29" s="1"/>
  <c r="AG102" i="30"/>
  <c r="AH102" i="30" s="1"/>
  <c r="E102" i="29" s="1"/>
  <c r="H102" i="29" s="1"/>
  <c r="AG28" i="30"/>
  <c r="AH28" i="30" s="1"/>
  <c r="E28" i="29" s="1"/>
  <c r="H28" i="29" s="1"/>
  <c r="AG26" i="30"/>
  <c r="AH26" i="30" s="1"/>
  <c r="E26" i="29" s="1"/>
  <c r="H26" i="29" s="1"/>
  <c r="AG41" i="30"/>
  <c r="AH41" i="30" s="1"/>
  <c r="E41" i="29" s="1"/>
  <c r="H41" i="29" s="1"/>
  <c r="J41" i="29" s="1"/>
  <c r="AG46" i="30"/>
  <c r="AH46" i="30" s="1"/>
  <c r="E46" i="29" s="1"/>
  <c r="H46" i="29" s="1"/>
  <c r="AG51" i="30"/>
  <c r="AH51" i="30" s="1"/>
  <c r="E51" i="29" s="1"/>
  <c r="H51" i="29" s="1"/>
  <c r="AG58" i="30"/>
  <c r="AH58" i="30" s="1"/>
  <c r="E58" i="29" s="1"/>
  <c r="H58" i="29" s="1"/>
  <c r="AG83" i="30"/>
  <c r="AH83" i="30" s="1"/>
  <c r="E83" i="29" s="1"/>
  <c r="H83" i="29" s="1"/>
  <c r="AG113" i="30"/>
  <c r="AH113" i="30" s="1"/>
  <c r="E113" i="29" s="1"/>
  <c r="H113" i="29" s="1"/>
  <c r="J113" i="29" s="1"/>
  <c r="AG34" i="30"/>
  <c r="AH34" i="30" s="1"/>
  <c r="E34" i="29" s="1"/>
  <c r="H34" i="29" s="1"/>
  <c r="AG35" i="30"/>
  <c r="AH35" i="30" s="1"/>
  <c r="E35" i="29" s="1"/>
  <c r="H35" i="29" s="1"/>
  <c r="AG117" i="30"/>
  <c r="AH117" i="30" s="1"/>
  <c r="E117" i="29" s="1"/>
  <c r="H117" i="29" s="1"/>
  <c r="AG39" i="30"/>
  <c r="AH39" i="30" s="1"/>
  <c r="E39" i="29" s="1"/>
  <c r="H39" i="29" s="1"/>
  <c r="AG45" i="30"/>
  <c r="AH45" i="30" s="1"/>
  <c r="E45" i="29" s="1"/>
  <c r="H45" i="29" s="1"/>
  <c r="AG56" i="30"/>
  <c r="AH56" i="30" s="1"/>
  <c r="E56" i="29" s="1"/>
  <c r="H56" i="29" s="1"/>
  <c r="J56" i="29" s="1"/>
  <c r="AG48" i="30"/>
  <c r="AH48" i="30" s="1"/>
  <c r="E48" i="29" s="1"/>
  <c r="H48" i="29" s="1"/>
  <c r="AG91" i="30"/>
  <c r="AH91" i="30" s="1"/>
  <c r="E91" i="29" s="1"/>
  <c r="H91" i="29" s="1"/>
  <c r="J91" i="29" s="1"/>
  <c r="AG31" i="30"/>
  <c r="AH31" i="30" s="1"/>
  <c r="E31" i="29" s="1"/>
  <c r="H31" i="29" s="1"/>
  <c r="AG53" i="30"/>
  <c r="AH53" i="30" s="1"/>
  <c r="E53" i="29" s="1"/>
  <c r="H53" i="29" s="1"/>
  <c r="AG78" i="30"/>
  <c r="AH78" i="30" s="1"/>
  <c r="E78" i="29" s="1"/>
  <c r="H78" i="29" s="1"/>
  <c r="AG36" i="30"/>
  <c r="AH36" i="30" s="1"/>
  <c r="E36" i="29" s="1"/>
  <c r="H36" i="29" s="1"/>
  <c r="AG37" i="30"/>
  <c r="AH37" i="30" s="1"/>
  <c r="E37" i="29" s="1"/>
  <c r="H37" i="29" s="1"/>
  <c r="AG98" i="30"/>
  <c r="AH98" i="30" s="1"/>
  <c r="E98" i="29" s="1"/>
  <c r="H98" i="29" s="1"/>
  <c r="AG79" i="30"/>
  <c r="AH79" i="30" s="1"/>
  <c r="E79" i="29" s="1"/>
  <c r="H79" i="29" s="1"/>
  <c r="AG20" i="30"/>
  <c r="AH20" i="30" s="1"/>
  <c r="E20" i="29" s="1"/>
  <c r="H20" i="29" s="1"/>
  <c r="AG71" i="30"/>
  <c r="AH71" i="30" s="1"/>
  <c r="E71" i="29" s="1"/>
  <c r="H71" i="29" s="1"/>
  <c r="AG99" i="30"/>
  <c r="AH99" i="30" s="1"/>
  <c r="E99" i="29" s="1"/>
  <c r="H99" i="29" s="1"/>
  <c r="AG62" i="30"/>
  <c r="AH62" i="30" s="1"/>
  <c r="E62" i="29" s="1"/>
  <c r="H62" i="29" s="1"/>
  <c r="AG55" i="30"/>
  <c r="AH55" i="30" s="1"/>
  <c r="E55" i="29" s="1"/>
  <c r="H55" i="29" s="1"/>
  <c r="AG47" i="30"/>
  <c r="AH47" i="30" s="1"/>
  <c r="E47" i="29" s="1"/>
  <c r="H47" i="29" s="1"/>
  <c r="AG108" i="30"/>
  <c r="AH108" i="30" s="1"/>
  <c r="E108" i="29" s="1"/>
  <c r="H108" i="29" s="1"/>
  <c r="AG43" i="30"/>
  <c r="AH43" i="30" s="1"/>
  <c r="E43" i="29" s="1"/>
  <c r="H43" i="29" s="1"/>
  <c r="AG87" i="30"/>
  <c r="AH87" i="30" s="1"/>
  <c r="E87" i="29" s="1"/>
  <c r="H87" i="29" s="1"/>
  <c r="AG24" i="30"/>
  <c r="AH24" i="30" s="1"/>
  <c r="E24" i="29" s="1"/>
  <c r="H24" i="29" s="1"/>
  <c r="AG73" i="30"/>
  <c r="AH73" i="30" s="1"/>
  <c r="E73" i="29" s="1"/>
  <c r="H73" i="29" s="1"/>
  <c r="AG74" i="30"/>
  <c r="AH74" i="30" s="1"/>
  <c r="E74" i="29" s="1"/>
  <c r="H74" i="29" s="1"/>
  <c r="AG101" i="30"/>
  <c r="AH101" i="30" s="1"/>
  <c r="E101" i="29" s="1"/>
  <c r="H101" i="29" s="1"/>
  <c r="AG49" i="30"/>
  <c r="AH49" i="30" s="1"/>
  <c r="E49" i="29" s="1"/>
  <c r="H49" i="29" s="1"/>
  <c r="AG59" i="30"/>
  <c r="AH59" i="30" s="1"/>
  <c r="E59" i="29" s="1"/>
  <c r="H59" i="29" s="1"/>
  <c r="AG61" i="30"/>
  <c r="AH61" i="30" s="1"/>
  <c r="E61" i="29" s="1"/>
  <c r="H61" i="29" s="1"/>
  <c r="AG110" i="30"/>
  <c r="AH110" i="30" s="1"/>
  <c r="E110" i="29" s="1"/>
  <c r="H110" i="29" s="1"/>
  <c r="AG27" i="30"/>
  <c r="AH27" i="30" s="1"/>
  <c r="E27" i="29" s="1"/>
  <c r="H27" i="29" s="1"/>
  <c r="AG82" i="30"/>
  <c r="AH82" i="30" s="1"/>
  <c r="E82" i="29" s="1"/>
  <c r="H82" i="29" s="1"/>
  <c r="AG100" i="30"/>
  <c r="AH100" i="30" s="1"/>
  <c r="E100" i="29" s="1"/>
  <c r="H100" i="29" s="1"/>
  <c r="AG44" i="30"/>
  <c r="AH44" i="30" s="1"/>
  <c r="E44" i="29" s="1"/>
  <c r="H44" i="29" s="1"/>
  <c r="AG57" i="30"/>
  <c r="AH57" i="30" s="1"/>
  <c r="E57" i="29" s="1"/>
  <c r="H57" i="29" s="1"/>
  <c r="J57" i="29" s="1"/>
  <c r="AG112" i="30"/>
  <c r="AH112" i="30" s="1"/>
  <c r="E112" i="29" s="1"/>
  <c r="H112" i="29" s="1"/>
  <c r="AG66" i="30"/>
  <c r="AH66" i="30" s="1"/>
  <c r="E66" i="29" s="1"/>
  <c r="H66" i="29" s="1"/>
  <c r="AG106" i="30"/>
  <c r="AH106" i="30" s="1"/>
  <c r="E106" i="29" s="1"/>
  <c r="H106" i="29" s="1"/>
  <c r="J106" i="29" s="1"/>
  <c r="AG84" i="30"/>
  <c r="AH84" i="30" s="1"/>
  <c r="E84" i="29" s="1"/>
  <c r="H84" i="29" s="1"/>
  <c r="AG90" i="30"/>
  <c r="AH90" i="30" s="1"/>
  <c r="E90" i="29" s="1"/>
  <c r="H90" i="29" s="1"/>
  <c r="AG25" i="30"/>
  <c r="AH25" i="30" s="1"/>
  <c r="E25" i="29" s="1"/>
  <c r="H25" i="29" s="1"/>
  <c r="AG50" i="30"/>
  <c r="AH50" i="30" s="1"/>
  <c r="E50" i="29" s="1"/>
  <c r="H50" i="29" s="1"/>
  <c r="AG23" i="30"/>
  <c r="AH23" i="30" s="1"/>
  <c r="E23" i="29" s="1"/>
  <c r="H23" i="29" s="1"/>
  <c r="AG72" i="30"/>
  <c r="AH72" i="30" s="1"/>
  <c r="E72" i="29" s="1"/>
  <c r="H72" i="29" s="1"/>
  <c r="AG60" i="30"/>
  <c r="AH60" i="30" s="1"/>
  <c r="E60" i="29" s="1"/>
  <c r="H60" i="29" s="1"/>
  <c r="AG65" i="30"/>
  <c r="AH65" i="30" s="1"/>
  <c r="E65" i="29" s="1"/>
  <c r="H65" i="29" s="1"/>
  <c r="AG69" i="30"/>
  <c r="AH69" i="30" s="1"/>
  <c r="E69" i="29" s="1"/>
  <c r="H69" i="29" s="1"/>
  <c r="AG77" i="30"/>
  <c r="AH77" i="30" s="1"/>
  <c r="E77" i="29" s="1"/>
  <c r="H77" i="29" s="1"/>
  <c r="I77" i="29" s="1"/>
  <c r="AG54" i="30"/>
  <c r="AH54" i="30" s="1"/>
  <c r="E54" i="29" s="1"/>
  <c r="H54" i="29" s="1"/>
  <c r="AG105" i="30"/>
  <c r="AH105" i="30" s="1"/>
  <c r="E105" i="29" s="1"/>
  <c r="H105" i="29" s="1"/>
  <c r="AG29" i="30"/>
  <c r="AH29" i="30" s="1"/>
  <c r="E29" i="29" s="1"/>
  <c r="H29" i="29" s="1"/>
  <c r="AG38" i="30"/>
  <c r="AH38" i="30" s="1"/>
  <c r="E38" i="29" s="1"/>
  <c r="H38" i="29" s="1"/>
  <c r="AG80" i="30"/>
  <c r="AH80" i="30" s="1"/>
  <c r="E80" i="29" s="1"/>
  <c r="H80" i="29" s="1"/>
  <c r="AG81" i="30"/>
  <c r="AH81" i="30" s="1"/>
  <c r="E81" i="29" s="1"/>
  <c r="H81" i="29" s="1"/>
  <c r="AE14" i="30"/>
  <c r="J69" i="29" l="1"/>
  <c r="I69" i="29"/>
  <c r="I108" i="29"/>
  <c r="J108" i="29"/>
  <c r="J78" i="29"/>
  <c r="I78" i="29"/>
  <c r="I72" i="29"/>
  <c r="J72" i="29"/>
  <c r="J95" i="29"/>
  <c r="I95" i="29"/>
  <c r="I107" i="29"/>
  <c r="J107" i="29"/>
  <c r="I80" i="29"/>
  <c r="J80" i="29"/>
  <c r="J111" i="29"/>
  <c r="I111" i="29"/>
  <c r="J24" i="29"/>
  <c r="I24" i="29"/>
  <c r="I42" i="29"/>
  <c r="J42" i="29"/>
  <c r="J32" i="29"/>
  <c r="I32" i="29"/>
  <c r="J31" i="29"/>
  <c r="I31" i="29"/>
  <c r="I81" i="29"/>
  <c r="J81" i="29"/>
  <c r="J21" i="29"/>
  <c r="I21" i="29"/>
  <c r="I101" i="29"/>
  <c r="J101" i="29"/>
  <c r="J64" i="29"/>
  <c r="I64" i="29"/>
  <c r="J59" i="29"/>
  <c r="I59" i="29"/>
  <c r="J79" i="29"/>
  <c r="I79" i="29"/>
  <c r="I117" i="29"/>
  <c r="J117" i="29"/>
  <c r="I113" i="29"/>
  <c r="I85" i="29"/>
  <c r="I89" i="29"/>
  <c r="I93" i="29"/>
  <c r="I41" i="29"/>
  <c r="J77" i="29"/>
  <c r="I91" i="29"/>
  <c r="I56" i="29"/>
  <c r="J88" i="29"/>
  <c r="I57" i="29"/>
  <c r="I106" i="29"/>
  <c r="J52" i="29"/>
  <c r="I52" i="29"/>
  <c r="J98" i="29"/>
  <c r="I98" i="29"/>
  <c r="I29" i="29"/>
  <c r="J29" i="29"/>
  <c r="J28" i="29"/>
  <c r="I28" i="29"/>
  <c r="J62" i="29"/>
  <c r="I62" i="29"/>
  <c r="J20" i="29"/>
  <c r="I20" i="29"/>
  <c r="J116" i="29"/>
  <c r="I116" i="29"/>
  <c r="I92" i="29"/>
  <c r="J92" i="29"/>
  <c r="J90" i="29"/>
  <c r="I90" i="29"/>
  <c r="J46" i="29"/>
  <c r="I46" i="29"/>
  <c r="J49" i="29"/>
  <c r="I49" i="29"/>
  <c r="J47" i="29"/>
  <c r="I47" i="29"/>
  <c r="I100" i="29"/>
  <c r="J100" i="29"/>
  <c r="I76" i="29"/>
  <c r="J76" i="29"/>
  <c r="J58" i="29"/>
  <c r="I58" i="29"/>
  <c r="J18" i="29"/>
  <c r="I18" i="29"/>
  <c r="J25" i="29"/>
  <c r="I25" i="29"/>
  <c r="I60" i="29"/>
  <c r="J60" i="29"/>
  <c r="J61" i="29"/>
  <c r="I61" i="29"/>
  <c r="J39" i="29"/>
  <c r="I39" i="29"/>
  <c r="J48" i="29"/>
  <c r="I48" i="29"/>
  <c r="I40" i="29"/>
  <c r="J40" i="29"/>
  <c r="I83" i="29"/>
  <c r="J83" i="29"/>
  <c r="I50" i="29"/>
  <c r="J50" i="29"/>
  <c r="J35" i="29"/>
  <c r="I35" i="29"/>
  <c r="J44" i="29"/>
  <c r="I44" i="29"/>
  <c r="J45" i="29"/>
  <c r="I45" i="29"/>
  <c r="I96" i="29"/>
  <c r="J96" i="29"/>
  <c r="I99" i="29"/>
  <c r="J99" i="29"/>
  <c r="J66" i="29"/>
  <c r="I66" i="29"/>
  <c r="J19" i="29"/>
  <c r="I19" i="29"/>
  <c r="I105" i="29"/>
  <c r="J105" i="29"/>
  <c r="J102" i="29"/>
  <c r="I102" i="29"/>
  <c r="I53" i="29"/>
  <c r="J53" i="29"/>
  <c r="J74" i="29"/>
  <c r="I74" i="29"/>
  <c r="J26" i="29"/>
  <c r="I26" i="29"/>
  <c r="I103" i="29"/>
  <c r="J103" i="29"/>
  <c r="J33" i="29"/>
  <c r="I33" i="29"/>
  <c r="J36" i="29"/>
  <c r="I36" i="29"/>
  <c r="I73" i="29"/>
  <c r="J73" i="29"/>
  <c r="I38" i="29"/>
  <c r="J38" i="29"/>
  <c r="I55" i="29"/>
  <c r="J55" i="29"/>
  <c r="J54" i="29"/>
  <c r="I54" i="29"/>
  <c r="J114" i="29"/>
  <c r="I114" i="29"/>
  <c r="I63" i="29"/>
  <c r="J63" i="29"/>
  <c r="I71" i="29"/>
  <c r="J71" i="29"/>
  <c r="J70" i="29"/>
  <c r="I70" i="29"/>
  <c r="I112" i="29"/>
  <c r="J112" i="29"/>
  <c r="J97" i="29"/>
  <c r="I97" i="29"/>
  <c r="J110" i="29"/>
  <c r="I110" i="29"/>
  <c r="J51" i="29"/>
  <c r="I51" i="29"/>
  <c r="J43" i="29"/>
  <c r="I43" i="29"/>
  <c r="I115" i="29"/>
  <c r="J115" i="29"/>
  <c r="J75" i="29"/>
  <c r="I75" i="29"/>
  <c r="I104" i="29"/>
  <c r="J104" i="29"/>
  <c r="J84" i="29"/>
  <c r="I84" i="29"/>
  <c r="J86" i="29"/>
  <c r="I86" i="29"/>
  <c r="I22" i="29"/>
  <c r="J22" i="29"/>
  <c r="J109" i="29"/>
  <c r="I109" i="29"/>
  <c r="I34" i="29"/>
  <c r="J34" i="29"/>
  <c r="J82" i="29"/>
  <c r="I82" i="29"/>
  <c r="J23" i="29"/>
  <c r="I23" i="29"/>
  <c r="I27" i="29"/>
  <c r="J27" i="29"/>
  <c r="I87" i="29"/>
  <c r="J87" i="29"/>
  <c r="J94" i="29"/>
  <c r="I94" i="29"/>
  <c r="I65" i="29"/>
  <c r="J65" i="29"/>
  <c r="I37" i="29"/>
  <c r="J37" i="29"/>
  <c r="J30" i="29"/>
  <c r="I30" i="29"/>
  <c r="AG17" i="30"/>
  <c r="AH17" i="30" s="1"/>
  <c r="E17" i="29" s="1"/>
  <c r="H17" i="29" s="1"/>
  <c r="I17" i="29" s="1"/>
  <c r="AG68" i="30"/>
  <c r="AH68" i="30" s="1"/>
  <c r="E68" i="29" s="1"/>
  <c r="H68" i="29" s="1"/>
  <c r="J68" i="29" l="1"/>
  <c r="I68" i="29"/>
  <c r="J17" i="29"/>
  <c r="G27" i="31"/>
  <c r="G19" i="31"/>
  <c r="G18" i="31"/>
  <c r="G17" i="31"/>
  <c r="G15" i="31"/>
  <c r="G14" i="31"/>
  <c r="G13" i="31"/>
  <c r="F10" i="31"/>
  <c r="F9" i="31"/>
  <c r="F8" i="31"/>
  <c r="AD120" i="37"/>
  <c r="Z120" i="37"/>
  <c r="Y120" i="37"/>
  <c r="X120" i="37"/>
  <c r="W120" i="37"/>
  <c r="V120" i="37"/>
  <c r="U120" i="37"/>
  <c r="T120" i="37"/>
  <c r="S120" i="37"/>
  <c r="R120" i="37"/>
  <c r="Q120" i="37"/>
  <c r="M120" i="37"/>
  <c r="L120" i="37"/>
  <c r="K120" i="37"/>
  <c r="J120" i="37"/>
  <c r="I120" i="37"/>
  <c r="H120" i="37"/>
  <c r="G120" i="37"/>
  <c r="F120" i="37"/>
  <c r="E120" i="37"/>
  <c r="D120" i="37"/>
  <c r="AD120" i="36"/>
  <c r="Z120" i="36"/>
  <c r="Y120" i="36"/>
  <c r="X120" i="36"/>
  <c r="W120" i="36"/>
  <c r="V120" i="36"/>
  <c r="U120" i="36"/>
  <c r="T120" i="36"/>
  <c r="S120" i="36"/>
  <c r="R120" i="36"/>
  <c r="Q120" i="36"/>
  <c r="M120" i="36"/>
  <c r="L120" i="36"/>
  <c r="K120" i="36"/>
  <c r="J120" i="36"/>
  <c r="I120" i="36"/>
  <c r="H120" i="36"/>
  <c r="G120" i="36"/>
  <c r="F120" i="36"/>
  <c r="E120" i="36"/>
  <c r="D120" i="36"/>
  <c r="AD120" i="30"/>
  <c r="Z120" i="30"/>
  <c r="Y120" i="30"/>
  <c r="X120" i="30"/>
  <c r="W120" i="30"/>
  <c r="V120" i="30"/>
  <c r="U120" i="30"/>
  <c r="T120" i="30"/>
  <c r="S120" i="30"/>
  <c r="R120" i="30"/>
  <c r="Q120" i="30"/>
  <c r="M120" i="30"/>
  <c r="L120" i="30"/>
  <c r="K120" i="30"/>
  <c r="J120" i="30"/>
  <c r="I120" i="30"/>
  <c r="H120" i="30"/>
  <c r="G120" i="30"/>
  <c r="F120" i="30"/>
  <c r="E120" i="30"/>
  <c r="D12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 Margarett Lazaro</author>
  </authors>
  <commentList>
    <comment ref="F30" authorId="0" shapeId="0" xr:uid="{C73A23E2-AB60-46A0-9A10-303E46C3955F}">
      <text>
        <r>
          <rPr>
            <sz val="9"/>
            <color indexed="81"/>
            <rFont val="Arial Narrow"/>
            <family val="2"/>
          </rPr>
          <t xml:space="preserve">Take note of the TRACK.
You must </t>
        </r>
        <r>
          <rPr>
            <b/>
            <sz val="9"/>
            <color indexed="81"/>
            <rFont val="Arial Narrow"/>
            <family val="2"/>
          </rPr>
          <t>select the proper track to get the correct percentage</t>
        </r>
        <r>
          <rPr>
            <sz val="9"/>
            <color indexed="81"/>
            <rFont val="Arial Narrow"/>
            <family val="2"/>
          </rPr>
          <t xml:space="preserve"> of WW, PT, and TE of your subject.</t>
        </r>
      </text>
    </comment>
    <comment ref="H33" authorId="0" shapeId="0" xr:uid="{EF528847-3684-4D59-A0E4-FDFBDD1156A9}">
      <text>
        <r>
          <rPr>
            <sz val="9"/>
            <color indexed="81"/>
            <rFont val="Arial Narrow"/>
            <family val="2"/>
          </rPr>
          <t>For electives offered for one or two terms,</t>
        </r>
        <r>
          <rPr>
            <b/>
            <sz val="9"/>
            <color indexed="81"/>
            <rFont val="Arial Narrow"/>
            <family val="2"/>
          </rPr>
          <t xml:space="preserve"> indicate the "Term Block."</t>
        </r>
        <r>
          <rPr>
            <sz val="9"/>
            <color indexed="81"/>
            <rFont val="Arial Narrow"/>
            <family val="2"/>
          </rPr>
          <t xml:space="preserve"> </t>
        </r>
        <r>
          <rPr>
            <b/>
            <sz val="9"/>
            <color indexed="81"/>
            <rFont val="Arial Narrow"/>
            <family val="2"/>
          </rPr>
          <t xml:space="preserve">Data may only be encoded in the sheet corresponding to the selected term.
</t>
        </r>
        <r>
          <rPr>
            <sz val="9"/>
            <color indexed="81"/>
            <rFont val="Arial Narrow"/>
            <family val="2"/>
          </rPr>
          <t>For electives offered for</t>
        </r>
        <r>
          <rPr>
            <b/>
            <sz val="9"/>
            <color indexed="81"/>
            <rFont val="Arial Narrow"/>
            <family val="2"/>
          </rPr>
          <t xml:space="preserve"> two terms</t>
        </r>
        <r>
          <rPr>
            <sz val="9"/>
            <color indexed="81"/>
            <rFont val="Arial Narrow"/>
            <family val="2"/>
          </rPr>
          <t xml:space="preserve">, </t>
        </r>
        <r>
          <rPr>
            <b/>
            <sz val="9"/>
            <color indexed="81"/>
            <rFont val="Arial Narrow"/>
            <family val="2"/>
          </rPr>
          <t>indicate the first term in which the elective is offered.</t>
        </r>
        <r>
          <rPr>
            <sz val="9"/>
            <color indexed="81"/>
            <rFont val="Arial Narrow"/>
            <family val="2"/>
          </rPr>
          <t xml:space="preserve"> The succeeding term will automatically be displayed.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<sst xmlns="http://schemas.openxmlformats.org/spreadsheetml/2006/main" count="556" uniqueCount="234">
  <si>
    <t>Exclusively for K to 12 Senior High School Grade 12</t>
  </si>
  <si>
    <r>
      <t>Instructions:</t>
    </r>
    <r>
      <rPr>
        <b/>
        <sz val="20"/>
        <color theme="5" tint="-0.249977111117893"/>
        <rFont val="Arial Narrow"/>
        <family val="2"/>
      </rPr>
      <t xml:space="preserve"> </t>
    </r>
    <r>
      <rPr>
        <b/>
        <sz val="20"/>
        <color theme="1"/>
        <rFont val="Arial Narrow"/>
        <family val="2"/>
      </rPr>
      <t>Accomplishing the Electronic Class Record (ECR) for SHS Grade 12</t>
    </r>
  </si>
  <si>
    <t>Input the correct data for the following sections. Any details entered here are used throughout the e-Class Record.</t>
  </si>
  <si>
    <r>
      <t xml:space="preserve">This template is intended exclusively
</t>
    </r>
    <r>
      <rPr>
        <b/>
        <sz val="16"/>
        <color theme="1"/>
        <rFont val="Arial Narrow"/>
        <family val="2"/>
      </rPr>
      <t>for SHS Grade 12 of the existing K-12 Curriculum</t>
    </r>
    <r>
      <rPr>
        <b/>
        <sz val="11"/>
        <color theme="1"/>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</si>
  <si>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</si>
  <si>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</si>
  <si>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</si>
  <si>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</si>
  <si>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</si>
  <si>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</si>
  <si>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</si>
  <si>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</si>
  <si>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</si>
  <si>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</si>
  <si>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</si>
  <si>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</si>
  <si>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</si>
  <si>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</si>
  <si>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cannot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</si>
  <si>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</si>
  <si>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</si>
  <si>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</si>
  <si>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</si>
  <si>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</si>
  <si>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</si>
  <si>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</si>
  <si>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</si>
  <si>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Track:</t>
  </si>
  <si>
    <t>K-12 CURRICULUM</t>
  </si>
  <si>
    <t>CORE SUBJECT (ALL TRACKS)</t>
  </si>
  <si>
    <t>WORK IMMERSION/ CULMINATING ACTIVITY</t>
  </si>
  <si>
    <t>SUBJECT CATEGORY</t>
  </si>
  <si>
    <t>SHS</t>
  </si>
  <si>
    <t>ACADEMIC TRACK (EXCEPT IMMERSION)</t>
  </si>
  <si>
    <t>TVL/ SPORTS/ ARTS AND DESIGN TRACK</t>
  </si>
  <si>
    <t>TRACK</t>
  </si>
  <si>
    <t>Type the SUBJECT.</t>
  </si>
  <si>
    <t>SUBJECT</t>
  </si>
  <si>
    <t>Take note of the TRACK. You must select the proper track to get the correct percentage of WW, PT, and TE of your subject.</t>
  </si>
  <si>
    <t>Type the number of terms the subject is taught: 1, 2, or 3.</t>
  </si>
  <si>
    <t>NO. OF TERMS</t>
  </si>
  <si>
    <t>Term Blk:</t>
  </si>
  <si>
    <r>
      <t>For electives offered for one or two terms, indicate the "Term Block."</t>
    </r>
    <r>
      <rPr>
        <b/>
        <i/>
        <sz val="11"/>
        <color theme="1"/>
        <rFont val="Arial Narrow"/>
        <family val="2"/>
      </rPr>
      <t xml:space="preserve"> </t>
    </r>
    <r>
      <rPr>
        <b/>
        <i/>
        <sz val="11"/>
        <color rgb="FF008000"/>
        <rFont val="Arial Narrow"/>
        <family val="2"/>
      </rPr>
      <t>Data may only be encoded in the sheet corresponding to the selected term.</t>
    </r>
    <r>
      <rPr>
        <i/>
        <sz val="11"/>
        <color theme="1"/>
        <rFont val="Arial Narrow"/>
        <family val="2"/>
      </rPr>
      <t xml:space="preserve"> For electives offered for two terms, indicate the first term in which the elective is offered. The succeeding term will automatically be displayed.</t>
    </r>
  </si>
  <si>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</si>
  <si>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</si>
  <si>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Either manually type the learners' LRNs and names or copy from SF1 and paste onto their respective columns (Male or Female).</t>
  </si>
  <si>
    <t>MALE</t>
  </si>
  <si>
    <t>FEMALE</t>
  </si>
  <si>
    <t>Up to 50 learners per group (Male/Female) may be entered. Ensure that the actual class size does not exceed the prescribed maximum class size.</t>
  </si>
  <si>
    <t>LRN</t>
  </si>
  <si>
    <t>Name</t>
  </si>
  <si>
    <t>TIPS:</t>
  </si>
  <si>
    <t>Press Control + Shift + V to paste values only.</t>
  </si>
  <si>
    <t>↓</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</si>
  <si>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</si>
  <si>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</si>
  <si>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</si>
  <si>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</si>
  <si>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</si>
  <si>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</si>
  <si>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</si>
  <si>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</si>
  <si>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</si>
  <si>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</si>
  <si>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or two terms, accomplish only the corresponding sheets for these terms. If the subject is taught across three terms, accomplish all Term sheets.</t>
  </si>
  <si>
    <t>Blank white cells</t>
  </si>
  <si>
    <t>Cells where the highest possible scores and actual scores should be entered.</t>
  </si>
  <si>
    <t>Check whether the details entered in the INPUT sheet are captured correctly.</t>
  </si>
  <si>
    <t>Gray cells</t>
  </si>
  <si>
    <t>Non-editable cells; no values should be entered.</t>
  </si>
  <si>
    <t>Under each Summative Assessment component, input the following:</t>
  </si>
  <si>
    <t>HIGHEST POSSIBLE SCORE</t>
  </si>
  <si>
    <t>Enter the highest possible score for each assessment.</t>
  </si>
  <si>
    <t>Green text in gray cells</t>
  </si>
  <si>
    <t>Indicates an invalid entry; remove the entry or encode the corresponding highest possible score first.</t>
  </si>
  <si>
    <t>ACTUAL SCORE</t>
  </si>
  <si>
    <t>Enter the corresponding raw score for each learner.</t>
  </si>
  <si>
    <t>Use the dropdown menu under "LEARNERS' NAMES" to select the learners to be graded.</t>
  </si>
  <si>
    <t>Green cells</t>
  </si>
  <si>
    <t>Indicate a failing mark.</t>
  </si>
  <si>
    <t>IMPORTANT NOTES:</t>
  </si>
  <si>
    <t>To ensure proper data entry, the score columns are grayed out until the Highest Possible Score is entered.</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</si>
  <si>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</si>
  <si>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HOW TO RESOLVE:</t>
  </si>
  <si>
    <r>
      <t>For electives offered for one or two terms, indicate the "</t>
    </r>
    <r>
      <rPr>
        <b/>
        <sz val="10"/>
        <color theme="1"/>
        <rFont val="Arial Narrow"/>
        <family val="2"/>
      </rPr>
      <t>Term Block</t>
    </r>
    <r>
      <rPr>
        <sz val="10"/>
        <color theme="1"/>
        <rFont val="Arial Narrow"/>
        <family val="2"/>
      </rPr>
      <t xml:space="preserve">" in INPUT DATA sheet. </t>
    </r>
    <r>
      <rPr>
        <b/>
        <i/>
        <sz val="10"/>
        <color rgb="FF008000"/>
        <rFont val="Arial Narrow"/>
        <family val="2"/>
      </rPr>
      <t>(See Step 11)</t>
    </r>
  </si>
  <si>
    <t>Review final grades. The computation of final grades depends on the selected subject and grade level.</t>
  </si>
  <si>
    <r>
      <t xml:space="preserve">Grades are computed in accordance with </t>
    </r>
    <r>
      <rPr>
        <b/>
        <sz val="11"/>
        <rFont val="Arial Narrow"/>
        <family val="2"/>
      </rPr>
      <t>DepEd Order No. 8, s. 2015</t>
    </r>
    <r>
      <rPr>
        <sz val="11"/>
        <rFont val="Arial Narrow"/>
        <family val="2"/>
      </rPr>
      <t xml:space="preserve">, titled "Policy Guidelines on Classroom Assessment for the K to 12 Basic Education Program," using the </t>
    </r>
    <r>
      <rPr>
        <b/>
        <sz val="11"/>
        <rFont val="Arial Narrow"/>
        <family val="2"/>
      </rPr>
      <t xml:space="preserve">adjusted transmutation table </t>
    </r>
    <r>
      <rPr>
        <sz val="11"/>
        <rFont val="Arial Narrow"/>
        <family val="2"/>
      </rPr>
      <t xml:space="preserve">prescribed under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</si>
  <si>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</si>
  <si>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TE</t>
  </si>
  <si>
    <t>Term Examination</t>
  </si>
  <si>
    <t>TG</t>
  </si>
  <si>
    <t>Term Grade (TG)</t>
  </si>
  <si>
    <t>IG</t>
  </si>
  <si>
    <t>Initial Grade</t>
  </si>
  <si>
    <t>WS</t>
  </si>
  <si>
    <t>Weighted Score</t>
  </si>
  <si>
    <t>PS</t>
  </si>
  <si>
    <t>Percentage Score</t>
  </si>
  <si>
    <t>WW</t>
  </si>
  <si>
    <t>Written/Oral Works</t>
  </si>
  <si>
    <r>
      <t xml:space="preserve">The grading system for the </t>
    </r>
    <r>
      <rPr>
        <b/>
        <sz val="11"/>
        <rFont val="Arial Narrow"/>
        <family val="2"/>
      </rPr>
      <t>Senior High School (SHS)</t>
    </r>
    <r>
      <rPr>
        <sz val="11"/>
        <rFont val="Arial Narrow"/>
        <family val="2"/>
      </rPr>
      <t xml:space="preserve"> follows a different set of weights for each component.</t>
    </r>
  </si>
  <si>
    <t>PT</t>
  </si>
  <si>
    <t>Product/Performance Tasks</t>
  </si>
  <si>
    <r>
      <t xml:space="preserve">Weight of the Components for the
</t>
    </r>
    <r>
      <rPr>
        <b/>
        <sz val="11"/>
        <color rgb="FF008000"/>
        <rFont val="Arial Narrow"/>
        <family val="2"/>
      </rPr>
      <t>Senior High School - Grade 12</t>
    </r>
  </si>
  <si>
    <t>ADJUSTED TRANSMUTATION TABLE</t>
  </si>
  <si>
    <t>Subject</t>
  </si>
  <si>
    <t>Component</t>
  </si>
  <si>
    <t>Transmuted Grade</t>
  </si>
  <si>
    <t>WWs</t>
  </si>
  <si>
    <t>PTs</t>
  </si>
  <si>
    <t>Min.</t>
  </si>
  <si>
    <t>Max.</t>
  </si>
  <si>
    <t>CORE</t>
  </si>
  <si>
    <t>WORK IMMERSION/ CULMINATING ACTIVITY (FOR ACADEMIC TRACK)</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</si>
  <si>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</si>
  <si>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</si>
  <si>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</si>
  <si>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</si>
  <si>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</si>
  <si>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</si>
  <si>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</si>
  <si>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</si>
  <si>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</si>
  <si>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</si>
  <si>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</si>
  <si>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</si>
  <si>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</si>
  <si>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Ref. DepEd Order 015, s.2026</t>
  </si>
  <si>
    <t>Step 6. Compute the Final Grade</t>
  </si>
  <si>
    <t>The Final Grade is automatically computed as the average of all Term Grades earned in the learning area for the school year. This is reflected in the “FINAL GRADES” sheet.</t>
  </si>
  <si>
    <t>Print only the appropriate sheets for reporting purposes and ensure that learner data is handled in compliance with data privacy policies.</t>
  </si>
  <si>
    <t>Exclusively for K to 12 Senior High School - Grade 12</t>
  </si>
  <si>
    <t>Input Data Sheet for Electronic Class Record (ECR)</t>
  </si>
  <si>
    <t>Pursuant to DepEd Order No. 8, s. 2015 and DepEd Order No. 15, s. 2026</t>
  </si>
  <si>
    <t xml:space="preserve">CAR </t>
  </si>
  <si>
    <r>
      <t>MALE LEARNERS</t>
    </r>
    <r>
      <rPr>
        <sz val="11"/>
        <color theme="0"/>
        <rFont val="Arial Narrow"/>
        <family val="2"/>
      </rPr>
      <t xml:space="preserve"> (Last, First Middle)</t>
    </r>
  </si>
  <si>
    <r>
      <t xml:space="preserve">FEMALE LEARNERS </t>
    </r>
    <r>
      <rPr>
        <sz val="11"/>
        <color theme="0"/>
        <rFont val="Arial Narrow"/>
        <family val="2"/>
      </rPr>
      <t>(Last, First Middle)</t>
    </r>
  </si>
  <si>
    <t>Title</t>
  </si>
  <si>
    <t>NO. TERMS TAUGHT</t>
  </si>
  <si>
    <t>Term Blk</t>
  </si>
  <si>
    <t>FIRST TERM</t>
  </si>
  <si>
    <r>
      <t xml:space="preserve">If the subject is </t>
    </r>
    <r>
      <rPr>
        <b/>
        <sz val="12"/>
        <color rgb="FF008000"/>
        <rFont val="Arial Narrow"/>
        <family val="2"/>
      </rPr>
      <t>taught for only one or two terms</t>
    </r>
    <r>
      <rPr>
        <sz val="12"/>
        <color rgb="FF008000"/>
        <rFont val="Arial Narrow"/>
        <family val="2"/>
      </rPr>
      <t>, accomplish only the corresponding sheets for the terms</t>
    </r>
    <r>
      <rPr>
        <sz val="12"/>
        <color theme="1"/>
        <rFont val="Arial Narrow"/>
        <family val="2"/>
      </rPr>
      <t>. If the subject is</t>
    </r>
    <r>
      <rPr>
        <b/>
        <sz val="12"/>
        <color rgb="FF0046D2"/>
        <rFont val="Arial Narrow"/>
        <family val="2"/>
      </rPr>
      <t xml:space="preserve"> taught across three terms</t>
    </r>
    <r>
      <rPr>
        <sz val="12"/>
        <color rgb="FF0046D2"/>
        <rFont val="Arial Narrow"/>
        <family val="2"/>
      </rPr>
      <t>, accomplish all Term sheets.</t>
    </r>
  </si>
  <si>
    <t>Duplicate LRN</t>
  </si>
  <si>
    <t>2026_v1.0</t>
  </si>
  <si>
    <t>Senior High School Class Record</t>
  </si>
  <si>
    <t>(Pursuant to DepEd Order No. 8, s. 2015 and DepEd Order No. 15, s. 2026)</t>
  </si>
  <si>
    <t>SECTION</t>
  </si>
  <si>
    <t>CLUSTER</t>
  </si>
  <si>
    <t>WRITTEN / ORAL WORKS</t>
  </si>
  <si>
    <t>PRODUCT / PERFORMANCE TASKS</t>
  </si>
  <si>
    <t>TERM EXAM</t>
  </si>
  <si>
    <t>INITIAL GRADE</t>
  </si>
  <si>
    <t>TERM GRADE</t>
  </si>
  <si>
    <t>TOTAL</t>
  </si>
  <si>
    <t>x</t>
  </si>
  <si>
    <t>SECOND TERM</t>
  </si>
  <si>
    <t>THIRD TERM</t>
  </si>
  <si>
    <t>FINAL GRADES</t>
  </si>
  <si>
    <t>TERM BLOCKS</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</si>
  <si>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</si>
  <si>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</si>
  <si>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</si>
  <si>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</si>
  <si>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</si>
  <si>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</si>
  <si>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</si>
  <si>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</si>
  <si>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</si>
  <si>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</si>
  <si>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</si>
  <si>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</si>
  <si>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</si>
  <si>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</si>
  <si>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</si>
  <si>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</si>
  <si>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</si>
  <si>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</si>
  <si>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</si>
  <si>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</si>
  <si>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</si>
  <si>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</si>
  <si>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</si>
  <si>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</si>
  <si>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</si>
  <si>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</si>
  <si>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</si>
  <si>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</si>
  <si>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</si>
  <si>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</si>
  <si>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</si>
  <si>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</si>
  <si>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</si>
  <si>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COMPONENT WEIGHTS</t>
  </si>
  <si>
    <t>ST - TE WEIGHTS</t>
  </si>
  <si>
    <t>IG (Min)</t>
  </si>
  <si>
    <t>IG (Max)</t>
  </si>
  <si>
    <t>SELECTIONS</t>
  </si>
  <si>
    <t>SELECTED LVL</t>
  </si>
  <si>
    <t>CURRICULUM</t>
  </si>
  <si>
    <t>COURSE TITLE</t>
  </si>
  <si>
    <t>TOTAL HOURS</t>
  </si>
  <si>
    <t>GRADE LVL</t>
  </si>
  <si>
    <t>GRADE 11</t>
  </si>
  <si>
    <t>GR 11 - TERMS</t>
  </si>
  <si>
    <t>UNITS / TERM</t>
  </si>
  <si>
    <t>UNITS / YEAR</t>
  </si>
  <si>
    <t>GRADE 12</t>
  </si>
  <si>
    <t>GR 12 - TERMS</t>
  </si>
  <si>
    <t>total</t>
  </si>
  <si>
    <t>ST 1</t>
  </si>
  <si>
    <t>ST 2</t>
  </si>
  <si>
    <t>Descriptor</t>
  </si>
  <si>
    <t>SELECTED LVL = 1</t>
  </si>
  <si>
    <t>gr 12</t>
  </si>
  <si>
    <t>COMPONENTS</t>
  </si>
  <si>
    <t>ST-TE</t>
  </si>
  <si>
    <t>TERMS, SHEETS, and UNITS</t>
  </si>
  <si>
    <t>SUBJECT (1=REG; 2=OTHER)</t>
  </si>
  <si>
    <t>Number of terms</t>
  </si>
  <si>
    <t>Note: Accomplish only ONE (1) term sheet. Select the applicable TERM BLOCK.</t>
  </si>
  <si>
    <t>Notes: Accomplish  TWO (2) term sheets.
2-term electives cannot begin in Term 3.</t>
  </si>
  <si>
    <t>Note: Accomplish all Term sheets.</t>
  </si>
  <si>
    <t>UNITS PER TERM</t>
  </si>
  <si>
    <t>UNITS PER YEAR</t>
  </si>
  <si>
    <t>Terms with Inputs</t>
  </si>
  <si>
    <t>Invalid: Cannot start in Term 3</t>
  </si>
  <si>
    <t>FOR TERM SHEETS VALIDATION - WHICH TERM SHEET</t>
  </si>
  <si>
    <t>1ST</t>
  </si>
  <si>
    <t>2ND</t>
  </si>
  <si>
    <t>3RD</t>
  </si>
  <si>
    <t>1ST &amp; 2ND</t>
  </si>
  <si>
    <t>2ND &amp; 3RD</t>
  </si>
  <si>
    <t>1ST, 2ND, 3RD</t>
  </si>
  <si>
    <t>Number of Terms &amp;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</si>
</sst>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1">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b/>
      <sz val="10"/>
      <name val="Arial Narrow"/>
      <family val="2"/>
    </font>
    <font>
      <sz val="10"/>
      <name val="Arial Narrow"/>
      <family val="2"/>
    </font>
    <font>
      <b/>
      <sz val="9"/>
      <name val="Arial Narrow"/>
      <family val="2"/>
    </font>
    <font>
      <sz val="9"/>
      <name val="Arial Narrow"/>
      <family val="2"/>
    </font>
    <font>
      <i/>
      <sz val="9"/>
      <color theme="1"/>
      <name val="Arial Narrow"/>
      <family val="2"/>
    </font>
    <font>
      <b/>
      <sz val="10"/>
      <color theme="1"/>
      <name val="Arial Narrow"/>
      <family val="2"/>
    </font>
    <font>
      <sz val="14"/>
      <color theme="1"/>
      <name val="Arial Narrow"/>
      <family val="2"/>
    </font>
    <font>
      <b/>
      <sz val="10"/>
      <color theme="0"/>
      <name val="Arial Narrow"/>
      <family val="2"/>
    </font>
    <font>
      <b/>
      <i/>
      <sz val="11"/>
      <color rgb="FF0046D2"/>
      <name val="Arial Narrow"/>
      <family val="2"/>
    </font>
    <font>
      <b/>
      <sz val="12"/>
      <color rgb="FF0070C0"/>
      <name val="Aptos Black"/>
      <family val="2"/>
    </font>
    <font>
      <b/>
      <i/>
      <sz val="11"/>
      <color rgb="FF0070C0"/>
      <name val="Arial Narrow"/>
      <family val="2"/>
    </font>
    <font>
      <b/>
      <sz val="20"/>
      <color rgb="FFFF0000"/>
      <name val="Arial Narrow"/>
      <family val="2"/>
    </font>
    <font>
      <b/>
      <i/>
      <sz val="10"/>
      <color theme="5"/>
      <name val="Arial Narrow"/>
      <family val="2"/>
    </font>
    <font>
      <b/>
      <u/>
      <sz val="11"/>
      <color theme="1"/>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i/>
      <sz val="10"/>
      <color theme="0"/>
      <name val="Arial Narrow"/>
      <family val="2"/>
    </font>
    <font>
      <b/>
      <i/>
      <sz val="10"/>
      <color theme="0"/>
      <name val="Arial Narrow"/>
      <family val="2"/>
    </font>
    <font>
      <b/>
      <sz val="11"/>
      <color rgb="FF00B050"/>
      <name val="Arial Narrow"/>
      <family val="2"/>
    </font>
    <font>
      <b/>
      <sz val="20"/>
      <color rgb="FF008000"/>
      <name val="Arial Narrow"/>
      <family val="2"/>
    </font>
    <font>
      <b/>
      <i/>
      <sz val="11"/>
      <color rgb="FF008000"/>
      <name val="Arial Narrow"/>
      <family val="2"/>
    </font>
    <font>
      <b/>
      <sz val="10"/>
      <color rgb="FF008000"/>
      <name val="Arial Narrow"/>
      <family val="2"/>
    </font>
    <font>
      <b/>
      <i/>
      <sz val="9"/>
      <color theme="1"/>
      <name val="Arial Narrow"/>
      <family val="2"/>
    </font>
    <font>
      <sz val="9"/>
      <color theme="1"/>
      <name val="Arial Narrow"/>
      <family val="2"/>
    </font>
    <font>
      <sz val="12"/>
      <color theme="1"/>
      <name val="Arial Narrow"/>
      <family val="2"/>
    </font>
    <font>
      <b/>
      <sz val="12"/>
      <color rgb="FF008000"/>
      <name val="Arial Narrow"/>
      <family val="2"/>
    </font>
    <font>
      <sz val="12"/>
      <color rgb="FF008000"/>
      <name val="Arial Narrow"/>
      <family val="2"/>
    </font>
    <font>
      <sz val="12"/>
      <color rgb="FF0046D2"/>
      <name val="Arial Narrow"/>
      <family val="2"/>
    </font>
    <font>
      <sz val="11"/>
      <color theme="0" tint="-4.9989318521683403E-2"/>
      <name val="Arial Narrow"/>
      <family val="2"/>
    </font>
    <font>
      <i/>
      <sz val="11"/>
      <color rgb="FF008000"/>
      <name val="Arial Narrow"/>
      <family val="2"/>
    </font>
    <font>
      <b/>
      <sz val="12"/>
      <color rgb="FF008000"/>
      <name val="Aptos Black"/>
      <family val="2"/>
    </font>
    <font>
      <b/>
      <sz val="11"/>
      <color rgb="FF008000"/>
      <name val="Aptos Black"/>
      <family val="2"/>
    </font>
    <font>
      <b/>
      <sz val="20"/>
      <color theme="5" tint="-0.249977111117893"/>
      <name val="Arial Narrow"/>
      <family val="2"/>
    </font>
    <font>
      <sz val="9"/>
      <color indexed="81"/>
      <name val="Arial Narrow"/>
      <family val="2"/>
    </font>
    <font>
      <b/>
      <sz val="9"/>
      <color indexed="81"/>
      <name val="Arial Narrow"/>
      <family val="2"/>
    </font>
    <font>
      <b/>
      <u/>
      <sz val="9"/>
      <color rgb="FFFF0000"/>
      <name val="Arial Narrow"/>
      <family val="2"/>
    </font>
    <font>
      <b/>
      <sz val="12"/>
      <color rgb="FFFF0000"/>
      <name val="Aptos Black"/>
      <family val="2"/>
    </font>
    <font>
      <b/>
      <i/>
      <sz val="10"/>
      <color rgb="FF008000"/>
      <name val="Arial Narrow"/>
      <family val="2"/>
    </font>
  </fonts>
  <fills count="2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8000"/>
        <bgColor indexed="64"/>
      </patternFill>
    </fill>
  </fills>
  <borders count="13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2" tint="-0.24994659260841701"/>
      </right>
      <top style="thin">
        <color indexed="64"/>
      </top>
      <bottom style="thin">
        <color indexed="64"/>
      </bottom>
      <diagonal/>
    </border>
    <border>
      <left style="medium">
        <color indexed="64"/>
      </left>
      <right style="thin">
        <color theme="2" tint="-0.24994659260841701"/>
      </right>
      <top style="thin">
        <color indexed="64"/>
      </top>
      <bottom style="medium">
        <color indexed="64"/>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medium">
        <color indexed="64"/>
      </top>
      <bottom/>
      <diagonal/>
    </border>
    <border>
      <left style="medium">
        <color indexed="64"/>
      </left>
      <right style="thin">
        <color theme="2" tint="-0.24994659260841701"/>
      </right>
      <top style="medium">
        <color indexed="64"/>
      </top>
      <bottom style="thin">
        <color indexed="64"/>
      </bottom>
      <diagonal/>
    </border>
    <border>
      <left style="thin">
        <color theme="2" tint="-0.24994659260841701"/>
      </left>
      <right style="thin">
        <color theme="2" tint="-0.24994659260841701"/>
      </right>
      <top style="medium">
        <color indexed="64"/>
      </top>
      <bottom style="thin">
        <color indexed="64"/>
      </bottom>
      <diagonal/>
    </border>
    <border>
      <left style="thin">
        <color theme="2" tint="-0.24994659260841701"/>
      </left>
      <right/>
      <top style="medium">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diagonalUp="1" diagonalDown="1">
      <left style="medium">
        <color indexed="64"/>
      </left>
      <right/>
      <top style="thin">
        <color indexed="64"/>
      </top>
      <bottom/>
      <diagonal style="thin">
        <color indexed="64"/>
      </diagonal>
    </border>
    <border>
      <left style="medium">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2" fillId="0" borderId="0"/>
  </cellStyleXfs>
  <cellXfs count="882">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7"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7" fillId="0" borderId="26" xfId="0" applyFont="1" applyBorder="1" applyAlignment="1">
      <alignment horizontal="center" vertical="center"/>
    </xf>
    <xf numFmtId="0" fontId="7" fillId="0" borderId="18" xfId="0" applyFont="1" applyBorder="1" applyAlignment="1">
      <alignment horizontal="center" vertical="center"/>
    </xf>
    <xf numFmtId="0" fontId="5" fillId="17"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7" borderId="20" xfId="0" applyFont="1" applyFill="1" applyBorder="1" applyAlignment="1">
      <alignment horizontal="centerContinuous" vertical="center"/>
    </xf>
    <xf numFmtId="0" fontId="8" fillId="17" borderId="47" xfId="0" applyFont="1" applyFill="1" applyBorder="1" applyAlignment="1">
      <alignment horizontal="centerContinuous" vertical="center"/>
    </xf>
    <xf numFmtId="0" fontId="6" fillId="0" borderId="2" xfId="0" applyFont="1" applyBorder="1" applyAlignment="1">
      <alignment horizontal="left" vertical="center" indent="1"/>
    </xf>
    <xf numFmtId="1" fontId="6" fillId="0" borderId="53" xfId="0" applyNumberFormat="1" applyFont="1" applyBorder="1" applyAlignment="1">
      <alignment horizontal="center" vertical="center"/>
    </xf>
    <xf numFmtId="0" fontId="8" fillId="17"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8" fillId="17" borderId="38" xfId="0" applyFont="1" applyFill="1" applyBorder="1" applyAlignment="1">
      <alignment horizontal="center" vertical="center"/>
    </xf>
    <xf numFmtId="0" fontId="16" fillId="0" borderId="0" xfId="0" applyFont="1" applyAlignment="1">
      <alignment vertical="top" wrapTex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31" fillId="0" borderId="0" xfId="0" applyFont="1" applyAlignment="1">
      <alignment horizontal="center" vertical="center"/>
    </xf>
    <xf numFmtId="0" fontId="41" fillId="0" borderId="0" xfId="0" applyFont="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19" borderId="0" xfId="0" applyFont="1" applyFill="1" applyAlignment="1">
      <alignment horizontal="center" vertical="center"/>
    </xf>
    <xf numFmtId="0" fontId="6" fillId="8" borderId="89" xfId="0" applyFont="1" applyFill="1" applyBorder="1" applyAlignment="1">
      <alignment vertical="center"/>
    </xf>
    <xf numFmtId="0" fontId="6" fillId="8" borderId="90" xfId="0" applyFont="1" applyFill="1" applyBorder="1" applyAlignment="1">
      <alignment vertical="center"/>
    </xf>
    <xf numFmtId="0" fontId="7" fillId="8" borderId="90" xfId="0" applyFont="1" applyFill="1" applyBorder="1" applyAlignment="1">
      <alignment horizontal="left" vertical="center"/>
    </xf>
    <xf numFmtId="0" fontId="6" fillId="8" borderId="92" xfId="0" applyFont="1" applyFill="1" applyBorder="1" applyAlignment="1">
      <alignment vertical="center"/>
    </xf>
    <xf numFmtId="0" fontId="6" fillId="8" borderId="94" xfId="0" applyFont="1" applyFill="1" applyBorder="1" applyAlignment="1">
      <alignment vertical="center"/>
    </xf>
    <xf numFmtId="0" fontId="6" fillId="8" borderId="95" xfId="0" applyFont="1" applyFill="1" applyBorder="1" applyAlignment="1">
      <alignment horizontal="left" vertical="center" indent="1"/>
    </xf>
    <xf numFmtId="0" fontId="7" fillId="8" borderId="95" xfId="0" applyFont="1" applyFill="1" applyBorder="1" applyAlignment="1">
      <alignment horizontal="left" vertical="center" indent="1"/>
    </xf>
    <xf numFmtId="0" fontId="42" fillId="8" borderId="95" xfId="0" applyFont="1" applyFill="1" applyBorder="1" applyAlignment="1">
      <alignment horizontal="left" vertical="center" indent="1"/>
    </xf>
    <xf numFmtId="0" fontId="6" fillId="0" borderId="97" xfId="0" applyFont="1" applyBorder="1" applyAlignment="1">
      <alignment vertical="center"/>
    </xf>
    <xf numFmtId="0" fontId="6" fillId="0" borderId="98" xfId="0" applyFont="1" applyBorder="1" applyAlignment="1">
      <alignment vertical="center"/>
    </xf>
    <xf numFmtId="0" fontId="6" fillId="0" borderId="99" xfId="0" applyFont="1" applyBorder="1" applyAlignment="1">
      <alignment vertical="center"/>
    </xf>
    <xf numFmtId="0" fontId="6" fillId="0" borderId="100" xfId="0" applyFont="1" applyBorder="1" applyAlignment="1">
      <alignment horizontal="left" vertical="center" indent="1"/>
    </xf>
    <xf numFmtId="0" fontId="6" fillId="0" borderId="100" xfId="0" applyFont="1" applyBorder="1" applyAlignment="1">
      <alignment vertical="center"/>
    </xf>
    <xf numFmtId="0" fontId="7" fillId="0" borderId="100" xfId="0" applyFont="1" applyBorder="1" applyAlignment="1">
      <alignment horizontal="left" vertical="center"/>
    </xf>
    <xf numFmtId="0" fontId="41" fillId="0" borderId="100" xfId="0" applyFont="1" applyBorder="1" applyAlignment="1">
      <alignment horizontal="center" vertical="center"/>
    </xf>
    <xf numFmtId="0" fontId="6" fillId="0" borderId="101" xfId="0" applyFont="1" applyBorder="1" applyAlignment="1">
      <alignment vertical="center"/>
    </xf>
    <xf numFmtId="0" fontId="17" fillId="18" borderId="45" xfId="0" applyFont="1" applyFill="1" applyBorder="1" applyAlignment="1">
      <alignment horizontal="left" vertical="center" indent="1"/>
    </xf>
    <xf numFmtId="0" fontId="26" fillId="6" borderId="3" xfId="0" applyFont="1" applyFill="1" applyBorder="1" applyAlignment="1">
      <alignment vertical="center"/>
    </xf>
    <xf numFmtId="0" fontId="5" fillId="3" borderId="34"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7" fillId="8" borderId="91" xfId="0" applyFont="1" applyFill="1" applyBorder="1" applyAlignment="1">
      <alignment horizontal="left" vertical="center"/>
    </xf>
    <xf numFmtId="0" fontId="12" fillId="8" borderId="93" xfId="0" applyFont="1" applyFill="1" applyBorder="1" applyAlignment="1">
      <alignment horizontal="left" vertical="center" indent="1"/>
    </xf>
    <xf numFmtId="0" fontId="7" fillId="8" borderId="96" xfId="0" applyFont="1" applyFill="1" applyBorder="1" applyAlignment="1">
      <alignment horizontal="left" vertical="center" indent="1"/>
    </xf>
    <xf numFmtId="0" fontId="6" fillId="0" borderId="100" xfId="0" applyFont="1" applyBorder="1" applyAlignment="1">
      <alignment horizontal="left" vertical="center"/>
    </xf>
    <xf numFmtId="0" fontId="7" fillId="0" borderId="100" xfId="0" applyFont="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5" fillId="7" borderId="24" xfId="0" applyFont="1" applyFill="1" applyBorder="1" applyAlignment="1">
      <alignment horizontal="center" vertical="center"/>
    </xf>
    <xf numFmtId="0" fontId="47" fillId="13" borderId="24" xfId="0" applyFont="1" applyFill="1" applyBorder="1" applyAlignment="1">
      <alignment horizontal="center" vertical="center"/>
    </xf>
    <xf numFmtId="0" fontId="48" fillId="0" borderId="0" xfId="0" applyFont="1" applyAlignment="1">
      <alignment vertical="center"/>
    </xf>
    <xf numFmtId="0" fontId="41" fillId="0" borderId="0" xfId="0" applyFont="1" applyAlignment="1">
      <alignment horizontal="left" vertical="center"/>
    </xf>
    <xf numFmtId="0" fontId="6" fillId="8" borderId="90" xfId="0" applyFont="1" applyFill="1" applyBorder="1" applyAlignment="1">
      <alignment horizontal="left" vertical="center"/>
    </xf>
    <xf numFmtId="0" fontId="41" fillId="0" borderId="100" xfId="0" applyFont="1" applyBorder="1" applyAlignment="1">
      <alignment horizontal="left" vertical="center"/>
    </xf>
    <xf numFmtId="0" fontId="40" fillId="8" borderId="0" xfId="0" applyFont="1" applyFill="1" applyAlignment="1">
      <alignment horizontal="left" vertical="center"/>
    </xf>
    <xf numFmtId="0" fontId="42" fillId="8" borderId="95"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48" fillId="0" borderId="0" xfId="0" applyFont="1" applyAlignment="1">
      <alignment horizontal="left" vertical="center"/>
    </xf>
    <xf numFmtId="0" fontId="6" fillId="0" borderId="36" xfId="0" applyFont="1" applyBorder="1" applyAlignment="1">
      <alignment vertical="center"/>
    </xf>
    <xf numFmtId="0" fontId="48" fillId="0" borderId="37" xfId="0" applyFont="1" applyBorder="1" applyAlignment="1">
      <alignment vertical="center"/>
    </xf>
    <xf numFmtId="0" fontId="6" fillId="0" borderId="37" xfId="0" applyFont="1" applyBorder="1" applyAlignment="1">
      <alignment vertical="center"/>
    </xf>
    <xf numFmtId="0" fontId="6" fillId="0" borderId="34" xfId="0" applyFont="1" applyBorder="1" applyAlignment="1">
      <alignment vertical="center"/>
    </xf>
    <xf numFmtId="0" fontId="49" fillId="18" borderId="26" xfId="0" applyFont="1" applyFill="1" applyBorder="1" applyAlignment="1">
      <alignment horizontal="left" vertical="center" indent="1"/>
    </xf>
    <xf numFmtId="0" fontId="16" fillId="18" borderId="26" xfId="0" applyFont="1" applyFill="1" applyBorder="1" applyAlignment="1">
      <alignment horizontal="left" vertical="center" indent="1"/>
    </xf>
    <xf numFmtId="0" fontId="16" fillId="18" borderId="46" xfId="0" applyFont="1" applyFill="1" applyBorder="1" applyAlignment="1">
      <alignment horizontal="left" vertical="center" indent="1"/>
    </xf>
    <xf numFmtId="0" fontId="16" fillId="0" borderId="1" xfId="0" applyFont="1" applyBorder="1" applyAlignment="1">
      <alignment vertical="top" wrapText="1"/>
    </xf>
    <xf numFmtId="0" fontId="6" fillId="0" borderId="1" xfId="0" applyFont="1" applyBorder="1" applyAlignment="1">
      <alignment vertical="center"/>
    </xf>
    <xf numFmtId="0" fontId="48" fillId="0" borderId="105" xfId="0" applyFont="1" applyBorder="1" applyAlignment="1">
      <alignment vertical="center"/>
    </xf>
    <xf numFmtId="0" fontId="35" fillId="0" borderId="90" xfId="0" applyFont="1" applyBorder="1" applyAlignment="1">
      <alignment horizontal="center" vertical="center"/>
    </xf>
    <xf numFmtId="0" fontId="35" fillId="0" borderId="90" xfId="0" applyFont="1" applyBorder="1" applyAlignment="1">
      <alignment horizontal="left" vertical="center"/>
    </xf>
    <xf numFmtId="0" fontId="48" fillId="0" borderId="90" xfId="0" applyFont="1" applyBorder="1" applyAlignment="1">
      <alignment vertical="center"/>
    </xf>
    <xf numFmtId="0" fontId="48" fillId="0" borderId="90" xfId="0" applyFont="1" applyBorder="1" applyAlignment="1">
      <alignment horizontal="left" vertical="center"/>
    </xf>
    <xf numFmtId="0" fontId="48" fillId="0" borderId="106" xfId="0" applyFont="1" applyBorder="1" applyAlignment="1">
      <alignment vertical="center"/>
    </xf>
    <xf numFmtId="0" fontId="48" fillId="0" borderId="97" xfId="0" applyFont="1" applyBorder="1" applyAlignment="1">
      <alignment vertical="center"/>
    </xf>
    <xf numFmtId="0" fontId="48" fillId="0" borderId="98" xfId="0" applyFont="1" applyBorder="1" applyAlignment="1">
      <alignment vertical="center"/>
    </xf>
    <xf numFmtId="0" fontId="6" fillId="0" borderId="97" xfId="0" applyFont="1" applyBorder="1" applyAlignment="1">
      <alignment horizontal="left" vertical="center"/>
    </xf>
    <xf numFmtId="0" fontId="6" fillId="0" borderId="99" xfId="0" applyFont="1" applyBorder="1" applyAlignment="1">
      <alignment horizontal="left" vertical="center"/>
    </xf>
    <xf numFmtId="0" fontId="57" fillId="8" borderId="0" xfId="0" applyFont="1" applyFill="1" applyAlignment="1">
      <alignment horizontal="left" vertical="center"/>
    </xf>
    <xf numFmtId="0" fontId="7" fillId="0" borderId="26" xfId="0" applyFont="1" applyBorder="1" applyAlignment="1">
      <alignment horizontal="left" vertical="center"/>
    </xf>
    <xf numFmtId="0" fontId="48" fillId="0" borderId="47" xfId="0" applyFont="1" applyBorder="1" applyAlignment="1">
      <alignment vertical="center"/>
    </xf>
    <xf numFmtId="0" fontId="48" fillId="0" borderId="18" xfId="0" applyFont="1" applyBorder="1" applyAlignment="1">
      <alignment vertical="center"/>
    </xf>
    <xf numFmtId="0" fontId="48"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5" fillId="3" borderId="19" xfId="0" applyFont="1" applyFill="1" applyBorder="1" applyAlignment="1">
      <alignment horizontal="right" vertical="center"/>
    </xf>
    <xf numFmtId="0" fontId="56" fillId="11" borderId="24" xfId="0" applyFont="1" applyFill="1" applyBorder="1" applyAlignment="1">
      <alignment vertical="center"/>
    </xf>
    <xf numFmtId="0" fontId="34" fillId="11" borderId="24" xfId="0" applyFont="1" applyFill="1" applyBorder="1" applyAlignment="1">
      <alignment horizontal="right" vertical="center"/>
    </xf>
    <xf numFmtId="0" fontId="56" fillId="9" borderId="24" xfId="0" applyFont="1" applyFill="1" applyBorder="1" applyAlignment="1">
      <alignment vertical="center"/>
    </xf>
    <xf numFmtId="0" fontId="56"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15"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55" fillId="3" borderId="1" xfId="0" applyFont="1" applyFill="1" applyBorder="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1"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6" xfId="0" applyFont="1" applyBorder="1" applyAlignment="1" applyProtection="1">
      <alignment horizontal="center" vertical="center"/>
      <protection locked="0"/>
    </xf>
    <xf numFmtId="0" fontId="6" fillId="0" borderId="70"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77"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83" xfId="0" applyFont="1" applyFill="1" applyBorder="1" applyAlignment="1">
      <alignment vertical="center"/>
    </xf>
    <xf numFmtId="0" fontId="8" fillId="2" borderId="84" xfId="0" applyFont="1" applyFill="1" applyBorder="1" applyAlignment="1">
      <alignment vertical="center"/>
    </xf>
    <xf numFmtId="0" fontId="8" fillId="2" borderId="85" xfId="0" applyFont="1" applyFill="1" applyBorder="1" applyAlignment="1">
      <alignment vertical="center"/>
    </xf>
    <xf numFmtId="0" fontId="8" fillId="2" borderId="86" xfId="0" applyFont="1" applyFill="1" applyBorder="1" applyAlignment="1">
      <alignment vertical="center"/>
    </xf>
    <xf numFmtId="0" fontId="5" fillId="17" borderId="12" xfId="0" applyFont="1" applyFill="1" applyBorder="1" applyAlignment="1">
      <alignment horizontal="centerContinuous" vertical="center"/>
    </xf>
    <xf numFmtId="0" fontId="8" fillId="17"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0" fontId="7" fillId="0" borderId="66" xfId="0" applyFont="1" applyBorder="1" applyAlignment="1">
      <alignment horizontal="center" vertical="center"/>
    </xf>
    <xf numFmtId="0" fontId="8" fillId="17" borderId="7" xfId="0" applyFont="1" applyFill="1" applyBorder="1" applyAlignment="1">
      <alignment horizontal="center" vertical="center"/>
    </xf>
    <xf numFmtId="0" fontId="6" fillId="17" borderId="7" xfId="0" applyFont="1" applyFill="1" applyBorder="1" applyAlignment="1">
      <alignment horizontal="center" vertical="center"/>
    </xf>
    <xf numFmtId="164" fontId="6" fillId="17" borderId="7" xfId="0" applyNumberFormat="1" applyFont="1" applyFill="1" applyBorder="1" applyAlignment="1">
      <alignment horizontal="center" vertical="center"/>
    </xf>
    <xf numFmtId="164" fontId="7" fillId="17" borderId="7" xfId="0" applyNumberFormat="1" applyFont="1" applyFill="1" applyBorder="1" applyAlignment="1">
      <alignment horizontal="center" vertical="center"/>
    </xf>
    <xf numFmtId="0" fontId="7" fillId="17" borderId="8"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60" fillId="0" borderId="0" xfId="0" applyFont="1" applyAlignment="1">
      <alignment horizontal="center"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62" fillId="0" borderId="0" xfId="0" applyFont="1" applyAlignment="1" applyProtection="1">
      <alignment vertical="center"/>
      <protection locked="0"/>
    </xf>
    <xf numFmtId="0" fontId="21" fillId="3" borderId="18" xfId="0" applyFont="1" applyFill="1" applyBorder="1" applyAlignment="1" applyProtection="1">
      <alignment horizontal="center" vertical="center"/>
      <protection locked="0"/>
    </xf>
    <xf numFmtId="0" fontId="5" fillId="2" borderId="19" xfId="0" applyFont="1" applyFill="1" applyBorder="1" applyAlignment="1">
      <alignment horizontal="center" vertical="center"/>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0" borderId="45" xfId="0" applyFont="1" applyFill="1" applyBorder="1" applyAlignment="1">
      <alignment horizontal="center" vertical="center" wrapText="1"/>
    </xf>
    <xf numFmtId="0" fontId="5" fillId="10" borderId="26" xfId="0" applyFont="1" applyFill="1" applyBorder="1" applyAlignment="1" applyProtection="1">
      <alignment horizontal="center" vertical="center"/>
      <protection locked="0"/>
    </xf>
    <xf numFmtId="0" fontId="5" fillId="10" borderId="26" xfId="0" applyFont="1" applyFill="1" applyBorder="1" applyAlignment="1" applyProtection="1">
      <alignment horizontal="center" vertical="center" wrapText="1"/>
      <protection locked="0"/>
    </xf>
    <xf numFmtId="0" fontId="7" fillId="15"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6" fillId="0" borderId="4" xfId="0" applyFont="1" applyBorder="1" applyAlignment="1">
      <alignment vertical="center"/>
    </xf>
    <xf numFmtId="0" fontId="34" fillId="0" borderId="2"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48" fillId="0" borderId="0" xfId="0" applyFont="1" applyAlignment="1" applyProtection="1">
      <alignment vertical="center"/>
      <protection locked="0"/>
    </xf>
    <xf numFmtId="0" fontId="48" fillId="0" borderId="26" xfId="0" applyFont="1" applyBorder="1" applyAlignment="1" applyProtection="1">
      <alignment vertical="center"/>
      <protection locked="0"/>
    </xf>
    <xf numFmtId="0" fontId="48" fillId="0" borderId="26" xfId="0" applyFont="1" applyBorder="1" applyAlignment="1" applyProtection="1">
      <alignment horizontal="center" vertical="center"/>
      <protection locked="0"/>
    </xf>
    <xf numFmtId="0" fontId="48"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48" fillId="0" borderId="18" xfId="0" applyFont="1" applyBorder="1" applyAlignment="1" applyProtection="1">
      <alignment vertical="center"/>
      <protection locked="0"/>
    </xf>
    <xf numFmtId="0" fontId="48" fillId="0" borderId="18" xfId="0" applyFont="1" applyBorder="1" applyAlignment="1" applyProtection="1">
      <alignment horizontal="center" vertical="center"/>
      <protection locked="0"/>
    </xf>
    <xf numFmtId="0" fontId="48"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48" fillId="12" borderId="2" xfId="0" applyFont="1" applyFill="1" applyBorder="1" applyAlignment="1">
      <alignment horizontal="center" vertical="center"/>
    </xf>
    <xf numFmtId="0" fontId="48" fillId="12" borderId="3" xfId="0" applyFont="1" applyFill="1" applyBorder="1" applyAlignment="1" applyProtection="1">
      <alignment vertical="center"/>
      <protection locked="0"/>
    </xf>
    <xf numFmtId="0" fontId="48" fillId="12" borderId="3" xfId="0" applyFont="1" applyFill="1" applyBorder="1" applyAlignment="1" applyProtection="1">
      <alignment horizontal="left" vertical="center" indent="1"/>
      <protection locked="0"/>
    </xf>
    <xf numFmtId="0" fontId="48" fillId="12" borderId="3" xfId="0" applyFont="1" applyFill="1" applyBorder="1" applyAlignment="1" applyProtection="1">
      <alignment horizontal="center" vertical="center"/>
      <protection locked="0"/>
    </xf>
    <xf numFmtId="2" fontId="48" fillId="12" borderId="3" xfId="0" applyNumberFormat="1" applyFont="1" applyFill="1" applyBorder="1" applyAlignment="1" applyProtection="1">
      <alignment horizontal="center" vertical="center"/>
      <protection locked="0"/>
    </xf>
    <xf numFmtId="2" fontId="48" fillId="12"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46"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48" fillId="12" borderId="4" xfId="1" applyNumberFormat="1" applyFont="1" applyFill="1" applyBorder="1" applyAlignment="1" applyProtection="1">
      <alignment horizontal="center" vertical="center"/>
      <protection locked="0"/>
    </xf>
    <xf numFmtId="0" fontId="48" fillId="0" borderId="0" xfId="0" applyFont="1" applyAlignment="1" applyProtection="1">
      <alignment horizontal="center" vertical="center"/>
      <protection locked="0"/>
    </xf>
    <xf numFmtId="0" fontId="48"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48" fillId="0" borderId="0" xfId="0" quotePrefix="1" applyFont="1" applyAlignment="1" applyProtection="1">
      <alignment horizontal="center" vertical="center"/>
      <protection locked="0"/>
    </xf>
    <xf numFmtId="0" fontId="48" fillId="0" borderId="18" xfId="0" quotePrefix="1" applyFont="1" applyBorder="1" applyAlignment="1" applyProtection="1">
      <alignment horizontal="center" vertical="center"/>
      <protection locked="0"/>
    </xf>
    <xf numFmtId="2" fontId="48" fillId="12" borderId="24" xfId="1" applyNumberFormat="1" applyFont="1" applyFill="1" applyBorder="1" applyAlignment="1" applyProtection="1">
      <alignment horizontal="center" vertical="center"/>
      <protection locked="0"/>
    </xf>
    <xf numFmtId="0" fontId="7" fillId="15" borderId="45" xfId="0" applyFont="1" applyFill="1" applyBorder="1" applyAlignment="1" applyProtection="1">
      <alignment horizontal="center" vertical="center"/>
      <protection locked="0"/>
    </xf>
    <xf numFmtId="0" fontId="48" fillId="0" borderId="35" xfId="0" applyFont="1" applyBorder="1" applyAlignment="1" applyProtection="1">
      <alignment horizontal="center" vertical="center"/>
      <protection locked="0"/>
    </xf>
    <xf numFmtId="0" fontId="48" fillId="3" borderId="45" xfId="0" applyFont="1" applyFill="1" applyBorder="1" applyAlignment="1" applyProtection="1">
      <alignment horizontal="center" vertical="center"/>
      <protection locked="0"/>
    </xf>
    <xf numFmtId="0" fontId="48" fillId="3" borderId="35"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48" fillId="0" borderId="47" xfId="0" applyFont="1" applyBorder="1" applyAlignment="1" applyProtection="1">
      <alignment horizontal="center" vertical="center"/>
      <protection locked="0"/>
    </xf>
    <xf numFmtId="0" fontId="48"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48" fillId="3" borderId="47" xfId="0" applyFont="1" applyFill="1" applyBorder="1" applyAlignment="1" applyProtection="1">
      <alignment horizontal="center" vertical="center"/>
      <protection locked="0"/>
    </xf>
    <xf numFmtId="2" fontId="48" fillId="12" borderId="2" xfId="0" applyNumberFormat="1" applyFont="1" applyFill="1" applyBorder="1" applyAlignment="1" applyProtection="1">
      <alignment horizontal="center" vertical="center"/>
      <protection locked="0"/>
    </xf>
    <xf numFmtId="0" fontId="5" fillId="16" borderId="45" xfId="0" applyFont="1" applyFill="1" applyBorder="1" applyAlignment="1" applyProtection="1">
      <alignment horizontal="center" vertical="center" wrapText="1"/>
      <protection locked="0"/>
    </xf>
    <xf numFmtId="0" fontId="5" fillId="10" borderId="46" xfId="0" applyFont="1" applyFill="1" applyBorder="1" applyAlignment="1" applyProtection="1">
      <alignment horizontal="center" vertical="center" wrapText="1"/>
      <protection locked="0"/>
    </xf>
    <xf numFmtId="0" fontId="48" fillId="0" borderId="1" xfId="0" applyFont="1" applyBorder="1" applyAlignment="1" applyProtection="1">
      <alignment horizontal="center" vertical="center"/>
      <protection locked="0"/>
    </xf>
    <xf numFmtId="0" fontId="48" fillId="0" borderId="46" xfId="0" applyFont="1" applyBorder="1" applyAlignment="1" applyProtection="1">
      <alignment horizontal="center" vertical="center"/>
      <protection locked="0"/>
    </xf>
    <xf numFmtId="0" fontId="48"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2" borderId="2" xfId="0" applyFont="1" applyFill="1" applyBorder="1" applyAlignment="1" applyProtection="1">
      <alignment horizontal="center" vertical="center"/>
      <protection locked="0"/>
    </xf>
    <xf numFmtId="0" fontId="48" fillId="12" borderId="4" xfId="0" applyFont="1" applyFill="1" applyBorder="1" applyAlignment="1" applyProtection="1">
      <alignment horizontal="center" vertical="center"/>
      <protection locked="0"/>
    </xf>
    <xf numFmtId="0" fontId="5" fillId="10"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48" fillId="12" borderId="2" xfId="0" applyFont="1" applyFill="1" applyBorder="1" applyAlignment="1" applyProtection="1">
      <alignment horizontal="center" vertical="center"/>
      <protection locked="0"/>
    </xf>
    <xf numFmtId="0" fontId="5" fillId="10" borderId="27" xfId="0" applyFont="1" applyFill="1" applyBorder="1" applyAlignment="1" applyProtection="1">
      <alignment horizontal="center" vertical="center" wrapText="1"/>
      <protection locked="0"/>
    </xf>
    <xf numFmtId="0" fontId="48" fillId="0" borderId="13" xfId="0" applyFont="1" applyBorder="1" applyAlignment="1" applyProtection="1">
      <alignment horizontal="center" vertical="center"/>
      <protection locked="0"/>
    </xf>
    <xf numFmtId="0" fontId="48" fillId="0" borderId="27" xfId="0" applyFont="1" applyBorder="1" applyAlignment="1" applyProtection="1">
      <alignment horizontal="center" vertical="center"/>
      <protection locked="0"/>
    </xf>
    <xf numFmtId="0" fontId="48"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2" borderId="24" xfId="0" applyFont="1" applyFill="1" applyBorder="1" applyAlignment="1" applyProtection="1">
      <alignment horizontal="center" vertical="center"/>
      <protection locked="0"/>
    </xf>
    <xf numFmtId="0" fontId="7" fillId="15"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48" fillId="12" borderId="24" xfId="0" applyNumberFormat="1" applyFont="1" applyFill="1" applyBorder="1" applyAlignment="1" applyProtection="1">
      <alignment horizontal="center" vertical="center"/>
      <protection locked="0"/>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4" borderId="0" xfId="0" applyFont="1" applyFill="1" applyAlignment="1">
      <alignment horizontal="left" vertical="center" indent="1"/>
    </xf>
    <xf numFmtId="0" fontId="48" fillId="9" borderId="2" xfId="0" applyFont="1" applyFill="1" applyBorder="1" applyAlignment="1">
      <alignment horizontal="center" vertical="center"/>
    </xf>
    <xf numFmtId="0" fontId="48" fillId="9" borderId="3" xfId="0" applyFont="1" applyFill="1" applyBorder="1" applyAlignment="1" applyProtection="1">
      <alignment vertical="center"/>
      <protection locked="0"/>
    </xf>
    <xf numFmtId="0" fontId="48" fillId="9" borderId="3" xfId="0" applyFont="1" applyFill="1" applyBorder="1" applyAlignment="1" applyProtection="1">
      <alignment horizontal="left" vertical="center" indent="1"/>
      <protection locked="0"/>
    </xf>
    <xf numFmtId="0" fontId="48"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48" fillId="9" borderId="3" xfId="0" applyFont="1" applyFill="1" applyBorder="1" applyAlignment="1" applyProtection="1">
      <alignment horizontal="center" vertical="center"/>
      <protection locked="0"/>
    </xf>
    <xf numFmtId="0" fontId="48" fillId="9" borderId="4" xfId="0" applyFont="1" applyFill="1" applyBorder="1" applyAlignment="1" applyProtection="1">
      <alignment horizontal="center" vertical="center"/>
      <protection locked="0"/>
    </xf>
    <xf numFmtId="2" fontId="48" fillId="9" borderId="2" xfId="0" applyNumberFormat="1" applyFont="1" applyFill="1" applyBorder="1" applyAlignment="1" applyProtection="1">
      <alignment horizontal="center" vertical="center"/>
      <protection locked="0"/>
    </xf>
    <xf numFmtId="2" fontId="48" fillId="9" borderId="3" xfId="0" applyNumberFormat="1" applyFont="1" applyFill="1" applyBorder="1" applyAlignment="1" applyProtection="1">
      <alignment horizontal="center" vertical="center"/>
      <protection locked="0"/>
    </xf>
    <xf numFmtId="1" fontId="48" fillId="9" borderId="24" xfId="0" applyNumberFormat="1" applyFont="1" applyFill="1" applyBorder="1" applyAlignment="1" applyProtection="1">
      <alignment horizontal="center" vertical="center"/>
      <protection locked="0"/>
    </xf>
    <xf numFmtId="1" fontId="48" fillId="9" borderId="24" xfId="1" applyNumberFormat="1" applyFont="1" applyFill="1" applyBorder="1" applyAlignment="1" applyProtection="1">
      <alignment horizontal="center" vertical="center"/>
      <protection locked="0"/>
    </xf>
    <xf numFmtId="1" fontId="48" fillId="9" borderId="3" xfId="1" applyNumberFormat="1" applyFont="1" applyFill="1" applyBorder="1" applyAlignment="1" applyProtection="1">
      <alignment horizontal="center" vertical="center"/>
      <protection locked="0"/>
    </xf>
    <xf numFmtId="2" fontId="48" fillId="9" borderId="24" xfId="0" applyNumberFormat="1" applyFont="1" applyFill="1" applyBorder="1" applyAlignment="1" applyProtection="1">
      <alignment horizontal="center" vertical="center"/>
      <protection locked="0"/>
    </xf>
    <xf numFmtId="2" fontId="48" fillId="9" borderId="24" xfId="1" applyNumberFormat="1" applyFont="1" applyFill="1" applyBorder="1" applyAlignment="1" applyProtection="1">
      <alignment horizontal="center" vertical="center"/>
      <protection locked="0"/>
    </xf>
    <xf numFmtId="2" fontId="48" fillId="9" borderId="3" xfId="1" applyNumberFormat="1" applyFont="1" applyFill="1" applyBorder="1" applyAlignment="1" applyProtection="1">
      <alignment horizontal="center" vertical="center"/>
      <protection locked="0"/>
    </xf>
    <xf numFmtId="0" fontId="6" fillId="4" borderId="2" xfId="0" applyFont="1" applyFill="1" applyBorder="1" applyAlignment="1">
      <alignment vertical="center"/>
    </xf>
    <xf numFmtId="0" fontId="6" fillId="4" borderId="4" xfId="0" applyFont="1" applyFill="1" applyBorder="1" applyAlignment="1">
      <alignment vertical="center"/>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7"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64" fillId="0" borderId="35" xfId="0" applyNumberFormat="1" applyFont="1" applyBorder="1" applyAlignment="1">
      <alignment horizontal="center" vertical="center"/>
    </xf>
    <xf numFmtId="2" fontId="64" fillId="0" borderId="0" xfId="0" applyNumberFormat="1" applyFont="1" applyAlignment="1">
      <alignment horizontal="center" vertical="center"/>
    </xf>
    <xf numFmtId="0" fontId="64" fillId="0" borderId="1" xfId="0" applyFont="1" applyBorder="1" applyAlignment="1">
      <alignment horizontal="center" vertical="center"/>
    </xf>
    <xf numFmtId="2" fontId="65" fillId="0" borderId="35" xfId="0" applyNumberFormat="1" applyFont="1" applyBorder="1" applyAlignment="1">
      <alignment horizontal="center" vertical="center"/>
    </xf>
    <xf numFmtId="2" fontId="65" fillId="0" borderId="0" xfId="0" applyNumberFormat="1" applyFont="1" applyAlignment="1">
      <alignment horizontal="center" vertical="center"/>
    </xf>
    <xf numFmtId="0" fontId="65" fillId="0" borderId="1" xfId="0" applyFont="1" applyBorder="1" applyAlignment="1">
      <alignment horizontal="center" vertical="center"/>
    </xf>
    <xf numFmtId="2" fontId="65" fillId="0" borderId="47" xfId="0" applyNumberFormat="1" applyFont="1" applyBorder="1" applyAlignment="1">
      <alignment horizontal="center" vertical="center"/>
    </xf>
    <xf numFmtId="2" fontId="65" fillId="0" borderId="18" xfId="0" applyNumberFormat="1" applyFont="1" applyBorder="1" applyAlignment="1">
      <alignment horizontal="center" vertical="center"/>
    </xf>
    <xf numFmtId="0" fontId="65" fillId="0" borderId="19" xfId="0" applyFont="1" applyBorder="1" applyAlignment="1">
      <alignment horizontal="center" vertical="center"/>
    </xf>
    <xf numFmtId="0" fontId="6" fillId="0" borderId="23" xfId="0" applyFont="1" applyBorder="1" applyAlignment="1">
      <alignment horizontal="center" vertical="center"/>
    </xf>
    <xf numFmtId="0" fontId="7" fillId="0" borderId="48" xfId="0" applyFont="1" applyBorder="1" applyAlignment="1">
      <alignment horizontal="center" vertical="center"/>
    </xf>
    <xf numFmtId="0" fontId="66" fillId="17" borderId="42" xfId="0" applyFont="1" applyFill="1" applyBorder="1" applyAlignment="1">
      <alignment horizontal="center" vertical="center"/>
    </xf>
    <xf numFmtId="0" fontId="66" fillId="17" borderId="20" xfId="0" applyFont="1" applyFill="1" applyBorder="1" applyAlignment="1">
      <alignment horizontal="center" vertical="center"/>
    </xf>
    <xf numFmtId="0" fontId="66" fillId="17" borderId="21" xfId="0" applyFont="1" applyFill="1" applyBorder="1" applyAlignment="1">
      <alignment horizontal="center" vertical="center"/>
    </xf>
    <xf numFmtId="0" fontId="6" fillId="0" borderId="23" xfId="0" applyFont="1" applyBorder="1" applyAlignment="1">
      <alignment horizontal="left"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6" fillId="11" borderId="22"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0" borderId="120" xfId="0" applyFont="1" applyBorder="1" applyAlignment="1" applyProtection="1">
      <alignment horizontal="center" vertical="center"/>
      <protection locked="0"/>
    </xf>
    <xf numFmtId="0" fontId="6" fillId="0" borderId="121" xfId="0" applyFont="1" applyBorder="1" applyAlignment="1" applyProtection="1">
      <alignment horizontal="center" vertical="center"/>
      <protection locked="0"/>
    </xf>
    <xf numFmtId="0" fontId="6" fillId="0" borderId="122" xfId="0" applyFont="1" applyBorder="1" applyAlignment="1" applyProtection="1">
      <alignment horizontal="center" vertical="center"/>
      <protection locked="0"/>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5"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0" fontId="7" fillId="0" borderId="65"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85" xfId="0" applyFont="1" applyFill="1" applyBorder="1" applyAlignment="1">
      <alignment vertical="center"/>
    </xf>
    <xf numFmtId="0" fontId="8" fillId="17" borderId="12" xfId="0" applyFont="1" applyFill="1" applyBorder="1" applyAlignment="1">
      <alignment horizontal="center" vertical="center"/>
    </xf>
    <xf numFmtId="2" fontId="6" fillId="17" borderId="6" xfId="0" applyNumberFormat="1" applyFont="1" applyFill="1" applyBorder="1" applyAlignment="1">
      <alignment horizontal="center" vertical="center"/>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3" borderId="35" xfId="0" applyFont="1" applyFill="1" applyBorder="1" applyAlignment="1">
      <alignment vertical="center"/>
    </xf>
    <xf numFmtId="0" fontId="6" fillId="13" borderId="0" xfId="0" applyFont="1" applyFill="1" applyAlignment="1">
      <alignment horizontal="left" vertical="center"/>
    </xf>
    <xf numFmtId="0" fontId="16" fillId="13" borderId="0" xfId="0" applyFont="1" applyFill="1" applyAlignment="1">
      <alignment vertical="center"/>
    </xf>
    <xf numFmtId="0" fontId="16" fillId="13" borderId="1" xfId="0" applyFont="1" applyFill="1" applyBorder="1" applyAlignment="1">
      <alignment vertical="center"/>
    </xf>
    <xf numFmtId="0" fontId="7" fillId="13" borderId="47" xfId="0" applyFont="1" applyFill="1" applyBorder="1" applyAlignment="1">
      <alignment vertical="center"/>
    </xf>
    <xf numFmtId="0" fontId="6" fillId="13" borderId="18" xfId="0" applyFont="1" applyFill="1" applyBorder="1" applyAlignment="1">
      <alignment horizontal="left" vertical="center"/>
    </xf>
    <xf numFmtId="0" fontId="30" fillId="13" borderId="18" xfId="0" applyFont="1" applyFill="1" applyBorder="1" applyAlignment="1">
      <alignment vertical="center"/>
    </xf>
    <xf numFmtId="0" fontId="6" fillId="13" borderId="18" xfId="0" applyFont="1" applyFill="1" applyBorder="1" applyAlignment="1">
      <alignment vertical="center"/>
    </xf>
    <xf numFmtId="0" fontId="6" fillId="13"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0" fontId="6" fillId="0" borderId="38" xfId="0" applyFont="1" applyBorder="1" applyAlignment="1">
      <alignment horizontal="left" vertical="center" indent="1"/>
    </xf>
    <xf numFmtId="0" fontId="6" fillId="17" borderId="5" xfId="0" applyFont="1" applyFill="1" applyBorder="1" applyAlignment="1">
      <alignment horizontal="left" vertical="center" indent="1"/>
    </xf>
    <xf numFmtId="0" fontId="19" fillId="20" borderId="0" xfId="0" applyFont="1" applyFill="1" applyAlignment="1">
      <alignment vertical="center"/>
    </xf>
    <xf numFmtId="0" fontId="17" fillId="18" borderId="26" xfId="0" applyFont="1" applyFill="1" applyBorder="1" applyAlignment="1">
      <alignment horizontal="left" vertical="center" indent="1"/>
    </xf>
    <xf numFmtId="0" fontId="17" fillId="18" borderId="46" xfId="0" applyFont="1" applyFill="1" applyBorder="1" applyAlignment="1">
      <alignment horizontal="left" vertical="center" indent="1"/>
    </xf>
    <xf numFmtId="2" fontId="45" fillId="6" borderId="110" xfId="0" applyNumberFormat="1" applyFont="1" applyFill="1" applyBorder="1" applyAlignment="1">
      <alignment horizontal="center" vertical="center"/>
    </xf>
    <xf numFmtId="0" fontId="16" fillId="13" borderId="35" xfId="0" applyFont="1" applyFill="1" applyBorder="1" applyAlignment="1">
      <alignment horizontal="left" vertical="center" indent="1"/>
    </xf>
    <xf numFmtId="0" fontId="16" fillId="13" borderId="0" xfId="0" applyFont="1" applyFill="1" applyAlignment="1">
      <alignment horizontal="left" vertical="center" indent="1"/>
    </xf>
    <xf numFmtId="0" fontId="16" fillId="13" borderId="1" xfId="0" applyFont="1" applyFill="1" applyBorder="1" applyAlignment="1">
      <alignment horizontal="left" vertical="center" indent="1"/>
    </xf>
    <xf numFmtId="0" fontId="54" fillId="3" borderId="109" xfId="0" applyFont="1" applyFill="1" applyBorder="1" applyAlignment="1">
      <alignment horizontal="center" vertical="center" wrapText="1"/>
    </xf>
    <xf numFmtId="0" fontId="54" fillId="3" borderId="110" xfId="0" applyFont="1" applyFill="1" applyBorder="1" applyAlignment="1">
      <alignment horizontal="center" vertical="center" wrapText="1"/>
    </xf>
    <xf numFmtId="0" fontId="5" fillId="2" borderId="45" xfId="0" applyFont="1" applyFill="1" applyBorder="1" applyAlignment="1">
      <alignment horizontal="center" vertical="center"/>
    </xf>
    <xf numFmtId="0" fontId="5" fillId="2" borderId="46" xfId="0" applyFont="1" applyFill="1" applyBorder="1" applyAlignment="1">
      <alignment horizontal="center" vertical="center"/>
    </xf>
    <xf numFmtId="0" fontId="7" fillId="0" borderId="49" xfId="0" applyFont="1" applyBorder="1" applyAlignment="1">
      <alignment horizontal="center" vertical="center"/>
    </xf>
    <xf numFmtId="0" fontId="37" fillId="3" borderId="0" xfId="0" applyFont="1" applyFill="1" applyAlignment="1">
      <alignment vertical="center"/>
    </xf>
    <xf numFmtId="0" fontId="37" fillId="3" borderId="0" xfId="0" applyFont="1" applyFill="1" applyAlignment="1">
      <alignment horizontal="left" vertical="center"/>
    </xf>
    <xf numFmtId="0" fontId="4" fillId="3" borderId="2" xfId="0" applyFont="1" applyFill="1" applyBorder="1" applyAlignment="1">
      <alignment horizontal="left" vertical="center"/>
    </xf>
    <xf numFmtId="0" fontId="7" fillId="3" borderId="3" xfId="0" applyFont="1" applyFill="1" applyBorder="1" applyAlignment="1">
      <alignment horizontal="left" vertical="center"/>
    </xf>
    <xf numFmtId="0" fontId="71" fillId="3" borderId="0" xfId="0" applyFont="1" applyFill="1" applyAlignment="1">
      <alignment horizontal="left" vertical="center" indent="1"/>
    </xf>
    <xf numFmtId="0" fontId="71" fillId="3" borderId="0" xfId="0" applyFont="1" applyFill="1" applyAlignment="1">
      <alignment horizontal="center" vertical="center"/>
    </xf>
    <xf numFmtId="0" fontId="6" fillId="13" borderId="0" xfId="0" applyFont="1" applyFill="1" applyAlignment="1">
      <alignment horizontal="center" vertical="center"/>
    </xf>
    <xf numFmtId="0" fontId="38" fillId="13" borderId="0" xfId="0" applyFont="1" applyFill="1" applyAlignment="1">
      <alignment horizontal="left" vertical="center"/>
    </xf>
    <xf numFmtId="0" fontId="38" fillId="13" borderId="0" xfId="0" applyFont="1" applyFill="1" applyAlignment="1">
      <alignment horizontal="left" vertical="center" wrapText="1"/>
    </xf>
    <xf numFmtId="0" fontId="63" fillId="13" borderId="0" xfId="0" applyFont="1" applyFill="1" applyAlignment="1">
      <alignment vertical="center"/>
    </xf>
    <xf numFmtId="0" fontId="67" fillId="13" borderId="0" xfId="0" applyFont="1" applyFill="1" applyAlignment="1">
      <alignment horizontal="center" vertical="center"/>
    </xf>
    <xf numFmtId="0" fontId="67" fillId="13" borderId="14" xfId="0" applyFont="1" applyFill="1" applyBorder="1" applyAlignment="1">
      <alignment horizontal="center" vertical="center"/>
    </xf>
    <xf numFmtId="0" fontId="68" fillId="13" borderId="0" xfId="0" applyFont="1" applyFill="1" applyAlignment="1">
      <alignment horizontal="center" vertical="center"/>
    </xf>
    <xf numFmtId="0" fontId="68" fillId="13" borderId="14" xfId="0" applyFont="1" applyFill="1" applyBorder="1" applyAlignment="1">
      <alignment horizontal="center" vertical="center"/>
    </xf>
    <xf numFmtId="0" fontId="5" fillId="13" borderId="12" xfId="0" applyFont="1" applyFill="1" applyBorder="1" applyAlignment="1">
      <alignment horizontal="left" vertical="center" indent="1"/>
    </xf>
    <xf numFmtId="0" fontId="5" fillId="13" borderId="0" xfId="0" applyFont="1" applyFill="1" applyAlignment="1">
      <alignment horizontal="center" vertical="center"/>
    </xf>
    <xf numFmtId="0" fontId="35" fillId="13" borderId="0" xfId="0" applyFont="1" applyFill="1" applyAlignment="1">
      <alignment horizontal="left" vertical="center"/>
    </xf>
    <xf numFmtId="0" fontId="6" fillId="13" borderId="14" xfId="0" applyFont="1" applyFill="1" applyBorder="1" applyAlignment="1">
      <alignment horizontal="center" vertical="center"/>
    </xf>
    <xf numFmtId="0" fontId="6" fillId="13" borderId="12" xfId="0" applyFont="1" applyFill="1" applyBorder="1" applyAlignment="1">
      <alignment horizontal="left" vertical="center" indent="1"/>
    </xf>
    <xf numFmtId="0" fontId="6" fillId="13" borderId="12" xfId="0" applyFont="1" applyFill="1" applyBorder="1" applyAlignment="1">
      <alignment vertical="center"/>
    </xf>
    <xf numFmtId="0" fontId="6" fillId="13" borderId="36" xfId="0" applyFont="1" applyFill="1" applyBorder="1" applyAlignment="1">
      <alignment vertical="center"/>
    </xf>
    <xf numFmtId="0" fontId="7" fillId="13" borderId="37" xfId="0" applyFont="1" applyFill="1" applyBorder="1" applyAlignment="1">
      <alignment horizontal="left" vertical="center"/>
    </xf>
    <xf numFmtId="0" fontId="6" fillId="13" borderId="37" xfId="0" applyFont="1" applyFill="1" applyBorder="1" applyAlignment="1">
      <alignment horizontal="center" vertical="center"/>
    </xf>
    <xf numFmtId="0" fontId="6" fillId="13" borderId="34" xfId="0" applyFont="1" applyFill="1" applyBorder="1" applyAlignment="1">
      <alignment horizontal="center" vertical="center"/>
    </xf>
    <xf numFmtId="0" fontId="15" fillId="22" borderId="11" xfId="0" applyFont="1" applyFill="1" applyBorder="1" applyAlignment="1">
      <alignment horizontal="left" vertical="center" indent="1"/>
    </xf>
    <xf numFmtId="0" fontId="15" fillId="22" borderId="14" xfId="0" applyFont="1" applyFill="1" applyBorder="1" applyAlignment="1">
      <alignment horizontal="left" vertical="center" indent="1"/>
    </xf>
    <xf numFmtId="0" fontId="8" fillId="22" borderId="12" xfId="0" applyFont="1" applyFill="1" applyBorder="1" applyAlignment="1">
      <alignment horizontal="left" vertical="center" indent="1"/>
    </xf>
    <xf numFmtId="0" fontId="5" fillId="22" borderId="0" xfId="0" applyFont="1" applyFill="1" applyAlignment="1">
      <alignment vertical="center"/>
    </xf>
    <xf numFmtId="0" fontId="8" fillId="22" borderId="0" xfId="0" applyFont="1" applyFill="1" applyAlignment="1">
      <alignment horizontal="left" vertical="center"/>
    </xf>
    <xf numFmtId="0" fontId="47" fillId="6" borderId="2" xfId="0" applyFont="1" applyFill="1" applyBorder="1" applyAlignment="1">
      <alignment horizontal="left" vertical="center" indent="1"/>
    </xf>
    <xf numFmtId="0" fontId="47" fillId="6" borderId="3" xfId="0" applyFont="1" applyFill="1" applyBorder="1" applyAlignment="1">
      <alignment horizontal="left" vertical="center" indent="1"/>
    </xf>
    <xf numFmtId="0" fontId="47" fillId="6" borderId="3" xfId="0" applyFont="1" applyFill="1" applyBorder="1" applyAlignment="1">
      <alignment horizontal="center" vertical="center"/>
    </xf>
    <xf numFmtId="0" fontId="47" fillId="6" borderId="0" xfId="0" applyFont="1" applyFill="1" applyAlignment="1">
      <alignment horizontal="center" vertical="center"/>
    </xf>
    <xf numFmtId="0" fontId="47" fillId="6" borderId="63" xfId="0" applyFont="1" applyFill="1" applyBorder="1" applyAlignment="1">
      <alignment horizontal="left" vertical="center" indent="1"/>
    </xf>
    <xf numFmtId="0" fontId="23" fillId="3" borderId="0" xfId="0" applyFont="1" applyFill="1" applyAlignment="1">
      <alignment vertical="center"/>
    </xf>
    <xf numFmtId="0" fontId="24" fillId="3" borderId="0" xfId="0" applyFont="1" applyFill="1" applyAlignment="1">
      <alignment horizontal="left" vertical="center" indent="1"/>
    </xf>
    <xf numFmtId="0" fontId="24" fillId="3" borderId="0" xfId="0" applyFont="1" applyFill="1" applyAlignment="1">
      <alignment vertical="center"/>
    </xf>
    <xf numFmtId="0" fontId="24" fillId="3" borderId="0" xfId="0" applyFont="1" applyFill="1" applyAlignment="1">
      <alignment horizontal="left" vertical="center"/>
    </xf>
    <xf numFmtId="0" fontId="24" fillId="3" borderId="0" xfId="0" applyFont="1" applyFill="1" applyAlignment="1">
      <alignment horizontal="center" vertical="center"/>
    </xf>
    <xf numFmtId="0" fontId="72" fillId="3" borderId="0" xfId="0" applyFont="1" applyFill="1" applyAlignment="1">
      <alignment horizontal="left" vertical="center"/>
    </xf>
    <xf numFmtId="0" fontId="73" fillId="3" borderId="0" xfId="0" applyFont="1" applyFill="1" applyAlignment="1">
      <alignment horizontal="left" vertical="center"/>
    </xf>
    <xf numFmtId="0" fontId="25" fillId="3" borderId="0" xfId="0" applyFont="1" applyFill="1" applyAlignment="1">
      <alignment horizontal="right"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left" vertical="center"/>
    </xf>
    <xf numFmtId="0" fontId="5" fillId="2" borderId="2" xfId="0" applyFont="1" applyFill="1" applyBorder="1" applyAlignment="1">
      <alignment horizontal="left" vertical="center" indent="1"/>
    </xf>
    <xf numFmtId="0" fontId="47" fillId="21" borderId="3" xfId="0" applyFont="1" applyFill="1" applyBorder="1" applyAlignment="1">
      <alignment horizontal="left" vertical="center" indent="1"/>
    </xf>
    <xf numFmtId="0" fontId="47" fillId="21" borderId="3" xfId="0" applyFont="1" applyFill="1" applyBorder="1" applyAlignment="1">
      <alignment horizontal="center" vertical="center"/>
    </xf>
    <xf numFmtId="0" fontId="35" fillId="21" borderId="3" xfId="0" quotePrefix="1" applyFont="1" applyFill="1" applyBorder="1" applyAlignment="1">
      <alignment horizontal="center" vertical="center"/>
    </xf>
    <xf numFmtId="0" fontId="35" fillId="21" borderId="4" xfId="0" quotePrefix="1" applyFont="1" applyFill="1" applyBorder="1" applyAlignment="1" applyProtection="1">
      <alignment vertical="center"/>
      <protection locked="0"/>
    </xf>
    <xf numFmtId="0" fontId="74" fillId="6" borderId="2" xfId="0" applyFont="1" applyFill="1" applyBorder="1" applyAlignment="1">
      <alignment horizontal="center" vertical="center" wrapText="1"/>
    </xf>
    <xf numFmtId="0" fontId="7" fillId="13" borderId="0" xfId="0" applyFont="1" applyFill="1" applyAlignment="1">
      <alignment horizontal="left" vertical="center"/>
    </xf>
    <xf numFmtId="0" fontId="74" fillId="3" borderId="2" xfId="0" applyFont="1" applyFill="1" applyBorder="1" applyAlignment="1">
      <alignment horizontal="center" vertical="center"/>
    </xf>
    <xf numFmtId="0" fontId="14" fillId="3" borderId="4" xfId="0" applyFont="1" applyFill="1" applyBorder="1" applyAlignment="1">
      <alignment horizontal="left" vertical="center"/>
    </xf>
    <xf numFmtId="0" fontId="6" fillId="18" borderId="0" xfId="0" applyFont="1" applyFill="1" applyAlignment="1">
      <alignment horizontal="center" vertical="center"/>
    </xf>
    <xf numFmtId="0" fontId="7" fillId="0" borderId="4" xfId="0" applyFont="1" applyBorder="1" applyAlignment="1">
      <alignment horizontal="center" vertical="center"/>
    </xf>
    <xf numFmtId="0" fontId="81" fillId="20" borderId="0" xfId="0" applyFont="1" applyFill="1" applyAlignment="1">
      <alignment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14" fillId="5" borderId="125" xfId="0" applyFont="1" applyFill="1" applyBorder="1" applyAlignment="1">
      <alignment horizontal="center" vertical="center"/>
    </xf>
    <xf numFmtId="0" fontId="7" fillId="0" borderId="125" xfId="0" applyFont="1" applyBorder="1" applyAlignment="1">
      <alignment horizontal="center" vertical="center"/>
    </xf>
    <xf numFmtId="0" fontId="14" fillId="5" borderId="126" xfId="0" applyFont="1" applyFill="1" applyBorder="1" applyAlignment="1">
      <alignment horizontal="right" vertical="center" indent="1"/>
    </xf>
    <xf numFmtId="0" fontId="30" fillId="0" borderId="69" xfId="0" applyFont="1" applyBorder="1" applyAlignment="1">
      <alignment horizontal="right" vertical="center" indent="1"/>
    </xf>
    <xf numFmtId="0" fontId="30" fillId="0" borderId="46" xfId="0" applyFont="1" applyBorder="1" applyAlignment="1">
      <alignment horizontal="right" vertical="center" indent="1"/>
    </xf>
    <xf numFmtId="0" fontId="30" fillId="0" borderId="19" xfId="0" applyFont="1" applyBorder="1" applyAlignment="1">
      <alignment vertical="center"/>
    </xf>
    <xf numFmtId="0" fontId="30" fillId="0" borderId="46" xfId="0" applyFont="1" applyBorder="1" applyAlignment="1">
      <alignment horizontal="right" vertical="top" indent="1"/>
    </xf>
    <xf numFmtId="0" fontId="6" fillId="0" borderId="127" xfId="0" applyFont="1" applyBorder="1" applyAlignment="1">
      <alignment vertical="top"/>
    </xf>
    <xf numFmtId="0" fontId="5" fillId="17" borderId="0" xfId="0" applyFont="1" applyFill="1" applyAlignment="1">
      <alignment horizontal="centerContinuous" vertical="center"/>
    </xf>
    <xf numFmtId="0" fontId="5" fillId="17" borderId="0" xfId="0" applyFont="1" applyFill="1" applyAlignment="1">
      <alignment horizontal="center" vertical="center"/>
    </xf>
    <xf numFmtId="0" fontId="6" fillId="0" borderId="57" xfId="0" applyFont="1" applyBorder="1" applyAlignment="1">
      <alignment horizontal="left" vertical="center" indent="1"/>
    </xf>
    <xf numFmtId="0" fontId="7" fillId="9" borderId="39" xfId="0" applyFont="1" applyFill="1" applyBorder="1" applyAlignment="1">
      <alignment vertical="center"/>
    </xf>
    <xf numFmtId="0" fontId="7" fillId="11" borderId="39" xfId="0" applyFont="1" applyFill="1" applyBorder="1" applyAlignment="1">
      <alignment vertical="center"/>
    </xf>
    <xf numFmtId="0" fontId="6" fillId="11" borderId="30" xfId="0" applyFont="1" applyFill="1" applyBorder="1" applyAlignment="1">
      <alignment vertical="center"/>
    </xf>
    <xf numFmtId="0" fontId="6" fillId="13" borderId="98" xfId="0" applyFont="1" applyFill="1" applyBorder="1" applyAlignment="1">
      <alignment vertical="center"/>
    </xf>
    <xf numFmtId="0" fontId="6" fillId="13" borderId="97" xfId="0" applyFont="1" applyFill="1" applyBorder="1" applyAlignment="1">
      <alignment vertical="center"/>
    </xf>
    <xf numFmtId="0" fontId="6" fillId="13" borderId="0" xfId="0" applyFont="1" applyFill="1" applyAlignment="1">
      <alignment vertical="center"/>
    </xf>
    <xf numFmtId="0" fontId="41" fillId="13" borderId="0" xfId="0" applyFont="1" applyFill="1" applyAlignment="1">
      <alignment horizontal="left" vertical="center"/>
    </xf>
    <xf numFmtId="0" fontId="78" fillId="0" borderId="0" xfId="0" applyFont="1" applyAlignment="1">
      <alignment horizontal="center" vertical="center"/>
    </xf>
    <xf numFmtId="0" fontId="45" fillId="19" borderId="90" xfId="0" applyFont="1" applyFill="1" applyBorder="1" applyAlignment="1">
      <alignment horizontal="left" vertical="center" indent="1"/>
    </xf>
    <xf numFmtId="0" fontId="47" fillId="8" borderId="95" xfId="0" applyFont="1" applyFill="1" applyBorder="1" applyAlignment="1">
      <alignment horizontal="left" vertical="center" indent="1"/>
    </xf>
    <xf numFmtId="0" fontId="47" fillId="13" borderId="90" xfId="0" applyFont="1" applyFill="1" applyBorder="1"/>
    <xf numFmtId="0" fontId="47" fillId="13" borderId="0" xfId="0" applyFont="1" applyFill="1"/>
    <xf numFmtId="0" fontId="45" fillId="13" borderId="0" xfId="0" applyFont="1" applyFill="1" applyAlignment="1">
      <alignment vertical="center"/>
    </xf>
    <xf numFmtId="0" fontId="78" fillId="0" borderId="0" xfId="0" applyFont="1" applyAlignment="1">
      <alignment horizontal="left" vertical="center"/>
    </xf>
    <xf numFmtId="0" fontId="45" fillId="0" borderId="0" xfId="0" applyFont="1" applyAlignment="1">
      <alignment vertical="center"/>
    </xf>
    <xf numFmtId="0" fontId="78" fillId="0" borderId="0" xfId="0" applyFont="1" applyAlignment="1">
      <alignment horizontal="center" vertical="top"/>
    </xf>
    <xf numFmtId="0" fontId="78" fillId="0" borderId="100" xfId="0" applyFont="1" applyBorder="1" applyAlignment="1">
      <alignment horizontal="center" vertical="center"/>
    </xf>
    <xf numFmtId="0" fontId="78" fillId="0" borderId="37" xfId="0" applyFont="1" applyBorder="1" applyAlignment="1">
      <alignment horizontal="center" vertical="center"/>
    </xf>
    <xf numFmtId="0" fontId="47" fillId="0" borderId="90" xfId="0" applyFont="1" applyBorder="1" applyAlignment="1">
      <alignment horizontal="center" vertical="center"/>
    </xf>
    <xf numFmtId="0" fontId="45" fillId="0" borderId="0" xfId="0" applyFont="1" applyAlignment="1">
      <alignment horizontal="left" vertical="center"/>
    </xf>
    <xf numFmtId="0" fontId="45" fillId="0" borderId="100" xfId="0" applyFont="1" applyBorder="1" applyAlignment="1">
      <alignment horizontal="left" vertical="center"/>
    </xf>
    <xf numFmtId="0" fontId="7" fillId="21" borderId="4" xfId="0" applyFont="1" applyFill="1" applyBorder="1" applyAlignment="1">
      <alignment horizontal="left" vertical="center" wrapText="1"/>
    </xf>
    <xf numFmtId="0" fontId="47" fillId="21" borderId="63" xfId="0" applyFont="1" applyFill="1" applyBorder="1" applyAlignment="1">
      <alignment horizontal="left" vertical="center" indent="1"/>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74" fillId="6" borderId="2" xfId="0" applyFont="1" applyFill="1" applyBorder="1" applyAlignment="1">
      <alignment vertical="center"/>
    </xf>
    <xf numFmtId="0" fontId="47" fillId="6" borderId="3" xfId="0" applyFont="1" applyFill="1" applyBorder="1" applyAlignment="1">
      <alignment vertical="center"/>
    </xf>
    <xf numFmtId="0" fontId="74" fillId="3" borderId="0" xfId="0" applyFont="1" applyFill="1" applyAlignment="1">
      <alignment horizontal="left" vertical="center" indent="1"/>
    </xf>
    <xf numFmtId="0" fontId="47" fillId="3" borderId="0" xfId="0" applyFont="1" applyFill="1" applyAlignment="1">
      <alignment horizontal="left" vertical="center" indent="1"/>
    </xf>
    <xf numFmtId="0" fontId="47" fillId="3" borderId="0" xfId="0" applyFont="1" applyFill="1" applyAlignment="1">
      <alignment horizontal="center" vertical="center"/>
    </xf>
    <xf numFmtId="0" fontId="74" fillId="6" borderId="45" xfId="0" applyFont="1" applyFill="1" applyBorder="1" applyAlignment="1">
      <alignment vertical="center"/>
    </xf>
    <xf numFmtId="0" fontId="47" fillId="6" borderId="26" xfId="0" applyFont="1" applyFill="1" applyBorder="1" applyAlignment="1">
      <alignment vertical="center"/>
    </xf>
    <xf numFmtId="0" fontId="47" fillId="6" borderId="26" xfId="0" applyFont="1" applyFill="1" applyBorder="1" applyAlignment="1">
      <alignment horizontal="center" vertical="center"/>
    </xf>
    <xf numFmtId="0" fontId="74" fillId="6" borderId="87" xfId="0" applyFont="1" applyFill="1" applyBorder="1" applyAlignment="1">
      <alignment horizontal="left" vertical="center" indent="1"/>
    </xf>
    <xf numFmtId="0" fontId="47" fillId="6" borderId="88" xfId="0" applyFont="1" applyFill="1" applyBorder="1" applyAlignment="1">
      <alignment vertical="center"/>
    </xf>
    <xf numFmtId="0" fontId="47" fillId="6" borderId="88" xfId="0" applyFont="1" applyFill="1" applyBorder="1" applyAlignment="1">
      <alignment horizontal="center" vertical="center"/>
    </xf>
    <xf numFmtId="0" fontId="74" fillId="6" borderId="63" xfId="0" applyFont="1" applyFill="1" applyBorder="1" applyAlignment="1">
      <alignment horizontal="left" vertical="center" indent="1"/>
    </xf>
    <xf numFmtId="0" fontId="45" fillId="3" borderId="0" xfId="0" applyFont="1" applyFill="1" applyAlignment="1">
      <alignment vertical="center"/>
    </xf>
    <xf numFmtId="0" fontId="45" fillId="3" borderId="0" xfId="0" applyFont="1" applyFill="1" applyAlignment="1">
      <alignment horizontal="left" vertical="center"/>
    </xf>
    <xf numFmtId="0" fontId="74" fillId="21" borderId="2" xfId="0" applyFont="1" applyFill="1" applyBorder="1" applyAlignment="1">
      <alignment vertical="center"/>
    </xf>
    <xf numFmtId="0" fontId="47" fillId="21" borderId="3" xfId="0" applyFont="1" applyFill="1" applyBorder="1" applyAlignment="1">
      <alignment vertical="center"/>
    </xf>
    <xf numFmtId="0" fontId="74" fillId="21" borderId="61" xfId="0" applyFont="1" applyFill="1" applyBorder="1" applyAlignment="1">
      <alignment horizontal="left" vertical="center" indent="1"/>
    </xf>
    <xf numFmtId="0" fontId="47" fillId="21" borderId="18" xfId="0" applyFont="1" applyFill="1" applyBorder="1" applyAlignment="1">
      <alignment horizontal="left" vertical="center" indent="1"/>
    </xf>
    <xf numFmtId="0" fontId="47" fillId="21" borderId="18" xfId="0" applyFont="1" applyFill="1" applyBorder="1" applyAlignment="1">
      <alignment horizontal="center" vertical="center"/>
    </xf>
    <xf numFmtId="0" fontId="26" fillId="21" borderId="0" xfId="0" applyFont="1" applyFill="1" applyAlignment="1">
      <alignment horizontal="center" vertical="center"/>
    </xf>
    <xf numFmtId="0" fontId="7" fillId="21" borderId="1" xfId="0" applyFont="1" applyFill="1" applyBorder="1" applyAlignment="1" applyProtection="1">
      <alignment horizontal="left" vertical="center" wrapText="1"/>
      <protection locked="0"/>
    </xf>
    <xf numFmtId="0" fontId="27" fillId="3" borderId="0" xfId="0" applyFont="1" applyFill="1" applyAlignment="1">
      <alignment horizontal="left" vertical="center" wrapText="1"/>
    </xf>
    <xf numFmtId="0" fontId="45" fillId="13" borderId="0" xfId="0" applyFont="1" applyFill="1" applyAlignment="1">
      <alignment horizontal="left" vertical="center"/>
    </xf>
    <xf numFmtId="0" fontId="47" fillId="13" borderId="0" xfId="0" applyFont="1" applyFill="1" applyAlignment="1">
      <alignment horizontal="center" vertical="center"/>
    </xf>
    <xf numFmtId="0" fontId="7" fillId="13" borderId="0" xfId="0" applyFont="1" applyFill="1" applyAlignment="1">
      <alignment horizontal="center" vertical="center"/>
    </xf>
    <xf numFmtId="0" fontId="5" fillId="13" borderId="14" xfId="0" applyFont="1" applyFill="1" applyBorder="1" applyAlignment="1">
      <alignment horizontal="left" vertical="center"/>
    </xf>
    <xf numFmtId="0" fontId="6" fillId="13" borderId="36" xfId="0" applyFont="1" applyFill="1" applyBorder="1" applyAlignment="1">
      <alignment horizontal="left" vertical="center" indent="1"/>
    </xf>
    <xf numFmtId="0" fontId="5" fillId="13" borderId="34" xfId="0" applyFont="1" applyFill="1" applyBorder="1" applyAlignment="1">
      <alignment horizontal="left" vertical="center"/>
    </xf>
    <xf numFmtId="0" fontId="6" fillId="22" borderId="12" xfId="0" applyFont="1" applyFill="1" applyBorder="1" applyAlignment="1">
      <alignment horizontal="left" vertical="center" indent="1"/>
    </xf>
    <xf numFmtId="0" fontId="45" fillId="22" borderId="0" xfId="0" applyFont="1" applyFill="1" applyAlignment="1">
      <alignment vertical="center"/>
    </xf>
    <xf numFmtId="0" fontId="45" fillId="22" borderId="0" xfId="0" applyFont="1" applyFill="1" applyAlignment="1">
      <alignment horizontal="left" vertical="center"/>
    </xf>
    <xf numFmtId="0" fontId="47" fillId="22" borderId="0" xfId="0" applyFont="1" applyFill="1" applyAlignment="1">
      <alignment horizontal="center" vertical="center"/>
    </xf>
    <xf numFmtId="0" fontId="73" fillId="6" borderId="2" xfId="0" applyFont="1" applyFill="1" applyBorder="1" applyAlignment="1">
      <alignment vertical="center"/>
    </xf>
    <xf numFmtId="0" fontId="73" fillId="21" borderId="2" xfId="0" applyFont="1" applyFill="1" applyBorder="1" applyAlignment="1">
      <alignment vertical="center"/>
    </xf>
    <xf numFmtId="0" fontId="26" fillId="21" borderId="3" xfId="0" applyFont="1" applyFill="1" applyBorder="1" applyAlignment="1">
      <alignment vertical="center"/>
    </xf>
    <xf numFmtId="0" fontId="74" fillId="21" borderId="87" xfId="0" applyFont="1" applyFill="1" applyBorder="1" applyAlignment="1">
      <alignment horizontal="left" vertical="center" indent="1"/>
    </xf>
    <xf numFmtId="0" fontId="47" fillId="21" borderId="88" xfId="0" applyFont="1" applyFill="1" applyBorder="1" applyAlignment="1">
      <alignment vertical="center"/>
    </xf>
    <xf numFmtId="0" fontId="47" fillId="21" borderId="88" xfId="0" applyFont="1" applyFill="1" applyBorder="1" applyAlignment="1">
      <alignment horizontal="center" vertical="center"/>
    </xf>
    <xf numFmtId="0" fontId="76" fillId="0" borderId="0" xfId="0" applyFont="1" applyAlignment="1">
      <alignment vertical="center"/>
    </xf>
    <xf numFmtId="0" fontId="83" fillId="0" borderId="0" xfId="0" applyFont="1" applyAlignment="1">
      <alignment horizontal="center" vertical="center"/>
    </xf>
    <xf numFmtId="0" fontId="15" fillId="22" borderId="11" xfId="0" applyFont="1" applyFill="1" applyBorder="1" applyAlignment="1">
      <alignment horizontal="left" vertical="center"/>
    </xf>
    <xf numFmtId="0" fontId="7" fillId="0" borderId="6" xfId="0" applyFont="1" applyBorder="1" applyAlignment="1">
      <alignment horizontal="center" vertical="center"/>
    </xf>
    <xf numFmtId="0" fontId="30" fillId="0" borderId="17" xfId="0" applyFont="1" applyBorder="1" applyAlignment="1" applyProtection="1">
      <alignment horizontal="center" vertical="center"/>
      <protection locked="0"/>
    </xf>
    <xf numFmtId="0" fontId="8" fillId="2" borderId="128" xfId="0" applyFont="1" applyFill="1" applyBorder="1" applyAlignment="1">
      <alignment vertical="center"/>
    </xf>
    <xf numFmtId="0" fontId="6" fillId="0" borderId="39"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30" xfId="0" applyFont="1" applyBorder="1" applyAlignment="1" applyProtection="1">
      <alignment horizontal="center" vertical="center"/>
      <protection locked="0"/>
    </xf>
    <xf numFmtId="0" fontId="5" fillId="2" borderId="86" xfId="0" applyFont="1" applyFill="1" applyBorder="1" applyAlignment="1">
      <alignment vertical="center"/>
    </xf>
    <xf numFmtId="0" fontId="5" fillId="17" borderId="12" xfId="0" applyFont="1" applyFill="1" applyBorder="1" applyAlignment="1">
      <alignment horizontal="center" vertical="center"/>
    </xf>
    <xf numFmtId="0" fontId="5" fillId="17" borderId="14" xfId="0" applyFont="1" applyFill="1" applyBorder="1" applyAlignment="1">
      <alignment horizontal="center" vertical="center"/>
    </xf>
    <xf numFmtId="164" fontId="6" fillId="17" borderId="6" xfId="0" applyNumberFormat="1" applyFont="1" applyFill="1" applyBorder="1" applyAlignment="1">
      <alignment horizontal="center" vertical="center"/>
    </xf>
    <xf numFmtId="164" fontId="7" fillId="17" borderId="8" xfId="0" applyNumberFormat="1" applyFont="1" applyFill="1" applyBorder="1" applyAlignment="1">
      <alignment horizontal="center" vertical="center"/>
    </xf>
    <xf numFmtId="0" fontId="47" fillId="0" borderId="0" xfId="0" applyFont="1" applyAlignment="1">
      <alignment horizontal="left" vertical="center" indent="1"/>
    </xf>
    <xf numFmtId="0" fontId="84" fillId="0" borderId="0" xfId="0" applyFont="1" applyAlignment="1">
      <alignment horizontal="center" vertical="center"/>
    </xf>
    <xf numFmtId="0" fontId="16" fillId="0" borderId="0" xfId="0" applyFont="1" applyAlignment="1">
      <alignment horizontal="left" vertical="top"/>
    </xf>
    <xf numFmtId="0" fontId="16" fillId="0" borderId="1" xfId="0" applyFont="1" applyBorder="1" applyAlignment="1">
      <alignment horizontal="left" vertical="top"/>
    </xf>
    <xf numFmtId="9" fontId="51" fillId="0" borderId="24" xfId="1" applyFont="1" applyFill="1" applyBorder="1" applyAlignment="1">
      <alignment horizontal="center" vertical="center"/>
    </xf>
    <xf numFmtId="0" fontId="5" fillId="2" borderId="47" xfId="0" applyFont="1" applyFill="1" applyBorder="1" applyAlignment="1">
      <alignment horizontal="center" vertical="center"/>
    </xf>
    <xf numFmtId="0" fontId="52" fillId="0" borderId="24" xfId="0" applyFont="1" applyBorder="1" applyAlignment="1">
      <alignment vertical="center"/>
    </xf>
    <xf numFmtId="0" fontId="6" fillId="0" borderId="26" xfId="0" applyFont="1" applyBorder="1" applyAlignment="1">
      <alignment horizontal="left" vertical="center" indent="1"/>
    </xf>
    <xf numFmtId="0" fontId="6" fillId="0" borderId="26" xfId="0" applyFont="1" applyBorder="1" applyAlignment="1">
      <alignment horizontal="left" vertical="center"/>
    </xf>
    <xf numFmtId="0" fontId="48" fillId="0" borderId="0" xfId="0" applyFont="1" applyAlignment="1">
      <alignment vertical="center" wrapText="1"/>
    </xf>
    <xf numFmtId="0" fontId="48" fillId="0" borderId="0" xfId="0" applyFont="1" applyAlignment="1">
      <alignment horizontal="center" vertical="center"/>
    </xf>
    <xf numFmtId="0" fontId="45" fillId="0" borderId="0" xfId="0" applyFont="1" applyAlignment="1">
      <alignment horizontal="center" vertical="center"/>
    </xf>
    <xf numFmtId="0" fontId="35" fillId="0" borderId="0" xfId="0" applyFont="1" applyAlignment="1">
      <alignment vertical="center"/>
    </xf>
    <xf numFmtId="0" fontId="47" fillId="0" borderId="0" xfId="0" applyFont="1" applyAlignment="1">
      <alignment horizontal="center" vertical="center"/>
    </xf>
    <xf numFmtId="0" fontId="35" fillId="0" borderId="0" xfId="0" applyFont="1" applyAlignment="1">
      <alignment horizontal="left" vertical="center"/>
    </xf>
    <xf numFmtId="0" fontId="6" fillId="3" borderId="0" xfId="0" applyFont="1" applyFill="1" applyAlignment="1">
      <alignment horizontal="left" vertical="center"/>
    </xf>
    <xf numFmtId="0" fontId="31" fillId="0" borderId="0" xfId="0" applyFont="1" applyAlignment="1">
      <alignment horizontal="left" vertical="center"/>
    </xf>
    <xf numFmtId="0" fontId="82" fillId="0" borderId="0" xfId="0" applyFont="1" applyAlignment="1">
      <alignment horizontal="left" vertical="center"/>
    </xf>
    <xf numFmtId="0" fontId="47" fillId="0" borderId="0" xfId="0" applyFont="1" applyAlignment="1">
      <alignment horizontal="left" vertical="center"/>
    </xf>
    <xf numFmtId="0" fontId="47" fillId="3" borderId="109" xfId="0" applyFont="1" applyFill="1" applyBorder="1" applyAlignment="1">
      <alignment horizontal="center" vertical="center"/>
    </xf>
    <xf numFmtId="0" fontId="47" fillId="3" borderId="111" xfId="0" applyFont="1" applyFill="1" applyBorder="1" applyAlignment="1">
      <alignment horizontal="center" vertical="center"/>
    </xf>
    <xf numFmtId="1" fontId="6" fillId="0" borderId="24" xfId="0" applyNumberFormat="1" applyFont="1" applyBorder="1" applyAlignment="1">
      <alignment horizontal="center" vertical="center"/>
    </xf>
    <xf numFmtId="1" fontId="6" fillId="0" borderId="66" xfId="0" applyNumberFormat="1" applyFont="1" applyBorder="1" applyAlignment="1">
      <alignment horizontal="center" vertical="center"/>
    </xf>
    <xf numFmtId="1" fontId="6" fillId="0" borderId="43" xfId="0" applyNumberFormat="1" applyFont="1" applyBorder="1" applyAlignment="1">
      <alignment horizontal="center" vertical="center"/>
    </xf>
    <xf numFmtId="1" fontId="6" fillId="0" borderId="33" xfId="0" applyNumberFormat="1" applyFont="1" applyBorder="1" applyAlignment="1">
      <alignment horizontal="center" vertical="center"/>
    </xf>
    <xf numFmtId="1" fontId="6" fillId="0" borderId="67" xfId="0" applyNumberFormat="1" applyFont="1" applyBorder="1" applyAlignment="1">
      <alignment horizontal="center" vertical="center"/>
    </xf>
    <xf numFmtId="0" fontId="6" fillId="0" borderId="51" xfId="0" applyFont="1" applyBorder="1" applyAlignment="1">
      <alignment horizontal="left" vertical="center" indent="1"/>
    </xf>
    <xf numFmtId="0" fontId="6" fillId="0" borderId="32" xfId="0" applyFont="1" applyBorder="1" applyAlignment="1">
      <alignment horizontal="left" vertical="center"/>
    </xf>
    <xf numFmtId="0" fontId="6" fillId="0" borderId="32" xfId="0" applyFont="1" applyBorder="1" applyAlignment="1">
      <alignment horizontal="center" vertical="center"/>
    </xf>
    <xf numFmtId="0" fontId="11" fillId="0" borderId="32" xfId="0" applyFont="1" applyBorder="1" applyAlignment="1" applyProtection="1">
      <alignment horizontal="center" vertical="center"/>
      <protection hidden="1"/>
    </xf>
    <xf numFmtId="0" fontId="7" fillId="0" borderId="54" xfId="0" applyFont="1" applyBorder="1" applyAlignment="1">
      <alignment vertical="center"/>
    </xf>
    <xf numFmtId="0" fontId="6" fillId="0" borderId="123" xfId="0" applyFont="1" applyBorder="1" applyAlignment="1">
      <alignment horizontal="left" vertical="center"/>
    </xf>
    <xf numFmtId="1" fontId="6" fillId="0" borderId="54" xfId="0" applyNumberFormat="1" applyFont="1" applyBorder="1" applyAlignment="1">
      <alignment horizontal="center" vertical="center"/>
    </xf>
    <xf numFmtId="1" fontId="6" fillId="0" borderId="27" xfId="0" applyNumberFormat="1" applyFont="1" applyBorder="1" applyAlignment="1">
      <alignment horizontal="center" vertical="center"/>
    </xf>
    <xf numFmtId="1" fontId="6" fillId="0" borderId="82" xfId="0" applyNumberFormat="1" applyFont="1" applyBorder="1" applyAlignment="1">
      <alignment horizontal="center" vertical="center"/>
    </xf>
    <xf numFmtId="0" fontId="7" fillId="0" borderId="129" xfId="0" applyFont="1" applyBorder="1" applyAlignment="1">
      <alignment horizontal="center" vertical="center"/>
    </xf>
    <xf numFmtId="0" fontId="6" fillId="0" borderId="123" xfId="0" applyFont="1" applyBorder="1" applyAlignment="1">
      <alignment horizontal="center" vertical="center"/>
    </xf>
    <xf numFmtId="0" fontId="11" fillId="0" borderId="123" xfId="0" applyFont="1" applyBorder="1" applyAlignment="1" applyProtection="1">
      <alignment horizontal="center" vertical="center"/>
      <protection hidden="1"/>
    </xf>
    <xf numFmtId="0" fontId="5" fillId="17" borderId="55" xfId="0" applyFont="1" applyFill="1" applyBorder="1" applyAlignment="1">
      <alignment horizontal="centerContinuous" vertical="center"/>
    </xf>
    <xf numFmtId="0" fontId="8" fillId="17" borderId="72" xfId="0" applyFont="1" applyFill="1" applyBorder="1" applyAlignment="1">
      <alignment horizontal="centerContinuous" vertical="center"/>
    </xf>
    <xf numFmtId="0" fontId="8" fillId="17" borderId="41" xfId="0" applyFont="1" applyFill="1" applyBorder="1" applyAlignment="1">
      <alignment horizontal="left" vertical="center"/>
    </xf>
    <xf numFmtId="1" fontId="8" fillId="17" borderId="55" xfId="0" applyNumberFormat="1" applyFont="1" applyFill="1" applyBorder="1" applyAlignment="1">
      <alignment horizontal="left" vertical="center"/>
    </xf>
    <xf numFmtId="1" fontId="8" fillId="17" borderId="56" xfId="0" applyNumberFormat="1" applyFont="1" applyFill="1" applyBorder="1" applyAlignment="1">
      <alignment horizontal="left" vertical="center"/>
    </xf>
    <xf numFmtId="1" fontId="8" fillId="17" borderId="65" xfId="0" applyNumberFormat="1" applyFont="1" applyFill="1" applyBorder="1" applyAlignment="1">
      <alignment horizontal="left" vertical="center"/>
    </xf>
    <xf numFmtId="0" fontId="8" fillId="17" borderId="50" xfId="0" applyFont="1" applyFill="1" applyBorder="1" applyAlignment="1">
      <alignment horizontal="left" vertical="center"/>
    </xf>
    <xf numFmtId="0" fontId="33" fillId="17" borderId="41" xfId="0" applyFont="1" applyFill="1" applyBorder="1" applyAlignment="1" applyProtection="1">
      <alignment horizontal="left" vertical="center"/>
      <protection hidden="1"/>
    </xf>
    <xf numFmtId="0" fontId="20" fillId="3" borderId="0" xfId="0" applyFont="1" applyFill="1" applyAlignment="1">
      <alignment vertical="center"/>
    </xf>
    <xf numFmtId="0" fontId="42" fillId="3" borderId="0" xfId="0" applyFont="1" applyFill="1" applyAlignment="1">
      <alignment horizontal="left" vertical="center"/>
    </xf>
    <xf numFmtId="0" fontId="42" fillId="3" borderId="0" xfId="0" applyFont="1" applyFill="1" applyAlignment="1">
      <alignment horizontal="center" vertical="center"/>
    </xf>
    <xf numFmtId="0" fontId="5" fillId="3" borderId="0" xfId="0" applyFont="1" applyFill="1" applyAlignment="1">
      <alignment vertical="center"/>
    </xf>
    <xf numFmtId="0" fontId="5" fillId="3" borderId="0" xfId="0" applyFont="1" applyFill="1" applyAlignment="1">
      <alignment horizontal="left" vertical="center" indent="1"/>
    </xf>
    <xf numFmtId="0" fontId="44" fillId="3" borderId="0" xfId="0" applyFont="1" applyFill="1" applyAlignment="1">
      <alignment horizontal="left" vertical="center"/>
    </xf>
    <xf numFmtId="0" fontId="9" fillId="3" borderId="0" xfId="0" applyFont="1" applyFill="1" applyAlignment="1">
      <alignment horizontal="left" vertical="center"/>
    </xf>
    <xf numFmtId="0" fontId="61" fillId="3" borderId="0" xfId="0" applyFont="1" applyFill="1" applyAlignment="1">
      <alignment horizontal="right" vertical="center"/>
    </xf>
    <xf numFmtId="0" fontId="9" fillId="3" borderId="0" xfId="0" applyFont="1" applyFill="1" applyAlignment="1">
      <alignment vertical="center"/>
    </xf>
    <xf numFmtId="0" fontId="47" fillId="3" borderId="0" xfId="0" applyFont="1" applyFill="1" applyAlignment="1">
      <alignment vertical="center"/>
    </xf>
    <xf numFmtId="0" fontId="59" fillId="3" borderId="0" xfId="0" applyFont="1" applyFill="1" applyAlignment="1">
      <alignment horizontal="right" vertical="center"/>
    </xf>
    <xf numFmtId="0" fontId="47" fillId="8" borderId="24" xfId="0" applyFont="1" applyFill="1" applyBorder="1" applyAlignment="1">
      <alignment horizontal="center" vertical="center" wrapText="1"/>
    </xf>
    <xf numFmtId="0" fontId="47" fillId="0" borderId="0" xfId="0" applyFont="1" applyAlignment="1">
      <alignment vertical="center"/>
    </xf>
    <xf numFmtId="0" fontId="52" fillId="0" borderId="24" xfId="0" applyFont="1" applyBorder="1" applyAlignment="1">
      <alignment horizontal="left" vertical="center" indent="1"/>
    </xf>
    <xf numFmtId="0" fontId="6" fillId="2" borderId="35" xfId="0" applyFont="1" applyFill="1" applyBorder="1" applyAlignment="1">
      <alignment vertical="center"/>
    </xf>
    <xf numFmtId="0" fontId="6" fillId="2" borderId="10" xfId="0" applyFont="1" applyFill="1" applyBorder="1" applyAlignment="1">
      <alignment vertical="center"/>
    </xf>
    <xf numFmtId="0" fontId="6" fillId="2" borderId="1" xfId="0" applyFont="1" applyFill="1" applyBorder="1" applyAlignment="1">
      <alignment vertical="center"/>
    </xf>
    <xf numFmtId="0" fontId="6" fillId="2" borderId="0" xfId="0" applyFont="1" applyFill="1" applyAlignment="1">
      <alignment vertical="center"/>
    </xf>
    <xf numFmtId="0" fontId="88" fillId="0" borderId="0" xfId="0" applyFont="1" applyAlignment="1">
      <alignment horizontal="left" vertical="center"/>
    </xf>
    <xf numFmtId="0" fontId="89" fillId="0" borderId="0" xfId="0" applyFont="1" applyAlignment="1">
      <alignment horizontal="center" vertical="center"/>
    </xf>
    <xf numFmtId="0" fontId="53" fillId="3" borderId="112" xfId="0" applyFont="1" applyFill="1" applyBorder="1" applyAlignment="1">
      <alignment horizontal="center" vertical="center" wrapText="1"/>
    </xf>
    <xf numFmtId="0" fontId="53" fillId="3" borderId="113" xfId="0" applyFont="1" applyFill="1" applyBorder="1" applyAlignment="1">
      <alignment horizontal="center" vertical="center" wrapText="1"/>
    </xf>
    <xf numFmtId="0" fontId="53" fillId="3" borderId="114" xfId="0" applyFont="1" applyFill="1" applyBorder="1" applyAlignment="1">
      <alignment horizontal="center" vertical="center" wrapText="1"/>
    </xf>
    <xf numFmtId="0" fontId="34" fillId="0" borderId="0" xfId="0" applyFont="1" applyAlignment="1">
      <alignment horizontal="left" vertical="top" wrapText="1"/>
    </xf>
    <xf numFmtId="0" fontId="34" fillId="0" borderId="37" xfId="0" applyFont="1" applyBorder="1" applyAlignment="1">
      <alignment horizontal="left" vertical="top" wrapText="1"/>
    </xf>
    <xf numFmtId="0" fontId="47" fillId="3" borderId="107" xfId="0" applyFont="1" applyFill="1" applyBorder="1" applyAlignment="1">
      <alignment horizontal="center" vertical="center"/>
    </xf>
    <xf numFmtId="0" fontId="47" fillId="3" borderId="108" xfId="0" applyFont="1" applyFill="1" applyBorder="1" applyAlignment="1">
      <alignment horizontal="center" vertical="center"/>
    </xf>
    <xf numFmtId="2" fontId="6" fillId="6" borderId="0" xfId="0" applyNumberFormat="1" applyFont="1" applyFill="1" applyAlignment="1">
      <alignment horizontal="center" vertical="center"/>
    </xf>
    <xf numFmtId="2" fontId="6" fillId="6" borderId="108" xfId="0" applyNumberFormat="1" applyFont="1" applyFill="1" applyBorder="1" applyAlignment="1">
      <alignment horizontal="center" vertical="center"/>
    </xf>
    <xf numFmtId="2" fontId="6" fillId="6" borderId="107" xfId="0" applyNumberFormat="1" applyFont="1" applyFill="1" applyBorder="1" applyAlignment="1">
      <alignment horizontal="center" vertical="center"/>
    </xf>
    <xf numFmtId="2" fontId="45" fillId="6" borderId="0" xfId="0" applyNumberFormat="1" applyFont="1" applyFill="1" applyAlignment="1">
      <alignment horizontal="center" vertical="center"/>
    </xf>
    <xf numFmtId="2" fontId="45" fillId="6" borderId="108" xfId="0" applyNumberFormat="1" applyFont="1" applyFill="1" applyBorder="1" applyAlignment="1">
      <alignment horizontal="center" vertical="center"/>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2" fontId="6" fillId="6" borderId="110" xfId="0" applyNumberFormat="1" applyFont="1" applyFill="1" applyBorder="1" applyAlignment="1">
      <alignment horizontal="center" vertical="center"/>
    </xf>
    <xf numFmtId="2" fontId="6" fillId="6" borderId="111" xfId="0" applyNumberFormat="1" applyFont="1" applyFill="1" applyBorder="1" applyAlignment="1">
      <alignment horizontal="center" vertical="center"/>
    </xf>
    <xf numFmtId="0" fontId="6" fillId="0" borderId="0" xfId="0" applyFont="1" applyAlignment="1">
      <alignment horizontal="left" vertical="center" wrapText="1"/>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2" fontId="45" fillId="6" borderId="107" xfId="0" applyNumberFormat="1" applyFont="1" applyFill="1" applyBorder="1" applyAlignment="1">
      <alignment horizontal="center" vertical="center"/>
    </xf>
    <xf numFmtId="0" fontId="52" fillId="0" borderId="24" xfId="0" applyFont="1" applyBorder="1" applyAlignment="1">
      <alignment horizontal="left" vertical="center" wrapText="1" indent="1"/>
    </xf>
    <xf numFmtId="0" fontId="48" fillId="0" borderId="0" xfId="0" applyFont="1" applyAlignment="1">
      <alignment horizontal="left" vertical="center" wrapText="1"/>
    </xf>
    <xf numFmtId="0" fontId="48" fillId="0" borderId="0" xfId="0" applyFont="1" applyAlignment="1">
      <alignment horizontal="left" vertical="top" wrapText="1"/>
    </xf>
    <xf numFmtId="0" fontId="52" fillId="0" borderId="2" xfId="0" applyFont="1" applyBorder="1" applyAlignment="1">
      <alignment horizontal="left" vertical="center" indent="1"/>
    </xf>
    <xf numFmtId="0" fontId="52" fillId="0" borderId="4" xfId="0" applyFont="1" applyBorder="1" applyAlignment="1">
      <alignment horizontal="left" vertical="center" indent="1"/>
    </xf>
    <xf numFmtId="9" fontId="51" fillId="0" borderId="27" xfId="1" applyFont="1" applyFill="1" applyBorder="1" applyAlignment="1">
      <alignment horizontal="center" vertical="center"/>
    </xf>
    <xf numFmtId="9" fontId="51" fillId="0" borderId="20" xfId="1" applyFont="1" applyFill="1" applyBorder="1" applyAlignment="1">
      <alignment horizontal="center" vertical="center"/>
    </xf>
    <xf numFmtId="0" fontId="35" fillId="0" borderId="0" xfId="0" applyFont="1" applyAlignment="1">
      <alignment horizontal="center" vertical="center" wrapText="1"/>
    </xf>
    <xf numFmtId="0" fontId="16" fillId="0" borderId="0" xfId="0" applyFont="1" applyAlignment="1">
      <alignment horizontal="left" vertical="top" wrapText="1" indent="1"/>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55" fillId="3" borderId="113" xfId="0" applyFont="1" applyFill="1" applyBorder="1" applyAlignment="1">
      <alignment horizontal="right" vertical="top"/>
    </xf>
    <xf numFmtId="0" fontId="55" fillId="3" borderId="18" xfId="0" applyFont="1" applyFill="1" applyBorder="1" applyAlignment="1">
      <alignment horizontal="right" vertical="top"/>
    </xf>
    <xf numFmtId="2" fontId="6" fillId="6" borderId="109" xfId="0" applyNumberFormat="1" applyFont="1" applyFill="1" applyBorder="1" applyAlignment="1">
      <alignment horizontal="center" vertical="center"/>
    </xf>
    <xf numFmtId="0" fontId="43" fillId="8" borderId="117" xfId="0" applyFont="1" applyFill="1" applyBorder="1" applyAlignment="1">
      <alignment horizontal="center" vertical="center"/>
    </xf>
    <xf numFmtId="0" fontId="43" fillId="8" borderId="118" xfId="0" applyFont="1" applyFill="1" applyBorder="1" applyAlignment="1">
      <alignment horizontal="center" vertical="center"/>
    </xf>
    <xf numFmtId="0" fontId="6" fillId="0" borderId="0" xfId="0" applyFont="1" applyAlignment="1">
      <alignment horizontal="left" vertical="top" wrapText="1"/>
    </xf>
    <xf numFmtId="0" fontId="16" fillId="9" borderId="102" xfId="0" applyFont="1" applyFill="1" applyBorder="1" applyAlignment="1">
      <alignment horizontal="left" vertical="center" indent="1"/>
    </xf>
    <xf numFmtId="0" fontId="16" fillId="9" borderId="103" xfId="0" applyFont="1" applyFill="1" applyBorder="1" applyAlignment="1">
      <alignment horizontal="left" vertical="center" indent="1"/>
    </xf>
    <xf numFmtId="0" fontId="16" fillId="9" borderId="104" xfId="0" applyFont="1" applyFill="1" applyBorder="1" applyAlignment="1">
      <alignment horizontal="left" vertical="center" indent="1"/>
    </xf>
    <xf numFmtId="0" fontId="5" fillId="22" borderId="9" xfId="0" applyFont="1" applyFill="1" applyBorder="1" applyAlignment="1">
      <alignment horizontal="left" vertical="center"/>
    </xf>
    <xf numFmtId="0" fontId="5" fillId="22" borderId="10" xfId="0" applyFont="1" applyFill="1" applyBorder="1" applyAlignment="1">
      <alignment horizontal="left" vertical="center"/>
    </xf>
    <xf numFmtId="0" fontId="58" fillId="2" borderId="2" xfId="0" applyFont="1" applyFill="1" applyBorder="1" applyAlignment="1">
      <alignment horizontal="left" vertical="center" indent="1"/>
    </xf>
    <xf numFmtId="0" fontId="58" fillId="2" borderId="3" xfId="0" applyFont="1" applyFill="1" applyBorder="1" applyAlignment="1">
      <alignment horizontal="left" vertical="center" indent="1"/>
    </xf>
    <xf numFmtId="0" fontId="58" fillId="2" borderId="4" xfId="0" applyFont="1" applyFill="1" applyBorder="1" applyAlignment="1">
      <alignment horizontal="left" vertical="center" indent="1"/>
    </xf>
    <xf numFmtId="0" fontId="16" fillId="0" borderId="0" xfId="0" applyFont="1" applyAlignment="1">
      <alignment horizontal="left" vertical="center" wrapText="1"/>
    </xf>
    <xf numFmtId="0" fontId="30" fillId="0" borderId="0" xfId="0" applyFont="1" applyAlignment="1">
      <alignment vertical="top" wrapText="1"/>
    </xf>
    <xf numFmtId="0" fontId="16" fillId="13" borderId="35" xfId="0" applyFont="1" applyFill="1" applyBorder="1" applyAlignment="1">
      <alignment horizontal="left" vertical="center" wrapText="1" indent="1"/>
    </xf>
    <xf numFmtId="0" fontId="16" fillId="13" borderId="0" xfId="0" applyFont="1" applyFill="1" applyAlignment="1">
      <alignment horizontal="left" vertical="center" wrapText="1" indent="1"/>
    </xf>
    <xf numFmtId="0" fontId="16" fillId="13" borderId="1" xfId="0" applyFont="1" applyFill="1" applyBorder="1" applyAlignment="1">
      <alignment horizontal="left" vertical="center" wrapText="1" indent="1"/>
    </xf>
    <xf numFmtId="0" fontId="16" fillId="13" borderId="47" xfId="0" applyFont="1" applyFill="1" applyBorder="1" applyAlignment="1">
      <alignment horizontal="left" vertical="center" wrapText="1" indent="1"/>
    </xf>
    <xf numFmtId="0" fontId="16" fillId="13" borderId="18" xfId="0" applyFont="1" applyFill="1" applyBorder="1" applyAlignment="1">
      <alignment horizontal="left" vertical="center" wrapText="1" indent="1"/>
    </xf>
    <xf numFmtId="0" fontId="16" fillId="13" borderId="19" xfId="0" applyFont="1" applyFill="1" applyBorder="1" applyAlignment="1">
      <alignment horizontal="left" vertical="center" wrapText="1" indent="1"/>
    </xf>
    <xf numFmtId="2" fontId="6" fillId="6" borderId="113" xfId="0" applyNumberFormat="1" applyFont="1" applyFill="1" applyBorder="1" applyAlignment="1">
      <alignment horizontal="center" vertical="center"/>
    </xf>
    <xf numFmtId="2" fontId="6" fillId="6" borderId="114" xfId="0" applyNumberFormat="1" applyFont="1" applyFill="1" applyBorder="1" applyAlignment="1">
      <alignment horizontal="center" vertical="center"/>
    </xf>
    <xf numFmtId="2" fontId="6" fillId="6" borderId="112" xfId="0" applyNumberFormat="1" applyFont="1" applyFill="1" applyBorder="1" applyAlignment="1">
      <alignment horizontal="center" vertical="center"/>
    </xf>
    <xf numFmtId="0" fontId="35" fillId="21" borderId="3" xfId="0" applyFont="1" applyFill="1" applyBorder="1" applyAlignment="1">
      <alignment horizontal="left" vertical="center"/>
    </xf>
    <xf numFmtId="0" fontId="35" fillId="21" borderId="4" xfId="0" applyFont="1" applyFill="1" applyBorder="1" applyAlignment="1">
      <alignment horizontal="left" vertical="center"/>
    </xf>
    <xf numFmtId="0" fontId="7" fillId="13" borderId="90" xfId="0" applyFont="1" applyFill="1" applyBorder="1" applyAlignment="1">
      <alignment horizontal="left" vertical="center" wrapText="1"/>
    </xf>
    <xf numFmtId="0" fontId="7" fillId="13" borderId="0" xfId="0" applyFont="1" applyFill="1" applyAlignment="1">
      <alignment horizontal="left" vertical="center" wrapText="1"/>
    </xf>
    <xf numFmtId="0" fontId="43" fillId="8" borderId="116" xfId="0" applyFont="1" applyFill="1" applyBorder="1" applyAlignment="1">
      <alignment horizontal="center" vertical="center"/>
    </xf>
    <xf numFmtId="0" fontId="36" fillId="22" borderId="117" xfId="0" applyFont="1" applyFill="1" applyBorder="1" applyAlignment="1">
      <alignment horizontal="center" vertical="center"/>
    </xf>
    <xf numFmtId="0" fontId="53" fillId="3" borderId="109" xfId="0" applyFont="1" applyFill="1" applyBorder="1" applyAlignment="1">
      <alignment horizontal="center" vertical="center" wrapText="1"/>
    </xf>
    <xf numFmtId="0" fontId="53" fillId="3" borderId="111" xfId="0" applyFont="1" applyFill="1" applyBorder="1" applyAlignment="1">
      <alignment horizontal="center" vertical="center" wrapText="1"/>
    </xf>
    <xf numFmtId="0" fontId="7" fillId="6" borderId="112" xfId="0" applyFont="1" applyFill="1" applyBorder="1" applyAlignment="1">
      <alignment horizontal="center" vertical="center"/>
    </xf>
    <xf numFmtId="0" fontId="7" fillId="6" borderId="114" xfId="0" applyFont="1" applyFill="1" applyBorder="1" applyAlignment="1">
      <alignment horizontal="center" vertical="center"/>
    </xf>
    <xf numFmtId="0" fontId="7" fillId="6" borderId="107" xfId="0" applyFont="1" applyFill="1" applyBorder="1" applyAlignment="1">
      <alignment horizontal="center" vertical="center"/>
    </xf>
    <xf numFmtId="0" fontId="7" fillId="6" borderId="108" xfId="0" applyFont="1" applyFill="1" applyBorder="1" applyAlignment="1">
      <alignment horizontal="center" vertical="center"/>
    </xf>
    <xf numFmtId="0" fontId="69" fillId="20" borderId="35" xfId="0" applyFont="1" applyFill="1" applyBorder="1" applyAlignment="1">
      <alignment horizontal="left" vertical="center" wrapText="1" indent="1"/>
    </xf>
    <xf numFmtId="0" fontId="69" fillId="20" borderId="0" xfId="0" applyFont="1" applyFill="1" applyAlignment="1">
      <alignment horizontal="left" vertical="center" wrapText="1" indent="1"/>
    </xf>
    <xf numFmtId="0" fontId="69" fillId="20" borderId="1" xfId="0" applyFont="1" applyFill="1" applyBorder="1" applyAlignment="1">
      <alignment horizontal="left" vertical="center" wrapText="1" indent="1"/>
    </xf>
    <xf numFmtId="0" fontId="69" fillId="20" borderId="47" xfId="0" applyFont="1" applyFill="1" applyBorder="1" applyAlignment="1">
      <alignment horizontal="left" vertical="center" wrapText="1" indent="1"/>
    </xf>
    <xf numFmtId="0" fontId="69" fillId="20" borderId="18" xfId="0" applyFont="1" applyFill="1" applyBorder="1" applyAlignment="1">
      <alignment horizontal="left" vertical="center" wrapText="1" indent="1"/>
    </xf>
    <xf numFmtId="0" fontId="69" fillId="20" borderId="19" xfId="0" applyFont="1" applyFill="1" applyBorder="1" applyAlignment="1">
      <alignment horizontal="left" vertical="center" wrapText="1" indent="1"/>
    </xf>
    <xf numFmtId="0" fontId="50" fillId="9" borderId="45" xfId="0" applyFont="1" applyFill="1" applyBorder="1" applyAlignment="1">
      <alignment horizontal="left" vertical="center" wrapText="1" indent="1"/>
    </xf>
    <xf numFmtId="0" fontId="50" fillId="9" borderId="26" xfId="0" applyFont="1" applyFill="1" applyBorder="1" applyAlignment="1">
      <alignment horizontal="left" vertical="center" wrapText="1" indent="1"/>
    </xf>
    <xf numFmtId="0" fontId="50" fillId="9" borderId="46" xfId="0" applyFont="1" applyFill="1" applyBorder="1" applyAlignment="1">
      <alignment horizontal="left" vertical="center" wrapText="1" indent="1"/>
    </xf>
    <xf numFmtId="0" fontId="50" fillId="9" borderId="47" xfId="0" applyFont="1" applyFill="1" applyBorder="1" applyAlignment="1">
      <alignment horizontal="left" vertical="center" wrapText="1" indent="1"/>
    </xf>
    <xf numFmtId="0" fontId="50" fillId="9" borderId="18" xfId="0" applyFont="1" applyFill="1" applyBorder="1" applyAlignment="1">
      <alignment horizontal="left" vertical="center" wrapText="1" indent="1"/>
    </xf>
    <xf numFmtId="0" fontId="50" fillId="9" borderId="19" xfId="0" applyFont="1" applyFill="1" applyBorder="1" applyAlignment="1">
      <alignment horizontal="left" vertical="center" wrapText="1" indent="1"/>
    </xf>
    <xf numFmtId="0" fontId="50" fillId="13" borderId="35" xfId="0" applyFont="1" applyFill="1" applyBorder="1" applyAlignment="1">
      <alignment horizontal="left" vertical="center" wrapText="1" indent="1"/>
    </xf>
    <xf numFmtId="0" fontId="50" fillId="13" borderId="0" xfId="0" applyFont="1" applyFill="1" applyAlignment="1">
      <alignment horizontal="left" vertical="center" wrapText="1" indent="1"/>
    </xf>
    <xf numFmtId="0" fontId="50" fillId="13" borderId="1" xfId="0" applyFont="1" applyFill="1" applyBorder="1" applyAlignment="1">
      <alignment horizontal="left" vertical="center" wrapText="1" inden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7" fillId="6" borderId="109" xfId="0" applyFont="1" applyFill="1" applyBorder="1" applyAlignment="1">
      <alignment horizontal="center" vertical="center"/>
    </xf>
    <xf numFmtId="0" fontId="7" fillId="6" borderId="111" xfId="0" applyFont="1" applyFill="1" applyBorder="1" applyAlignment="1">
      <alignment horizontal="center" vertical="center"/>
    </xf>
    <xf numFmtId="2" fontId="45" fillId="6" borderId="109" xfId="0" applyNumberFormat="1" applyFont="1" applyFill="1" applyBorder="1" applyAlignment="1">
      <alignment horizontal="center" vertical="center"/>
    </xf>
    <xf numFmtId="2" fontId="45" fillId="6" borderId="110" xfId="0" applyNumberFormat="1" applyFont="1" applyFill="1" applyBorder="1" applyAlignment="1">
      <alignment horizontal="center" vertical="center"/>
    </xf>
    <xf numFmtId="0" fontId="7" fillId="6" borderId="3" xfId="0" applyFont="1" applyFill="1" applyBorder="1" applyAlignment="1" applyProtection="1">
      <alignment horizontal="left" vertical="center" wrapText="1"/>
      <protection locked="0"/>
    </xf>
    <xf numFmtId="0" fontId="7" fillId="6" borderId="64" xfId="0" applyFont="1" applyFill="1" applyBorder="1" applyAlignment="1" applyProtection="1">
      <alignment horizontal="left" vertical="center" wrapText="1"/>
      <protection locked="0"/>
    </xf>
    <xf numFmtId="0" fontId="47" fillId="6" borderId="45" xfId="0" applyFont="1" applyFill="1" applyBorder="1" applyAlignment="1">
      <alignment horizontal="left" vertical="top" indent="1"/>
    </xf>
    <xf numFmtId="0" fontId="47" fillId="6" borderId="26" xfId="0" applyFont="1" applyFill="1" applyBorder="1" applyAlignment="1">
      <alignment horizontal="left" vertical="top" indent="1"/>
    </xf>
    <xf numFmtId="0" fontId="47" fillId="6" borderId="47" xfId="0" applyFont="1" applyFill="1" applyBorder="1" applyAlignment="1">
      <alignment horizontal="left" vertical="top" indent="1"/>
    </xf>
    <xf numFmtId="0" fontId="47" fillId="6" borderId="18" xfId="0" applyFont="1" applyFill="1" applyBorder="1" applyAlignment="1">
      <alignment horizontal="left" vertical="top" indent="1"/>
    </xf>
    <xf numFmtId="0" fontId="47" fillId="6" borderId="26" xfId="0" applyFont="1" applyFill="1" applyBorder="1" applyAlignment="1">
      <alignment horizontal="center" vertical="top"/>
    </xf>
    <xf numFmtId="0" fontId="47" fillId="6" borderId="18" xfId="0" applyFont="1" applyFill="1" applyBorder="1" applyAlignment="1">
      <alignment horizontal="center" vertical="top"/>
    </xf>
    <xf numFmtId="0" fontId="47" fillId="21" borderId="2" xfId="0" applyFont="1" applyFill="1" applyBorder="1" applyAlignment="1">
      <alignment horizontal="left" vertical="center" indent="1"/>
    </xf>
    <xf numFmtId="0" fontId="47" fillId="21" borderId="3" xfId="0" applyFont="1" applyFill="1" applyBorder="1" applyAlignment="1">
      <alignment horizontal="left" vertical="center" indent="1"/>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47" fillId="6" borderId="59" xfId="0" applyFont="1" applyFill="1" applyBorder="1" applyAlignment="1">
      <alignment horizontal="center" vertical="center"/>
    </xf>
    <xf numFmtId="0" fontId="47" fillId="6" borderId="18" xfId="0" applyFont="1" applyFill="1" applyBorder="1" applyAlignment="1">
      <alignment horizontal="center" vertical="center"/>
    </xf>
    <xf numFmtId="0" fontId="47" fillId="6" borderId="58" xfId="0" applyFont="1" applyFill="1" applyBorder="1" applyAlignment="1">
      <alignment horizontal="left" vertical="center" indent="1"/>
    </xf>
    <xf numFmtId="0" fontId="47" fillId="6" borderId="59" xfId="0" applyFont="1" applyFill="1" applyBorder="1" applyAlignment="1">
      <alignment horizontal="left" vertical="center" indent="1"/>
    </xf>
    <xf numFmtId="0" fontId="47" fillId="6" borderId="61" xfId="0" applyFont="1" applyFill="1" applyBorder="1" applyAlignment="1">
      <alignment horizontal="left" vertical="center" indent="1"/>
    </xf>
    <xf numFmtId="0" fontId="47" fillId="6" borderId="18" xfId="0" applyFont="1" applyFill="1" applyBorder="1" applyAlignment="1">
      <alignment horizontal="left" vertical="center" indent="1"/>
    </xf>
    <xf numFmtId="0" fontId="15" fillId="22" borderId="9" xfId="0" applyFont="1" applyFill="1" applyBorder="1" applyAlignment="1">
      <alignment horizontal="left" vertical="center" indent="1"/>
    </xf>
    <xf numFmtId="0" fontId="15" fillId="22" borderId="10" xfId="0" applyFont="1" applyFill="1" applyBorder="1" applyAlignment="1">
      <alignment horizontal="left" vertical="center" indent="1"/>
    </xf>
    <xf numFmtId="0" fontId="15" fillId="22" borderId="12" xfId="0" applyFont="1" applyFill="1" applyBorder="1" applyAlignment="1">
      <alignment horizontal="left" vertical="center" indent="1"/>
    </xf>
    <xf numFmtId="0" fontId="15" fillId="22" borderId="0" xfId="0" applyFont="1" applyFill="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36" fillId="22" borderId="9" xfId="0" applyFont="1" applyFill="1" applyBorder="1" applyAlignment="1">
      <alignment horizontal="left" vertical="center" indent="1"/>
    </xf>
    <xf numFmtId="0" fontId="36" fillId="22" borderId="10" xfId="0" applyFont="1" applyFill="1" applyBorder="1" applyAlignment="1">
      <alignment horizontal="left" vertical="center" indent="1"/>
    </xf>
    <xf numFmtId="0" fontId="36" fillId="22" borderId="11" xfId="0" applyFont="1" applyFill="1" applyBorder="1" applyAlignment="1">
      <alignment horizontal="left" vertical="center" indent="1"/>
    </xf>
    <xf numFmtId="0" fontId="36" fillId="22" borderId="12" xfId="0" applyFont="1" applyFill="1" applyBorder="1" applyAlignment="1">
      <alignment horizontal="left" vertical="center" indent="1"/>
    </xf>
    <xf numFmtId="0" fontId="36" fillId="22" borderId="0" xfId="0" applyFont="1" applyFill="1" applyAlignment="1">
      <alignment horizontal="left" vertical="center" indent="1"/>
    </xf>
    <xf numFmtId="0" fontId="36" fillId="22" borderId="14" xfId="0" applyFont="1" applyFill="1" applyBorder="1" applyAlignment="1">
      <alignment horizontal="left" vertical="center" indent="1"/>
    </xf>
    <xf numFmtId="0" fontId="47" fillId="6" borderId="2" xfId="0" applyFont="1" applyFill="1" applyBorder="1" applyAlignment="1">
      <alignment horizontal="left" vertical="center" indent="1"/>
    </xf>
    <xf numFmtId="0" fontId="47" fillId="6" borderId="3"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7" fillId="0" borderId="0" xfId="0" applyFont="1" applyAlignment="1">
      <alignment horizontal="left" vertical="top" wrapText="1"/>
    </xf>
    <xf numFmtId="0" fontId="75" fillId="13" borderId="26" xfId="0" applyFont="1" applyFill="1" applyBorder="1" applyAlignment="1">
      <alignment horizontal="left" vertical="top" wrapText="1" indent="1"/>
    </xf>
    <xf numFmtId="0" fontId="75" fillId="13" borderId="37" xfId="0" applyFont="1" applyFill="1" applyBorder="1" applyAlignment="1">
      <alignment horizontal="left" vertical="top" wrapText="1" indent="1"/>
    </xf>
    <xf numFmtId="0" fontId="7" fillId="21" borderId="3" xfId="0" applyFont="1" applyFill="1" applyBorder="1" applyAlignment="1">
      <alignment horizontal="left" vertical="center" wrapText="1"/>
    </xf>
    <xf numFmtId="0" fontId="7" fillId="21" borderId="4" xfId="0" applyFont="1" applyFill="1" applyBorder="1" applyAlignment="1">
      <alignment horizontal="left" vertical="center" wrapText="1"/>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6" fillId="6" borderId="26" xfId="0" applyFont="1" applyFill="1" applyBorder="1" applyAlignment="1" applyProtection="1">
      <alignment horizontal="left" vertical="top" wrapText="1"/>
      <protection locked="0"/>
    </xf>
    <xf numFmtId="0" fontId="46" fillId="6" borderId="46" xfId="0" applyFont="1" applyFill="1" applyBorder="1" applyAlignment="1" applyProtection="1">
      <alignment horizontal="left" vertical="top" wrapText="1"/>
      <protection locked="0"/>
    </xf>
    <xf numFmtId="0" fontId="46" fillId="6" borderId="18" xfId="0" applyFont="1" applyFill="1" applyBorder="1" applyAlignment="1" applyProtection="1">
      <alignment horizontal="left" vertical="top" wrapText="1"/>
      <protection locked="0"/>
    </xf>
    <xf numFmtId="0" fontId="46" fillId="6" borderId="19" xfId="0" applyFont="1" applyFill="1" applyBorder="1" applyAlignment="1" applyProtection="1">
      <alignment horizontal="left" vertical="top" wrapText="1"/>
      <protection locked="0"/>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2"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2" xfId="0" applyFont="1" applyBorder="1" applyAlignment="1">
      <alignment horizontal="left" vertical="center" indent="1"/>
    </xf>
    <xf numFmtId="0" fontId="7" fillId="0" borderId="40" xfId="0" applyFont="1" applyBorder="1" applyAlignment="1">
      <alignment horizontal="left" vertical="center" indent="1"/>
    </xf>
    <xf numFmtId="0" fontId="7" fillId="0" borderId="69" xfId="0" applyFont="1" applyBorder="1" applyAlignment="1">
      <alignment horizontal="left" vertical="center" indent="1"/>
    </xf>
    <xf numFmtId="0" fontId="12" fillId="3" borderId="73" xfId="0" applyFont="1" applyFill="1" applyBorder="1" applyAlignment="1">
      <alignment horizontal="center"/>
    </xf>
    <xf numFmtId="0" fontId="12" fillId="3" borderId="74" xfId="0" applyFont="1" applyFill="1" applyBorder="1" applyAlignment="1">
      <alignment horizontal="center"/>
    </xf>
    <xf numFmtId="0" fontId="12" fillId="3" borderId="119" xfId="0" applyFont="1" applyFill="1" applyBorder="1" applyAlignment="1">
      <alignment horizontal="center"/>
    </xf>
    <xf numFmtId="9" fontId="32" fillId="3" borderId="81"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6" fillId="0" borderId="33"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8" xfId="0" applyFont="1" applyBorder="1" applyAlignment="1">
      <alignment horizontal="left" vertical="center" indent="1"/>
    </xf>
    <xf numFmtId="0" fontId="7" fillId="0" borderId="32"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66" xfId="0" applyFont="1" applyBorder="1" applyAlignment="1">
      <alignment horizontal="center" vertical="center" wrapText="1"/>
    </xf>
    <xf numFmtId="0" fontId="12" fillId="3" borderId="75" xfId="0" applyFont="1" applyFill="1" applyBorder="1" applyAlignment="1">
      <alignment horizontal="center"/>
    </xf>
    <xf numFmtId="9" fontId="32" fillId="3" borderId="81"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0" xfId="1" applyFont="1" applyFill="1" applyBorder="1" applyAlignment="1" applyProtection="1">
      <alignment horizontal="center" vertical="center"/>
    </xf>
    <xf numFmtId="9" fontId="32" fillId="3" borderId="80" xfId="0" applyNumberFormat="1" applyFont="1" applyFill="1" applyBorder="1" applyAlignment="1">
      <alignment horizontal="center" vertical="center"/>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6" fillId="0" borderId="4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2" xfId="0" applyFont="1" applyBorder="1" applyAlignment="1">
      <alignment horizontal="right" vertical="center" indent="1"/>
    </xf>
    <xf numFmtId="0" fontId="6" fillId="0" borderId="40" xfId="0" applyFont="1" applyBorder="1" applyAlignment="1">
      <alignment horizontal="right" vertical="center" indent="1"/>
    </xf>
    <xf numFmtId="0" fontId="6" fillId="0" borderId="69" xfId="0" applyFont="1" applyBorder="1" applyAlignment="1">
      <alignment horizontal="right" vertical="center" indent="1"/>
    </xf>
    <xf numFmtId="0" fontId="13" fillId="0" borderId="55" xfId="0" applyFont="1" applyBorder="1" applyAlignment="1">
      <alignment horizontal="center" vertical="center"/>
    </xf>
    <xf numFmtId="0" fontId="13" fillId="0" borderId="72"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30" fillId="0" borderId="53" xfId="0" applyFont="1" applyBorder="1" applyAlignment="1">
      <alignment horizontal="right" vertical="top" indent="1"/>
    </xf>
    <xf numFmtId="0" fontId="7" fillId="0" borderId="55" xfId="0" applyFont="1" applyBorder="1" applyAlignment="1">
      <alignment horizontal="center" vertical="center"/>
    </xf>
    <xf numFmtId="0" fontId="7" fillId="0" borderId="56" xfId="0" applyFont="1" applyBorder="1" applyAlignment="1">
      <alignment horizontal="center" vertical="center"/>
    </xf>
    <xf numFmtId="0" fontId="7" fillId="0" borderId="65"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65"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66" xfId="0" applyFont="1" applyBorder="1" applyAlignment="1">
      <alignment horizontal="left" vertical="top" wrapText="1"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59" fillId="0" borderId="55" xfId="0" applyFont="1" applyBorder="1" applyAlignment="1">
      <alignment horizontal="right" vertical="top" indent="1"/>
    </xf>
    <xf numFmtId="0" fontId="59" fillId="0" borderId="53"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7" fillId="0" borderId="124" xfId="0" applyFont="1" applyBorder="1" applyAlignment="1">
      <alignment horizontal="left" vertical="center" wrapText="1" indent="1"/>
    </xf>
    <xf numFmtId="0" fontId="7" fillId="0" borderId="34" xfId="0" applyFont="1" applyBorder="1" applyAlignment="1">
      <alignment horizontal="left" vertical="center" wrapText="1" indent="1"/>
    </xf>
    <xf numFmtId="0" fontId="7" fillId="0" borderId="24" xfId="0" applyFont="1" applyBorder="1" applyAlignment="1">
      <alignment horizontal="left" vertical="top" indent="1"/>
    </xf>
    <xf numFmtId="0" fontId="7" fillId="0" borderId="66" xfId="0" applyFont="1" applyBorder="1" applyAlignment="1">
      <alignment horizontal="left" vertical="top" inden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67">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ont>
        <color theme="2" tint="-0.24994659260841701"/>
      </font>
    </dxf>
    <dxf>
      <fill>
        <patternFill>
          <bgColor theme="2"/>
        </patternFill>
      </fill>
    </dxf>
    <dxf>
      <fill>
        <patternFill>
          <bgColor theme="2"/>
        </patternFill>
      </fill>
    </dxf>
    <dxf>
      <fill>
        <patternFill>
          <bgColor theme="4" tint="0.7999816888943144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ont>
        <color theme="2" tint="-0.24994659260841701"/>
      </font>
    </dxf>
    <dxf>
      <fill>
        <patternFill>
          <bgColor theme="2"/>
        </patternFill>
      </fill>
    </dxf>
    <dxf>
      <fill>
        <patternFill>
          <bgColor theme="2"/>
        </patternFill>
      </fill>
    </dxf>
    <dxf>
      <fill>
        <patternFill>
          <bgColor theme="4" tint="0.7999816888943144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ont>
        <color theme="2" tint="-0.24994659260841701"/>
      </font>
    </dxf>
    <dxf>
      <fill>
        <patternFill>
          <bgColor theme="2"/>
        </patternFill>
      </fill>
    </dxf>
    <dxf>
      <fill>
        <patternFill>
          <bgColor theme="2"/>
        </patternFill>
      </fill>
    </dxf>
    <dxf>
      <fill>
        <patternFill>
          <bgColor theme="4" tint="0.7999816888943144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color theme="2" tint="-9.9948118533890809E-2"/>
      </font>
      <fill>
        <patternFill>
          <bgColor theme="0" tint="-0.14996795556505021"/>
        </patternFill>
      </fill>
    </dxf>
    <dxf>
      <font>
        <color theme="2" tint="-9.9948118533890809E-2"/>
      </font>
      <fill>
        <patternFill>
          <bgColor theme="0" tint="-0.14996795556505021"/>
        </patternFill>
      </fill>
    </dxf>
    <dxf>
      <font>
        <b/>
        <i val="0"/>
        <color theme="5"/>
      </font>
    </dxf>
    <dxf>
      <font>
        <b/>
        <i val="0"/>
        <color rgb="FF008000"/>
      </font>
    </dxf>
    <dxf>
      <font>
        <b/>
        <i val="0"/>
        <color rgb="FF0046D2"/>
      </font>
    </dxf>
    <dxf>
      <font>
        <b/>
        <i val="0"/>
        <color rgb="FF008000"/>
      </font>
    </dxf>
  </dxfs>
  <tableStyles count="0" defaultTableStyle="TableStyleMedium2" defaultPivotStyle="PivotStyleLight16"/>
  <colors>
    <mruColors>
      <color rgb="FF008000"/>
      <color rgb="FFFF9933"/>
      <color rgb="FF0046D2"/>
      <color rgb="FFCCCCFF"/>
      <color rgb="FFFFCCCC"/>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028" y="1946058"/>
          <a:ext cx="656897" cy="656897"/>
        </a:xfrm>
        <a:prstGeom prst="rect">
          <a:avLst/>
        </a:prstGeom>
      </xdr:spPr>
    </xdr:pic>
    <xdr:clientData/>
  </xdr:twoCellAnchor>
  <xdr:twoCellAnchor editAs="oneCell">
    <xdr:from>
      <xdr:col>2</xdr:col>
      <xdr:colOff>33192</xdr:colOff>
      <xdr:row>57</xdr:row>
      <xdr:rowOff>144517</xdr:rowOff>
    </xdr:from>
    <xdr:to>
      <xdr:col>26</xdr:col>
      <xdr:colOff>26275</xdr:colOff>
      <xdr:row>65</xdr:row>
      <xdr:rowOff>107181</xdr:rowOff>
    </xdr:to>
    <xdr:pic>
      <xdr:nvPicPr>
        <xdr:cNvPr id="9" name="Picture 8">
          <a:extLst>
            <a:ext uri="{FF2B5EF4-FFF2-40B4-BE49-F238E27FC236}">
              <a16:creationId xmlns:a16="http://schemas.microsoft.com/office/drawing/2014/main" id="{64546C45-9E3A-4E04-8E48-78C9EAA4AC1D}"/>
            </a:ext>
          </a:extLst>
        </xdr:cNvPr>
        <xdr:cNvPicPr>
          <a:picLocks noChangeAspect="1"/>
        </xdr:cNvPicPr>
      </xdr:nvPicPr>
      <xdr:blipFill rotWithShape="1">
        <a:blip xmlns:r="http://schemas.openxmlformats.org/officeDocument/2006/relationships" r:embed="rId3"/>
        <a:srcRect t="39504"/>
        <a:stretch>
          <a:fillRect/>
        </a:stretch>
      </xdr:blipFill>
      <xdr:spPr>
        <a:xfrm>
          <a:off x="532433" y="11955517"/>
          <a:ext cx="9229049" cy="1539216"/>
        </a:xfrm>
        <a:prstGeom prst="rect">
          <a:avLst/>
        </a:prstGeom>
      </xdr:spPr>
    </xdr:pic>
    <xdr:clientData/>
  </xdr:twoCellAnchor>
  <xdr:twoCellAnchor editAs="oneCell">
    <xdr:from>
      <xdr:col>11</xdr:col>
      <xdr:colOff>32844</xdr:colOff>
      <xdr:row>36</xdr:row>
      <xdr:rowOff>24631</xdr:rowOff>
    </xdr:from>
    <xdr:to>
      <xdr:col>25</xdr:col>
      <xdr:colOff>221700</xdr:colOff>
      <xdr:row>38</xdr:row>
      <xdr:rowOff>163130</xdr:rowOff>
    </xdr:to>
    <xdr:pic>
      <xdr:nvPicPr>
        <xdr:cNvPr id="2" name="Picture 1">
          <a:extLst>
            <a:ext uri="{FF2B5EF4-FFF2-40B4-BE49-F238E27FC236}">
              <a16:creationId xmlns:a16="http://schemas.microsoft.com/office/drawing/2014/main" id="{C4C50648-6150-9F8F-4AAF-C179CE30ECC4}"/>
            </a:ext>
          </a:extLst>
        </xdr:cNvPr>
        <xdr:cNvPicPr>
          <a:picLocks noChangeAspect="1"/>
        </xdr:cNvPicPr>
      </xdr:nvPicPr>
      <xdr:blipFill>
        <a:blip xmlns:r="http://schemas.openxmlformats.org/officeDocument/2006/relationships" r:embed="rId4"/>
        <a:stretch>
          <a:fillRect/>
        </a:stretch>
      </xdr:blipFill>
      <xdr:spPr>
        <a:xfrm>
          <a:off x="5912068" y="7874545"/>
          <a:ext cx="3637563" cy="540848"/>
        </a:xfrm>
        <a:prstGeom prst="rect">
          <a:avLst/>
        </a:prstGeom>
      </xdr:spPr>
    </xdr:pic>
    <xdr:clientData/>
  </xdr:twoCellAnchor>
  <xdr:twoCellAnchor editAs="oneCell">
    <xdr:from>
      <xdr:col>21</xdr:col>
      <xdr:colOff>184273</xdr:colOff>
      <xdr:row>31</xdr:row>
      <xdr:rowOff>180646</xdr:rowOff>
    </xdr:from>
    <xdr:to>
      <xdr:col>25</xdr:col>
      <xdr:colOff>81545</xdr:colOff>
      <xdr:row>37</xdr:row>
      <xdr:rowOff>32844</xdr:rowOff>
    </xdr:to>
    <xdr:pic>
      <xdr:nvPicPr>
        <xdr:cNvPr id="5" name="Graphic 4" descr="Arrow: Clockwise curve with solid fill">
          <a:extLst>
            <a:ext uri="{FF2B5EF4-FFF2-40B4-BE49-F238E27FC236}">
              <a16:creationId xmlns:a16="http://schemas.microsoft.com/office/drawing/2014/main" id="{D04F7F9D-26AB-AE78-96A1-2C75FD789E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flipV="1">
          <a:off x="8526859" y="6979525"/>
          <a:ext cx="882617" cy="1092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twoCellAnchor editAs="absolute">
    <xdr:from>
      <xdr:col>1</xdr:col>
      <xdr:colOff>30480</xdr:colOff>
      <xdr:row>36</xdr:row>
      <xdr:rowOff>68580</xdr:rowOff>
    </xdr:from>
    <xdr:to>
      <xdr:col>3</xdr:col>
      <xdr:colOff>2071</xdr:colOff>
      <xdr:row>40</xdr:row>
      <xdr:rowOff>154305</xdr:rowOff>
    </xdr:to>
    <xdr:pic>
      <xdr:nvPicPr>
        <xdr:cNvPr id="4" name="Graphic 3" descr="Comment Important with solid fill">
          <a:extLst>
            <a:ext uri="{FF2B5EF4-FFF2-40B4-BE49-F238E27FC236}">
              <a16:creationId xmlns:a16="http://schemas.microsoft.com/office/drawing/2014/main" id="{C43DFABE-CF5D-4559-A2DD-84DA5A8DE4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6972300"/>
          <a:ext cx="944880"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1008988</xdr:colOff>
      <xdr:row>6</xdr:row>
      <xdr:rowOff>57371</xdr:rowOff>
    </xdr:to>
    <xdr:pic>
      <xdr:nvPicPr>
        <xdr:cNvPr id="3" name="Picture 2">
          <a:extLst>
            <a:ext uri="{FF2B5EF4-FFF2-40B4-BE49-F238E27FC236}">
              <a16:creationId xmlns:a16="http://schemas.microsoft.com/office/drawing/2014/main" id="{948F521A-3106-4695-A1D4-0F154C917D2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529" y="212912"/>
          <a:ext cx="1255518" cy="1256400"/>
        </a:xfrm>
        <a:prstGeom prst="rect">
          <a:avLst/>
        </a:prstGeom>
      </xdr:spPr>
    </xdr:pic>
    <xdr:clientData/>
  </xdr:twoCellAnchor>
  <xdr:twoCellAnchor editAs="oneCell">
    <xdr:from>
      <xdr:col>30</xdr:col>
      <xdr:colOff>0</xdr:colOff>
      <xdr:row>1</xdr:row>
      <xdr:rowOff>0</xdr:rowOff>
    </xdr:from>
    <xdr:to>
      <xdr:col>33</xdr:col>
      <xdr:colOff>495451</xdr:colOff>
      <xdr:row>5</xdr:row>
      <xdr:rowOff>54197</xdr:rowOff>
    </xdr:to>
    <xdr:pic>
      <xdr:nvPicPr>
        <xdr:cNvPr id="4" name="Picture 3">
          <a:extLst>
            <a:ext uri="{FF2B5EF4-FFF2-40B4-BE49-F238E27FC236}">
              <a16:creationId xmlns:a16="http://schemas.microsoft.com/office/drawing/2014/main" id="{251BF209-F0BE-46CE-AFB8-3A63223CF7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95412" y="179294"/>
          <a:ext cx="2001521" cy="9506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30</xdr:col>
      <xdr:colOff>0</xdr:colOff>
      <xdr:row>1</xdr:row>
      <xdr:rowOff>0</xdr:rowOff>
    </xdr:from>
    <xdr:to>
      <xdr:col>33</xdr:col>
      <xdr:colOff>495451</xdr:colOff>
      <xdr:row>5</xdr:row>
      <xdr:rowOff>54197</xdr:rowOff>
    </xdr:to>
    <xdr:pic>
      <xdr:nvPicPr>
        <xdr:cNvPr id="3" name="Picture 2">
          <a:extLst>
            <a:ext uri="{FF2B5EF4-FFF2-40B4-BE49-F238E27FC236}">
              <a16:creationId xmlns:a16="http://schemas.microsoft.com/office/drawing/2014/main" id="{D62D3898-C7E8-4025-85D7-E4039CF37C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61520" y="175260"/>
          <a:ext cx="2004211" cy="938117"/>
        </a:xfrm>
        <a:prstGeom prst="rect">
          <a:avLst/>
        </a:prstGeom>
      </xdr:spPr>
    </xdr:pic>
    <xdr:clientData/>
  </xdr:twoCellAnchor>
  <xdr:twoCellAnchor editAs="absolute">
    <xdr:from>
      <xdr:col>1</xdr:col>
      <xdr:colOff>0</xdr:colOff>
      <xdr:row>1</xdr:row>
      <xdr:rowOff>0</xdr:rowOff>
    </xdr:from>
    <xdr:to>
      <xdr:col>2</xdr:col>
      <xdr:colOff>1008988</xdr:colOff>
      <xdr:row>6</xdr:row>
      <xdr:rowOff>57371</xdr:rowOff>
    </xdr:to>
    <xdr:pic>
      <xdr:nvPicPr>
        <xdr:cNvPr id="4" name="Picture 3">
          <a:extLst>
            <a:ext uri="{FF2B5EF4-FFF2-40B4-BE49-F238E27FC236}">
              <a16:creationId xmlns:a16="http://schemas.microsoft.com/office/drawing/2014/main" id="{3BD122E6-E370-439E-A237-C09210FB99F9}"/>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5518" cy="1256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xdr:row>
      <xdr:rowOff>0</xdr:rowOff>
    </xdr:from>
    <xdr:to>
      <xdr:col>33</xdr:col>
      <xdr:colOff>495451</xdr:colOff>
      <xdr:row>5</xdr:row>
      <xdr:rowOff>54197</xdr:rowOff>
    </xdr:to>
    <xdr:pic>
      <xdr:nvPicPr>
        <xdr:cNvPr id="3" name="Picture 2">
          <a:extLst>
            <a:ext uri="{FF2B5EF4-FFF2-40B4-BE49-F238E27FC236}">
              <a16:creationId xmlns:a16="http://schemas.microsoft.com/office/drawing/2014/main" id="{CDBB91ED-CAA3-44D9-A2BC-215B3DDFDF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61520" y="175260"/>
          <a:ext cx="2004211" cy="938117"/>
        </a:xfrm>
        <a:prstGeom prst="rect">
          <a:avLst/>
        </a:prstGeom>
      </xdr:spPr>
    </xdr:pic>
    <xdr:clientData/>
  </xdr:twoCellAnchor>
  <xdr:twoCellAnchor editAs="absolute">
    <xdr:from>
      <xdr:col>1</xdr:col>
      <xdr:colOff>0</xdr:colOff>
      <xdr:row>1</xdr:row>
      <xdr:rowOff>0</xdr:rowOff>
    </xdr:from>
    <xdr:to>
      <xdr:col>2</xdr:col>
      <xdr:colOff>1008988</xdr:colOff>
      <xdr:row>6</xdr:row>
      <xdr:rowOff>57371</xdr:rowOff>
    </xdr:to>
    <xdr:pic>
      <xdr:nvPicPr>
        <xdr:cNvPr id="4" name="Picture 3">
          <a:extLst>
            <a:ext uri="{FF2B5EF4-FFF2-40B4-BE49-F238E27FC236}">
              <a16:creationId xmlns:a16="http://schemas.microsoft.com/office/drawing/2014/main" id="{667AA231-976B-4180-83F7-3B71307156C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5518" cy="1256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3</xdr:col>
      <xdr:colOff>65400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 y="209550"/>
          <a:ext cx="1360800" cy="13590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4"/>
  <sheetViews>
    <sheetView showGridLines="0" tabSelected="1" zoomScaleNormal="100" workbookViewId="0">
      <pane ySplit="3" topLeftCell="A4" activePane="bottomLeft" state="frozen"/>
      <selection pane="bottomLeft"/>
    </sheetView>
  </sheetViews>
  <sheetFormatPr defaultColWidth="0" defaultRowHeight="16.5" zeroHeight="1"/>
  <cols>
    <col min="1" max="2" width="3.7109375" style="2" customWidth="1"/>
    <col min="3" max="3" width="3.7109375" style="523" customWidth="1"/>
    <col min="4" max="4" width="3.7109375" style="105" customWidth="1"/>
    <col min="5" max="5" width="25.7109375" style="67" customWidth="1"/>
    <col min="6" max="6" width="3.7109375" style="67" customWidth="1"/>
    <col min="7" max="9" width="12.140625" style="67" customWidth="1"/>
    <col min="10" max="12" width="3.7109375" style="2" customWidth="1"/>
    <col min="13" max="13" width="3.7109375" style="19" customWidth="1"/>
    <col min="14" max="17" width="3.7109375" style="2" customWidth="1"/>
    <col min="18" max="18" width="3.7109375" style="6" customWidth="1"/>
    <col min="19" max="20" width="3.7109375" style="18" customWidth="1"/>
    <col min="21" max="25" width="3.7109375" style="20" customWidth="1"/>
    <col min="26" max="28" width="3.7109375" style="2" customWidth="1"/>
    <col min="29" max="33" width="9.140625" style="2" hidden="1" customWidth="1"/>
    <col min="34" max="44" width="0" style="2" hidden="1" customWidth="1"/>
    <col min="45" max="16384" width="9.140625" style="2" hidden="1"/>
  </cols>
  <sheetData>
    <row r="1" spans="1:28">
      <c r="A1" s="640"/>
      <c r="B1" s="640"/>
      <c r="C1" s="546"/>
      <c r="D1" s="641"/>
      <c r="E1" s="642"/>
      <c r="F1" s="642"/>
      <c r="G1" s="642"/>
      <c r="H1" s="642"/>
      <c r="I1" s="642"/>
      <c r="J1" s="643"/>
      <c r="K1" s="643"/>
      <c r="L1" s="643"/>
      <c r="M1" s="644"/>
      <c r="N1" s="643"/>
      <c r="O1" s="643"/>
      <c r="P1" s="643"/>
      <c r="Q1" s="643"/>
      <c r="R1" s="643"/>
      <c r="S1" s="162"/>
      <c r="T1" s="643"/>
      <c r="U1" s="161"/>
      <c r="V1" s="161"/>
      <c r="W1" s="161"/>
      <c r="X1" s="161"/>
      <c r="Y1" s="161"/>
      <c r="Z1" s="161"/>
      <c r="AA1" s="161"/>
      <c r="AB1" s="161"/>
    </row>
    <row r="2" spans="1:28">
      <c r="A2" s="26"/>
      <c r="B2" s="334" t="s">
        <v>0</v>
      </c>
      <c r="C2" s="546"/>
      <c r="D2" s="641"/>
      <c r="E2" s="642"/>
      <c r="F2" s="642"/>
      <c r="G2" s="642"/>
      <c r="H2" s="642"/>
      <c r="I2" s="642"/>
      <c r="J2" s="643"/>
      <c r="K2" s="643"/>
      <c r="L2" s="643"/>
      <c r="M2" s="644"/>
      <c r="N2" s="643"/>
      <c r="O2" s="643"/>
      <c r="P2" s="643"/>
      <c r="Q2" s="643"/>
      <c r="R2" s="643"/>
      <c r="S2" s="162"/>
      <c r="T2" s="643"/>
      <c r="U2" s="161"/>
      <c r="V2" s="161"/>
      <c r="W2" s="161"/>
      <c r="X2" s="161"/>
      <c r="Y2" s="161"/>
      <c r="Z2" s="161"/>
      <c r="AA2" s="161"/>
      <c r="AB2" s="161"/>
    </row>
    <row r="3" spans="1:28" ht="25.5">
      <c r="A3" s="26"/>
      <c r="B3" s="645" t="s">
        <v>1</v>
      </c>
      <c r="C3" s="546"/>
      <c r="D3" s="641"/>
      <c r="E3" s="642"/>
      <c r="F3" s="642"/>
      <c r="G3" s="642"/>
      <c r="H3" s="642"/>
      <c r="I3" s="642"/>
      <c r="J3" s="643"/>
      <c r="K3" s="643"/>
      <c r="L3" s="643"/>
      <c r="M3" s="644"/>
      <c r="N3" s="643"/>
      <c r="O3" s="643"/>
      <c r="P3" s="643"/>
      <c r="Q3" s="643"/>
      <c r="R3" s="646"/>
      <c r="S3" s="162"/>
      <c r="T3" s="643"/>
      <c r="U3" s="161"/>
      <c r="V3" s="161"/>
      <c r="W3" s="161"/>
      <c r="X3" s="161"/>
      <c r="Y3" s="161"/>
      <c r="Z3" s="161"/>
      <c r="AA3" s="647"/>
      <c r="AB3" s="161"/>
    </row>
    <row r="4" spans="1:28">
      <c r="A4" s="26"/>
      <c r="B4" s="648"/>
      <c r="C4" s="649"/>
      <c r="D4" s="334"/>
      <c r="E4" s="334"/>
      <c r="F4" s="334"/>
      <c r="G4" s="334"/>
      <c r="H4" s="334"/>
      <c r="I4" s="334"/>
      <c r="J4" s="643"/>
      <c r="K4" s="643"/>
      <c r="L4" s="643"/>
      <c r="M4" s="644"/>
      <c r="N4" s="643"/>
      <c r="O4" s="643"/>
      <c r="P4" s="643"/>
      <c r="Q4" s="643"/>
      <c r="R4" s="646"/>
      <c r="S4" s="162"/>
      <c r="T4" s="643"/>
      <c r="U4" s="161"/>
      <c r="V4" s="161"/>
      <c r="W4" s="161"/>
      <c r="X4" s="161"/>
      <c r="Y4" s="161"/>
      <c r="Z4" s="161"/>
      <c r="AA4" s="650"/>
      <c r="AB4" s="161"/>
    </row>
    <row r="5" spans="1:28" ht="17.25" thickBot="1"/>
    <row r="6" spans="1:28">
      <c r="B6" s="74"/>
      <c r="C6" s="524"/>
      <c r="D6" s="106"/>
      <c r="E6" s="75"/>
      <c r="F6" s="75"/>
      <c r="G6" s="75"/>
      <c r="H6" s="75"/>
      <c r="I6" s="75"/>
      <c r="J6" s="75"/>
      <c r="K6" s="76"/>
      <c r="L6" s="76"/>
      <c r="M6" s="76"/>
      <c r="N6" s="76"/>
      <c r="O6" s="76"/>
      <c r="P6" s="76"/>
      <c r="Q6" s="76"/>
      <c r="R6" s="76"/>
      <c r="S6" s="76"/>
      <c r="T6" s="76"/>
      <c r="U6" s="76"/>
      <c r="V6" s="76"/>
      <c r="W6" s="76"/>
      <c r="X6" s="76"/>
      <c r="Y6" s="76"/>
      <c r="Z6" s="76"/>
      <c r="AA6" s="95"/>
    </row>
    <row r="7" spans="1:28" ht="23.25">
      <c r="B7" s="77"/>
      <c r="C7" s="73">
        <v>1</v>
      </c>
      <c r="D7" s="108" t="s">
        <v>2</v>
      </c>
      <c r="E7" s="71"/>
      <c r="F7" s="71"/>
      <c r="G7" s="71"/>
      <c r="H7" s="71"/>
      <c r="I7" s="71"/>
      <c r="J7" s="71"/>
      <c r="K7" s="72"/>
      <c r="L7" s="72"/>
      <c r="M7" s="72"/>
      <c r="N7" s="72"/>
      <c r="O7" s="72"/>
      <c r="P7" s="72"/>
      <c r="Q7" s="72"/>
      <c r="R7" s="72"/>
      <c r="S7" s="72"/>
      <c r="T7" s="72"/>
      <c r="U7" s="72"/>
      <c r="V7" s="72"/>
      <c r="W7" s="72"/>
      <c r="X7" s="72"/>
      <c r="Y7" s="72"/>
      <c r="Z7" s="72"/>
      <c r="AA7" s="96"/>
    </row>
    <row r="8" spans="1:28" ht="17.25" thickBot="1">
      <c r="B8" s="78"/>
      <c r="C8" s="525"/>
      <c r="D8" s="109"/>
      <c r="E8" s="81"/>
      <c r="F8" s="81"/>
      <c r="G8" s="81"/>
      <c r="H8" s="81"/>
      <c r="I8" s="81"/>
      <c r="J8" s="79"/>
      <c r="K8" s="80"/>
      <c r="L8" s="80"/>
      <c r="M8" s="80"/>
      <c r="N8" s="80"/>
      <c r="O8" s="80"/>
      <c r="P8" s="80"/>
      <c r="Q8" s="80"/>
      <c r="R8" s="80"/>
      <c r="S8" s="80"/>
      <c r="T8" s="80"/>
      <c r="U8" s="80"/>
      <c r="V8" s="80"/>
      <c r="W8" s="80"/>
      <c r="X8" s="80"/>
      <c r="Y8" s="80"/>
      <c r="Z8" s="80"/>
      <c r="AA8" s="97"/>
    </row>
    <row r="9" spans="1:28" ht="16.5" customHeight="1">
      <c r="B9" s="520"/>
      <c r="C9" s="526"/>
      <c r="D9" s="522"/>
      <c r="E9" s="725" t="s">
        <v>3</v>
      </c>
      <c r="F9" s="725"/>
      <c r="G9" s="725"/>
      <c r="H9" s="725"/>
      <c r="I9" s="725"/>
      <c r="J9" s="725"/>
      <c r="K9" s="521"/>
      <c r="L9" s="521"/>
      <c r="M9" s="521"/>
      <c r="N9" s="521"/>
      <c r="O9" s="521"/>
      <c r="P9" s="521"/>
      <c r="Q9" s="521"/>
      <c r="R9" s="521"/>
      <c r="S9" s="521"/>
      <c r="T9" s="521"/>
      <c r="U9" s="521"/>
      <c r="V9" s="521"/>
      <c r="W9" s="521"/>
      <c r="X9" s="521"/>
      <c r="Y9" s="521"/>
      <c r="Z9" s="521"/>
      <c r="AA9" s="519"/>
    </row>
    <row r="10" spans="1:28" ht="17.25" customHeight="1" thickBot="1">
      <c r="B10" s="520"/>
      <c r="C10" s="527"/>
      <c r="D10" s="521"/>
      <c r="E10" s="726"/>
      <c r="F10" s="726"/>
      <c r="G10" s="726"/>
      <c r="H10" s="726"/>
      <c r="I10" s="726"/>
      <c r="J10" s="726"/>
      <c r="K10" s="521"/>
      <c r="L10" s="42"/>
      <c r="M10" s="21"/>
      <c r="N10" s="21"/>
      <c r="O10" s="21"/>
      <c r="P10" s="21"/>
      <c r="Q10" s="21"/>
      <c r="R10" s="21"/>
      <c r="S10" s="48"/>
      <c r="T10" s="48"/>
      <c r="U10" s="142"/>
      <c r="V10" s="142"/>
      <c r="W10" s="142"/>
      <c r="X10" s="142"/>
      <c r="Y10" s="142"/>
      <c r="Z10" s="38"/>
      <c r="AA10" s="519"/>
    </row>
    <row r="11" spans="1:28" ht="16.5" customHeight="1">
      <c r="B11" s="520"/>
      <c r="C11" s="528"/>
      <c r="D11" s="522"/>
      <c r="E11" s="726"/>
      <c r="F11" s="726"/>
      <c r="G11" s="726"/>
      <c r="H11" s="726"/>
      <c r="I11" s="726"/>
      <c r="J11" s="726"/>
      <c r="K11" s="521"/>
      <c r="L11" s="160"/>
      <c r="M11" s="539" t="s">
        <v>4</v>
      </c>
      <c r="N11" s="540"/>
      <c r="O11" s="540"/>
      <c r="P11" s="540"/>
      <c r="Q11" s="540"/>
      <c r="R11" s="540"/>
      <c r="S11" s="540"/>
      <c r="T11" s="540"/>
      <c r="U11" s="540"/>
      <c r="V11" s="540"/>
      <c r="W11" s="540"/>
      <c r="X11" s="540"/>
      <c r="Y11" s="541"/>
      <c r="Z11" s="130"/>
      <c r="AA11" s="519"/>
    </row>
    <row r="12" spans="1:28">
      <c r="B12" s="82"/>
      <c r="C12" s="529" t="s">
        <v>4</v>
      </c>
      <c r="K12" s="530"/>
      <c r="L12" s="160"/>
      <c r="M12" s="24"/>
      <c r="N12" s="161"/>
      <c r="O12" s="161"/>
      <c r="P12" s="161"/>
      <c r="Q12" s="161"/>
      <c r="R12" s="161"/>
      <c r="S12" s="162"/>
      <c r="T12" s="162"/>
      <c r="U12" s="161"/>
      <c r="V12" s="161"/>
      <c r="W12" s="161"/>
      <c r="X12" s="161"/>
      <c r="Y12" s="25"/>
      <c r="Z12" s="130"/>
      <c r="AA12" s="83"/>
    </row>
    <row r="13" spans="1:28">
      <c r="B13" s="82"/>
      <c r="C13" s="523">
        <v>1</v>
      </c>
      <c r="D13" s="6" t="s">
        <v>5</v>
      </c>
      <c r="E13" s="2"/>
      <c r="F13" s="2"/>
      <c r="G13" s="2"/>
      <c r="H13" s="2"/>
      <c r="I13" s="2"/>
      <c r="K13" s="581" t="s">
        <v>6</v>
      </c>
      <c r="L13" s="160"/>
      <c r="M13" s="27"/>
      <c r="N13" s="542" t="s">
        <v>7</v>
      </c>
      <c r="O13" s="543"/>
      <c r="P13" s="543"/>
      <c r="Q13" s="543"/>
      <c r="R13" s="543"/>
      <c r="S13" s="477" t="s">
        <v>8</v>
      </c>
      <c r="T13" s="91"/>
      <c r="U13" s="91"/>
      <c r="V13" s="91"/>
      <c r="W13" s="91"/>
      <c r="X13" s="62"/>
      <c r="Y13" s="25"/>
      <c r="Z13" s="130"/>
      <c r="AA13" s="83"/>
    </row>
    <row r="14" spans="1:28">
      <c r="B14" s="82"/>
      <c r="C14" s="523">
        <v>2</v>
      </c>
      <c r="D14" s="6" t="s">
        <v>9</v>
      </c>
      <c r="E14" s="2"/>
      <c r="F14" s="2"/>
      <c r="G14" s="2"/>
      <c r="H14" s="2"/>
      <c r="I14" s="2"/>
      <c r="K14" s="581" t="s">
        <v>6</v>
      </c>
      <c r="L14" s="160"/>
      <c r="M14" s="27"/>
      <c r="N14" s="542" t="s">
        <v>10</v>
      </c>
      <c r="O14" s="543"/>
      <c r="P14" s="543"/>
      <c r="Q14" s="543"/>
      <c r="R14" s="543"/>
      <c r="S14" s="477" t="s">
        <v>8</v>
      </c>
      <c r="T14" s="64"/>
      <c r="U14" s="64"/>
      <c r="V14" s="64"/>
      <c r="W14" s="64"/>
      <c r="X14" s="62"/>
      <c r="Y14" s="25"/>
      <c r="Z14" s="130"/>
      <c r="AA14" s="83"/>
    </row>
    <row r="15" spans="1:28">
      <c r="B15" s="82"/>
      <c r="D15" s="6"/>
      <c r="E15" s="2"/>
      <c r="F15" s="2"/>
      <c r="G15" s="2"/>
      <c r="H15" s="2"/>
      <c r="I15" s="2"/>
      <c r="K15" s="581"/>
      <c r="L15" s="160"/>
      <c r="M15" s="27"/>
      <c r="N15" s="544"/>
      <c r="O15" s="545"/>
      <c r="P15" s="545"/>
      <c r="Q15" s="545"/>
      <c r="R15" s="545"/>
      <c r="S15" s="546"/>
      <c r="T15" s="163"/>
      <c r="U15" s="164"/>
      <c r="V15" s="164"/>
      <c r="W15" s="164"/>
      <c r="X15" s="164"/>
      <c r="Y15" s="25"/>
      <c r="Z15" s="130"/>
      <c r="AA15" s="83"/>
    </row>
    <row r="16" spans="1:28">
      <c r="B16" s="82"/>
      <c r="C16" s="523">
        <v>3</v>
      </c>
      <c r="D16" s="6" t="s">
        <v>11</v>
      </c>
      <c r="E16" s="2"/>
      <c r="F16" s="2"/>
      <c r="G16" s="2"/>
      <c r="H16" s="2"/>
      <c r="I16" s="2"/>
      <c r="K16" s="581" t="s">
        <v>6</v>
      </c>
      <c r="L16" s="160"/>
      <c r="M16" s="27"/>
      <c r="N16" s="542" t="s">
        <v>12</v>
      </c>
      <c r="O16" s="543"/>
      <c r="P16" s="543"/>
      <c r="Q16" s="543"/>
      <c r="R16" s="543"/>
      <c r="S16" s="477" t="s">
        <v>8</v>
      </c>
      <c r="T16" s="44"/>
      <c r="U16" s="65"/>
      <c r="V16" s="165"/>
      <c r="W16" s="165"/>
      <c r="X16" s="165"/>
      <c r="Y16" s="25"/>
      <c r="Z16" s="130"/>
      <c r="AA16" s="83"/>
    </row>
    <row r="17" spans="2:27">
      <c r="B17" s="82"/>
      <c r="C17" s="523">
        <v>4</v>
      </c>
      <c r="D17" s="6" t="s">
        <v>13</v>
      </c>
      <c r="E17" s="2"/>
      <c r="F17" s="2"/>
      <c r="G17" s="2"/>
      <c r="H17" s="2"/>
      <c r="I17" s="2"/>
      <c r="K17" s="581" t="s">
        <v>6</v>
      </c>
      <c r="L17" s="160"/>
      <c r="M17" s="27"/>
      <c r="N17" s="547" t="s">
        <v>14</v>
      </c>
      <c r="O17" s="548"/>
      <c r="P17" s="548"/>
      <c r="Q17" s="548"/>
      <c r="R17" s="548"/>
      <c r="S17" s="549" t="s">
        <v>8</v>
      </c>
      <c r="T17" s="63"/>
      <c r="U17" s="63"/>
      <c r="V17" s="63"/>
      <c r="W17" s="63"/>
      <c r="X17" s="62"/>
      <c r="Y17" s="25"/>
      <c r="Z17" s="130"/>
      <c r="AA17" s="83"/>
    </row>
    <row r="18" spans="2:27">
      <c r="B18" s="82"/>
      <c r="C18" s="523">
        <v>5</v>
      </c>
      <c r="D18" s="6" t="s">
        <v>15</v>
      </c>
      <c r="E18" s="2"/>
      <c r="F18" s="2"/>
      <c r="G18" s="2"/>
      <c r="H18" s="2"/>
      <c r="I18" s="2"/>
      <c r="K18" s="581" t="s">
        <v>6</v>
      </c>
      <c r="L18" s="160"/>
      <c r="M18" s="27"/>
      <c r="N18" s="556" t="s">
        <v>16</v>
      </c>
      <c r="O18" s="557"/>
      <c r="P18" s="557"/>
      <c r="Q18" s="557"/>
      <c r="R18" s="557"/>
      <c r="S18" s="493" t="s">
        <v>8</v>
      </c>
      <c r="T18" s="723" t="s">
        <v>17</v>
      </c>
      <c r="U18" s="723"/>
      <c r="V18" s="723"/>
      <c r="W18" s="723"/>
      <c r="X18" s="724"/>
      <c r="Y18" s="25"/>
      <c r="Z18" s="130"/>
      <c r="AA18" s="83"/>
    </row>
    <row r="19" spans="2:27" ht="17.25" thickBot="1">
      <c r="B19" s="82"/>
      <c r="D19" s="680" t="s">
        <v>18</v>
      </c>
      <c r="E19" s="681"/>
      <c r="F19" s="681"/>
      <c r="G19" s="681"/>
      <c r="H19" s="681"/>
      <c r="I19" s="681"/>
      <c r="J19" s="682"/>
      <c r="K19" s="530"/>
      <c r="L19" s="160"/>
      <c r="M19" s="30"/>
      <c r="N19" s="31"/>
      <c r="O19" s="31"/>
      <c r="P19" s="31"/>
      <c r="Q19" s="31"/>
      <c r="R19" s="32"/>
      <c r="S19" s="33"/>
      <c r="T19" s="33"/>
      <c r="U19" s="32"/>
      <c r="V19" s="32"/>
      <c r="W19" s="32"/>
      <c r="X19" s="32"/>
      <c r="Y19" s="92"/>
      <c r="Z19" s="130"/>
      <c r="AA19" s="83"/>
    </row>
    <row r="20" spans="2:27" ht="17.25" thickBot="1">
      <c r="B20" s="82"/>
      <c r="D20" s="683"/>
      <c r="E20" s="684"/>
      <c r="F20" s="684"/>
      <c r="G20" s="684"/>
      <c r="H20" s="684"/>
      <c r="I20" s="684"/>
      <c r="J20" s="685"/>
      <c r="K20" s="530"/>
      <c r="L20" s="43"/>
      <c r="M20" s="2"/>
      <c r="Z20" s="130"/>
      <c r="AA20" s="83"/>
    </row>
    <row r="21" spans="2:27" ht="16.5" customHeight="1">
      <c r="B21" s="82"/>
      <c r="C21" s="530"/>
      <c r="K21" s="530"/>
      <c r="L21" s="160"/>
      <c r="M21" s="539" t="s">
        <v>19</v>
      </c>
      <c r="N21" s="540"/>
      <c r="O21" s="540"/>
      <c r="P21" s="540"/>
      <c r="Q21" s="540"/>
      <c r="R21" s="540"/>
      <c r="S21" s="540"/>
      <c r="T21" s="540"/>
      <c r="U21" s="540"/>
      <c r="V21" s="540"/>
      <c r="W21" s="540"/>
      <c r="X21" s="540"/>
      <c r="Y21" s="541"/>
      <c r="Z21" s="130"/>
      <c r="AA21" s="83"/>
    </row>
    <row r="22" spans="2:27">
      <c r="B22" s="82"/>
      <c r="C22" s="529" t="s">
        <v>19</v>
      </c>
      <c r="K22" s="530"/>
      <c r="L22" s="160"/>
      <c r="M22" s="24"/>
      <c r="N22" s="161"/>
      <c r="O22" s="161"/>
      <c r="P22" s="161"/>
      <c r="Q22" s="161"/>
      <c r="R22" s="162"/>
      <c r="S22" s="162"/>
      <c r="T22" s="161"/>
      <c r="U22" s="161"/>
      <c r="V22" s="161"/>
      <c r="W22" s="161"/>
      <c r="X22" s="161"/>
      <c r="Y22" s="25"/>
      <c r="Z22" s="130"/>
      <c r="AA22" s="83"/>
    </row>
    <row r="23" spans="2:27">
      <c r="B23" s="82"/>
      <c r="C23" s="523">
        <v>6</v>
      </c>
      <c r="D23" s="6" t="s">
        <v>20</v>
      </c>
      <c r="E23" s="19"/>
      <c r="F23" s="19"/>
      <c r="G23" s="19"/>
      <c r="H23" s="19"/>
      <c r="I23" s="19"/>
      <c r="J23" s="19"/>
      <c r="K23" s="581" t="s">
        <v>6</v>
      </c>
      <c r="L23" s="160"/>
      <c r="M23" s="27"/>
      <c r="N23" s="550" t="s">
        <v>21</v>
      </c>
      <c r="O23" s="551"/>
      <c r="P23" s="551"/>
      <c r="Q23" s="551"/>
      <c r="R23" s="551"/>
      <c r="S23" s="552" t="s">
        <v>8</v>
      </c>
      <c r="T23" s="91"/>
      <c r="U23" s="91"/>
      <c r="V23" s="91"/>
      <c r="W23" s="91"/>
      <c r="X23" s="62"/>
      <c r="Y23" s="25"/>
      <c r="Z23" s="130"/>
      <c r="AA23" s="83"/>
    </row>
    <row r="24" spans="2:27" ht="16.5" customHeight="1">
      <c r="B24" s="82"/>
      <c r="C24" s="523">
        <v>7</v>
      </c>
      <c r="D24" s="6" t="s">
        <v>22</v>
      </c>
      <c r="E24" s="19"/>
      <c r="F24" s="19"/>
      <c r="G24" s="19"/>
      <c r="H24" s="19"/>
      <c r="I24" s="19"/>
      <c r="J24" s="19"/>
      <c r="K24" s="581" t="s">
        <v>6</v>
      </c>
      <c r="L24" s="160"/>
      <c r="M24" s="27"/>
      <c r="N24" s="558" t="s">
        <v>23</v>
      </c>
      <c r="O24" s="559"/>
      <c r="P24" s="559"/>
      <c r="Q24" s="559"/>
      <c r="R24" s="559"/>
      <c r="S24" s="560" t="s">
        <v>8</v>
      </c>
      <c r="T24" s="561">
        <v>12</v>
      </c>
      <c r="U24" s="562"/>
      <c r="V24" s="563"/>
      <c r="W24" s="563"/>
      <c r="X24" s="563"/>
      <c r="Y24" s="25"/>
      <c r="Z24" s="130"/>
      <c r="AA24" s="83"/>
    </row>
    <row r="25" spans="2:27">
      <c r="B25" s="82"/>
      <c r="C25" s="523">
        <v>8</v>
      </c>
      <c r="D25" s="6" t="s">
        <v>24</v>
      </c>
      <c r="E25" s="19"/>
      <c r="F25" s="19"/>
      <c r="G25" s="19"/>
      <c r="H25" s="19"/>
      <c r="I25" s="19"/>
      <c r="J25" s="19"/>
      <c r="K25" s="581" t="s">
        <v>6</v>
      </c>
      <c r="L25" s="160"/>
      <c r="M25" s="27"/>
      <c r="N25" s="553" t="s">
        <v>25</v>
      </c>
      <c r="O25" s="476"/>
      <c r="P25" s="476"/>
      <c r="Q25" s="476"/>
      <c r="R25" s="476"/>
      <c r="S25" s="477" t="s">
        <v>8</v>
      </c>
      <c r="T25" s="91"/>
      <c r="U25" s="91"/>
      <c r="V25" s="91"/>
      <c r="W25" s="91"/>
      <c r="X25" s="62"/>
      <c r="Y25" s="25"/>
      <c r="Z25" s="130"/>
      <c r="AA25" s="83"/>
    </row>
    <row r="26" spans="2:27">
      <c r="B26" s="82"/>
      <c r="D26" s="704" t="s">
        <v>26</v>
      </c>
      <c r="E26" s="705"/>
      <c r="F26" s="705"/>
      <c r="G26" s="705"/>
      <c r="H26" s="705"/>
      <c r="I26" s="705"/>
      <c r="J26" s="706"/>
      <c r="K26" s="581"/>
      <c r="L26" s="160"/>
      <c r="M26" s="27"/>
      <c r="N26" s="554"/>
      <c r="O26" s="554"/>
      <c r="P26" s="554"/>
      <c r="Q26" s="554"/>
      <c r="R26" s="555"/>
      <c r="S26" s="546"/>
      <c r="T26" s="150"/>
      <c r="U26" s="151"/>
      <c r="V26" s="151"/>
      <c r="W26" s="151"/>
      <c r="X26" s="151"/>
      <c r="Y26" s="25"/>
      <c r="Z26" s="130"/>
      <c r="AA26" s="83"/>
    </row>
    <row r="27" spans="2:27">
      <c r="B27" s="82"/>
      <c r="C27" s="523">
        <v>9</v>
      </c>
      <c r="D27" s="6" t="s">
        <v>27</v>
      </c>
      <c r="E27" s="19"/>
      <c r="F27" s="19"/>
      <c r="G27" s="19"/>
      <c r="H27" s="19"/>
      <c r="I27" s="19"/>
      <c r="J27" s="19"/>
      <c r="K27" s="221"/>
      <c r="L27" s="160"/>
      <c r="M27" s="570"/>
      <c r="N27" s="473" t="s">
        <v>28</v>
      </c>
      <c r="O27" s="571"/>
      <c r="P27" s="571"/>
      <c r="Q27" s="571"/>
      <c r="R27" s="572"/>
      <c r="S27" s="573"/>
      <c r="T27" s="566"/>
      <c r="U27" s="497"/>
      <c r="V27" s="497"/>
      <c r="W27" s="497"/>
      <c r="X27" s="497"/>
      <c r="Y27" s="567"/>
      <c r="Z27" s="130"/>
      <c r="AA27" s="83"/>
    </row>
    <row r="28" spans="2:27" ht="15.6" customHeight="1">
      <c r="B28" s="82"/>
      <c r="D28" s="2"/>
      <c r="E28" s="580" t="s">
        <v>29</v>
      </c>
      <c r="F28" s="580"/>
      <c r="G28" s="580" t="s">
        <v>30</v>
      </c>
      <c r="H28" s="2"/>
      <c r="I28" s="2"/>
      <c r="K28" s="221"/>
      <c r="L28" s="160"/>
      <c r="M28" s="464"/>
      <c r="N28" s="577" t="s">
        <v>31</v>
      </c>
      <c r="O28" s="578"/>
      <c r="P28" s="578"/>
      <c r="Q28" s="578"/>
      <c r="R28" s="578"/>
      <c r="S28" s="579" t="s">
        <v>8</v>
      </c>
      <c r="T28" s="576" t="s">
        <v>32</v>
      </c>
      <c r="U28" s="576"/>
      <c r="V28" s="576"/>
      <c r="W28" s="576"/>
      <c r="X28" s="537"/>
      <c r="Y28" s="567"/>
      <c r="Z28" s="130"/>
      <c r="AA28" s="83"/>
    </row>
    <row r="29" spans="2:27">
      <c r="B29" s="82"/>
      <c r="D29" s="2"/>
      <c r="E29" s="580" t="s">
        <v>33</v>
      </c>
      <c r="F29" s="580"/>
      <c r="G29" s="580" t="s">
        <v>34</v>
      </c>
      <c r="H29" s="2"/>
      <c r="I29" s="2"/>
      <c r="K29" s="581" t="s">
        <v>6</v>
      </c>
      <c r="L29" s="160"/>
      <c r="M29" s="464"/>
      <c r="N29" s="550" t="s">
        <v>35</v>
      </c>
      <c r="O29" s="551"/>
      <c r="P29" s="551"/>
      <c r="Q29" s="551"/>
      <c r="R29" s="551"/>
      <c r="S29" s="552" t="s">
        <v>8</v>
      </c>
      <c r="T29" s="91"/>
      <c r="U29" s="91"/>
      <c r="V29" s="91"/>
      <c r="W29" s="91"/>
      <c r="X29" s="62"/>
      <c r="Y29" s="567"/>
      <c r="Z29" s="130"/>
      <c r="AA29" s="83"/>
    </row>
    <row r="30" spans="2:27" ht="15.6" customHeight="1">
      <c r="B30" s="82"/>
      <c r="C30" s="523">
        <v>10</v>
      </c>
      <c r="D30" s="2" t="s">
        <v>36</v>
      </c>
      <c r="E30" s="2"/>
      <c r="F30" s="2"/>
      <c r="G30" s="2"/>
      <c r="H30" s="2"/>
      <c r="I30" s="2"/>
      <c r="K30" s="581" t="s">
        <v>6</v>
      </c>
      <c r="L30" s="160"/>
      <c r="M30" s="464"/>
      <c r="N30" s="550" t="s">
        <v>37</v>
      </c>
      <c r="O30" s="551"/>
      <c r="P30" s="551"/>
      <c r="Q30" s="551"/>
      <c r="R30" s="551"/>
      <c r="S30" s="552" t="s">
        <v>8</v>
      </c>
      <c r="T30" s="91"/>
      <c r="U30" s="91"/>
      <c r="V30" s="91"/>
      <c r="W30" s="91"/>
      <c r="X30" s="62"/>
      <c r="Y30" s="567"/>
      <c r="Z30" s="130"/>
      <c r="AA30" s="83"/>
    </row>
    <row r="31" spans="2:27">
      <c r="B31" s="82"/>
      <c r="D31" s="712" t="s">
        <v>38</v>
      </c>
      <c r="E31" s="712"/>
      <c r="F31" s="712"/>
      <c r="G31" s="712"/>
      <c r="H31" s="712"/>
      <c r="I31" s="712"/>
      <c r="J31" s="712"/>
      <c r="K31" s="581"/>
      <c r="L31" s="160"/>
      <c r="M31" s="464"/>
      <c r="N31" s="528"/>
      <c r="O31" s="528"/>
      <c r="P31" s="528"/>
      <c r="Q31" s="528"/>
      <c r="R31" s="564"/>
      <c r="S31" s="565"/>
      <c r="T31" s="566"/>
      <c r="U31" s="497"/>
      <c r="V31" s="497"/>
      <c r="W31" s="497"/>
      <c r="X31" s="497"/>
      <c r="Y31" s="567"/>
      <c r="Z31" s="130"/>
      <c r="AA31" s="83"/>
    </row>
    <row r="32" spans="2:27" ht="16.5" customHeight="1">
      <c r="B32" s="82"/>
      <c r="D32" s="712"/>
      <c r="E32" s="712"/>
      <c r="F32" s="712"/>
      <c r="G32" s="712"/>
      <c r="H32" s="712"/>
      <c r="I32" s="712"/>
      <c r="J32" s="712"/>
      <c r="K32" s="581"/>
      <c r="L32" s="160"/>
      <c r="M32" s="464"/>
      <c r="N32" s="528"/>
      <c r="O32" s="528"/>
      <c r="P32" s="528"/>
      <c r="Q32" s="528"/>
      <c r="R32" s="564"/>
      <c r="S32" s="565"/>
      <c r="T32" s="566"/>
      <c r="U32" s="497"/>
      <c r="V32" s="497"/>
      <c r="W32" s="497"/>
      <c r="X32" s="497"/>
      <c r="Y32" s="567"/>
      <c r="Z32" s="130"/>
      <c r="AA32" s="83"/>
    </row>
    <row r="33" spans="2:27">
      <c r="B33" s="82"/>
      <c r="C33" s="523">
        <v>11</v>
      </c>
      <c r="D33" s="2" t="s">
        <v>39</v>
      </c>
      <c r="F33" s="2"/>
      <c r="G33" s="2"/>
      <c r="H33" s="2"/>
      <c r="I33" s="2"/>
      <c r="K33" s="581" t="s">
        <v>6</v>
      </c>
      <c r="L33" s="160"/>
      <c r="M33" s="464"/>
      <c r="N33" s="550" t="s">
        <v>40</v>
      </c>
      <c r="O33" s="551"/>
      <c r="P33" s="551"/>
      <c r="Q33" s="551"/>
      <c r="R33" s="551"/>
      <c r="S33" s="552" t="s">
        <v>8</v>
      </c>
      <c r="T33" s="28"/>
      <c r="U33" s="574" t="s">
        <v>41</v>
      </c>
      <c r="V33" s="91"/>
      <c r="W33" s="91"/>
      <c r="X33" s="62"/>
      <c r="Y33" s="567"/>
      <c r="Z33" s="130"/>
      <c r="AA33" s="83"/>
    </row>
    <row r="34" spans="2:27" ht="15.6" customHeight="1">
      <c r="B34" s="82"/>
      <c r="D34" s="713" t="s">
        <v>42</v>
      </c>
      <c r="E34" s="713"/>
      <c r="F34" s="713"/>
      <c r="G34" s="713"/>
      <c r="H34" s="713"/>
      <c r="I34" s="713"/>
      <c r="J34" s="713"/>
      <c r="K34" s="581" t="s">
        <v>6</v>
      </c>
      <c r="L34" s="160"/>
      <c r="M34" s="464"/>
      <c r="N34" s="528"/>
      <c r="O34" s="528"/>
      <c r="P34" s="528"/>
      <c r="Q34" s="528"/>
      <c r="R34" s="564"/>
      <c r="S34" s="565"/>
      <c r="T34" s="566"/>
      <c r="U34" s="575" t="s">
        <v>41</v>
      </c>
      <c r="V34" s="576"/>
      <c r="W34" s="576"/>
      <c r="X34" s="537"/>
      <c r="Y34" s="567"/>
      <c r="Z34" s="130"/>
      <c r="AA34" s="83"/>
    </row>
    <row r="35" spans="2:27" ht="17.25" thickBot="1">
      <c r="B35" s="82"/>
      <c r="D35" s="713"/>
      <c r="E35" s="713"/>
      <c r="F35" s="713"/>
      <c r="G35" s="713"/>
      <c r="H35" s="713"/>
      <c r="I35" s="713"/>
      <c r="J35" s="713"/>
      <c r="K35" s="23"/>
      <c r="L35" s="160"/>
      <c r="M35" s="568"/>
      <c r="N35" s="528"/>
      <c r="O35" s="528"/>
      <c r="P35" s="528"/>
      <c r="Q35" s="528"/>
      <c r="R35" s="564"/>
      <c r="S35" s="565"/>
      <c r="T35" s="566"/>
      <c r="U35" s="497"/>
      <c r="V35" s="497"/>
      <c r="W35" s="497"/>
      <c r="X35" s="497"/>
      <c r="Y35" s="569"/>
      <c r="Z35" s="130"/>
      <c r="AA35" s="83"/>
    </row>
    <row r="36" spans="2:27">
      <c r="B36" s="82"/>
      <c r="D36" s="713"/>
      <c r="E36" s="713"/>
      <c r="F36" s="713"/>
      <c r="G36" s="713"/>
      <c r="H36" s="713"/>
      <c r="I36" s="713"/>
      <c r="J36" s="713"/>
      <c r="K36" s="23"/>
      <c r="L36" s="654"/>
      <c r="M36" s="655"/>
      <c r="N36" s="655"/>
      <c r="O36" s="655"/>
      <c r="P36" s="655"/>
      <c r="Q36" s="655"/>
      <c r="R36" s="655"/>
      <c r="S36" s="655"/>
      <c r="T36" s="655"/>
      <c r="U36" s="655"/>
      <c r="V36" s="655"/>
      <c r="W36" s="655"/>
      <c r="X36" s="655"/>
      <c r="Y36" s="655"/>
      <c r="Z36" s="656"/>
      <c r="AA36" s="83"/>
    </row>
    <row r="37" spans="2:27" ht="15.6" customHeight="1">
      <c r="B37" s="82"/>
      <c r="D37" s="713"/>
      <c r="E37" s="713"/>
      <c r="F37" s="713"/>
      <c r="G37" s="713"/>
      <c r="H37" s="713"/>
      <c r="I37" s="713"/>
      <c r="J37" s="713"/>
      <c r="K37" s="23"/>
      <c r="L37" s="654"/>
      <c r="M37" s="657"/>
      <c r="N37" s="657"/>
      <c r="O37" s="657"/>
      <c r="P37" s="657"/>
      <c r="Q37" s="657"/>
      <c r="R37" s="657"/>
      <c r="S37" s="657"/>
      <c r="T37" s="657"/>
      <c r="U37" s="657"/>
      <c r="V37" s="657"/>
      <c r="W37" s="657"/>
      <c r="X37" s="657"/>
      <c r="Y37" s="657"/>
      <c r="Z37" s="656"/>
      <c r="AA37" s="83"/>
    </row>
    <row r="38" spans="2:27">
      <c r="B38" s="82"/>
      <c r="D38" s="680" t="s">
        <v>43</v>
      </c>
      <c r="E38" s="681"/>
      <c r="F38" s="681"/>
      <c r="G38" s="681"/>
      <c r="H38" s="681"/>
      <c r="I38" s="681"/>
      <c r="J38" s="682"/>
      <c r="K38" s="23"/>
      <c r="L38" s="654"/>
      <c r="M38" s="657"/>
      <c r="N38" s="657"/>
      <c r="O38" s="657"/>
      <c r="P38" s="657"/>
      <c r="Q38" s="657"/>
      <c r="R38" s="657"/>
      <c r="S38" s="657"/>
      <c r="T38" s="657"/>
      <c r="U38" s="657"/>
      <c r="V38" s="657"/>
      <c r="W38" s="657"/>
      <c r="X38" s="657"/>
      <c r="Y38" s="657"/>
      <c r="Z38" s="656"/>
      <c r="AA38" s="83"/>
    </row>
    <row r="39" spans="2:27">
      <c r="B39" s="82"/>
      <c r="D39" s="683"/>
      <c r="E39" s="684"/>
      <c r="F39" s="684"/>
      <c r="G39" s="684"/>
      <c r="H39" s="684"/>
      <c r="I39" s="684"/>
      <c r="J39" s="685"/>
      <c r="K39" s="23"/>
      <c r="L39" s="654"/>
      <c r="M39" s="657"/>
      <c r="N39" s="657"/>
      <c r="O39" s="657"/>
      <c r="P39" s="657"/>
      <c r="Q39" s="657"/>
      <c r="R39" s="657"/>
      <c r="S39" s="657"/>
      <c r="T39" s="657"/>
      <c r="U39" s="657"/>
      <c r="V39" s="657"/>
      <c r="W39" s="657"/>
      <c r="X39" s="657"/>
      <c r="Y39" s="657"/>
      <c r="Z39" s="656"/>
      <c r="AA39" s="83"/>
    </row>
    <row r="40" spans="2:27" ht="16.149999999999999" customHeight="1" thickBot="1">
      <c r="B40" s="82"/>
      <c r="K40" s="23"/>
      <c r="L40" s="654"/>
      <c r="M40" s="657"/>
      <c r="N40" s="657"/>
      <c r="O40" s="657"/>
      <c r="P40" s="657"/>
      <c r="Q40" s="657"/>
      <c r="R40" s="657"/>
      <c r="S40" s="657"/>
      <c r="T40" s="657"/>
      <c r="U40" s="657"/>
      <c r="V40" s="657"/>
      <c r="W40" s="657"/>
      <c r="X40" s="657"/>
      <c r="Y40" s="657"/>
      <c r="Z40" s="656"/>
      <c r="AA40" s="83"/>
    </row>
    <row r="41" spans="2:27" ht="18" customHeight="1">
      <c r="B41" s="82"/>
      <c r="C41" s="529" t="s">
        <v>44</v>
      </c>
      <c r="K41" s="23"/>
      <c r="L41" s="43"/>
      <c r="M41" s="707" t="s">
        <v>44</v>
      </c>
      <c r="N41" s="708"/>
      <c r="O41" s="708"/>
      <c r="P41" s="708"/>
      <c r="Q41" s="708"/>
      <c r="R41" s="708"/>
      <c r="S41" s="708"/>
      <c r="T41" s="708"/>
      <c r="U41" s="708"/>
      <c r="V41" s="708"/>
      <c r="W41" s="708"/>
      <c r="X41" s="708"/>
      <c r="Y41" s="582"/>
      <c r="Z41" s="130"/>
      <c r="AA41" s="83"/>
    </row>
    <row r="42" spans="2:27" ht="16.5" customHeight="1">
      <c r="B42" s="82"/>
      <c r="C42" s="531">
        <v>12</v>
      </c>
      <c r="D42" s="703" t="s">
        <v>45</v>
      </c>
      <c r="E42" s="703"/>
      <c r="F42" s="703"/>
      <c r="G42" s="703"/>
      <c r="H42" s="703"/>
      <c r="I42" s="703"/>
      <c r="J42" s="703"/>
      <c r="L42" s="43"/>
      <c r="M42" s="34"/>
      <c r="N42" s="166"/>
      <c r="O42" s="166"/>
      <c r="P42" s="166"/>
      <c r="Q42" s="166"/>
      <c r="R42" s="167"/>
      <c r="S42" s="168"/>
      <c r="T42" s="168"/>
      <c r="U42" s="169"/>
      <c r="V42" s="169"/>
      <c r="W42" s="169"/>
      <c r="X42" s="169"/>
      <c r="Y42" s="93"/>
      <c r="Z42" s="130"/>
      <c r="AA42" s="83"/>
    </row>
    <row r="43" spans="2:27" ht="16.5" customHeight="1">
      <c r="B43" s="82"/>
      <c r="C43" s="530"/>
      <c r="D43" s="703"/>
      <c r="E43" s="703"/>
      <c r="F43" s="703"/>
      <c r="G43" s="703"/>
      <c r="H43" s="703"/>
      <c r="I43" s="703"/>
      <c r="J43" s="703"/>
      <c r="K43" s="581" t="s">
        <v>6</v>
      </c>
      <c r="L43" s="160"/>
      <c r="M43" s="34"/>
      <c r="N43" s="709" t="s">
        <v>46</v>
      </c>
      <c r="O43" s="710"/>
      <c r="P43" s="710"/>
      <c r="Q43" s="710"/>
      <c r="R43" s="711"/>
      <c r="S43" s="168"/>
      <c r="T43" s="709" t="s">
        <v>47</v>
      </c>
      <c r="U43" s="710"/>
      <c r="V43" s="710"/>
      <c r="W43" s="710"/>
      <c r="X43" s="711"/>
      <c r="Y43" s="93"/>
      <c r="Z43" s="130"/>
      <c r="AA43" s="83"/>
    </row>
    <row r="44" spans="2:27" ht="16.5" customHeight="1">
      <c r="B44" s="82"/>
      <c r="C44" s="523">
        <v>13</v>
      </c>
      <c r="D44" s="703" t="s">
        <v>48</v>
      </c>
      <c r="E44" s="703"/>
      <c r="F44" s="703"/>
      <c r="G44" s="703"/>
      <c r="H44" s="703"/>
      <c r="I44" s="703"/>
      <c r="J44" s="703"/>
      <c r="K44" s="581" t="s">
        <v>6</v>
      </c>
      <c r="L44" s="160"/>
      <c r="M44" s="34"/>
      <c r="N44" s="155">
        <v>1</v>
      </c>
      <c r="O44" s="675" t="s">
        <v>49</v>
      </c>
      <c r="P44" s="676"/>
      <c r="Q44" s="675" t="s">
        <v>50</v>
      </c>
      <c r="R44" s="676"/>
      <c r="S44" s="168"/>
      <c r="T44" s="157">
        <v>1</v>
      </c>
      <c r="U44" s="675" t="s">
        <v>49</v>
      </c>
      <c r="V44" s="676"/>
      <c r="W44" s="675" t="s">
        <v>50</v>
      </c>
      <c r="X44" s="676"/>
      <c r="Y44" s="93"/>
      <c r="Z44" s="130"/>
      <c r="AA44" s="83"/>
    </row>
    <row r="45" spans="2:27" ht="16.5" customHeight="1">
      <c r="B45" s="82"/>
      <c r="D45" s="703"/>
      <c r="E45" s="703"/>
      <c r="F45" s="703"/>
      <c r="G45" s="703"/>
      <c r="H45" s="703"/>
      <c r="I45" s="703"/>
      <c r="J45" s="703"/>
      <c r="K45" s="23"/>
      <c r="L45" s="160"/>
      <c r="M45" s="34"/>
      <c r="N45" s="155">
        <v>2</v>
      </c>
      <c r="O45" s="675"/>
      <c r="P45" s="676"/>
      <c r="Q45" s="675"/>
      <c r="R45" s="676"/>
      <c r="S45" s="168"/>
      <c r="T45" s="157">
        <v>2</v>
      </c>
      <c r="U45" s="675"/>
      <c r="V45" s="676"/>
      <c r="W45" s="675"/>
      <c r="X45" s="676"/>
      <c r="Y45" s="93"/>
      <c r="Z45" s="130"/>
      <c r="AA45" s="83"/>
    </row>
    <row r="46" spans="2:27" ht="16.5" customHeight="1">
      <c r="B46" s="82"/>
      <c r="D46" s="90" t="s">
        <v>51</v>
      </c>
      <c r="E46" s="435"/>
      <c r="F46" s="435"/>
      <c r="G46" s="435"/>
      <c r="H46" s="435"/>
      <c r="I46" s="435"/>
      <c r="J46" s="436"/>
      <c r="L46" s="160"/>
      <c r="M46" s="34"/>
      <c r="N46" s="155">
        <v>3</v>
      </c>
      <c r="O46" s="675"/>
      <c r="P46" s="676"/>
      <c r="Q46" s="675"/>
      <c r="R46" s="676"/>
      <c r="S46" s="168"/>
      <c r="T46" s="158">
        <v>3</v>
      </c>
      <c r="U46" s="675"/>
      <c r="V46" s="676"/>
      <c r="W46" s="675"/>
      <c r="X46" s="676"/>
      <c r="Y46" s="93"/>
      <c r="Z46" s="130"/>
      <c r="AA46" s="83"/>
    </row>
    <row r="47" spans="2:27" ht="16.5" customHeight="1">
      <c r="B47" s="82"/>
      <c r="D47" s="438" t="s">
        <v>52</v>
      </c>
      <c r="E47" s="439"/>
      <c r="F47" s="439"/>
      <c r="G47" s="439"/>
      <c r="H47" s="439"/>
      <c r="I47" s="439"/>
      <c r="J47" s="440"/>
      <c r="K47" s="23"/>
      <c r="L47" s="160"/>
      <c r="M47" s="34"/>
      <c r="N47" s="156" t="s">
        <v>53</v>
      </c>
      <c r="O47" s="675"/>
      <c r="P47" s="676"/>
      <c r="Q47" s="675"/>
      <c r="R47" s="676"/>
      <c r="S47" s="168"/>
      <c r="T47" s="159" t="s">
        <v>53</v>
      </c>
      <c r="U47" s="675"/>
      <c r="V47" s="676"/>
      <c r="W47" s="675"/>
      <c r="X47" s="676"/>
      <c r="Y47" s="93"/>
      <c r="Z47" s="130"/>
      <c r="AA47" s="83"/>
    </row>
    <row r="48" spans="2:27">
      <c r="B48" s="82"/>
      <c r="D48" s="714" t="s">
        <v>54</v>
      </c>
      <c r="E48" s="715"/>
      <c r="F48" s="715"/>
      <c r="G48" s="715"/>
      <c r="H48" s="715"/>
      <c r="I48" s="715"/>
      <c r="J48" s="716"/>
      <c r="K48" s="23"/>
      <c r="L48" s="160"/>
      <c r="M48" s="34"/>
      <c r="N48" s="155">
        <v>50</v>
      </c>
      <c r="O48" s="675"/>
      <c r="P48" s="676"/>
      <c r="Q48" s="675"/>
      <c r="R48" s="676"/>
      <c r="S48" s="168"/>
      <c r="T48" s="157">
        <v>50</v>
      </c>
      <c r="U48" s="675"/>
      <c r="V48" s="676"/>
      <c r="W48" s="675"/>
      <c r="X48" s="676"/>
      <c r="Y48" s="93"/>
      <c r="Z48" s="130"/>
      <c r="AA48" s="83"/>
    </row>
    <row r="49" spans="2:27" ht="17.25" customHeight="1" thickBot="1">
      <c r="B49" s="82"/>
      <c r="D49" s="714"/>
      <c r="E49" s="715"/>
      <c r="F49" s="715"/>
      <c r="G49" s="715"/>
      <c r="H49" s="715"/>
      <c r="I49" s="715"/>
      <c r="J49" s="716"/>
      <c r="K49" s="23"/>
      <c r="L49" s="43"/>
      <c r="M49" s="35"/>
      <c r="N49" s="37"/>
      <c r="O49" s="37"/>
      <c r="P49" s="37"/>
      <c r="Q49" s="37"/>
      <c r="R49" s="36"/>
      <c r="S49" s="68"/>
      <c r="T49" s="68"/>
      <c r="U49" s="69"/>
      <c r="V49" s="69"/>
      <c r="W49" s="69"/>
      <c r="X49" s="69"/>
      <c r="Y49" s="94"/>
      <c r="Z49" s="130"/>
      <c r="AA49" s="83"/>
    </row>
    <row r="50" spans="2:27" ht="13.9" customHeight="1">
      <c r="B50" s="82"/>
      <c r="C50" s="530"/>
      <c r="D50" s="717"/>
      <c r="E50" s="718"/>
      <c r="F50" s="718"/>
      <c r="G50" s="718"/>
      <c r="H50" s="718"/>
      <c r="I50" s="718"/>
      <c r="J50" s="719"/>
      <c r="L50" s="43"/>
      <c r="M50" s="2"/>
      <c r="R50" s="2"/>
      <c r="S50" s="2"/>
      <c r="T50" s="2"/>
      <c r="U50" s="2"/>
      <c r="V50" s="2"/>
      <c r="W50" s="2"/>
      <c r="X50" s="2"/>
      <c r="Y50" s="2"/>
      <c r="Z50" s="130"/>
      <c r="AA50" s="83"/>
    </row>
    <row r="51" spans="2:27">
      <c r="B51" s="82"/>
      <c r="C51" s="530"/>
      <c r="L51" s="727" t="s">
        <v>55</v>
      </c>
      <c r="M51" s="701"/>
      <c r="N51" s="701"/>
      <c r="O51" s="701"/>
      <c r="P51" s="728" t="s">
        <v>56</v>
      </c>
      <c r="Q51" s="728"/>
      <c r="R51" s="728"/>
      <c r="S51" s="728"/>
      <c r="T51" s="728"/>
      <c r="U51" s="701" t="s">
        <v>57</v>
      </c>
      <c r="V51" s="701"/>
      <c r="W51" s="701" t="s">
        <v>58</v>
      </c>
      <c r="X51" s="701"/>
      <c r="Y51" s="701" t="s">
        <v>59</v>
      </c>
      <c r="Z51" s="702"/>
      <c r="AA51" s="83"/>
    </row>
    <row r="52" spans="2:27">
      <c r="B52" s="82"/>
      <c r="C52" s="530"/>
      <c r="L52" s="146"/>
      <c r="M52" s="147"/>
      <c r="N52" s="147"/>
      <c r="O52" s="147"/>
      <c r="P52" s="147"/>
      <c r="Q52" s="147"/>
      <c r="R52" s="147"/>
      <c r="S52" s="147"/>
      <c r="T52" s="147"/>
      <c r="U52" s="147"/>
      <c r="V52" s="147"/>
      <c r="W52" s="147"/>
      <c r="X52" s="147"/>
      <c r="Y52" s="147"/>
      <c r="Z52" s="153"/>
      <c r="AA52" s="83"/>
    </row>
    <row r="53" spans="2:27" ht="17.25" thickBot="1">
      <c r="B53" s="84"/>
      <c r="C53" s="532"/>
      <c r="D53" s="107"/>
      <c r="E53" s="88"/>
      <c r="F53" s="88"/>
      <c r="G53" s="88"/>
      <c r="H53" s="88"/>
      <c r="I53" s="88"/>
      <c r="J53" s="86"/>
      <c r="K53" s="86"/>
      <c r="L53" s="86"/>
      <c r="M53" s="85"/>
      <c r="N53" s="86"/>
      <c r="O53" s="86"/>
      <c r="P53" s="86"/>
      <c r="Q53" s="86"/>
      <c r="R53" s="98"/>
      <c r="S53" s="99"/>
      <c r="T53" s="99"/>
      <c r="U53" s="87"/>
      <c r="V53" s="87"/>
      <c r="W53" s="87"/>
      <c r="X53" s="87"/>
      <c r="Y53" s="87"/>
      <c r="Z53" s="86"/>
      <c r="AA53" s="89"/>
    </row>
    <row r="54" spans="2:27" ht="17.25" thickBot="1"/>
    <row r="55" spans="2:27">
      <c r="B55" s="74"/>
      <c r="C55" s="524"/>
      <c r="D55" s="106"/>
      <c r="E55" s="75"/>
      <c r="F55" s="75"/>
      <c r="G55" s="75"/>
      <c r="H55" s="75"/>
      <c r="I55" s="75"/>
      <c r="J55" s="75"/>
      <c r="K55" s="76"/>
      <c r="L55" s="76"/>
      <c r="M55" s="76"/>
      <c r="N55" s="76"/>
      <c r="O55" s="76"/>
      <c r="P55" s="76"/>
      <c r="Q55" s="76"/>
      <c r="R55" s="76"/>
      <c r="S55" s="76"/>
      <c r="T55" s="76"/>
      <c r="U55" s="76"/>
      <c r="V55" s="76"/>
      <c r="W55" s="76"/>
      <c r="X55" s="76"/>
      <c r="Y55" s="76"/>
      <c r="Z55" s="76"/>
      <c r="AA55" s="95"/>
    </row>
    <row r="56" spans="2:27" ht="23.25">
      <c r="B56" s="77"/>
      <c r="C56" s="73">
        <v>2</v>
      </c>
      <c r="D56" s="108" t="s">
        <v>60</v>
      </c>
      <c r="E56" s="71"/>
      <c r="F56" s="71"/>
      <c r="G56" s="71"/>
      <c r="H56" s="71"/>
      <c r="I56" s="71"/>
      <c r="J56" s="71"/>
      <c r="K56" s="72"/>
      <c r="L56" s="72"/>
      <c r="M56" s="72"/>
      <c r="N56" s="72"/>
      <c r="O56" s="72"/>
      <c r="P56" s="72"/>
      <c r="Q56" s="72"/>
      <c r="R56" s="72"/>
      <c r="S56" s="72"/>
      <c r="T56" s="72"/>
      <c r="U56" s="72"/>
      <c r="V56" s="72"/>
      <c r="W56" s="72"/>
      <c r="X56" s="72"/>
      <c r="Y56" s="72"/>
      <c r="Z56" s="72"/>
      <c r="AA56" s="96"/>
    </row>
    <row r="57" spans="2:27" ht="17.25" thickBot="1">
      <c r="B57" s="78"/>
      <c r="C57" s="525"/>
      <c r="D57" s="109"/>
      <c r="E57" s="81"/>
      <c r="F57" s="81"/>
      <c r="G57" s="81"/>
      <c r="H57" s="81"/>
      <c r="I57" s="81"/>
      <c r="J57" s="79"/>
      <c r="K57" s="80"/>
      <c r="L57" s="80"/>
      <c r="M57" s="80"/>
      <c r="N57" s="80"/>
      <c r="O57" s="80"/>
      <c r="P57" s="80"/>
      <c r="Q57" s="80"/>
      <c r="R57" s="80"/>
      <c r="S57" s="80"/>
      <c r="T57" s="80"/>
      <c r="U57" s="80"/>
      <c r="V57" s="80"/>
      <c r="W57" s="80"/>
      <c r="X57" s="80"/>
      <c r="Y57" s="80"/>
      <c r="Z57" s="80"/>
      <c r="AA57" s="97"/>
    </row>
    <row r="58" spans="2:27">
      <c r="B58" s="119"/>
      <c r="M58" s="2"/>
      <c r="R58" s="2"/>
      <c r="S58" s="2"/>
      <c r="AA58" s="120"/>
    </row>
    <row r="59" spans="2:27">
      <c r="B59" s="119"/>
      <c r="M59" s="2"/>
      <c r="R59" s="2"/>
      <c r="S59" s="2"/>
      <c r="AA59" s="120"/>
    </row>
    <row r="60" spans="2:27">
      <c r="B60" s="119"/>
      <c r="M60" s="2"/>
      <c r="R60" s="2"/>
      <c r="S60" s="2"/>
      <c r="AA60" s="120"/>
    </row>
    <row r="61" spans="2:27">
      <c r="B61" s="119"/>
      <c r="M61" s="2"/>
      <c r="R61" s="2"/>
      <c r="S61" s="2"/>
      <c r="AA61" s="120"/>
    </row>
    <row r="62" spans="2:27">
      <c r="B62" s="119"/>
      <c r="M62" s="2"/>
      <c r="R62" s="2"/>
      <c r="S62" s="2"/>
      <c r="AA62" s="120"/>
    </row>
    <row r="63" spans="2:27">
      <c r="B63" s="119"/>
      <c r="M63" s="2"/>
      <c r="R63" s="2"/>
      <c r="S63" s="2"/>
      <c r="AA63" s="120"/>
    </row>
    <row r="64" spans="2:27">
      <c r="B64" s="119"/>
      <c r="M64" s="2"/>
      <c r="R64" s="2"/>
      <c r="S64" s="2"/>
      <c r="AA64" s="120"/>
    </row>
    <row r="65" spans="2:27">
      <c r="B65" s="119"/>
      <c r="M65" s="2"/>
      <c r="R65" s="2"/>
      <c r="S65" s="2"/>
      <c r="AA65" s="120"/>
    </row>
    <row r="66" spans="2:27">
      <c r="B66" s="119"/>
      <c r="M66" s="2"/>
      <c r="R66" s="2"/>
      <c r="S66" s="2"/>
      <c r="AA66" s="120"/>
    </row>
    <row r="67" spans="2:27">
      <c r="B67" s="119"/>
      <c r="C67" s="529" t="s">
        <v>61</v>
      </c>
      <c r="M67" s="672" t="s">
        <v>62</v>
      </c>
      <c r="N67" s="673"/>
      <c r="O67" s="673"/>
      <c r="P67" s="673"/>
      <c r="Q67" s="673"/>
      <c r="R67" s="673"/>
      <c r="S67" s="673"/>
      <c r="T67" s="673"/>
      <c r="U67" s="673"/>
      <c r="V67" s="673"/>
      <c r="W67" s="673"/>
      <c r="X67" s="673"/>
      <c r="Y67" s="673"/>
      <c r="Z67" s="674"/>
      <c r="AA67" s="120"/>
    </row>
    <row r="68" spans="2:27" ht="15.6" customHeight="1">
      <c r="B68" s="119"/>
      <c r="C68" s="523">
        <v>1</v>
      </c>
      <c r="D68" s="6" t="s">
        <v>63</v>
      </c>
      <c r="M68" s="111"/>
      <c r="T68" s="60"/>
      <c r="U68" s="60"/>
      <c r="V68" s="60"/>
      <c r="W68" s="60"/>
      <c r="X68" s="60"/>
      <c r="Y68" s="60"/>
      <c r="Z68" s="129"/>
      <c r="AA68" s="120"/>
    </row>
    <row r="69" spans="2:27" ht="15.6" customHeight="1">
      <c r="B69" s="119"/>
      <c r="D69" s="741" t="s">
        <v>64</v>
      </c>
      <c r="E69" s="742"/>
      <c r="F69" s="742"/>
      <c r="G69" s="742"/>
      <c r="H69" s="742"/>
      <c r="I69" s="742"/>
      <c r="J69" s="742"/>
      <c r="K69" s="743"/>
      <c r="M69" s="40"/>
      <c r="N69" s="100"/>
      <c r="O69" s="117" t="s">
        <v>65</v>
      </c>
      <c r="P69" s="117"/>
      <c r="Q69" s="117"/>
      <c r="R69" s="116"/>
      <c r="S69" s="696" t="s">
        <v>66</v>
      </c>
      <c r="T69" s="696"/>
      <c r="U69" s="696"/>
      <c r="V69" s="696"/>
      <c r="W69" s="696"/>
      <c r="X69" s="696"/>
      <c r="Y69" s="696"/>
      <c r="Z69" s="129"/>
      <c r="AA69" s="120"/>
    </row>
    <row r="70" spans="2:27" ht="16.5" customHeight="1">
      <c r="B70" s="119"/>
      <c r="D70" s="744"/>
      <c r="E70" s="745"/>
      <c r="F70" s="745"/>
      <c r="G70" s="745"/>
      <c r="H70" s="745"/>
      <c r="I70" s="745"/>
      <c r="J70" s="745"/>
      <c r="K70" s="746"/>
      <c r="M70" s="40"/>
      <c r="O70" s="118"/>
      <c r="P70" s="118"/>
      <c r="Q70" s="118"/>
      <c r="R70" s="116"/>
      <c r="S70" s="696"/>
      <c r="T70" s="696"/>
      <c r="U70" s="696"/>
      <c r="V70" s="696"/>
      <c r="W70" s="696"/>
      <c r="X70" s="696"/>
      <c r="Y70" s="696"/>
      <c r="Z70" s="129"/>
      <c r="AA70" s="120"/>
    </row>
    <row r="71" spans="2:27" ht="15.6" customHeight="1">
      <c r="B71" s="119"/>
      <c r="C71" s="523">
        <v>2</v>
      </c>
      <c r="D71" s="6" t="s">
        <v>67</v>
      </c>
      <c r="E71" s="2"/>
      <c r="F71" s="2"/>
      <c r="G71" s="2"/>
      <c r="H71" s="2"/>
      <c r="I71" s="2"/>
      <c r="M71" s="40"/>
      <c r="N71" s="101"/>
      <c r="O71" s="117" t="s">
        <v>68</v>
      </c>
      <c r="P71" s="117"/>
      <c r="Q71" s="117"/>
      <c r="R71" s="116"/>
      <c r="S71" s="696" t="s">
        <v>69</v>
      </c>
      <c r="T71" s="696"/>
      <c r="U71" s="696"/>
      <c r="V71" s="696"/>
      <c r="W71" s="696"/>
      <c r="X71" s="696"/>
      <c r="Y71" s="696"/>
      <c r="Z71" s="129"/>
      <c r="AA71" s="120"/>
    </row>
    <row r="72" spans="2:27">
      <c r="B72" s="119"/>
      <c r="C72" s="523">
        <v>3</v>
      </c>
      <c r="D72" s="6" t="s">
        <v>70</v>
      </c>
      <c r="E72" s="2"/>
      <c r="F72" s="2"/>
      <c r="G72" s="2"/>
      <c r="H72" s="2"/>
      <c r="I72" s="2"/>
      <c r="M72" s="40"/>
      <c r="O72" s="118"/>
      <c r="P72" s="118"/>
      <c r="Q72" s="118"/>
      <c r="R72" s="116"/>
      <c r="S72" s="696"/>
      <c r="T72" s="696"/>
      <c r="U72" s="696"/>
      <c r="V72" s="696"/>
      <c r="W72" s="696"/>
      <c r="X72" s="696"/>
      <c r="Y72" s="696"/>
      <c r="Z72" s="129"/>
      <c r="AA72" s="120"/>
    </row>
    <row r="73" spans="2:27" ht="15.6" customHeight="1">
      <c r="B73" s="119"/>
      <c r="D73" s="594" t="s">
        <v>71</v>
      </c>
      <c r="E73" s="595"/>
      <c r="F73" s="581" t="s">
        <v>6</v>
      </c>
      <c r="G73" s="121" t="s">
        <v>72</v>
      </c>
      <c r="K73" s="67"/>
      <c r="M73" s="111"/>
      <c r="N73" s="102">
        <v>5</v>
      </c>
      <c r="O73" s="695" t="s">
        <v>73</v>
      </c>
      <c r="P73" s="695"/>
      <c r="Q73" s="695"/>
      <c r="R73" s="695"/>
      <c r="S73" s="696" t="s">
        <v>74</v>
      </c>
      <c r="T73" s="696"/>
      <c r="U73" s="696"/>
      <c r="V73" s="696"/>
      <c r="W73" s="696"/>
      <c r="X73" s="696"/>
      <c r="Y73" s="696"/>
      <c r="Z73" s="697"/>
      <c r="AA73" s="120"/>
    </row>
    <row r="74" spans="2:27">
      <c r="B74" s="119"/>
      <c r="D74" s="594" t="s">
        <v>75</v>
      </c>
      <c r="E74" s="595"/>
      <c r="F74" s="581" t="s">
        <v>6</v>
      </c>
      <c r="G74" s="121" t="s">
        <v>76</v>
      </c>
      <c r="M74" s="111"/>
      <c r="O74" s="695"/>
      <c r="P74" s="695"/>
      <c r="Q74" s="695"/>
      <c r="R74" s="695"/>
      <c r="S74" s="696"/>
      <c r="T74" s="696"/>
      <c r="U74" s="696"/>
      <c r="V74" s="696"/>
      <c r="W74" s="696"/>
      <c r="X74" s="696"/>
      <c r="Y74" s="696"/>
      <c r="Z74" s="697"/>
      <c r="AA74" s="120"/>
    </row>
    <row r="75" spans="2:27" ht="15.6" customHeight="1">
      <c r="B75" s="119"/>
      <c r="C75" s="523">
        <v>4</v>
      </c>
      <c r="D75" s="121" t="s">
        <v>77</v>
      </c>
      <c r="M75" s="111"/>
      <c r="O75" s="70"/>
      <c r="P75" s="70"/>
      <c r="Q75" s="70"/>
      <c r="R75" s="110"/>
      <c r="S75" s="696"/>
      <c r="T75" s="696"/>
      <c r="U75" s="696"/>
      <c r="V75" s="696"/>
      <c r="W75" s="696"/>
      <c r="X75" s="696"/>
      <c r="Y75" s="696"/>
      <c r="Z75" s="697"/>
      <c r="AA75" s="120"/>
    </row>
    <row r="76" spans="2:27">
      <c r="B76" s="119"/>
      <c r="M76" s="111"/>
      <c r="N76" s="103">
        <v>70</v>
      </c>
      <c r="O76" s="117" t="s">
        <v>78</v>
      </c>
      <c r="P76" s="596"/>
      <c r="Q76" s="596"/>
      <c r="R76" s="116"/>
      <c r="S76" s="596" t="s">
        <v>79</v>
      </c>
      <c r="T76" s="596"/>
      <c r="U76" s="596"/>
      <c r="V76" s="596"/>
      <c r="W76" s="596"/>
      <c r="X76" s="596"/>
      <c r="Y76" s="596"/>
      <c r="Z76" s="597"/>
      <c r="AA76" s="120"/>
    </row>
    <row r="77" spans="2:27">
      <c r="B77" s="119"/>
      <c r="D77" s="90" t="s">
        <v>80</v>
      </c>
      <c r="E77" s="126"/>
      <c r="F77" s="126"/>
      <c r="G77" s="126"/>
      <c r="H77" s="126"/>
      <c r="I77" s="126"/>
      <c r="J77" s="127"/>
      <c r="K77" s="128"/>
      <c r="M77" s="112"/>
      <c r="N77" s="22"/>
      <c r="O77" s="22"/>
      <c r="P77" s="22"/>
      <c r="Q77" s="22"/>
      <c r="R77" s="113"/>
      <c r="S77" s="49"/>
      <c r="T77" s="49"/>
      <c r="U77" s="114"/>
      <c r="V77" s="114"/>
      <c r="W77" s="114"/>
      <c r="X77" s="114"/>
      <c r="Y77" s="114"/>
      <c r="Z77" s="115"/>
      <c r="AA77" s="120"/>
    </row>
    <row r="78" spans="2:27" ht="15.6" customHeight="1">
      <c r="B78" s="119"/>
      <c r="D78" s="747" t="s">
        <v>81</v>
      </c>
      <c r="E78" s="748"/>
      <c r="F78" s="748"/>
      <c r="G78" s="748"/>
      <c r="H78" s="748"/>
      <c r="I78" s="748"/>
      <c r="J78" s="748"/>
      <c r="K78" s="749"/>
      <c r="AA78" s="120"/>
    </row>
    <row r="79" spans="2:27">
      <c r="B79" s="119"/>
      <c r="D79" s="747"/>
      <c r="E79" s="748"/>
      <c r="F79" s="748"/>
      <c r="G79" s="748"/>
      <c r="H79" s="748"/>
      <c r="I79" s="748"/>
      <c r="J79" s="748"/>
      <c r="K79" s="749"/>
      <c r="M79" s="2"/>
      <c r="AA79" s="120"/>
    </row>
    <row r="80" spans="2:27">
      <c r="B80" s="119"/>
      <c r="D80" s="735" t="s">
        <v>82</v>
      </c>
      <c r="E80" s="736"/>
      <c r="F80" s="736"/>
      <c r="G80" s="736"/>
      <c r="H80" s="736"/>
      <c r="I80" s="736"/>
      <c r="J80" s="736"/>
      <c r="K80" s="737"/>
      <c r="L80" s="659" t="s">
        <v>6</v>
      </c>
      <c r="M80" s="658" t="s">
        <v>83</v>
      </c>
      <c r="R80" s="2"/>
      <c r="S80" s="2"/>
      <c r="T80" s="2"/>
      <c r="U80" s="2"/>
      <c r="V80" s="2"/>
      <c r="W80" s="2"/>
      <c r="X80" s="2"/>
      <c r="Y80" s="2"/>
      <c r="AA80" s="120"/>
    </row>
    <row r="81" spans="2:27">
      <c r="B81" s="119"/>
      <c r="D81" s="738"/>
      <c r="E81" s="739"/>
      <c r="F81" s="739"/>
      <c r="G81" s="739"/>
      <c r="H81" s="739"/>
      <c r="I81" s="739"/>
      <c r="J81" s="739"/>
      <c r="K81" s="740"/>
      <c r="M81" s="663" t="s">
        <v>84</v>
      </c>
      <c r="N81" s="663"/>
      <c r="O81" s="663"/>
      <c r="P81" s="663"/>
      <c r="Q81" s="663"/>
      <c r="R81" s="663"/>
      <c r="S81" s="663"/>
      <c r="T81" s="663"/>
      <c r="U81" s="663"/>
      <c r="V81" s="663"/>
      <c r="W81" s="663"/>
      <c r="X81" s="663"/>
      <c r="Y81" s="663"/>
      <c r="Z81" s="663"/>
      <c r="AA81" s="120"/>
    </row>
    <row r="82" spans="2:27" ht="17.25" thickBot="1">
      <c r="B82" s="122"/>
      <c r="C82" s="533"/>
      <c r="D82" s="123"/>
      <c r="E82" s="123"/>
      <c r="F82" s="123"/>
      <c r="G82" s="123"/>
      <c r="H82" s="123"/>
      <c r="I82" s="123"/>
      <c r="J82" s="123"/>
      <c r="K82" s="123"/>
      <c r="L82" s="124"/>
      <c r="M82" s="664"/>
      <c r="N82" s="664"/>
      <c r="O82" s="664"/>
      <c r="P82" s="664"/>
      <c r="Q82" s="664"/>
      <c r="R82" s="664"/>
      <c r="S82" s="664"/>
      <c r="T82" s="664"/>
      <c r="U82" s="664"/>
      <c r="V82" s="664"/>
      <c r="W82" s="664"/>
      <c r="X82" s="664"/>
      <c r="Y82" s="664"/>
      <c r="Z82" s="664"/>
      <c r="AA82" s="125"/>
    </row>
    <row r="83" spans="2:27" ht="17.25" thickBot="1">
      <c r="D83" s="104"/>
      <c r="E83" s="104"/>
      <c r="F83" s="104"/>
      <c r="G83" s="104"/>
      <c r="H83" s="104"/>
      <c r="I83" s="104"/>
      <c r="J83" s="104"/>
      <c r="K83" s="104"/>
      <c r="O83" s="67"/>
      <c r="P83" s="67"/>
      <c r="Q83" s="67"/>
    </row>
    <row r="84" spans="2:27">
      <c r="B84" s="74"/>
      <c r="C84" s="524"/>
      <c r="D84" s="106"/>
      <c r="E84" s="75"/>
      <c r="F84" s="75"/>
      <c r="G84" s="75"/>
      <c r="H84" s="75"/>
      <c r="I84" s="75"/>
      <c r="J84" s="75"/>
      <c r="K84" s="76"/>
      <c r="L84" s="76"/>
      <c r="M84" s="76"/>
      <c r="N84" s="76"/>
      <c r="O84" s="76"/>
      <c r="P84" s="76"/>
      <c r="Q84" s="76"/>
      <c r="R84" s="76"/>
      <c r="S84" s="76"/>
      <c r="T84" s="76"/>
      <c r="U84" s="76"/>
      <c r="V84" s="76"/>
      <c r="W84" s="76"/>
      <c r="X84" s="76"/>
      <c r="Y84" s="76"/>
      <c r="Z84" s="76"/>
      <c r="AA84" s="95"/>
    </row>
    <row r="85" spans="2:27" ht="23.25">
      <c r="B85" s="77"/>
      <c r="C85" s="73">
        <v>3</v>
      </c>
      <c r="D85" s="108" t="s">
        <v>85</v>
      </c>
      <c r="E85" s="71"/>
      <c r="F85" s="71"/>
      <c r="G85" s="71"/>
      <c r="H85" s="71"/>
      <c r="I85" s="71"/>
      <c r="J85" s="71"/>
      <c r="K85" s="72"/>
      <c r="L85" s="72"/>
      <c r="M85" s="72"/>
      <c r="N85" s="72"/>
      <c r="O85" s="72"/>
      <c r="P85" s="72"/>
      <c r="Q85" s="72"/>
      <c r="R85" s="72"/>
      <c r="S85" s="72"/>
      <c r="T85" s="72"/>
      <c r="U85" s="72"/>
      <c r="V85" s="72"/>
      <c r="W85" s="72"/>
      <c r="X85" s="72"/>
      <c r="Y85" s="72"/>
      <c r="Z85" s="72"/>
      <c r="AA85" s="96"/>
    </row>
    <row r="86" spans="2:27" ht="17.25" thickBot="1">
      <c r="B86" s="78"/>
      <c r="C86" s="525"/>
      <c r="D86" s="109"/>
      <c r="E86" s="81"/>
      <c r="F86" s="81"/>
      <c r="G86" s="81"/>
      <c r="H86" s="81"/>
      <c r="I86" s="81"/>
      <c r="J86" s="79"/>
      <c r="K86" s="80"/>
      <c r="L86" s="80"/>
      <c r="M86" s="80"/>
      <c r="N86" s="80"/>
      <c r="O86" s="80"/>
      <c r="P86" s="80"/>
      <c r="Q86" s="80"/>
      <c r="R86" s="80"/>
      <c r="S86" s="80"/>
      <c r="T86" s="80"/>
      <c r="U86" s="80"/>
      <c r="V86" s="80"/>
      <c r="W86" s="80"/>
      <c r="X86" s="80"/>
      <c r="Y86" s="80"/>
      <c r="Z86" s="80"/>
      <c r="AA86" s="97"/>
    </row>
    <row r="87" spans="2:27">
      <c r="B87" s="131"/>
      <c r="C87" s="534"/>
      <c r="D87" s="133"/>
      <c r="E87" s="132"/>
      <c r="F87" s="134"/>
      <c r="G87" s="134"/>
      <c r="H87" s="134"/>
      <c r="I87" s="134"/>
      <c r="J87" s="135"/>
      <c r="K87" s="134"/>
      <c r="L87" s="134"/>
      <c r="M87" s="134"/>
      <c r="N87" s="134"/>
      <c r="O87" s="134"/>
      <c r="P87" s="134"/>
      <c r="Q87" s="134"/>
      <c r="R87" s="135"/>
      <c r="S87" s="132"/>
      <c r="T87" s="132"/>
      <c r="U87" s="133"/>
      <c r="V87" s="133"/>
      <c r="W87" s="133"/>
      <c r="X87" s="133"/>
      <c r="Y87" s="133"/>
      <c r="Z87" s="134"/>
      <c r="AA87" s="136"/>
    </row>
    <row r="88" spans="2:27" ht="16.5" customHeight="1">
      <c r="B88" s="137"/>
      <c r="C88" s="688" t="s">
        <v>86</v>
      </c>
      <c r="D88" s="688"/>
      <c r="E88" s="688"/>
      <c r="F88" s="688"/>
      <c r="G88" s="688"/>
      <c r="H88" s="688"/>
      <c r="I88" s="688"/>
      <c r="J88" s="688"/>
      <c r="K88" s="688"/>
      <c r="L88" s="104"/>
      <c r="M88" s="672" t="s">
        <v>87</v>
      </c>
      <c r="N88" s="673"/>
      <c r="O88" s="673"/>
      <c r="P88" s="673"/>
      <c r="Q88" s="673"/>
      <c r="R88" s="673"/>
      <c r="S88" s="673"/>
      <c r="T88" s="673"/>
      <c r="U88" s="673"/>
      <c r="V88" s="673"/>
      <c r="W88" s="673"/>
      <c r="X88" s="673"/>
      <c r="Y88" s="673"/>
      <c r="Z88" s="674"/>
      <c r="AA88" s="138"/>
    </row>
    <row r="89" spans="2:27" ht="13.9" customHeight="1">
      <c r="B89" s="137"/>
      <c r="C89" s="688"/>
      <c r="D89" s="688"/>
      <c r="E89" s="688"/>
      <c r="F89" s="688"/>
      <c r="G89" s="688"/>
      <c r="H89" s="688"/>
      <c r="I89" s="688"/>
      <c r="J89" s="688"/>
      <c r="K89" s="688"/>
      <c r="L89" s="104"/>
      <c r="M89" s="111"/>
      <c r="Z89" s="130"/>
      <c r="AA89" s="138"/>
    </row>
    <row r="90" spans="2:27">
      <c r="B90" s="137"/>
      <c r="C90" s="688"/>
      <c r="D90" s="688"/>
      <c r="E90" s="688"/>
      <c r="F90" s="688"/>
      <c r="G90" s="688"/>
      <c r="H90" s="688"/>
      <c r="I90" s="688"/>
      <c r="J90" s="688"/>
      <c r="K90" s="688"/>
      <c r="L90" s="104"/>
      <c r="M90" s="111"/>
      <c r="N90" s="652" t="s">
        <v>88</v>
      </c>
      <c r="O90" s="6" t="s">
        <v>89</v>
      </c>
      <c r="T90" s="11" t="s">
        <v>90</v>
      </c>
      <c r="U90" s="6" t="s">
        <v>91</v>
      </c>
      <c r="W90" s="2"/>
      <c r="X90" s="6"/>
      <c r="Y90" s="18"/>
      <c r="Z90" s="130"/>
      <c r="AA90" s="138"/>
    </row>
    <row r="91" spans="2:27" ht="16.5" customHeight="1">
      <c r="B91" s="137"/>
      <c r="C91" s="688"/>
      <c r="D91" s="688"/>
      <c r="E91" s="688"/>
      <c r="F91" s="688"/>
      <c r="G91" s="688"/>
      <c r="H91" s="688"/>
      <c r="I91" s="688"/>
      <c r="J91" s="688"/>
      <c r="K91" s="688"/>
      <c r="L91" s="104"/>
      <c r="M91" s="111"/>
      <c r="N91" s="11" t="s">
        <v>92</v>
      </c>
      <c r="O91" s="6" t="s">
        <v>93</v>
      </c>
      <c r="T91" s="11" t="s">
        <v>94</v>
      </c>
      <c r="U91" s="6" t="s">
        <v>95</v>
      </c>
      <c r="W91" s="104"/>
      <c r="X91" s="104"/>
      <c r="Y91" s="104"/>
      <c r="Z91" s="130"/>
      <c r="AA91" s="138"/>
    </row>
    <row r="92" spans="2:27" ht="13.9" customHeight="1">
      <c r="B92" s="137"/>
      <c r="D92" s="603"/>
      <c r="E92" s="603"/>
      <c r="F92" s="603"/>
      <c r="G92" s="603"/>
      <c r="H92" s="603"/>
      <c r="I92" s="603"/>
      <c r="J92" s="603"/>
      <c r="K92" s="603"/>
      <c r="L92" s="104"/>
      <c r="M92" s="111"/>
      <c r="N92" s="11" t="s">
        <v>96</v>
      </c>
      <c r="O92" s="6" t="s">
        <v>97</v>
      </c>
      <c r="T92" s="652" t="s">
        <v>98</v>
      </c>
      <c r="U92" s="6" t="s">
        <v>99</v>
      </c>
      <c r="W92" s="104"/>
      <c r="X92" s="104"/>
      <c r="Y92" s="104"/>
      <c r="Z92" s="130"/>
      <c r="AA92" s="138"/>
    </row>
    <row r="93" spans="2:27" ht="13.9" customHeight="1">
      <c r="B93" s="137"/>
      <c r="C93" s="689" t="s">
        <v>100</v>
      </c>
      <c r="D93" s="689"/>
      <c r="E93" s="689"/>
      <c r="F93" s="689"/>
      <c r="G93" s="689"/>
      <c r="H93" s="689"/>
      <c r="I93" s="689"/>
      <c r="J93" s="689"/>
      <c r="K93" s="689"/>
      <c r="L93" s="604"/>
      <c r="M93" s="111"/>
      <c r="N93" s="652" t="s">
        <v>101</v>
      </c>
      <c r="O93" s="6" t="s">
        <v>102</v>
      </c>
      <c r="Z93" s="130"/>
      <c r="AA93" s="138"/>
    </row>
    <row r="94" spans="2:27" s="104" customFormat="1" ht="13.9" customHeight="1">
      <c r="B94" s="137"/>
      <c r="C94" s="689"/>
      <c r="D94" s="689"/>
      <c r="E94" s="689"/>
      <c r="F94" s="689"/>
      <c r="G94" s="689"/>
      <c r="H94" s="689"/>
      <c r="I94" s="689"/>
      <c r="J94" s="689"/>
      <c r="K94" s="689"/>
      <c r="M94" s="143"/>
      <c r="N94" s="144"/>
      <c r="O94" s="144"/>
      <c r="P94" s="144"/>
      <c r="Q94" s="144"/>
      <c r="R94" s="144"/>
      <c r="S94" s="144"/>
      <c r="T94" s="144"/>
      <c r="U94" s="144"/>
      <c r="V94" s="144"/>
      <c r="W94" s="144"/>
      <c r="X94" s="144"/>
      <c r="Y94" s="144"/>
      <c r="Z94" s="145"/>
      <c r="AA94" s="138"/>
    </row>
    <row r="95" spans="2:27" s="104" customFormat="1" ht="13.9" customHeight="1">
      <c r="B95" s="137"/>
      <c r="C95" s="605"/>
      <c r="D95" s="606"/>
      <c r="J95" s="606"/>
      <c r="K95" s="606"/>
      <c r="Z95" s="2"/>
      <c r="AA95" s="138"/>
    </row>
    <row r="96" spans="2:27" s="104" customFormat="1" ht="14.45" customHeight="1">
      <c r="B96" s="137"/>
      <c r="C96" s="607"/>
      <c r="D96" s="608"/>
      <c r="E96" s="694" t="s">
        <v>103</v>
      </c>
      <c r="F96" s="694"/>
      <c r="G96" s="694"/>
      <c r="H96" s="694"/>
      <c r="I96" s="694"/>
      <c r="M96" s="750" t="s">
        <v>104</v>
      </c>
      <c r="N96" s="751"/>
      <c r="O96" s="751"/>
      <c r="P96" s="751"/>
      <c r="Q96" s="751"/>
      <c r="R96" s="751"/>
      <c r="S96" s="751"/>
      <c r="T96" s="751"/>
      <c r="U96" s="751"/>
      <c r="V96" s="751"/>
      <c r="W96" s="751"/>
      <c r="X96" s="751"/>
      <c r="Y96" s="751"/>
      <c r="Z96" s="752"/>
      <c r="AA96" s="138"/>
    </row>
    <row r="97" spans="2:27" s="104" customFormat="1" ht="13.9" customHeight="1">
      <c r="B97" s="137"/>
      <c r="C97" s="607"/>
      <c r="D97" s="608"/>
      <c r="E97" s="694"/>
      <c r="F97" s="694"/>
      <c r="G97" s="694"/>
      <c r="H97" s="694"/>
      <c r="I97" s="694"/>
      <c r="M97" s="149"/>
      <c r="N97" s="26"/>
      <c r="O97" s="26"/>
      <c r="P97" s="26"/>
      <c r="Q97" s="26"/>
      <c r="R97" s="609"/>
      <c r="S97" s="150"/>
      <c r="T97" s="150"/>
      <c r="U97" s="151"/>
      <c r="V97" s="151"/>
      <c r="W97" s="151"/>
      <c r="X97" s="151"/>
      <c r="Y97" s="151"/>
      <c r="Z97" s="148"/>
      <c r="AA97" s="138"/>
    </row>
    <row r="98" spans="2:27" s="104" customFormat="1" ht="13.9" customHeight="1">
      <c r="B98" s="137"/>
      <c r="C98" s="607"/>
      <c r="D98" s="608"/>
      <c r="E98" s="443" t="s">
        <v>105</v>
      </c>
      <c r="F98" s="444"/>
      <c r="G98" s="250" t="s">
        <v>106</v>
      </c>
      <c r="H98" s="250"/>
      <c r="I98" s="250"/>
      <c r="M98" s="149"/>
      <c r="N98" s="660" t="s">
        <v>93</v>
      </c>
      <c r="O98" s="661"/>
      <c r="P98" s="661"/>
      <c r="Q98" s="662"/>
      <c r="R98" s="660" t="s">
        <v>107</v>
      </c>
      <c r="S98" s="662"/>
      <c r="T98" s="660" t="s">
        <v>93</v>
      </c>
      <c r="U98" s="661"/>
      <c r="V98" s="661"/>
      <c r="W98" s="662"/>
      <c r="X98" s="660" t="s">
        <v>107</v>
      </c>
      <c r="Y98" s="662"/>
      <c r="Z98" s="148"/>
      <c r="AA98" s="138"/>
    </row>
    <row r="99" spans="2:27" s="104" customFormat="1" ht="16.5" customHeight="1">
      <c r="B99" s="137"/>
      <c r="C99" s="607"/>
      <c r="D99" s="608"/>
      <c r="E99" s="599"/>
      <c r="F99" s="249"/>
      <c r="G99" s="651" t="s">
        <v>108</v>
      </c>
      <c r="H99" s="651" t="s">
        <v>109</v>
      </c>
      <c r="I99" s="651" t="s">
        <v>88</v>
      </c>
      <c r="M99" s="149"/>
      <c r="N99" s="441" t="s">
        <v>110</v>
      </c>
      <c r="O99" s="442"/>
      <c r="P99" s="442" t="s">
        <v>111</v>
      </c>
      <c r="Q99" s="442"/>
      <c r="R99" s="729"/>
      <c r="S99" s="730"/>
      <c r="T99" s="441" t="s">
        <v>110</v>
      </c>
      <c r="U99" s="442"/>
      <c r="V99" s="442" t="s">
        <v>111</v>
      </c>
      <c r="W99" s="442"/>
      <c r="X99" s="729"/>
      <c r="Y99" s="730"/>
      <c r="Z99" s="148"/>
      <c r="AA99" s="138"/>
    </row>
    <row r="100" spans="2:27" s="104" customFormat="1" ht="16.5" customHeight="1">
      <c r="B100" s="137"/>
      <c r="C100" s="607"/>
      <c r="D100" s="608"/>
      <c r="E100" s="690" t="s">
        <v>112</v>
      </c>
      <c r="F100" s="691"/>
      <c r="G100" s="598">
        <v>0.25</v>
      </c>
      <c r="H100" s="598">
        <v>0.5</v>
      </c>
      <c r="I100" s="598">
        <v>0.25</v>
      </c>
      <c r="M100" s="149"/>
      <c r="N100" s="722">
        <v>99.5</v>
      </c>
      <c r="O100" s="720"/>
      <c r="P100" s="720">
        <v>100</v>
      </c>
      <c r="Q100" s="721"/>
      <c r="R100" s="731">
        <v>100</v>
      </c>
      <c r="S100" s="732"/>
      <c r="T100" s="722">
        <v>74.71999999999997</v>
      </c>
      <c r="U100" s="720"/>
      <c r="V100" s="720">
        <v>75.889999999999972</v>
      </c>
      <c r="W100" s="721"/>
      <c r="X100" s="731">
        <v>79</v>
      </c>
      <c r="Y100" s="732"/>
      <c r="Z100" s="148"/>
      <c r="AA100" s="138"/>
    </row>
    <row r="101" spans="2:27">
      <c r="B101" s="137"/>
      <c r="C101" s="607"/>
      <c r="D101" s="608"/>
      <c r="E101" s="653" t="s">
        <v>33</v>
      </c>
      <c r="F101" s="600"/>
      <c r="G101" s="598">
        <v>0.25</v>
      </c>
      <c r="H101" s="598">
        <v>0.45</v>
      </c>
      <c r="I101" s="598">
        <v>0.3</v>
      </c>
      <c r="J101" s="104"/>
      <c r="K101" s="104"/>
      <c r="M101" s="149"/>
      <c r="N101" s="669">
        <v>98.32</v>
      </c>
      <c r="O101" s="667"/>
      <c r="P101" s="667">
        <v>99.49</v>
      </c>
      <c r="Q101" s="668"/>
      <c r="R101" s="733">
        <v>99</v>
      </c>
      <c r="S101" s="734"/>
      <c r="T101" s="669">
        <v>73.539999999999964</v>
      </c>
      <c r="U101" s="667"/>
      <c r="V101" s="667">
        <v>74.709999999999965</v>
      </c>
      <c r="W101" s="668"/>
      <c r="X101" s="733">
        <v>78</v>
      </c>
      <c r="Y101" s="734"/>
      <c r="Z101" s="148"/>
      <c r="AA101" s="83"/>
    </row>
    <row r="102" spans="2:27" ht="13.9" customHeight="1">
      <c r="B102" s="137"/>
      <c r="C102" s="607"/>
      <c r="D102" s="608"/>
      <c r="E102" s="687" t="s">
        <v>113</v>
      </c>
      <c r="F102" s="687"/>
      <c r="G102" s="692">
        <v>0.35</v>
      </c>
      <c r="H102" s="692">
        <v>0.4</v>
      </c>
      <c r="I102" s="692">
        <v>0.25</v>
      </c>
      <c r="J102" s="104"/>
      <c r="K102" s="104"/>
      <c r="M102" s="149"/>
      <c r="N102" s="669">
        <v>97.14</v>
      </c>
      <c r="O102" s="667"/>
      <c r="P102" s="667">
        <v>98.309999999999988</v>
      </c>
      <c r="Q102" s="668"/>
      <c r="R102" s="733">
        <v>98</v>
      </c>
      <c r="S102" s="734"/>
      <c r="T102" s="669">
        <v>72.359999999999957</v>
      </c>
      <c r="U102" s="667"/>
      <c r="V102" s="667">
        <v>73.529999999999959</v>
      </c>
      <c r="W102" s="668"/>
      <c r="X102" s="733">
        <v>77</v>
      </c>
      <c r="Y102" s="734"/>
      <c r="Z102" s="148"/>
      <c r="AA102" s="83"/>
    </row>
    <row r="103" spans="2:27" ht="15.6" customHeight="1">
      <c r="B103" s="137"/>
      <c r="C103" s="607"/>
      <c r="D103" s="608"/>
      <c r="E103" s="687"/>
      <c r="F103" s="687"/>
      <c r="G103" s="693"/>
      <c r="H103" s="693"/>
      <c r="I103" s="693"/>
      <c r="J103" s="104"/>
      <c r="K103" s="104"/>
      <c r="M103" s="149"/>
      <c r="N103" s="669">
        <v>95.96</v>
      </c>
      <c r="O103" s="667"/>
      <c r="P103" s="667">
        <v>97.13</v>
      </c>
      <c r="Q103" s="668"/>
      <c r="R103" s="733">
        <v>97</v>
      </c>
      <c r="S103" s="734"/>
      <c r="T103" s="669">
        <v>71.17999999999995</v>
      </c>
      <c r="U103" s="667"/>
      <c r="V103" s="667">
        <v>72.349999999999952</v>
      </c>
      <c r="W103" s="668"/>
      <c r="X103" s="733">
        <v>76</v>
      </c>
      <c r="Y103" s="734"/>
      <c r="Z103" s="148"/>
      <c r="AA103" s="83"/>
    </row>
    <row r="104" spans="2:27">
      <c r="B104" s="137"/>
      <c r="C104" s="607"/>
      <c r="D104" s="608"/>
      <c r="E104" s="687" t="s">
        <v>34</v>
      </c>
      <c r="F104" s="687"/>
      <c r="G104" s="598">
        <v>0.2</v>
      </c>
      <c r="H104" s="598">
        <v>0.6</v>
      </c>
      <c r="I104" s="598">
        <v>0.2</v>
      </c>
      <c r="J104" s="607"/>
      <c r="K104" s="104"/>
      <c r="M104" s="149"/>
      <c r="N104" s="669">
        <v>94.78</v>
      </c>
      <c r="O104" s="667"/>
      <c r="P104" s="667">
        <v>95.949999999999989</v>
      </c>
      <c r="Q104" s="668"/>
      <c r="R104" s="733">
        <v>96</v>
      </c>
      <c r="S104" s="734"/>
      <c r="T104" s="669">
        <v>69.999999999999943</v>
      </c>
      <c r="U104" s="667"/>
      <c r="V104" s="667">
        <v>71.169999999999945</v>
      </c>
      <c r="W104" s="668"/>
      <c r="X104" s="733">
        <v>75</v>
      </c>
      <c r="Y104" s="734"/>
      <c r="Z104" s="148"/>
      <c r="AA104" s="83"/>
    </row>
    <row r="105" spans="2:27" ht="15.6" customHeight="1">
      <c r="B105" s="137"/>
      <c r="D105" s="608"/>
      <c r="G105" s="607"/>
      <c r="H105" s="607"/>
      <c r="I105" s="607"/>
      <c r="J105" s="607"/>
      <c r="K105" s="104"/>
      <c r="M105" s="149"/>
      <c r="N105" s="669">
        <v>93.6</v>
      </c>
      <c r="O105" s="667"/>
      <c r="P105" s="667">
        <v>94.77</v>
      </c>
      <c r="Q105" s="668"/>
      <c r="R105" s="733">
        <v>95</v>
      </c>
      <c r="S105" s="734"/>
      <c r="T105" s="686">
        <v>65.34</v>
      </c>
      <c r="U105" s="670"/>
      <c r="V105" s="670">
        <v>69.989999999999938</v>
      </c>
      <c r="W105" s="671"/>
      <c r="X105" s="665">
        <v>74</v>
      </c>
      <c r="Y105" s="666"/>
      <c r="Z105" s="148"/>
      <c r="AA105" s="83"/>
    </row>
    <row r="106" spans="2:27">
      <c r="B106" s="137"/>
      <c r="C106" s="529" t="s">
        <v>114</v>
      </c>
      <c r="D106" s="610"/>
      <c r="E106" s="66"/>
      <c r="F106" s="66"/>
      <c r="G106" s="66"/>
      <c r="H106" s="66"/>
      <c r="I106" s="66"/>
      <c r="M106" s="149"/>
      <c r="N106" s="669">
        <v>92.42</v>
      </c>
      <c r="O106" s="667"/>
      <c r="P106" s="667">
        <v>93.589999999999989</v>
      </c>
      <c r="Q106" s="668"/>
      <c r="R106" s="733">
        <v>94</v>
      </c>
      <c r="S106" s="734"/>
      <c r="T106" s="686">
        <v>60.67</v>
      </c>
      <c r="U106" s="670"/>
      <c r="V106" s="670">
        <v>65.33</v>
      </c>
      <c r="W106" s="671"/>
      <c r="X106" s="665">
        <v>73</v>
      </c>
      <c r="Y106" s="666"/>
      <c r="Z106" s="148"/>
      <c r="AA106" s="83"/>
    </row>
    <row r="107" spans="2:27">
      <c r="B107" s="137"/>
      <c r="C107" s="611" t="s">
        <v>115</v>
      </c>
      <c r="D107" s="610"/>
      <c r="E107" s="66"/>
      <c r="F107" s="66"/>
      <c r="G107" s="66"/>
      <c r="H107" s="66"/>
      <c r="I107" s="66"/>
      <c r="M107" s="149"/>
      <c r="N107" s="669">
        <v>91.24</v>
      </c>
      <c r="O107" s="667"/>
      <c r="P107" s="667">
        <v>92.41</v>
      </c>
      <c r="Q107" s="668"/>
      <c r="R107" s="733">
        <v>93</v>
      </c>
      <c r="S107" s="734"/>
      <c r="T107" s="686">
        <v>56.01</v>
      </c>
      <c r="U107" s="670"/>
      <c r="V107" s="670">
        <v>60.660000000000004</v>
      </c>
      <c r="W107" s="671"/>
      <c r="X107" s="665">
        <v>72</v>
      </c>
      <c r="Y107" s="666"/>
      <c r="Z107" s="148"/>
      <c r="AA107" s="83"/>
    </row>
    <row r="108" spans="2:27" ht="16.5" customHeight="1">
      <c r="B108" s="137"/>
      <c r="C108" s="612" t="s">
        <v>116</v>
      </c>
      <c r="D108" s="610"/>
      <c r="E108" s="66"/>
      <c r="F108" s="66"/>
      <c r="G108" s="66"/>
      <c r="H108" s="66"/>
      <c r="I108" s="66"/>
      <c r="M108" s="149"/>
      <c r="N108" s="669">
        <v>90.06</v>
      </c>
      <c r="O108" s="667"/>
      <c r="P108" s="667">
        <v>91.22999999999999</v>
      </c>
      <c r="Q108" s="668"/>
      <c r="R108" s="733">
        <v>92</v>
      </c>
      <c r="S108" s="734"/>
      <c r="T108" s="686">
        <v>51.339999999999996</v>
      </c>
      <c r="U108" s="670"/>
      <c r="V108" s="670">
        <v>56</v>
      </c>
      <c r="W108" s="671"/>
      <c r="X108" s="665">
        <v>71</v>
      </c>
      <c r="Y108" s="666"/>
      <c r="Z108" s="148"/>
      <c r="AA108" s="83"/>
    </row>
    <row r="109" spans="2:27" ht="15.6" customHeight="1">
      <c r="B109" s="137"/>
      <c r="C109" s="612"/>
      <c r="D109" s="6" t="s">
        <v>117</v>
      </c>
      <c r="E109" s="66"/>
      <c r="F109" s="66"/>
      <c r="G109" s="66"/>
      <c r="H109" s="66"/>
      <c r="I109" s="66"/>
      <c r="M109" s="149"/>
      <c r="N109" s="669">
        <v>88.88</v>
      </c>
      <c r="O109" s="667"/>
      <c r="P109" s="667">
        <v>90.05</v>
      </c>
      <c r="Q109" s="668"/>
      <c r="R109" s="733">
        <v>91</v>
      </c>
      <c r="S109" s="734"/>
      <c r="T109" s="686">
        <v>46.669999999999995</v>
      </c>
      <c r="U109" s="670"/>
      <c r="V109" s="670">
        <v>51.33</v>
      </c>
      <c r="W109" s="671"/>
      <c r="X109" s="665">
        <v>70</v>
      </c>
      <c r="Y109" s="666"/>
      <c r="Z109" s="148"/>
      <c r="AA109" s="83"/>
    </row>
    <row r="110" spans="2:27" ht="15.6" customHeight="1">
      <c r="B110" s="137"/>
      <c r="C110" s="612"/>
      <c r="D110" s="610"/>
      <c r="E110" s="20" t="s">
        <v>118</v>
      </c>
      <c r="F110" s="66"/>
      <c r="G110" s="66"/>
      <c r="H110" s="66"/>
      <c r="I110" s="66"/>
      <c r="M110" s="149"/>
      <c r="N110" s="669">
        <v>87.7</v>
      </c>
      <c r="O110" s="667"/>
      <c r="P110" s="667">
        <v>88.86999999999999</v>
      </c>
      <c r="Q110" s="668"/>
      <c r="R110" s="733">
        <v>90</v>
      </c>
      <c r="S110" s="734"/>
      <c r="T110" s="686">
        <v>42.01</v>
      </c>
      <c r="U110" s="670"/>
      <c r="V110" s="670">
        <v>46.66</v>
      </c>
      <c r="W110" s="671"/>
      <c r="X110" s="665">
        <v>69</v>
      </c>
      <c r="Y110" s="666"/>
      <c r="Z110" s="148"/>
      <c r="AA110" s="83"/>
    </row>
    <row r="111" spans="2:27">
      <c r="B111" s="82"/>
      <c r="C111" s="612" t="s">
        <v>119</v>
      </c>
      <c r="D111" s="610"/>
      <c r="E111" s="66"/>
      <c r="F111" s="66"/>
      <c r="G111" s="66"/>
      <c r="H111" s="66"/>
      <c r="I111" s="66"/>
      <c r="M111" s="149"/>
      <c r="N111" s="669">
        <v>86.52</v>
      </c>
      <c r="O111" s="667"/>
      <c r="P111" s="667">
        <v>87.69</v>
      </c>
      <c r="Q111" s="668"/>
      <c r="R111" s="733">
        <v>89</v>
      </c>
      <c r="S111" s="734"/>
      <c r="T111" s="686">
        <v>37.339999999999996</v>
      </c>
      <c r="U111" s="670"/>
      <c r="V111" s="670">
        <v>42</v>
      </c>
      <c r="W111" s="671"/>
      <c r="X111" s="665">
        <v>68</v>
      </c>
      <c r="Y111" s="666"/>
      <c r="Z111" s="148"/>
      <c r="AA111" s="83"/>
    </row>
    <row r="112" spans="2:27" ht="15.6" customHeight="1">
      <c r="B112" s="82"/>
      <c r="C112" s="612"/>
      <c r="D112" s="679" t="s">
        <v>120</v>
      </c>
      <c r="E112" s="679"/>
      <c r="F112" s="679"/>
      <c r="G112" s="679"/>
      <c r="H112" s="679"/>
      <c r="I112" s="679"/>
      <c r="J112" s="679"/>
      <c r="K112" s="679"/>
      <c r="M112" s="149"/>
      <c r="N112" s="669">
        <v>85.34</v>
      </c>
      <c r="O112" s="667"/>
      <c r="P112" s="667">
        <v>86.509999999999991</v>
      </c>
      <c r="Q112" s="668"/>
      <c r="R112" s="733">
        <v>88</v>
      </c>
      <c r="S112" s="734"/>
      <c r="T112" s="686">
        <v>32.68</v>
      </c>
      <c r="U112" s="670"/>
      <c r="V112" s="670">
        <v>37.33</v>
      </c>
      <c r="W112" s="671"/>
      <c r="X112" s="665">
        <v>67</v>
      </c>
      <c r="Y112" s="666"/>
      <c r="Z112" s="148"/>
      <c r="AA112" s="83"/>
    </row>
    <row r="113" spans="1:27">
      <c r="B113" s="82"/>
      <c r="C113" s="612"/>
      <c r="D113" s="679"/>
      <c r="E113" s="679"/>
      <c r="F113" s="679"/>
      <c r="G113" s="679"/>
      <c r="H113" s="679"/>
      <c r="I113" s="679"/>
      <c r="J113" s="679"/>
      <c r="K113" s="679"/>
      <c r="M113" s="149"/>
      <c r="N113" s="669">
        <v>84.16</v>
      </c>
      <c r="O113" s="667"/>
      <c r="P113" s="667">
        <v>85.33</v>
      </c>
      <c r="Q113" s="668"/>
      <c r="R113" s="733">
        <v>87</v>
      </c>
      <c r="S113" s="734"/>
      <c r="T113" s="686">
        <v>28.009999999999998</v>
      </c>
      <c r="U113" s="670"/>
      <c r="V113" s="670">
        <v>32.67</v>
      </c>
      <c r="W113" s="671"/>
      <c r="X113" s="665">
        <v>66</v>
      </c>
      <c r="Y113" s="666"/>
      <c r="Z113" s="148"/>
      <c r="AA113" s="83"/>
    </row>
    <row r="114" spans="1:27">
      <c r="B114" s="82"/>
      <c r="C114" s="612" t="s">
        <v>121</v>
      </c>
      <c r="D114" s="610"/>
      <c r="E114" s="1"/>
      <c r="F114" s="1"/>
      <c r="G114" s="1"/>
      <c r="H114" s="1"/>
      <c r="I114" s="1"/>
      <c r="J114" s="1"/>
      <c r="K114" s="1"/>
      <c r="M114" s="149"/>
      <c r="N114" s="669">
        <v>82.98</v>
      </c>
      <c r="O114" s="667"/>
      <c r="P114" s="667">
        <v>84.149999999999991</v>
      </c>
      <c r="Q114" s="668"/>
      <c r="R114" s="733">
        <v>86</v>
      </c>
      <c r="S114" s="734"/>
      <c r="T114" s="686">
        <v>23.35</v>
      </c>
      <c r="U114" s="670"/>
      <c r="V114" s="670">
        <v>27.999999999999996</v>
      </c>
      <c r="W114" s="671"/>
      <c r="X114" s="665">
        <v>65</v>
      </c>
      <c r="Y114" s="666"/>
      <c r="Z114" s="148"/>
      <c r="AA114" s="83"/>
    </row>
    <row r="115" spans="1:27" ht="13.9" customHeight="1">
      <c r="B115" s="82"/>
      <c r="C115" s="607"/>
      <c r="D115" s="679" t="s">
        <v>122</v>
      </c>
      <c r="E115" s="679"/>
      <c r="F115" s="679"/>
      <c r="G115" s="679"/>
      <c r="H115" s="679"/>
      <c r="I115" s="679"/>
      <c r="J115" s="679"/>
      <c r="K115" s="679"/>
      <c r="M115" s="149"/>
      <c r="N115" s="669">
        <v>81.8</v>
      </c>
      <c r="O115" s="667"/>
      <c r="P115" s="667">
        <v>82.97</v>
      </c>
      <c r="Q115" s="668"/>
      <c r="R115" s="733">
        <v>85</v>
      </c>
      <c r="S115" s="734"/>
      <c r="T115" s="686">
        <v>18.68</v>
      </c>
      <c r="U115" s="670"/>
      <c r="V115" s="670">
        <v>23.34</v>
      </c>
      <c r="W115" s="671"/>
      <c r="X115" s="665">
        <v>64</v>
      </c>
      <c r="Y115" s="666"/>
      <c r="Z115" s="148"/>
      <c r="AA115" s="83"/>
    </row>
    <row r="116" spans="1:27">
      <c r="B116" s="82"/>
      <c r="C116" s="530"/>
      <c r="D116" s="679"/>
      <c r="E116" s="679"/>
      <c r="F116" s="679"/>
      <c r="G116" s="679"/>
      <c r="H116" s="679"/>
      <c r="I116" s="679"/>
      <c r="J116" s="679"/>
      <c r="K116" s="679"/>
      <c r="M116" s="149"/>
      <c r="N116" s="669">
        <v>80.62</v>
      </c>
      <c r="O116" s="667"/>
      <c r="P116" s="667">
        <v>81.789999999999992</v>
      </c>
      <c r="Q116" s="668"/>
      <c r="R116" s="733">
        <v>84</v>
      </c>
      <c r="S116" s="734"/>
      <c r="T116" s="686">
        <v>14.01</v>
      </c>
      <c r="U116" s="670"/>
      <c r="V116" s="670">
        <v>18.669999999999998</v>
      </c>
      <c r="W116" s="671"/>
      <c r="X116" s="665">
        <v>63</v>
      </c>
      <c r="Y116" s="666"/>
      <c r="Z116" s="148"/>
      <c r="AA116" s="83"/>
    </row>
    <row r="117" spans="1:27">
      <c r="B117" s="82"/>
      <c r="C117" s="612" t="s">
        <v>123</v>
      </c>
      <c r="D117" s="610"/>
      <c r="E117" s="6"/>
      <c r="F117" s="6"/>
      <c r="G117" s="6"/>
      <c r="H117" s="6"/>
      <c r="I117" s="6"/>
      <c r="J117" s="6"/>
      <c r="K117" s="6"/>
      <c r="M117" s="149"/>
      <c r="N117" s="669">
        <v>79.44</v>
      </c>
      <c r="O117" s="667"/>
      <c r="P117" s="667">
        <v>80.61</v>
      </c>
      <c r="Q117" s="668"/>
      <c r="R117" s="733">
        <v>83</v>
      </c>
      <c r="S117" s="734"/>
      <c r="T117" s="686">
        <v>9.35</v>
      </c>
      <c r="U117" s="670"/>
      <c r="V117" s="670">
        <v>14</v>
      </c>
      <c r="W117" s="671"/>
      <c r="X117" s="665">
        <v>62</v>
      </c>
      <c r="Y117" s="666"/>
      <c r="Z117" s="148"/>
      <c r="AA117" s="83"/>
    </row>
    <row r="118" spans="1:27" ht="13.9" customHeight="1">
      <c r="B118" s="82"/>
      <c r="C118" s="530"/>
      <c r="D118" s="679" t="s">
        <v>124</v>
      </c>
      <c r="E118" s="679"/>
      <c r="F118" s="679"/>
      <c r="G118" s="679"/>
      <c r="H118" s="679"/>
      <c r="I118" s="679"/>
      <c r="J118" s="679"/>
      <c r="K118" s="679"/>
      <c r="M118" s="149"/>
      <c r="N118" s="669">
        <v>78.259999999999991</v>
      </c>
      <c r="O118" s="667"/>
      <c r="P118" s="667">
        <v>79.429999999999993</v>
      </c>
      <c r="Q118" s="668"/>
      <c r="R118" s="733">
        <v>82</v>
      </c>
      <c r="S118" s="734"/>
      <c r="T118" s="686">
        <v>4.68</v>
      </c>
      <c r="U118" s="670"/>
      <c r="V118" s="670">
        <v>9.34</v>
      </c>
      <c r="W118" s="671"/>
      <c r="X118" s="665">
        <v>61</v>
      </c>
      <c r="Y118" s="666"/>
      <c r="Z118" s="148"/>
      <c r="AA118" s="83"/>
    </row>
    <row r="119" spans="1:27">
      <c r="B119" s="82"/>
      <c r="C119" s="530"/>
      <c r="D119" s="679"/>
      <c r="E119" s="679"/>
      <c r="F119" s="679"/>
      <c r="G119" s="679"/>
      <c r="H119" s="679"/>
      <c r="I119" s="679"/>
      <c r="J119" s="679"/>
      <c r="K119" s="679"/>
      <c r="M119" s="149"/>
      <c r="N119" s="669">
        <v>77.079999999999984</v>
      </c>
      <c r="O119" s="667"/>
      <c r="P119" s="667">
        <v>78.249999999999986</v>
      </c>
      <c r="Q119" s="668"/>
      <c r="R119" s="733">
        <v>81</v>
      </c>
      <c r="S119" s="734"/>
      <c r="T119" s="686">
        <v>0</v>
      </c>
      <c r="U119" s="670"/>
      <c r="V119" s="670">
        <v>4.67</v>
      </c>
      <c r="W119" s="671"/>
      <c r="X119" s="665">
        <v>60</v>
      </c>
      <c r="Y119" s="666"/>
      <c r="Z119" s="148"/>
      <c r="AA119" s="83"/>
    </row>
    <row r="120" spans="1:27">
      <c r="B120" s="82"/>
      <c r="C120" s="612" t="s">
        <v>125</v>
      </c>
      <c r="D120" s="610"/>
      <c r="E120" s="6"/>
      <c r="F120" s="6"/>
      <c r="G120" s="6"/>
      <c r="H120" s="6"/>
      <c r="I120" s="6"/>
      <c r="J120" s="6"/>
      <c r="K120" s="6"/>
      <c r="M120" s="149"/>
      <c r="N120" s="700">
        <v>75.899999999999977</v>
      </c>
      <c r="O120" s="677"/>
      <c r="P120" s="677">
        <v>77.069999999999979</v>
      </c>
      <c r="Q120" s="678"/>
      <c r="R120" s="753">
        <v>80</v>
      </c>
      <c r="S120" s="754"/>
      <c r="T120" s="755"/>
      <c r="U120" s="756"/>
      <c r="V120" s="437"/>
      <c r="W120" s="437"/>
      <c r="X120" s="613"/>
      <c r="Y120" s="614"/>
      <c r="Z120" s="148"/>
      <c r="AA120" s="83"/>
    </row>
    <row r="121" spans="1:27" ht="16.5" customHeight="1">
      <c r="A121" s="6"/>
      <c r="B121" s="139"/>
      <c r="C121" s="535"/>
      <c r="D121" s="679" t="s">
        <v>126</v>
      </c>
      <c r="E121" s="679"/>
      <c r="F121" s="679"/>
      <c r="G121" s="679"/>
      <c r="H121" s="679"/>
      <c r="I121" s="679"/>
      <c r="J121" s="679"/>
      <c r="K121" s="679"/>
      <c r="L121" s="6"/>
      <c r="M121" s="149"/>
      <c r="N121" s="698" t="s">
        <v>127</v>
      </c>
      <c r="O121" s="698"/>
      <c r="P121" s="698"/>
      <c r="Q121" s="698"/>
      <c r="R121" s="698"/>
      <c r="S121" s="698"/>
      <c r="T121" s="698"/>
      <c r="U121" s="698"/>
      <c r="V121" s="698"/>
      <c r="W121" s="698"/>
      <c r="X121" s="698"/>
      <c r="Y121" s="698"/>
      <c r="Z121" s="170"/>
      <c r="AA121" s="83"/>
    </row>
    <row r="122" spans="1:27">
      <c r="A122" s="6"/>
      <c r="B122" s="139"/>
      <c r="C122" s="535"/>
      <c r="D122" s="679"/>
      <c r="E122" s="679"/>
      <c r="F122" s="679"/>
      <c r="G122" s="679"/>
      <c r="H122" s="679"/>
      <c r="I122" s="679"/>
      <c r="J122" s="679"/>
      <c r="K122" s="679"/>
      <c r="L122" s="6"/>
      <c r="M122" s="152"/>
      <c r="N122" s="699"/>
      <c r="O122" s="699"/>
      <c r="P122" s="699"/>
      <c r="Q122" s="699"/>
      <c r="R122" s="699"/>
      <c r="S122" s="699"/>
      <c r="T122" s="699"/>
      <c r="U122" s="699"/>
      <c r="V122" s="699"/>
      <c r="W122" s="699"/>
      <c r="X122" s="699"/>
      <c r="Y122" s="699"/>
      <c r="Z122" s="154"/>
      <c r="AA122" s="83"/>
    </row>
    <row r="123" spans="1:27">
      <c r="A123" s="6"/>
      <c r="B123" s="139"/>
      <c r="C123" s="612" t="s">
        <v>128</v>
      </c>
      <c r="D123" s="610"/>
      <c r="E123" s="6"/>
      <c r="L123" s="6"/>
      <c r="M123" s="601"/>
      <c r="N123" s="21"/>
      <c r="O123" s="21"/>
      <c r="P123" s="21"/>
      <c r="Q123" s="21"/>
      <c r="R123" s="602"/>
      <c r="S123" s="48"/>
      <c r="T123" s="48"/>
      <c r="U123" s="142"/>
      <c r="V123" s="142"/>
      <c r="W123" s="142"/>
      <c r="X123" s="142"/>
      <c r="Y123" s="142"/>
      <c r="Z123" s="21"/>
      <c r="AA123" s="83"/>
    </row>
    <row r="124" spans="1:27" ht="13.9" customHeight="1">
      <c r="A124" s="6"/>
      <c r="B124" s="139"/>
      <c r="D124" s="679" t="s">
        <v>129</v>
      </c>
      <c r="E124" s="679"/>
      <c r="F124" s="679"/>
      <c r="G124" s="679"/>
      <c r="H124" s="679"/>
      <c r="I124" s="679"/>
      <c r="J124" s="679"/>
      <c r="K124" s="679"/>
      <c r="L124" s="6"/>
      <c r="AA124" s="83"/>
    </row>
    <row r="125" spans="1:27">
      <c r="A125" s="6"/>
      <c r="B125" s="139"/>
      <c r="D125" s="679"/>
      <c r="E125" s="679"/>
      <c r="F125" s="679"/>
      <c r="G125" s="679"/>
      <c r="H125" s="679"/>
      <c r="I125" s="679"/>
      <c r="J125" s="679"/>
      <c r="K125" s="679"/>
      <c r="L125" s="6"/>
      <c r="AA125" s="83"/>
    </row>
    <row r="126" spans="1:27" ht="17.25" thickBot="1">
      <c r="A126" s="6"/>
      <c r="B126" s="140"/>
      <c r="C126" s="536"/>
      <c r="D126" s="98"/>
      <c r="E126" s="98"/>
      <c r="F126" s="98"/>
      <c r="G126" s="98"/>
      <c r="H126" s="98"/>
      <c r="I126" s="98"/>
      <c r="J126" s="98"/>
      <c r="K126" s="98"/>
      <c r="L126" s="98"/>
      <c r="M126" s="85"/>
      <c r="N126" s="86"/>
      <c r="O126" s="86"/>
      <c r="P126" s="86"/>
      <c r="Q126" s="86"/>
      <c r="R126" s="98"/>
      <c r="S126" s="99"/>
      <c r="T126" s="99"/>
      <c r="U126" s="87"/>
      <c r="V126" s="87"/>
      <c r="W126" s="87"/>
      <c r="X126" s="87"/>
      <c r="Y126" s="87"/>
      <c r="Z126" s="86"/>
      <c r="AA126" s="89"/>
    </row>
    <row r="127" spans="1:27" ht="17.25" thickBot="1">
      <c r="A127" s="6"/>
      <c r="B127" s="6"/>
      <c r="C127" s="535"/>
      <c r="D127" s="6"/>
      <c r="E127" s="6"/>
      <c r="F127" s="6"/>
      <c r="G127" s="6"/>
      <c r="H127" s="6"/>
      <c r="I127" s="6"/>
      <c r="J127" s="6"/>
      <c r="K127" s="6"/>
      <c r="L127" s="6"/>
    </row>
    <row r="128" spans="1:27">
      <c r="A128" s="6"/>
      <c r="B128" s="74"/>
      <c r="C128" s="524"/>
      <c r="D128" s="106"/>
      <c r="E128" s="75"/>
      <c r="F128" s="75"/>
      <c r="G128" s="75"/>
      <c r="H128" s="75"/>
      <c r="I128" s="75"/>
      <c r="J128" s="75"/>
      <c r="K128" s="76"/>
      <c r="L128" s="76"/>
      <c r="M128" s="76"/>
      <c r="N128" s="76"/>
      <c r="O128" s="76"/>
      <c r="P128" s="76"/>
      <c r="Q128" s="76"/>
      <c r="R128" s="76"/>
      <c r="S128" s="76"/>
      <c r="T128" s="76"/>
      <c r="U128" s="76"/>
      <c r="V128" s="76"/>
      <c r="W128" s="76"/>
      <c r="X128" s="76"/>
      <c r="Y128" s="76"/>
      <c r="Z128" s="76"/>
      <c r="AA128" s="95"/>
    </row>
    <row r="129" spans="1:27" ht="23.25">
      <c r="A129" s="6"/>
      <c r="B129" s="77"/>
      <c r="C129" s="73">
        <v>4</v>
      </c>
      <c r="D129" s="141" t="s">
        <v>130</v>
      </c>
      <c r="E129" s="71"/>
      <c r="F129" s="71"/>
      <c r="G129" s="71"/>
      <c r="H129" s="71"/>
      <c r="I129" s="71"/>
      <c r="J129" s="71"/>
      <c r="K129" s="72"/>
      <c r="L129" s="72"/>
      <c r="M129" s="72"/>
      <c r="N129" s="72"/>
      <c r="O129" s="72"/>
      <c r="P129" s="72"/>
      <c r="Q129" s="72"/>
      <c r="R129" s="72"/>
      <c r="S129" s="72"/>
      <c r="T129" s="72"/>
      <c r="U129" s="72"/>
      <c r="V129" s="72"/>
      <c r="W129" s="72"/>
      <c r="X129" s="72"/>
      <c r="Y129" s="72"/>
      <c r="Z129" s="72"/>
      <c r="AA129" s="96"/>
    </row>
    <row r="130" spans="1:27" ht="17.25" thickBot="1">
      <c r="A130" s="6"/>
      <c r="B130" s="78"/>
      <c r="C130" s="525"/>
      <c r="D130" s="109"/>
      <c r="E130" s="81"/>
      <c r="F130" s="81"/>
      <c r="G130" s="81"/>
      <c r="H130" s="81"/>
      <c r="I130" s="81"/>
      <c r="J130" s="79"/>
      <c r="K130" s="80"/>
      <c r="L130" s="80"/>
      <c r="M130" s="80"/>
      <c r="N130" s="80"/>
      <c r="O130" s="80"/>
      <c r="P130" s="80"/>
      <c r="Q130" s="80"/>
      <c r="R130" s="80"/>
      <c r="S130" s="80"/>
      <c r="T130" s="80"/>
      <c r="U130" s="80"/>
      <c r="V130" s="80"/>
      <c r="W130" s="80"/>
      <c r="X130" s="80"/>
      <c r="Y130" s="80"/>
      <c r="Z130" s="80"/>
      <c r="AA130" s="97"/>
    </row>
    <row r="131" spans="1:27">
      <c r="A131" s="6"/>
      <c r="B131" s="6"/>
      <c r="C131" s="535"/>
      <c r="D131" s="6"/>
      <c r="E131" s="6"/>
      <c r="F131" s="6"/>
      <c r="G131" s="6"/>
      <c r="H131" s="6"/>
      <c r="I131" s="6"/>
      <c r="J131" s="6"/>
      <c r="K131" s="6"/>
      <c r="L131" s="6"/>
    </row>
    <row r="132" spans="1:27" hidden="1">
      <c r="A132" s="6"/>
      <c r="B132" s="6"/>
      <c r="C132" s="535"/>
      <c r="D132" s="6"/>
      <c r="E132" s="6"/>
      <c r="F132" s="6"/>
      <c r="G132" s="6"/>
      <c r="H132" s="6"/>
      <c r="I132" s="6"/>
      <c r="J132" s="6"/>
      <c r="K132" s="6"/>
      <c r="L132" s="6"/>
    </row>
    <row r="135" spans="1:27" hidden="1">
      <c r="C135" s="530"/>
      <c r="D135" s="2"/>
      <c r="E135" s="2"/>
      <c r="F135" s="2"/>
      <c r="G135" s="2"/>
      <c r="H135" s="2"/>
      <c r="I135" s="2"/>
    </row>
    <row r="136" spans="1:27" hidden="1">
      <c r="C136" s="530"/>
      <c r="D136" s="2"/>
      <c r="E136" s="2"/>
      <c r="F136" s="2"/>
      <c r="G136" s="2"/>
      <c r="H136" s="2"/>
      <c r="I136" s="2"/>
    </row>
    <row r="137" spans="1:27" hidden="1">
      <c r="C137" s="530"/>
      <c r="D137" s="2"/>
      <c r="E137" s="2"/>
      <c r="F137" s="2"/>
      <c r="G137" s="2"/>
      <c r="H137" s="2"/>
      <c r="I137" s="2"/>
    </row>
    <row r="138" spans="1:27" hidden="1">
      <c r="C138" s="530"/>
      <c r="D138" s="2"/>
      <c r="E138" s="2"/>
      <c r="F138" s="2"/>
      <c r="G138" s="2"/>
      <c r="H138" s="2"/>
      <c r="I138" s="2"/>
    </row>
    <row r="139" spans="1:27" hidden="1">
      <c r="C139" s="530"/>
      <c r="D139" s="2"/>
      <c r="E139" s="2"/>
      <c r="F139" s="2"/>
      <c r="G139" s="2"/>
      <c r="H139" s="2"/>
      <c r="I139" s="2"/>
    </row>
    <row r="140" spans="1:27" hidden="1">
      <c r="C140" s="530"/>
      <c r="D140" s="2"/>
      <c r="E140" s="2"/>
      <c r="F140" s="2"/>
      <c r="G140" s="2"/>
      <c r="H140" s="2"/>
      <c r="I140" s="2"/>
    </row>
    <row r="141" spans="1:27" hidden="1">
      <c r="C141" s="530"/>
      <c r="D141" s="2"/>
      <c r="E141" s="2"/>
      <c r="F141" s="2"/>
      <c r="G141" s="2"/>
      <c r="H141" s="2"/>
      <c r="I141" s="2"/>
    </row>
    <row r="142" spans="1:27" hidden="1">
      <c r="C142" s="530"/>
      <c r="D142" s="2"/>
      <c r="E142" s="2"/>
      <c r="F142" s="2"/>
      <c r="G142" s="2"/>
      <c r="H142" s="2"/>
      <c r="I142" s="2"/>
    </row>
    <row r="143" spans="1:27" hidden="1">
      <c r="C143" s="530"/>
      <c r="D143" s="2"/>
      <c r="E143" s="2"/>
      <c r="F143" s="2"/>
      <c r="G143" s="2"/>
      <c r="H143" s="2"/>
      <c r="I143" s="2"/>
    </row>
    <row r="144" spans="1:27" hidden="1">
      <c r="C144" s="530"/>
      <c r="D144" s="2"/>
      <c r="E144" s="2"/>
      <c r="F144" s="2"/>
      <c r="G144" s="2"/>
      <c r="H144" s="2"/>
      <c r="I144" s="2"/>
    </row>
    <row r="145" spans="2:9" hidden="1">
      <c r="C145" s="530"/>
      <c r="D145" s="2"/>
      <c r="E145" s="2"/>
      <c r="F145" s="2"/>
      <c r="G145" s="2"/>
      <c r="H145" s="2"/>
      <c r="I145" s="2"/>
    </row>
    <row r="146" spans="2:9" hidden="1">
      <c r="C146" s="530"/>
      <c r="D146" s="2"/>
      <c r="E146" s="2"/>
      <c r="F146" s="2"/>
      <c r="G146" s="2"/>
      <c r="H146" s="2"/>
      <c r="I146" s="2"/>
    </row>
    <row r="147" spans="2:9" hidden="1">
      <c r="C147" s="530"/>
      <c r="D147" s="2"/>
      <c r="E147" s="2"/>
      <c r="F147" s="2"/>
      <c r="G147" s="2"/>
      <c r="H147" s="2"/>
      <c r="I147" s="2"/>
    </row>
    <row r="148" spans="2:9" hidden="1">
      <c r="C148" s="530"/>
      <c r="D148" s="2"/>
      <c r="E148" s="2"/>
      <c r="F148" s="2"/>
      <c r="G148" s="2"/>
      <c r="H148" s="2"/>
      <c r="I148" s="2"/>
    </row>
    <row r="149" spans="2:9" hidden="1">
      <c r="C149" s="530"/>
      <c r="D149" s="2"/>
      <c r="E149" s="2"/>
      <c r="F149" s="2"/>
      <c r="G149" s="2"/>
      <c r="H149" s="2"/>
      <c r="I149" s="2"/>
    </row>
    <row r="150" spans="2:9" hidden="1">
      <c r="C150" s="530"/>
      <c r="D150" s="2"/>
      <c r="E150" s="2"/>
      <c r="F150" s="2"/>
      <c r="G150" s="2"/>
      <c r="H150" s="2"/>
      <c r="I150" s="2"/>
    </row>
    <row r="151" spans="2:9" hidden="1">
      <c r="C151" s="530"/>
      <c r="D151" s="2"/>
      <c r="E151" s="2"/>
      <c r="F151" s="2"/>
      <c r="G151" s="2"/>
      <c r="H151" s="2"/>
      <c r="I151" s="2"/>
    </row>
    <row r="152" spans="2:9" hidden="1">
      <c r="C152" s="530"/>
      <c r="D152" s="2"/>
      <c r="E152" s="2"/>
      <c r="F152" s="2"/>
      <c r="G152" s="2"/>
      <c r="H152" s="2"/>
      <c r="I152" s="2"/>
    </row>
    <row r="153" spans="2:9" hidden="1">
      <c r="C153" s="530"/>
      <c r="D153" s="2"/>
      <c r="E153" s="2"/>
      <c r="F153" s="2"/>
      <c r="G153" s="2"/>
      <c r="H153" s="2"/>
      <c r="I153" s="2"/>
    </row>
    <row r="154" spans="2:9" hidden="1">
      <c r="B154" s="6"/>
      <c r="C154" s="530"/>
      <c r="D154" s="2"/>
      <c r="E154" s="2"/>
      <c r="F154" s="2"/>
      <c r="G154" s="2"/>
      <c r="H154" s="2"/>
      <c r="I154" s="2"/>
    </row>
    <row r="155" spans="2:9" hidden="1">
      <c r="C155" s="530"/>
      <c r="D155" s="2"/>
      <c r="E155" s="2"/>
      <c r="F155" s="2"/>
      <c r="G155" s="2"/>
      <c r="H155" s="2"/>
      <c r="I155" s="2"/>
    </row>
    <row r="156" spans="2:9" hidden="1">
      <c r="C156" s="530"/>
      <c r="D156" s="2"/>
      <c r="E156" s="2"/>
      <c r="F156" s="2"/>
      <c r="G156" s="2"/>
      <c r="H156" s="2"/>
      <c r="I156" s="2"/>
    </row>
    <row r="157" spans="2:9" hidden="1">
      <c r="C157" s="530"/>
      <c r="D157" s="2"/>
      <c r="E157" s="2"/>
      <c r="F157" s="2"/>
      <c r="G157" s="2"/>
      <c r="H157" s="2"/>
      <c r="I157" s="2"/>
    </row>
    <row r="158" spans="2:9" hidden="1">
      <c r="C158" s="530"/>
      <c r="D158" s="2"/>
      <c r="E158" s="2"/>
      <c r="F158" s="2"/>
      <c r="G158" s="2"/>
      <c r="H158" s="2"/>
      <c r="I158" s="2"/>
    </row>
    <row r="159" spans="2:9" hidden="1">
      <c r="C159" s="530"/>
      <c r="D159" s="2"/>
      <c r="E159" s="2"/>
      <c r="F159" s="2"/>
      <c r="G159" s="2"/>
      <c r="H159" s="2"/>
      <c r="I159" s="2"/>
    </row>
    <row r="160" spans="2:9" hidden="1">
      <c r="C160" s="530"/>
      <c r="D160" s="2"/>
      <c r="E160" s="2"/>
      <c r="F160" s="2"/>
      <c r="G160" s="2"/>
      <c r="H160" s="2"/>
      <c r="I160" s="2"/>
    </row>
    <row r="161" spans="3:9" hidden="1">
      <c r="C161" s="530"/>
      <c r="D161" s="2"/>
      <c r="E161" s="2"/>
      <c r="F161" s="2"/>
      <c r="G161" s="2"/>
      <c r="H161" s="2"/>
      <c r="I161" s="2"/>
    </row>
    <row r="162" spans="3:9" hidden="1">
      <c r="C162" s="530"/>
      <c r="D162" s="2"/>
      <c r="E162" s="2"/>
      <c r="F162" s="2"/>
      <c r="G162" s="2"/>
      <c r="H162" s="2"/>
      <c r="I162" s="2"/>
    </row>
    <row r="163" spans="3:9" hidden="1">
      <c r="C163" s="530"/>
      <c r="D163" s="2"/>
      <c r="E163" s="2"/>
      <c r="F163" s="2"/>
      <c r="G163" s="2"/>
      <c r="H163" s="2"/>
      <c r="I163" s="2"/>
    </row>
    <row r="164" spans="3:9" hidden="1">
      <c r="C164" s="530"/>
      <c r="D164" s="2"/>
      <c r="E164" s="2"/>
      <c r="F164" s="2"/>
      <c r="G164" s="2"/>
      <c r="H164" s="2"/>
      <c r="I164" s="2"/>
    </row>
  </sheetData>
  <sheetProtection algorithmName="SHA-512" hashValue="nTw2F1GPqE0P1IpX7GxF+jVi+TcoTiNQewDxcPLKBTzw75LnZvqVtYtHm3S6x80FFs3TndK9lUIjgv/QP+lzDg==" saltValue="d2tTyefBO3+6hTM6y2fsyw==" spinCount="100000" sheet="1" objects="1" scenarios="1"/>
  <dataConsolidate/>
  <mergeCells count="192">
    <mergeCell ref="X114:Y114"/>
    <mergeCell ref="R114:S114"/>
    <mergeCell ref="X119:Y119"/>
    <mergeCell ref="X118:Y118"/>
    <mergeCell ref="X117:Y117"/>
    <mergeCell ref="V117:W117"/>
    <mergeCell ref="X116:Y116"/>
    <mergeCell ref="X115:Y115"/>
    <mergeCell ref="R120:S120"/>
    <mergeCell ref="R119:S119"/>
    <mergeCell ref="R118:S118"/>
    <mergeCell ref="R117:S117"/>
    <mergeCell ref="R116:S116"/>
    <mergeCell ref="V119:W119"/>
    <mergeCell ref="V118:W118"/>
    <mergeCell ref="T120:U120"/>
    <mergeCell ref="T119:U119"/>
    <mergeCell ref="T118:U118"/>
    <mergeCell ref="R115:S115"/>
    <mergeCell ref="R113:S113"/>
    <mergeCell ref="R112:S112"/>
    <mergeCell ref="R111:S111"/>
    <mergeCell ref="R110:S110"/>
    <mergeCell ref="R109:S109"/>
    <mergeCell ref="R108:S108"/>
    <mergeCell ref="R107:S107"/>
    <mergeCell ref="R106:S106"/>
    <mergeCell ref="X112:Y112"/>
    <mergeCell ref="X111:Y111"/>
    <mergeCell ref="X110:Y110"/>
    <mergeCell ref="V106:W106"/>
    <mergeCell ref="X107:Y107"/>
    <mergeCell ref="X106:Y106"/>
    <mergeCell ref="D118:K119"/>
    <mergeCell ref="M96:Z96"/>
    <mergeCell ref="N100:O100"/>
    <mergeCell ref="N114:O114"/>
    <mergeCell ref="N113:O113"/>
    <mergeCell ref="N112:O112"/>
    <mergeCell ref="N111:O111"/>
    <mergeCell ref="N110:O110"/>
    <mergeCell ref="N109:O109"/>
    <mergeCell ref="N108:O108"/>
    <mergeCell ref="N107:O107"/>
    <mergeCell ref="N104:O104"/>
    <mergeCell ref="N103:O103"/>
    <mergeCell ref="N102:O102"/>
    <mergeCell ref="N101:O101"/>
    <mergeCell ref="P100:Q100"/>
    <mergeCell ref="T109:U109"/>
    <mergeCell ref="T108:U108"/>
    <mergeCell ref="R105:S105"/>
    <mergeCell ref="R104:S104"/>
    <mergeCell ref="R103:S103"/>
    <mergeCell ref="R102:S102"/>
    <mergeCell ref="R101:S101"/>
    <mergeCell ref="X113:Y113"/>
    <mergeCell ref="P109:Q109"/>
    <mergeCell ref="T18:X18"/>
    <mergeCell ref="D19:J20"/>
    <mergeCell ref="E9:J11"/>
    <mergeCell ref="U51:V51"/>
    <mergeCell ref="W51:X51"/>
    <mergeCell ref="L51:O51"/>
    <mergeCell ref="P51:T51"/>
    <mergeCell ref="T98:W98"/>
    <mergeCell ref="R98:S99"/>
    <mergeCell ref="X98:Y99"/>
    <mergeCell ref="X100:Y100"/>
    <mergeCell ref="R100:S100"/>
    <mergeCell ref="P108:Q108"/>
    <mergeCell ref="P107:Q107"/>
    <mergeCell ref="P104:Q104"/>
    <mergeCell ref="P103:Q103"/>
    <mergeCell ref="P102:Q102"/>
    <mergeCell ref="P101:Q101"/>
    <mergeCell ref="X109:Y109"/>
    <mergeCell ref="X103:Y103"/>
    <mergeCell ref="X102:Y102"/>
    <mergeCell ref="X101:Y101"/>
    <mergeCell ref="V101:W101"/>
    <mergeCell ref="D48:J50"/>
    <mergeCell ref="W46:X46"/>
    <mergeCell ref="U47:V47"/>
    <mergeCell ref="W47:X47"/>
    <mergeCell ref="U48:V48"/>
    <mergeCell ref="W48:X48"/>
    <mergeCell ref="T102:U102"/>
    <mergeCell ref="T101:U101"/>
    <mergeCell ref="V100:W100"/>
    <mergeCell ref="T100:U100"/>
    <mergeCell ref="D80:K81"/>
    <mergeCell ref="D69:K70"/>
    <mergeCell ref="D78:K79"/>
    <mergeCell ref="D44:J45"/>
    <mergeCell ref="D26:J26"/>
    <mergeCell ref="M41:X41"/>
    <mergeCell ref="N43:R43"/>
    <mergeCell ref="T43:X43"/>
    <mergeCell ref="O47:P47"/>
    <mergeCell ref="Q47:R47"/>
    <mergeCell ref="D31:J32"/>
    <mergeCell ref="D34:J37"/>
    <mergeCell ref="D42:J43"/>
    <mergeCell ref="D121:K122"/>
    <mergeCell ref="D115:K116"/>
    <mergeCell ref="D124:K125"/>
    <mergeCell ref="N121:Y122"/>
    <mergeCell ref="N120:O120"/>
    <mergeCell ref="N119:O119"/>
    <mergeCell ref="N118:O118"/>
    <mergeCell ref="V107:W107"/>
    <mergeCell ref="V114:W114"/>
    <mergeCell ref="V113:W113"/>
    <mergeCell ref="V112:W112"/>
    <mergeCell ref="V111:W111"/>
    <mergeCell ref="T117:U117"/>
    <mergeCell ref="T116:U116"/>
    <mergeCell ref="T115:U115"/>
    <mergeCell ref="V109:W109"/>
    <mergeCell ref="V108:W108"/>
    <mergeCell ref="V110:W110"/>
    <mergeCell ref="V116:W116"/>
    <mergeCell ref="V115:W115"/>
    <mergeCell ref="T114:U114"/>
    <mergeCell ref="T113:U113"/>
    <mergeCell ref="T112:U112"/>
    <mergeCell ref="T111:U111"/>
    <mergeCell ref="D112:K113"/>
    <mergeCell ref="D38:J39"/>
    <mergeCell ref="T105:U105"/>
    <mergeCell ref="E102:F103"/>
    <mergeCell ref="E104:F104"/>
    <mergeCell ref="T110:U110"/>
    <mergeCell ref="C88:K91"/>
    <mergeCell ref="C93:K94"/>
    <mergeCell ref="E100:F100"/>
    <mergeCell ref="G102:G103"/>
    <mergeCell ref="H102:H103"/>
    <mergeCell ref="I102:I103"/>
    <mergeCell ref="N106:O106"/>
    <mergeCell ref="P106:Q106"/>
    <mergeCell ref="T106:U106"/>
    <mergeCell ref="E96:I97"/>
    <mergeCell ref="P113:Q113"/>
    <mergeCell ref="P112:Q112"/>
    <mergeCell ref="P111:Q111"/>
    <mergeCell ref="P110:Q110"/>
    <mergeCell ref="O73:R74"/>
    <mergeCell ref="S69:Y70"/>
    <mergeCell ref="S71:Y72"/>
    <mergeCell ref="S73:Z75"/>
    <mergeCell ref="P120:Q120"/>
    <mergeCell ref="P119:Q119"/>
    <mergeCell ref="P118:Q118"/>
    <mergeCell ref="N117:O117"/>
    <mergeCell ref="N116:O116"/>
    <mergeCell ref="N115:O115"/>
    <mergeCell ref="P114:Q114"/>
    <mergeCell ref="P117:Q117"/>
    <mergeCell ref="P116:Q116"/>
    <mergeCell ref="P115:Q115"/>
    <mergeCell ref="M67:Z67"/>
    <mergeCell ref="O44:P44"/>
    <mergeCell ref="Q44:R44"/>
    <mergeCell ref="O45:P45"/>
    <mergeCell ref="Q45:R45"/>
    <mergeCell ref="O46:P46"/>
    <mergeCell ref="Q46:R46"/>
    <mergeCell ref="O48:P48"/>
    <mergeCell ref="Q48:R48"/>
    <mergeCell ref="U44:V44"/>
    <mergeCell ref="W44:X44"/>
    <mergeCell ref="U45:V45"/>
    <mergeCell ref="W45:X45"/>
    <mergeCell ref="U46:V46"/>
    <mergeCell ref="Y51:Z51"/>
    <mergeCell ref="N98:Q98"/>
    <mergeCell ref="M81:Z82"/>
    <mergeCell ref="X108:Y108"/>
    <mergeCell ref="V104:W104"/>
    <mergeCell ref="T104:U104"/>
    <mergeCell ref="V103:W103"/>
    <mergeCell ref="T103:U103"/>
    <mergeCell ref="V102:W102"/>
    <mergeCell ref="V105:W105"/>
    <mergeCell ref="N105:O105"/>
    <mergeCell ref="P105:Q105"/>
    <mergeCell ref="M88:Z88"/>
    <mergeCell ref="T107:U107"/>
    <mergeCell ref="X105:Y105"/>
    <mergeCell ref="X104:Y104"/>
  </mergeCells>
  <phoneticPr fontId="3" type="noConversion"/>
  <dataValidations disablePrompts="1"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8000"/>
    <pageSetUpPr fitToPage="1"/>
  </sheetPr>
  <dimension ref="A1:AC71"/>
  <sheetViews>
    <sheetView showGridLines="0" zoomScaleNormal="100" workbookViewId="0">
      <pane ySplit="3" topLeftCell="A4" activePane="bottomLeft" state="frozen"/>
      <selection pane="bottomLeft" activeCell="H33" sqref="H33"/>
    </sheetView>
  </sheetViews>
  <sheetFormatPr defaultColWidth="0" defaultRowHeight="16.5" zeroHeight="1"/>
  <cols>
    <col min="1" max="1" width="3.7109375" style="2" customWidth="1"/>
    <col min="2" max="2" width="3.7109375" style="19" customWidth="1"/>
    <col min="3" max="3" width="10.7109375" style="2" customWidth="1"/>
    <col min="4" max="4" width="10.7109375" style="6" customWidth="1"/>
    <col min="5" max="5" width="2.7109375" style="18" customWidth="1"/>
    <col min="6" max="7" width="7.42578125" style="20" customWidth="1"/>
    <col min="8" max="8" width="26.28515625" style="20" customWidth="1"/>
    <col min="9" max="9" width="3.7109375" style="3" hidden="1" customWidth="1"/>
    <col min="10" max="10" width="3.7109375" style="3" customWidth="1"/>
    <col min="11" max="11" width="3.7109375" style="2" customWidth="1"/>
    <col min="12" max="12" width="3.7109375" style="20" customWidth="1"/>
    <col min="13" max="13" width="3.7109375" style="2" customWidth="1"/>
    <col min="14" max="14" width="15.7109375" style="2" customWidth="1"/>
    <col min="15" max="15" width="35.7109375" style="2" customWidth="1"/>
    <col min="16" max="17" width="3.7109375" style="2" customWidth="1"/>
    <col min="18" max="18" width="15.7109375" style="2" customWidth="1"/>
    <col min="19" max="19" width="35.7109375" style="2" customWidth="1"/>
    <col min="20" max="21" width="3.7109375" style="2" customWidth="1"/>
    <col min="22" max="23" width="9.140625" style="2" hidden="1" customWidth="1"/>
    <col min="24" max="29" width="0" style="2" hidden="1" customWidth="1"/>
    <col min="30" max="16384" width="9.140625" style="2" hidden="1"/>
  </cols>
  <sheetData>
    <row r="1" spans="1:21" ht="15" customHeight="1">
      <c r="A1" s="480"/>
      <c r="B1" s="481"/>
      <c r="C1" s="482"/>
      <c r="D1" s="482"/>
      <c r="E1" s="482"/>
      <c r="F1" s="483"/>
      <c r="G1" s="483"/>
      <c r="H1" s="482"/>
      <c r="I1" s="484"/>
      <c r="J1" s="484"/>
      <c r="K1" s="482"/>
      <c r="L1" s="482"/>
      <c r="M1" s="482"/>
      <c r="N1" s="482"/>
      <c r="O1" s="482"/>
      <c r="P1" s="482"/>
      <c r="Q1" s="482"/>
      <c r="R1" s="482"/>
      <c r="S1" s="482"/>
      <c r="T1" s="482"/>
      <c r="U1" s="26"/>
    </row>
    <row r="2" spans="1:21" ht="15" customHeight="1">
      <c r="A2" s="26"/>
      <c r="B2" s="481"/>
      <c r="C2" s="482"/>
      <c r="D2" s="334" t="s">
        <v>131</v>
      </c>
      <c r="E2" s="482"/>
      <c r="F2" s="483"/>
      <c r="G2" s="483"/>
      <c r="H2" s="482"/>
      <c r="I2" s="484"/>
      <c r="J2" s="484"/>
      <c r="K2" s="482"/>
      <c r="L2" s="482"/>
      <c r="M2" s="482"/>
      <c r="N2" s="482"/>
      <c r="O2" s="482"/>
      <c r="P2" s="482"/>
      <c r="Q2" s="482"/>
      <c r="R2" s="482"/>
      <c r="S2" s="482"/>
      <c r="T2" s="482"/>
      <c r="U2" s="26"/>
    </row>
    <row r="3" spans="1:21" ht="25.5">
      <c r="A3" s="26"/>
      <c r="B3" s="481"/>
      <c r="C3" s="482"/>
      <c r="D3" s="485" t="s">
        <v>132</v>
      </c>
      <c r="E3" s="482"/>
      <c r="F3" s="483"/>
      <c r="G3" s="483"/>
      <c r="H3" s="482"/>
      <c r="I3" s="484"/>
      <c r="J3" s="484"/>
      <c r="K3" s="482"/>
      <c r="L3" s="482"/>
      <c r="M3" s="482"/>
      <c r="N3" s="482"/>
      <c r="O3" s="482"/>
      <c r="P3" s="482"/>
      <c r="Q3" s="482"/>
      <c r="R3" s="482"/>
      <c r="S3" s="482"/>
      <c r="T3" s="482"/>
      <c r="U3" s="26"/>
    </row>
    <row r="4" spans="1:21" ht="15" customHeight="1">
      <c r="A4" s="26"/>
      <c r="B4" s="481"/>
      <c r="C4" s="482"/>
      <c r="D4" s="486" t="s">
        <v>133</v>
      </c>
      <c r="E4" s="482"/>
      <c r="F4" s="483"/>
      <c r="G4" s="483"/>
      <c r="H4" s="482"/>
      <c r="I4" s="484"/>
      <c r="J4" s="484"/>
      <c r="K4" s="482"/>
      <c r="L4" s="482"/>
      <c r="M4" s="482"/>
      <c r="N4" s="482"/>
      <c r="O4" s="482"/>
      <c r="P4" s="482"/>
      <c r="Q4" s="482"/>
      <c r="R4" s="482"/>
      <c r="S4" s="482"/>
      <c r="T4" s="482"/>
      <c r="U4" s="26"/>
    </row>
    <row r="5" spans="1:21" ht="15" customHeight="1">
      <c r="A5" s="26"/>
      <c r="B5" s="481"/>
      <c r="C5" s="482"/>
      <c r="D5" s="482"/>
      <c r="E5" s="482"/>
      <c r="F5" s="483"/>
      <c r="G5" s="483"/>
      <c r="H5" s="482"/>
      <c r="I5" s="484"/>
      <c r="J5" s="484"/>
      <c r="K5" s="482"/>
      <c r="L5" s="482"/>
      <c r="M5" s="482"/>
      <c r="N5" s="482"/>
      <c r="O5" s="482"/>
      <c r="P5" s="482"/>
      <c r="Q5" s="482"/>
      <c r="R5" s="482"/>
      <c r="S5" s="482"/>
      <c r="T5" s="487"/>
      <c r="U5" s="26"/>
    </row>
    <row r="6" spans="1:21" ht="17.25" thickBot="1"/>
    <row r="7" spans="1:21" ht="18">
      <c r="B7" s="777" t="s">
        <v>4</v>
      </c>
      <c r="C7" s="778"/>
      <c r="D7" s="778"/>
      <c r="E7" s="778"/>
      <c r="F7" s="778"/>
      <c r="G7" s="778"/>
      <c r="H7" s="778"/>
      <c r="I7" s="778"/>
      <c r="J7" s="470"/>
      <c r="L7" s="785" t="s">
        <v>44</v>
      </c>
      <c r="M7" s="786"/>
      <c r="N7" s="786"/>
      <c r="O7" s="786"/>
      <c r="P7" s="786"/>
      <c r="Q7" s="786"/>
      <c r="R7" s="786"/>
      <c r="S7" s="786"/>
      <c r="T7" s="787"/>
    </row>
    <row r="8" spans="1:21" ht="18">
      <c r="B8" s="779"/>
      <c r="C8" s="780"/>
      <c r="D8" s="780"/>
      <c r="E8" s="780"/>
      <c r="F8" s="780"/>
      <c r="G8" s="780"/>
      <c r="H8" s="780"/>
      <c r="I8" s="780"/>
      <c r="J8" s="471"/>
      <c r="L8" s="788"/>
      <c r="M8" s="789"/>
      <c r="N8" s="789"/>
      <c r="O8" s="789"/>
      <c r="P8" s="789"/>
      <c r="Q8" s="789"/>
      <c r="R8" s="789"/>
      <c r="S8" s="789"/>
      <c r="T8" s="790"/>
    </row>
    <row r="9" spans="1:21">
      <c r="B9" s="24"/>
      <c r="C9" s="161"/>
      <c r="D9" s="161"/>
      <c r="E9" s="162"/>
      <c r="F9" s="161"/>
      <c r="G9" s="161"/>
      <c r="H9" s="161"/>
      <c r="I9" s="162"/>
      <c r="J9" s="384"/>
      <c r="L9" s="171"/>
      <c r="M9" s="26"/>
      <c r="N9" s="26"/>
      <c r="O9" s="151"/>
      <c r="P9" s="26"/>
      <c r="Q9" s="26"/>
      <c r="R9" s="26"/>
      <c r="S9" s="26"/>
      <c r="T9" s="172"/>
    </row>
    <row r="10" spans="1:21">
      <c r="B10" s="27"/>
      <c r="C10" s="791" t="s">
        <v>7</v>
      </c>
      <c r="D10" s="792"/>
      <c r="E10" s="477" t="s">
        <v>8</v>
      </c>
      <c r="F10" s="793" t="s">
        <v>134</v>
      </c>
      <c r="G10" s="793"/>
      <c r="H10" s="794"/>
      <c r="I10" s="333"/>
      <c r="J10" s="385"/>
      <c r="L10" s="171"/>
      <c r="M10" s="491"/>
      <c r="N10" s="489" t="s">
        <v>49</v>
      </c>
      <c r="O10" s="490" t="s">
        <v>135</v>
      </c>
      <c r="P10" s="333"/>
      <c r="Q10" s="488"/>
      <c r="R10" s="489" t="s">
        <v>49</v>
      </c>
      <c r="S10" s="490" t="s">
        <v>136</v>
      </c>
      <c r="T10" s="172"/>
    </row>
    <row r="11" spans="1:21">
      <c r="B11" s="27"/>
      <c r="C11" s="791" t="s">
        <v>10</v>
      </c>
      <c r="D11" s="792"/>
      <c r="E11" s="477" t="s">
        <v>8</v>
      </c>
      <c r="F11" s="793"/>
      <c r="G11" s="793"/>
      <c r="H11" s="794"/>
      <c r="I11" s="333"/>
      <c r="J11" s="385"/>
      <c r="L11" s="171"/>
      <c r="M11" s="173">
        <v>1</v>
      </c>
      <c r="N11" s="431"/>
      <c r="O11" s="29"/>
      <c r="P11" s="26"/>
      <c r="Q11" s="174">
        <v>1</v>
      </c>
      <c r="R11" s="431"/>
      <c r="S11" s="29"/>
      <c r="T11" s="172"/>
    </row>
    <row r="12" spans="1:21">
      <c r="B12" s="27"/>
      <c r="C12" s="450"/>
      <c r="D12" s="450"/>
      <c r="E12" s="451"/>
      <c r="F12" s="164"/>
      <c r="G12" s="164"/>
      <c r="H12" s="164"/>
      <c r="I12" s="333"/>
      <c r="J12" s="385"/>
      <c r="L12" s="175"/>
      <c r="M12" s="173">
        <v>2</v>
      </c>
      <c r="N12" s="431"/>
      <c r="O12" s="29"/>
      <c r="P12" s="26"/>
      <c r="Q12" s="174">
        <v>2</v>
      </c>
      <c r="R12" s="431"/>
      <c r="S12" s="29"/>
      <c r="T12" s="172"/>
    </row>
    <row r="13" spans="1:21">
      <c r="B13" s="27"/>
      <c r="C13" s="791" t="s">
        <v>12</v>
      </c>
      <c r="D13" s="792"/>
      <c r="E13" s="477" t="s">
        <v>8</v>
      </c>
      <c r="F13" s="61"/>
      <c r="G13" s="164"/>
      <c r="H13" s="164"/>
      <c r="I13" s="333"/>
      <c r="J13" s="385"/>
      <c r="L13" s="175"/>
      <c r="M13" s="173">
        <v>3</v>
      </c>
      <c r="N13" s="431"/>
      <c r="O13" s="29"/>
      <c r="P13" s="26"/>
      <c r="Q13" s="174">
        <v>3</v>
      </c>
      <c r="R13" s="431"/>
      <c r="S13" s="29"/>
      <c r="T13" s="172"/>
    </row>
    <row r="14" spans="1:21">
      <c r="B14" s="27"/>
      <c r="C14" s="759" t="s">
        <v>14</v>
      </c>
      <c r="D14" s="760"/>
      <c r="E14" s="763" t="s">
        <v>8</v>
      </c>
      <c r="F14" s="767"/>
      <c r="G14" s="767"/>
      <c r="H14" s="768"/>
      <c r="I14" s="333"/>
      <c r="J14" s="385"/>
      <c r="L14" s="175"/>
      <c r="M14" s="173">
        <v>4</v>
      </c>
      <c r="N14" s="431"/>
      <c r="O14" s="29"/>
      <c r="P14" s="26"/>
      <c r="Q14" s="174">
        <v>4</v>
      </c>
      <c r="R14" s="431"/>
      <c r="S14" s="29"/>
      <c r="T14" s="172"/>
    </row>
    <row r="15" spans="1:21">
      <c r="B15" s="27"/>
      <c r="C15" s="761"/>
      <c r="D15" s="762"/>
      <c r="E15" s="764"/>
      <c r="F15" s="769"/>
      <c r="G15" s="769"/>
      <c r="H15" s="770"/>
      <c r="I15" s="333"/>
      <c r="J15" s="385"/>
      <c r="L15" s="175"/>
      <c r="M15" s="173">
        <v>5</v>
      </c>
      <c r="N15" s="431"/>
      <c r="O15" s="29"/>
      <c r="P15" s="26"/>
      <c r="Q15" s="174">
        <v>5</v>
      </c>
      <c r="R15" s="431"/>
      <c r="S15" s="29"/>
      <c r="T15" s="172"/>
    </row>
    <row r="16" spans="1:21">
      <c r="B16" s="27"/>
      <c r="C16" s="765" t="s">
        <v>16</v>
      </c>
      <c r="D16" s="766"/>
      <c r="E16" s="493" t="s">
        <v>8</v>
      </c>
      <c r="F16" s="494">
        <v>2026</v>
      </c>
      <c r="G16" s="495" t="str">
        <f>IF(F16&gt;0, "–    "&amp; F16+1,"–")</f>
        <v>–    2027</v>
      </c>
      <c r="H16" s="164"/>
      <c r="I16" s="333"/>
      <c r="J16" s="385"/>
      <c r="L16" s="175"/>
      <c r="M16" s="173">
        <v>6</v>
      </c>
      <c r="N16" s="431"/>
      <c r="O16" s="29"/>
      <c r="P16" s="26"/>
      <c r="Q16" s="174">
        <v>6</v>
      </c>
      <c r="R16" s="431"/>
      <c r="S16" s="29"/>
      <c r="T16" s="172"/>
    </row>
    <row r="17" spans="2:20" ht="17.25" thickBot="1">
      <c r="B17" s="30"/>
      <c r="C17" s="31"/>
      <c r="D17" s="32"/>
      <c r="E17" s="33"/>
      <c r="F17" s="32"/>
      <c r="G17" s="32"/>
      <c r="H17" s="31"/>
      <c r="I17" s="33"/>
      <c r="J17" s="386"/>
      <c r="L17" s="175"/>
      <c r="M17" s="173">
        <v>7</v>
      </c>
      <c r="N17" s="431"/>
      <c r="O17" s="29"/>
      <c r="P17" s="26"/>
      <c r="Q17" s="174">
        <v>7</v>
      </c>
      <c r="R17" s="431"/>
      <c r="S17" s="29"/>
      <c r="T17" s="172"/>
    </row>
    <row r="18" spans="2:20" ht="17.25" thickBot="1">
      <c r="L18" s="175"/>
      <c r="M18" s="173">
        <v>8</v>
      </c>
      <c r="N18" s="431"/>
      <c r="O18" s="29"/>
      <c r="P18" s="26"/>
      <c r="Q18" s="174">
        <v>8</v>
      </c>
      <c r="R18" s="431"/>
      <c r="S18" s="29"/>
      <c r="T18" s="172"/>
    </row>
    <row r="19" spans="2:20" ht="18">
      <c r="B19" s="777" t="s">
        <v>19</v>
      </c>
      <c r="C19" s="778"/>
      <c r="D19" s="778"/>
      <c r="E19" s="778"/>
      <c r="F19" s="778"/>
      <c r="G19" s="778"/>
      <c r="H19" s="778"/>
      <c r="I19" s="778"/>
      <c r="J19" s="470"/>
      <c r="L19" s="175"/>
      <c r="M19" s="173">
        <v>9</v>
      </c>
      <c r="N19" s="431"/>
      <c r="O19" s="29"/>
      <c r="P19" s="26"/>
      <c r="Q19" s="174">
        <v>9</v>
      </c>
      <c r="R19" s="431"/>
      <c r="S19" s="29"/>
      <c r="T19" s="172"/>
    </row>
    <row r="20" spans="2:20" ht="18">
      <c r="B20" s="779"/>
      <c r="C20" s="780"/>
      <c r="D20" s="780"/>
      <c r="E20" s="780"/>
      <c r="F20" s="780"/>
      <c r="G20" s="780"/>
      <c r="H20" s="780"/>
      <c r="I20" s="780"/>
      <c r="J20" s="471"/>
      <c r="L20" s="175"/>
      <c r="M20" s="173">
        <v>10</v>
      </c>
      <c r="N20" s="431"/>
      <c r="O20" s="29"/>
      <c r="P20" s="26"/>
      <c r="Q20" s="174">
        <v>10</v>
      </c>
      <c r="R20" s="431"/>
      <c r="S20" s="29"/>
      <c r="T20" s="172"/>
    </row>
    <row r="21" spans="2:20">
      <c r="B21" s="24"/>
      <c r="C21" s="161"/>
      <c r="D21" s="162"/>
      <c r="E21" s="161"/>
      <c r="F21" s="161"/>
      <c r="G21" s="161"/>
      <c r="H21" s="161"/>
      <c r="I21" s="162"/>
      <c r="J21" s="384"/>
      <c r="L21" s="175"/>
      <c r="M21" s="173">
        <v>11</v>
      </c>
      <c r="N21" s="431"/>
      <c r="O21" s="29"/>
      <c r="P21" s="26"/>
      <c r="Q21" s="174">
        <v>11</v>
      </c>
      <c r="R21" s="431"/>
      <c r="S21" s="29"/>
      <c r="T21" s="172"/>
    </row>
    <row r="22" spans="2:20">
      <c r="B22" s="27"/>
      <c r="C22" s="773" t="s">
        <v>21</v>
      </c>
      <c r="D22" s="774"/>
      <c r="E22" s="771" t="s">
        <v>8</v>
      </c>
      <c r="F22" s="781"/>
      <c r="G22" s="781"/>
      <c r="H22" s="782"/>
      <c r="I22" s="333"/>
      <c r="J22" s="385"/>
      <c r="L22" s="175"/>
      <c r="M22" s="173">
        <v>12</v>
      </c>
      <c r="N22" s="431"/>
      <c r="O22" s="29"/>
      <c r="P22" s="26"/>
      <c r="Q22" s="174">
        <v>12</v>
      </c>
      <c r="R22" s="431"/>
      <c r="S22" s="29"/>
      <c r="T22" s="172"/>
    </row>
    <row r="23" spans="2:20">
      <c r="B23" s="27"/>
      <c r="C23" s="775"/>
      <c r="D23" s="776"/>
      <c r="E23" s="772"/>
      <c r="F23" s="783"/>
      <c r="G23" s="783"/>
      <c r="H23" s="784"/>
      <c r="I23" s="333"/>
      <c r="J23" s="385"/>
      <c r="L23" s="175"/>
      <c r="M23" s="173">
        <v>13</v>
      </c>
      <c r="N23" s="431"/>
      <c r="O23" s="29"/>
      <c r="P23" s="26"/>
      <c r="Q23" s="174">
        <v>13</v>
      </c>
      <c r="R23" s="431"/>
      <c r="S23" s="29"/>
      <c r="T23" s="172"/>
    </row>
    <row r="24" spans="2:20">
      <c r="B24" s="27"/>
      <c r="C24" s="538" t="s">
        <v>23</v>
      </c>
      <c r="D24" s="492"/>
      <c r="E24" s="493" t="s">
        <v>8</v>
      </c>
      <c r="F24" s="537">
        <v>12</v>
      </c>
      <c r="G24" s="448"/>
      <c r="H24" s="449"/>
      <c r="I24" s="333"/>
      <c r="J24" s="385"/>
      <c r="L24" s="175"/>
      <c r="M24" s="173">
        <v>14</v>
      </c>
      <c r="N24" s="431"/>
      <c r="O24" s="29"/>
      <c r="P24" s="26"/>
      <c r="Q24" s="174">
        <v>14</v>
      </c>
      <c r="R24" s="431"/>
      <c r="S24" s="29"/>
      <c r="T24" s="172"/>
    </row>
    <row r="25" spans="2:20">
      <c r="B25" s="27"/>
      <c r="C25" s="479" t="s">
        <v>25</v>
      </c>
      <c r="D25" s="476"/>
      <c r="E25" s="477" t="s">
        <v>8</v>
      </c>
      <c r="F25" s="757"/>
      <c r="G25" s="757"/>
      <c r="H25" s="758"/>
      <c r="I25" s="333"/>
      <c r="J25" s="385"/>
      <c r="L25" s="175"/>
      <c r="M25" s="173">
        <v>15</v>
      </c>
      <c r="N25" s="431"/>
      <c r="O25" s="29"/>
      <c r="P25" s="26"/>
      <c r="Q25" s="174">
        <v>15</v>
      </c>
      <c r="R25" s="431"/>
      <c r="S25" s="29"/>
      <c r="T25" s="172"/>
    </row>
    <row r="26" spans="2:20" ht="16.5" customHeight="1">
      <c r="B26" s="27"/>
      <c r="C26" s="446"/>
      <c r="D26" s="447"/>
      <c r="E26" s="150"/>
      <c r="F26" s="151"/>
      <c r="G26" s="151"/>
      <c r="H26" s="151"/>
      <c r="I26" s="333"/>
      <c r="J26" s="385"/>
      <c r="L26" s="175"/>
      <c r="M26" s="173">
        <v>16</v>
      </c>
      <c r="N26" s="431"/>
      <c r="O26" s="29"/>
      <c r="P26" s="26"/>
      <c r="Q26" s="174">
        <v>16</v>
      </c>
      <c r="R26" s="431"/>
      <c r="S26" s="29"/>
      <c r="T26" s="172"/>
    </row>
    <row r="27" spans="2:20">
      <c r="B27" s="472"/>
      <c r="C27" s="473" t="s">
        <v>28</v>
      </c>
      <c r="D27" s="474"/>
      <c r="E27" s="461"/>
      <c r="F27" s="462"/>
      <c r="G27" s="462"/>
      <c r="H27" s="462"/>
      <c r="I27" s="452"/>
      <c r="J27" s="463"/>
      <c r="L27" s="175"/>
      <c r="M27" s="173">
        <v>17</v>
      </c>
      <c r="N27" s="431"/>
      <c r="O27" s="29"/>
      <c r="P27" s="26"/>
      <c r="Q27" s="174">
        <v>17</v>
      </c>
      <c r="R27" s="431"/>
      <c r="S27" s="29"/>
      <c r="T27" s="172"/>
    </row>
    <row r="28" spans="2:20" ht="15" customHeight="1">
      <c r="B28" s="460"/>
      <c r="C28" s="765" t="s">
        <v>31</v>
      </c>
      <c r="D28" s="766"/>
      <c r="E28" s="493" t="s">
        <v>8</v>
      </c>
      <c r="F28" s="798" t="s">
        <v>32</v>
      </c>
      <c r="G28" s="798"/>
      <c r="H28" s="799"/>
      <c r="I28" s="456"/>
      <c r="J28" s="457"/>
      <c r="L28" s="175"/>
      <c r="M28" s="173">
        <v>18</v>
      </c>
      <c r="N28" s="431"/>
      <c r="O28" s="29"/>
      <c r="P28" s="26"/>
      <c r="Q28" s="174">
        <v>18</v>
      </c>
      <c r="R28" s="431"/>
      <c r="S28" s="29"/>
      <c r="T28" s="172"/>
    </row>
    <row r="29" spans="2:20" ht="16.5" customHeight="1">
      <c r="B29" s="460"/>
      <c r="C29" s="791" t="s">
        <v>35</v>
      </c>
      <c r="D29" s="792"/>
      <c r="E29" s="478" t="s">
        <v>8</v>
      </c>
      <c r="F29" s="800" t="s">
        <v>33</v>
      </c>
      <c r="G29" s="800"/>
      <c r="H29" s="801"/>
      <c r="I29" s="456"/>
      <c r="J29" s="457"/>
      <c r="L29" s="175"/>
      <c r="M29" s="173">
        <v>19</v>
      </c>
      <c r="N29" s="431"/>
      <c r="O29" s="29"/>
      <c r="P29" s="26"/>
      <c r="Q29" s="174">
        <v>19</v>
      </c>
      <c r="R29" s="431"/>
      <c r="S29" s="29"/>
      <c r="T29" s="172"/>
    </row>
    <row r="30" spans="2:20">
      <c r="B30" s="460"/>
      <c r="C30" s="759" t="s">
        <v>37</v>
      </c>
      <c r="D30" s="760"/>
      <c r="E30" s="763" t="s">
        <v>8</v>
      </c>
      <c r="F30" s="802" t="s">
        <v>137</v>
      </c>
      <c r="G30" s="802"/>
      <c r="H30" s="803"/>
      <c r="I30" s="456"/>
      <c r="J30" s="457"/>
      <c r="L30" s="175"/>
      <c r="M30" s="173">
        <v>20</v>
      </c>
      <c r="N30" s="431"/>
      <c r="O30" s="29"/>
      <c r="P30" s="26"/>
      <c r="Q30" s="174">
        <v>20</v>
      </c>
      <c r="R30" s="431"/>
      <c r="S30" s="29"/>
      <c r="T30" s="172"/>
    </row>
    <row r="31" spans="2:20" ht="16.5" customHeight="1">
      <c r="B31" s="460"/>
      <c r="C31" s="761"/>
      <c r="D31" s="762"/>
      <c r="E31" s="764"/>
      <c r="F31" s="804"/>
      <c r="G31" s="804"/>
      <c r="H31" s="805"/>
      <c r="I31" s="458"/>
      <c r="J31" s="459"/>
      <c r="L31" s="175"/>
      <c r="M31" s="173">
        <v>21</v>
      </c>
      <c r="N31" s="431"/>
      <c r="O31" s="29"/>
      <c r="P31" s="26"/>
      <c r="Q31" s="174">
        <v>21</v>
      </c>
      <c r="R31" s="431"/>
      <c r="S31" s="29"/>
      <c r="T31" s="172"/>
    </row>
    <row r="32" spans="2:20" ht="15" customHeight="1">
      <c r="B32" s="464"/>
      <c r="C32" s="453"/>
      <c r="D32" s="454"/>
      <c r="E32" s="454"/>
      <c r="F32" s="455"/>
      <c r="G32" s="455"/>
      <c r="H32" s="455"/>
      <c r="I32" s="452"/>
      <c r="J32" s="463"/>
      <c r="L32" s="175"/>
      <c r="M32" s="173">
        <v>22</v>
      </c>
      <c r="N32" s="431"/>
      <c r="O32" s="29"/>
      <c r="P32" s="26"/>
      <c r="Q32" s="174">
        <v>22</v>
      </c>
      <c r="R32" s="431"/>
      <c r="S32" s="29"/>
      <c r="T32" s="172"/>
    </row>
    <row r="33" spans="2:20" ht="13.9" customHeight="1">
      <c r="B33" s="465"/>
      <c r="C33" s="475" t="s">
        <v>138</v>
      </c>
      <c r="D33" s="476"/>
      <c r="E33" s="477" t="s">
        <v>8</v>
      </c>
      <c r="F33" s="430">
        <v>2</v>
      </c>
      <c r="G33" s="496" t="s">
        <v>139</v>
      </c>
      <c r="H33" s="430" t="s">
        <v>140</v>
      </c>
      <c r="I33" s="500">
        <f>_xlfn.IFNA(IF(F33="","",IF(F33=3,3,_xlfn.XLOOKUP(H33,HELPER!$G$31:$G$33,HELPER!$F$31:$F$33))),"")</f>
        <v>1</v>
      </c>
      <c r="J33" s="463"/>
      <c r="L33" s="175"/>
      <c r="M33" s="173">
        <v>23</v>
      </c>
      <c r="N33" s="431"/>
      <c r="O33" s="29"/>
      <c r="P33" s="26"/>
      <c r="Q33" s="174">
        <v>23</v>
      </c>
      <c r="R33" s="431"/>
      <c r="S33" s="29"/>
      <c r="T33" s="172"/>
    </row>
    <row r="34" spans="2:20" ht="13.9" customHeight="1">
      <c r="B34" s="465"/>
      <c r="C34" s="796" t="str">
        <f>_xlfn.IFNA(_xlfn.XLOOKUP('INPUT DATA'!F33,HELPER!$F$24:$F$26,HELPER!$G$24:$G$26),"")</f>
        <v>Notes: Accomplish  TWO (2) term sheets.
2-term electives cannot begin in Term 3.</v>
      </c>
      <c r="D34" s="796"/>
      <c r="E34" s="796"/>
      <c r="F34" s="796"/>
      <c r="G34" s="498" t="s">
        <v>139</v>
      </c>
      <c r="H34" s="499" t="str">
        <f>IFERROR(IF(F33=2,_xlfn.XLOOKUP(I33+1,HELPER!$F$31:$F$34,HELPER!$G$31:$G$34),""),"")</f>
        <v>SECOND TERM</v>
      </c>
      <c r="I34" s="500">
        <f>IF(HELPER!G21=1,(F33&amp;I33)*1,"")</f>
        <v>21</v>
      </c>
      <c r="J34" s="463"/>
      <c r="L34" s="175"/>
      <c r="M34" s="173">
        <v>24</v>
      </c>
      <c r="N34" s="431"/>
      <c r="O34" s="29"/>
      <c r="P34" s="26"/>
      <c r="Q34" s="174">
        <v>24</v>
      </c>
      <c r="R34" s="431"/>
      <c r="S34" s="29"/>
      <c r="T34" s="172"/>
    </row>
    <row r="35" spans="2:20" ht="16.5" customHeight="1" thickBot="1">
      <c r="B35" s="466"/>
      <c r="C35" s="797"/>
      <c r="D35" s="797"/>
      <c r="E35" s="797"/>
      <c r="F35" s="797"/>
      <c r="G35" s="467"/>
      <c r="H35" s="467"/>
      <c r="I35" s="468"/>
      <c r="J35" s="469"/>
      <c r="L35" s="175"/>
      <c r="M35" s="173">
        <v>25</v>
      </c>
      <c r="N35" s="431"/>
      <c r="O35" s="29"/>
      <c r="P35" s="26"/>
      <c r="Q35" s="174">
        <v>25</v>
      </c>
      <c r="R35" s="431"/>
      <c r="S35" s="29"/>
      <c r="T35" s="172"/>
    </row>
    <row r="36" spans="2:20">
      <c r="B36" s="2"/>
      <c r="D36" s="2"/>
      <c r="E36" s="2"/>
      <c r="F36" s="2"/>
      <c r="G36" s="2"/>
      <c r="H36" s="2"/>
      <c r="L36" s="175"/>
      <c r="M36" s="173">
        <v>26</v>
      </c>
      <c r="N36" s="431"/>
      <c r="O36" s="29"/>
      <c r="P36" s="26"/>
      <c r="Q36" s="174">
        <v>26</v>
      </c>
      <c r="R36" s="431"/>
      <c r="S36" s="29"/>
      <c r="T36" s="172"/>
    </row>
    <row r="37" spans="2:20">
      <c r="B37" s="2"/>
      <c r="D37" s="2"/>
      <c r="E37" s="2"/>
      <c r="F37" s="2"/>
      <c r="G37" s="2"/>
      <c r="H37" s="2"/>
      <c r="L37" s="175"/>
      <c r="M37" s="173">
        <v>27</v>
      </c>
      <c r="N37" s="431"/>
      <c r="O37" s="29"/>
      <c r="P37" s="26"/>
      <c r="Q37" s="174">
        <v>27</v>
      </c>
      <c r="R37" s="431"/>
      <c r="S37" s="29"/>
      <c r="T37" s="172"/>
    </row>
    <row r="38" spans="2:20" ht="13.9" customHeight="1">
      <c r="B38" s="2"/>
      <c r="D38" s="795" t="s">
        <v>141</v>
      </c>
      <c r="E38" s="795"/>
      <c r="F38" s="795"/>
      <c r="G38" s="795"/>
      <c r="H38" s="795"/>
      <c r="I38" s="795"/>
      <c r="J38" s="795"/>
      <c r="L38" s="175"/>
      <c r="M38" s="173">
        <v>28</v>
      </c>
      <c r="N38" s="431"/>
      <c r="O38" s="29"/>
      <c r="P38" s="26"/>
      <c r="Q38" s="174">
        <v>28</v>
      </c>
      <c r="R38" s="431"/>
      <c r="S38" s="29"/>
      <c r="T38" s="172"/>
    </row>
    <row r="39" spans="2:20" ht="16.5" customHeight="1">
      <c r="B39" s="2"/>
      <c r="D39" s="795"/>
      <c r="E39" s="795"/>
      <c r="F39" s="795"/>
      <c r="G39" s="795"/>
      <c r="H39" s="795"/>
      <c r="I39" s="795"/>
      <c r="J39" s="795"/>
      <c r="L39" s="175"/>
      <c r="M39" s="173">
        <v>29</v>
      </c>
      <c r="N39" s="431"/>
      <c r="O39" s="29"/>
      <c r="P39" s="26"/>
      <c r="Q39" s="174">
        <v>29</v>
      </c>
      <c r="R39" s="431"/>
      <c r="S39" s="29"/>
      <c r="T39" s="172"/>
    </row>
    <row r="40" spans="2:20" ht="16.5" customHeight="1">
      <c r="B40" s="2"/>
      <c r="D40" s="795"/>
      <c r="E40" s="795"/>
      <c r="F40" s="795"/>
      <c r="G40" s="795"/>
      <c r="H40" s="795"/>
      <c r="I40" s="795"/>
      <c r="J40" s="795"/>
      <c r="L40" s="175"/>
      <c r="M40" s="173">
        <v>30</v>
      </c>
      <c r="N40" s="431"/>
      <c r="O40" s="29"/>
      <c r="P40" s="26"/>
      <c r="Q40" s="174">
        <v>30</v>
      </c>
      <c r="R40" s="431"/>
      <c r="S40" s="29"/>
      <c r="T40" s="172"/>
    </row>
    <row r="41" spans="2:20">
      <c r="B41" s="2"/>
      <c r="L41" s="175"/>
      <c r="M41" s="173">
        <v>31</v>
      </c>
      <c r="N41" s="431"/>
      <c r="O41" s="29"/>
      <c r="P41" s="26"/>
      <c r="Q41" s="174">
        <v>31</v>
      </c>
      <c r="R41" s="431"/>
      <c r="S41" s="29"/>
      <c r="T41" s="172"/>
    </row>
    <row r="42" spans="2:20">
      <c r="B42" s="2"/>
      <c r="H42" s="2"/>
      <c r="L42" s="175"/>
      <c r="M42" s="173">
        <v>32</v>
      </c>
      <c r="N42" s="431"/>
      <c r="O42" s="29"/>
      <c r="P42" s="26"/>
      <c r="Q42" s="174">
        <v>32</v>
      </c>
      <c r="R42" s="431"/>
      <c r="S42" s="29"/>
      <c r="T42" s="172"/>
    </row>
    <row r="43" spans="2:20">
      <c r="B43" s="2"/>
      <c r="D43" s="2"/>
      <c r="E43" s="2"/>
      <c r="F43" s="2"/>
      <c r="G43" s="2"/>
      <c r="L43" s="175"/>
      <c r="M43" s="173">
        <v>33</v>
      </c>
      <c r="N43" s="431"/>
      <c r="O43" s="29"/>
      <c r="P43" s="26"/>
      <c r="Q43" s="174">
        <v>33</v>
      </c>
      <c r="R43" s="431"/>
      <c r="S43" s="29"/>
      <c r="T43" s="172"/>
    </row>
    <row r="44" spans="2:20">
      <c r="B44" s="2"/>
      <c r="D44" s="2"/>
      <c r="E44" s="2"/>
      <c r="F44" s="2"/>
      <c r="G44" s="2"/>
      <c r="H44" s="2"/>
      <c r="L44" s="175"/>
      <c r="M44" s="173">
        <v>34</v>
      </c>
      <c r="N44" s="431"/>
      <c r="O44" s="29"/>
      <c r="P44" s="26"/>
      <c r="Q44" s="174">
        <v>34</v>
      </c>
      <c r="R44" s="431"/>
      <c r="S44" s="29"/>
      <c r="T44" s="172"/>
    </row>
    <row r="45" spans="2:20">
      <c r="B45" s="2"/>
      <c r="D45" s="2"/>
      <c r="E45" s="2"/>
      <c r="F45" s="2"/>
      <c r="G45" s="2"/>
      <c r="H45" s="2"/>
      <c r="L45" s="175"/>
      <c r="M45" s="173">
        <v>35</v>
      </c>
      <c r="N45" s="431"/>
      <c r="O45" s="29"/>
      <c r="P45" s="26"/>
      <c r="Q45" s="174">
        <v>35</v>
      </c>
      <c r="R45" s="431"/>
      <c r="S45" s="29"/>
      <c r="T45" s="172"/>
    </row>
    <row r="46" spans="2:20">
      <c r="B46" s="2"/>
      <c r="D46" s="2"/>
      <c r="E46" s="2"/>
      <c r="F46" s="2"/>
      <c r="G46" s="2"/>
      <c r="H46" s="2"/>
      <c r="L46" s="175"/>
      <c r="M46" s="173">
        <v>36</v>
      </c>
      <c r="N46" s="431"/>
      <c r="O46" s="29"/>
      <c r="P46" s="26"/>
      <c r="Q46" s="174">
        <v>36</v>
      </c>
      <c r="R46" s="431"/>
      <c r="S46" s="29"/>
      <c r="T46" s="172"/>
    </row>
    <row r="47" spans="2:20">
      <c r="B47" s="2"/>
      <c r="D47" s="2"/>
      <c r="E47" s="2"/>
      <c r="F47" s="2"/>
      <c r="G47" s="2"/>
      <c r="H47" s="2"/>
      <c r="L47" s="175"/>
      <c r="M47" s="173">
        <v>37</v>
      </c>
      <c r="N47" s="431"/>
      <c r="O47" s="29"/>
      <c r="P47" s="26"/>
      <c r="Q47" s="174">
        <v>37</v>
      </c>
      <c r="R47" s="431"/>
      <c r="S47" s="29"/>
      <c r="T47" s="172"/>
    </row>
    <row r="48" spans="2:20">
      <c r="B48" s="2"/>
      <c r="D48" s="2"/>
      <c r="E48" s="2"/>
      <c r="F48" s="2"/>
      <c r="G48" s="2"/>
      <c r="H48" s="2"/>
      <c r="L48" s="175"/>
      <c r="M48" s="173">
        <v>38</v>
      </c>
      <c r="N48" s="431"/>
      <c r="O48" s="29"/>
      <c r="P48" s="26"/>
      <c r="Q48" s="174">
        <v>38</v>
      </c>
      <c r="R48" s="431"/>
      <c r="S48" s="29"/>
      <c r="T48" s="172"/>
    </row>
    <row r="49" spans="2:20" ht="14.45" customHeight="1">
      <c r="B49" s="2"/>
      <c r="D49" s="2"/>
      <c r="E49" s="2"/>
      <c r="F49" s="2"/>
      <c r="G49" s="2"/>
      <c r="H49" s="2"/>
      <c r="L49" s="175"/>
      <c r="M49" s="173">
        <v>39</v>
      </c>
      <c r="N49" s="431"/>
      <c r="O49" s="29"/>
      <c r="P49" s="26"/>
      <c r="Q49" s="174">
        <v>39</v>
      </c>
      <c r="R49" s="431"/>
      <c r="S49" s="29"/>
      <c r="T49" s="172"/>
    </row>
    <row r="50" spans="2:20">
      <c r="B50" s="2"/>
      <c r="D50" s="2"/>
      <c r="E50" s="2"/>
      <c r="F50" s="2"/>
      <c r="G50" s="2"/>
      <c r="H50" s="2"/>
      <c r="L50" s="175"/>
      <c r="M50" s="173">
        <v>40</v>
      </c>
      <c r="N50" s="431"/>
      <c r="O50" s="29"/>
      <c r="P50" s="26"/>
      <c r="Q50" s="174">
        <v>40</v>
      </c>
      <c r="R50" s="431"/>
      <c r="S50" s="29"/>
      <c r="T50" s="172"/>
    </row>
    <row r="51" spans="2:20" ht="13.9" customHeight="1">
      <c r="B51" s="2"/>
      <c r="D51" s="2"/>
      <c r="E51" s="2"/>
      <c r="F51" s="2"/>
      <c r="G51" s="2"/>
      <c r="H51" s="2"/>
      <c r="L51" s="175"/>
      <c r="M51" s="173">
        <v>41</v>
      </c>
      <c r="N51" s="431"/>
      <c r="O51" s="29"/>
      <c r="P51" s="26"/>
      <c r="Q51" s="174">
        <v>41</v>
      </c>
      <c r="R51" s="431"/>
      <c r="S51" s="29"/>
      <c r="T51" s="172"/>
    </row>
    <row r="52" spans="2:20">
      <c r="B52" s="2"/>
      <c r="D52" s="2"/>
      <c r="E52" s="2"/>
      <c r="F52" s="2"/>
      <c r="G52" s="2"/>
      <c r="H52" s="2"/>
      <c r="L52" s="175"/>
      <c r="M52" s="173">
        <v>42</v>
      </c>
      <c r="N52" s="431"/>
      <c r="O52" s="29"/>
      <c r="P52" s="26"/>
      <c r="Q52" s="174">
        <v>42</v>
      </c>
      <c r="R52" s="431"/>
      <c r="S52" s="29"/>
      <c r="T52" s="172"/>
    </row>
    <row r="53" spans="2:20" ht="13.9" customHeight="1">
      <c r="B53" s="2"/>
      <c r="D53" s="2"/>
      <c r="E53" s="2"/>
      <c r="F53" s="2"/>
      <c r="G53" s="2"/>
      <c r="H53" s="2"/>
      <c r="L53" s="175"/>
      <c r="M53" s="173">
        <v>43</v>
      </c>
      <c r="N53" s="431"/>
      <c r="O53" s="29"/>
      <c r="P53" s="26"/>
      <c r="Q53" s="174">
        <v>43</v>
      </c>
      <c r="R53" s="431"/>
      <c r="S53" s="29"/>
      <c r="T53" s="172"/>
    </row>
    <row r="54" spans="2:20">
      <c r="B54" s="2"/>
      <c r="D54" s="2"/>
      <c r="E54" s="2"/>
      <c r="F54" s="2"/>
      <c r="G54" s="2"/>
      <c r="H54" s="2"/>
      <c r="L54" s="175"/>
      <c r="M54" s="173">
        <v>44</v>
      </c>
      <c r="N54" s="431"/>
      <c r="O54" s="29"/>
      <c r="P54" s="26"/>
      <c r="Q54" s="174">
        <v>44</v>
      </c>
      <c r="R54" s="431"/>
      <c r="S54" s="29"/>
      <c r="T54" s="172"/>
    </row>
    <row r="55" spans="2:20">
      <c r="B55" s="2"/>
      <c r="D55" s="2"/>
      <c r="E55" s="2"/>
      <c r="F55" s="2"/>
      <c r="G55" s="2"/>
      <c r="H55" s="2"/>
      <c r="L55" s="175"/>
      <c r="M55" s="173">
        <v>45</v>
      </c>
      <c r="N55" s="431"/>
      <c r="O55" s="29"/>
      <c r="P55" s="26"/>
      <c r="Q55" s="174">
        <v>45</v>
      </c>
      <c r="R55" s="431"/>
      <c r="S55" s="29"/>
      <c r="T55" s="172"/>
    </row>
    <row r="56" spans="2:20" ht="13.9" customHeight="1">
      <c r="B56" s="2"/>
      <c r="L56" s="175"/>
      <c r="M56" s="173">
        <v>46</v>
      </c>
      <c r="N56" s="431"/>
      <c r="O56" s="29"/>
      <c r="P56" s="26"/>
      <c r="Q56" s="174">
        <v>46</v>
      </c>
      <c r="R56" s="431"/>
      <c r="S56" s="29"/>
      <c r="T56" s="172"/>
    </row>
    <row r="57" spans="2:20" ht="13.9" customHeight="1">
      <c r="B57" s="2"/>
      <c r="L57" s="175"/>
      <c r="M57" s="173">
        <v>47</v>
      </c>
      <c r="N57" s="431"/>
      <c r="O57" s="29"/>
      <c r="P57" s="26"/>
      <c r="Q57" s="174">
        <v>47</v>
      </c>
      <c r="R57" s="431"/>
      <c r="S57" s="29"/>
      <c r="T57" s="172"/>
    </row>
    <row r="58" spans="2:20" ht="13.9" customHeight="1">
      <c r="B58" s="2"/>
      <c r="L58" s="175"/>
      <c r="M58" s="173">
        <v>48</v>
      </c>
      <c r="N58" s="431"/>
      <c r="O58" s="29"/>
      <c r="P58" s="26"/>
      <c r="Q58" s="174">
        <v>48</v>
      </c>
      <c r="R58" s="431"/>
      <c r="S58" s="29"/>
      <c r="T58" s="172"/>
    </row>
    <row r="59" spans="2:20" ht="13.9" customHeight="1">
      <c r="B59" s="2"/>
      <c r="D59" s="2"/>
      <c r="E59" s="2"/>
      <c r="F59" s="2"/>
      <c r="G59" s="2"/>
      <c r="H59" s="2"/>
      <c r="L59" s="175"/>
      <c r="M59" s="173">
        <v>49</v>
      </c>
      <c r="N59" s="431"/>
      <c r="O59" s="29"/>
      <c r="P59" s="26"/>
      <c r="Q59" s="174">
        <v>49</v>
      </c>
      <c r="R59" s="431"/>
      <c r="S59" s="29"/>
      <c r="T59" s="172"/>
    </row>
    <row r="60" spans="2:20" ht="13.9" customHeight="1">
      <c r="B60" s="2"/>
      <c r="D60" s="2"/>
      <c r="E60" s="2"/>
      <c r="F60" s="2"/>
      <c r="G60" s="2"/>
      <c r="H60" s="2"/>
      <c r="L60" s="175"/>
      <c r="M60" s="173">
        <v>50</v>
      </c>
      <c r="N60" s="431"/>
      <c r="O60" s="29"/>
      <c r="P60" s="26"/>
      <c r="Q60" s="174">
        <v>50</v>
      </c>
      <c r="R60" s="431"/>
      <c r="S60" s="29"/>
      <c r="T60" s="172"/>
    </row>
    <row r="61" spans="2:20">
      <c r="B61" s="2"/>
      <c r="D61" s="2"/>
      <c r="E61" s="2"/>
      <c r="F61" s="2"/>
      <c r="G61" s="2"/>
      <c r="H61" s="2"/>
      <c r="L61" s="175"/>
      <c r="M61" s="334"/>
      <c r="N61" s="335"/>
      <c r="O61" s="336"/>
      <c r="P61" s="26"/>
      <c r="Q61" s="334"/>
      <c r="R61" s="335"/>
      <c r="S61" s="336"/>
      <c r="T61" s="172"/>
    </row>
    <row r="62" spans="2:20">
      <c r="B62" s="2"/>
      <c r="D62" s="2"/>
      <c r="E62" s="2"/>
      <c r="F62" s="2"/>
      <c r="G62" s="2"/>
      <c r="H62" s="2"/>
      <c r="L62" s="175"/>
      <c r="M62" s="334"/>
      <c r="N62" s="337" t="s">
        <v>142</v>
      </c>
      <c r="O62" s="336"/>
      <c r="P62" s="26"/>
      <c r="Q62" s="334"/>
      <c r="R62" s="335"/>
      <c r="S62" s="336"/>
      <c r="T62" s="172"/>
    </row>
    <row r="63" spans="2:20" ht="17.25" thickBot="1">
      <c r="B63" s="2"/>
      <c r="D63" s="2"/>
      <c r="E63" s="2"/>
      <c r="F63" s="2"/>
      <c r="G63" s="2"/>
      <c r="H63" s="2"/>
      <c r="L63" s="177"/>
      <c r="M63" s="31"/>
      <c r="N63" s="31"/>
      <c r="O63" s="31"/>
      <c r="P63" s="31"/>
      <c r="Q63" s="31"/>
      <c r="R63" s="31"/>
      <c r="S63" s="31"/>
      <c r="T63" s="176"/>
    </row>
    <row r="64" spans="2:20" ht="13.9" customHeight="1">
      <c r="B64" s="2"/>
      <c r="D64" s="2"/>
      <c r="E64" s="2"/>
      <c r="F64" s="2"/>
      <c r="G64" s="2"/>
      <c r="H64" s="2"/>
      <c r="L64" s="2"/>
      <c r="T64" s="178" t="s">
        <v>143</v>
      </c>
    </row>
    <row r="65" spans="2:19">
      <c r="B65" s="2"/>
      <c r="D65" s="2"/>
      <c r="E65" s="2"/>
      <c r="F65" s="2"/>
      <c r="G65" s="2"/>
      <c r="H65" s="2"/>
      <c r="L65" s="2"/>
    </row>
    <row r="66" spans="2:19" hidden="1">
      <c r="B66" s="2"/>
      <c r="D66" s="2"/>
      <c r="E66" s="2"/>
      <c r="F66" s="2"/>
      <c r="G66" s="2"/>
      <c r="H66" s="2"/>
      <c r="L66" s="2"/>
    </row>
    <row r="67" spans="2:19" ht="13.9"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7fuPqgnPZE2xh36qB1EtCEXwqVrw3x3aUrgdcf/EN29/YgUK9GH5d5tBbtQTpNaKChv9nIvwfMHUn5X61/mu8Q==" saltValue="l8NfvaAGAPfYF/skvyuYpg==" spinCount="100000" sheet="1" formatCells="0" formatColumns="0" formatRows="0" autoFilter="0"/>
  <dataConsolidate/>
  <mergeCells count="25">
    <mergeCell ref="D38:J40"/>
    <mergeCell ref="C34:F35"/>
    <mergeCell ref="E30:E31"/>
    <mergeCell ref="C28:D28"/>
    <mergeCell ref="F28:H28"/>
    <mergeCell ref="F29:H29"/>
    <mergeCell ref="F30:H31"/>
    <mergeCell ref="C30:D31"/>
    <mergeCell ref="C29:D29"/>
    <mergeCell ref="L7:T8"/>
    <mergeCell ref="B7:I8"/>
    <mergeCell ref="C13:D13"/>
    <mergeCell ref="C10:D10"/>
    <mergeCell ref="C11:D11"/>
    <mergeCell ref="F11:H11"/>
    <mergeCell ref="F10:H10"/>
    <mergeCell ref="F25:H25"/>
    <mergeCell ref="C14:D15"/>
    <mergeCell ref="E14:E15"/>
    <mergeCell ref="C16:D16"/>
    <mergeCell ref="F14:H15"/>
    <mergeCell ref="E22:E23"/>
    <mergeCell ref="C22:D23"/>
    <mergeCell ref="B19:I20"/>
    <mergeCell ref="F22:H23"/>
  </mergeCells>
  <phoneticPr fontId="3" type="noConversion"/>
  <conditionalFormatting sqref="C34">
    <cfRule type="containsText" dxfId="66" priority="3" operator="containsText" text="TWO">
      <formula>NOT(ISERROR(SEARCH("TWO",C34)))</formula>
    </cfRule>
    <cfRule type="containsText" dxfId="65" priority="4" operator="containsText" text="ALL">
      <formula>NOT(ISERROR(SEARCH("ALL",C34)))</formula>
    </cfRule>
    <cfRule type="containsText" dxfId="64" priority="5" operator="containsText" text="ONE">
      <formula>NOT(ISERROR(SEARCH("ONE",C34)))</formula>
    </cfRule>
  </conditionalFormatting>
  <conditionalFormatting sqref="F30:H31">
    <cfRule type="expression" dxfId="63" priority="43">
      <formula>$I$30=1</formula>
    </cfRule>
  </conditionalFormatting>
  <conditionalFormatting sqref="G33:H34">
    <cfRule type="expression" dxfId="62" priority="2">
      <formula>$F$33=3</formula>
    </cfRule>
  </conditionalFormatting>
  <conditionalFormatting sqref="G34:H34">
    <cfRule type="expression" dxfId="61" priority="1">
      <formula>$F$33=1</formula>
    </cfRule>
  </conditionalFormatting>
  <conditionalFormatting sqref="R11:R62 N11:N62">
    <cfRule type="duplicateValues" dxfId="60" priority="66"/>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xr:uid="{B9924DC9-CECC-4B1F-ACC1-BA03E935B440}">
      <formula1>"FIRST TERM, SECOND TERM, THIRD TERM"</formula1>
    </dataValidation>
    <dataValidation type="list" allowBlank="1" showInputMessage="1" showErrorMessage="1" sqref="F33" xr:uid="{AB0E075D-E383-44DB-AF4B-0C5F268FFFDB}">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45"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44"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BCF1C23-CCD3-469A-93CD-1929D3E41201}">
          <x14:formula1>
            <xm:f>INDIRECT(HELPER!$F$9)</xm:f>
          </x14:formula1>
          <xm:sqref>F29:H29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theme="5"/>
  </sheetPr>
  <dimension ref="A1:AS120"/>
  <sheetViews>
    <sheetView showGridLines="0" zoomScale="85" zoomScaleNormal="87" workbookViewId="0">
      <pane ySplit="15" topLeftCell="A16" activePane="bottomLeft" state="frozen"/>
      <selection pane="bottomLeft" activeCell="C3" sqref="C3"/>
    </sheetView>
  </sheetViews>
  <sheetFormatPr defaultColWidth="0" defaultRowHeight="16.5"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6.7109375" style="2" customWidth="1"/>
    <col min="33" max="34" width="8.7109375" style="2" customWidth="1"/>
    <col min="35" max="35" width="3.7109375" style="2" customWidth="1"/>
    <col min="36" max="45" width="3.7109375" style="2" hidden="1" customWidth="1"/>
    <col min="46" max="16384" width="9.140625" style="2" hidden="1"/>
  </cols>
  <sheetData>
    <row r="1" spans="2:34"/>
    <row r="2" spans="2:34" ht="27">
      <c r="B2" s="189" t="s">
        <v>144</v>
      </c>
      <c r="C2" s="10"/>
      <c r="D2" s="10"/>
      <c r="E2" s="10"/>
      <c r="F2" s="10"/>
      <c r="G2" s="10"/>
      <c r="H2" s="10"/>
      <c r="I2" s="10"/>
      <c r="J2" s="10"/>
      <c r="K2" s="10"/>
      <c r="L2" s="10"/>
      <c r="M2" s="10"/>
      <c r="N2" s="10"/>
      <c r="O2" s="10"/>
      <c r="P2" s="10"/>
      <c r="Q2" s="10"/>
      <c r="R2" s="10"/>
      <c r="S2" s="10"/>
      <c r="T2" s="10"/>
      <c r="U2" s="10"/>
      <c r="V2" s="10"/>
      <c r="W2" s="10"/>
      <c r="X2" s="10"/>
      <c r="Y2" s="10"/>
      <c r="Z2" s="10"/>
      <c r="AA2" s="10"/>
      <c r="AB2" s="10"/>
      <c r="AC2" s="190"/>
      <c r="AD2" s="10"/>
      <c r="AE2" s="10"/>
      <c r="AF2" s="10"/>
      <c r="AG2" s="10"/>
      <c r="AH2" s="10"/>
    </row>
    <row r="3" spans="2:34">
      <c r="B3" s="191" t="s">
        <v>145</v>
      </c>
      <c r="C3" s="10"/>
      <c r="D3" s="10"/>
      <c r="E3" s="10"/>
      <c r="F3" s="10"/>
      <c r="G3" s="10"/>
      <c r="H3" s="10"/>
      <c r="I3" s="10"/>
      <c r="J3" s="10"/>
      <c r="K3" s="10"/>
      <c r="L3" s="10"/>
      <c r="M3" s="10"/>
      <c r="N3" s="10"/>
      <c r="O3" s="10"/>
      <c r="P3" s="10"/>
      <c r="Q3" s="10"/>
      <c r="R3" s="10"/>
      <c r="S3" s="10"/>
      <c r="T3" s="10"/>
      <c r="U3" s="10"/>
      <c r="V3" s="10"/>
      <c r="W3" s="10"/>
      <c r="X3" s="10"/>
      <c r="Y3" s="10"/>
      <c r="Z3" s="10"/>
      <c r="AA3" s="10"/>
      <c r="AB3" s="10"/>
      <c r="AC3" s="190"/>
      <c r="AD3" s="10"/>
      <c r="AE3" s="10"/>
      <c r="AF3" s="10"/>
      <c r="AG3" s="10"/>
      <c r="AH3" s="10"/>
    </row>
    <row r="4" spans="2:34"/>
    <row r="5" spans="2:34"/>
    <row r="6" spans="2:34">
      <c r="G6" s="46" t="s">
        <v>7</v>
      </c>
      <c r="H6" s="806" t="str">
        <f>UPPER('INPUT DATA'!F10)</f>
        <v xml:space="preserve">CAR </v>
      </c>
      <c r="I6" s="806"/>
      <c r="J6" s="806"/>
      <c r="K6" s="806"/>
      <c r="L6" s="806"/>
      <c r="M6" s="806"/>
      <c r="O6" s="46" t="s">
        <v>10</v>
      </c>
      <c r="P6" s="806" t="str">
        <f>UPPER('INPUT DATA'!F11)</f>
        <v/>
      </c>
      <c r="Q6" s="806"/>
      <c r="R6" s="806"/>
      <c r="S6" s="806"/>
      <c r="T6" s="806"/>
      <c r="Z6" s="46" t="s">
        <v>12</v>
      </c>
      <c r="AA6" s="806" t="str">
        <f>IF('INPUT DATA'!F13="","",'INPUT DATA'!F13)</f>
        <v/>
      </c>
      <c r="AB6" s="806"/>
      <c r="AC6" s="806"/>
    </row>
    <row r="7" spans="2:34">
      <c r="G7" s="46" t="s">
        <v>14</v>
      </c>
      <c r="H7" s="807" t="str">
        <f>UPPER('INPUT DATA'!F14)</f>
        <v/>
      </c>
      <c r="I7" s="808"/>
      <c r="J7" s="808"/>
      <c r="K7" s="808"/>
      <c r="L7" s="808"/>
      <c r="M7" s="808"/>
      <c r="N7" s="808"/>
      <c r="O7" s="808"/>
      <c r="P7" s="808"/>
      <c r="Q7" s="808"/>
      <c r="R7" s="808"/>
      <c r="S7" s="808"/>
      <c r="T7" s="809"/>
      <c r="Z7" s="46" t="s">
        <v>16</v>
      </c>
      <c r="AA7" s="806" t="str">
        <f>'INPUT DATA'!F16&amp;"    "&amp;'INPUT DATA'!G16</f>
        <v>2026    –    2027</v>
      </c>
      <c r="AB7" s="806"/>
      <c r="AC7" s="806"/>
    </row>
    <row r="8" spans="2:34" ht="17.25" thickBot="1">
      <c r="B8" s="269" t="str">
        <f>IF(OR(HELPER!G23="1ST",HELPER!G23="1ST &amp; 2ND",HELPER!G23="1ST, 2ND, 3RD"),"","INCORRECT SHEET. Do not use this sheet to input data.")</f>
        <v/>
      </c>
      <c r="C8" s="45"/>
    </row>
    <row r="9" spans="2:34" ht="20.25">
      <c r="B9" s="846" t="s">
        <v>140</v>
      </c>
      <c r="C9" s="847"/>
      <c r="D9" s="841" t="s">
        <v>23</v>
      </c>
      <c r="E9" s="842"/>
      <c r="F9" s="842"/>
      <c r="G9" s="842"/>
      <c r="H9" s="810">
        <f>IFERROR(IF(B8&lt;&gt;"INCORRECT SHEET. Do not use this sheet to input data.",'INPUT DATA'!F24,""),"")</f>
        <v>12</v>
      </c>
      <c r="I9" s="810"/>
      <c r="J9" s="843" t="s">
        <v>146</v>
      </c>
      <c r="K9" s="844"/>
      <c r="L9" s="844"/>
      <c r="M9" s="845"/>
      <c r="N9" s="814" t="str">
        <f>IFERROR(IF(B8&lt;&gt;"INCORRECT SHEET. Do not use this sheet to input data.",UPPER('INPUT DATA'!F25),""),"")</f>
        <v/>
      </c>
      <c r="O9" s="815"/>
      <c r="P9" s="816"/>
      <c r="Q9" s="823" t="s">
        <v>37</v>
      </c>
      <c r="R9" s="823"/>
      <c r="S9" s="823"/>
      <c r="T9" s="823"/>
      <c r="U9" s="811" t="str">
        <f>IFERROR(IF(B8&lt;&gt;"INCORRECT SHEET. Do not use this sheet to input data.",UPPER(HELPER!G10),""),"")</f>
        <v>TITLE</v>
      </c>
      <c r="V9" s="812"/>
      <c r="W9" s="812"/>
      <c r="X9" s="812"/>
      <c r="Y9" s="812"/>
      <c r="Z9" s="812"/>
      <c r="AA9" s="812"/>
      <c r="AB9" s="812"/>
      <c r="AC9" s="812"/>
      <c r="AD9" s="812"/>
      <c r="AE9" s="812"/>
      <c r="AF9" s="812"/>
      <c r="AG9" s="812"/>
      <c r="AH9" s="813"/>
    </row>
    <row r="10" spans="2:34" ht="15" customHeight="1" thickBot="1">
      <c r="B10" s="848"/>
      <c r="C10" s="849"/>
      <c r="D10" s="840" t="s">
        <v>21</v>
      </c>
      <c r="E10" s="824"/>
      <c r="F10" s="824"/>
      <c r="G10" s="824"/>
      <c r="H10" s="825" t="str">
        <f>IFERROR(IF(B8&lt;&gt;"INCORRECT SHEET. Do not use this sheet to input data.",UPPER('INPUT DATA'!F22),""),"")</f>
        <v/>
      </c>
      <c r="I10" s="826"/>
      <c r="J10" s="826"/>
      <c r="K10" s="826"/>
      <c r="L10" s="826"/>
      <c r="M10" s="826"/>
      <c r="N10" s="826"/>
      <c r="O10" s="826"/>
      <c r="P10" s="827"/>
      <c r="Q10" s="824" t="s">
        <v>147</v>
      </c>
      <c r="R10" s="824"/>
      <c r="S10" s="824"/>
      <c r="T10" s="824"/>
      <c r="U10" s="825" t="str">
        <f>IFERROR(IF(B8&lt;&gt;"INCORRECT SHEET. Do not use this sheet to input data.",UPPER(HELPER!G9),""),"")</f>
        <v>ACADEMIC TRACK (EXCEPT IMMERSION)</v>
      </c>
      <c r="V10" s="826"/>
      <c r="W10" s="826"/>
      <c r="X10" s="826"/>
      <c r="Y10" s="826"/>
      <c r="Z10" s="826"/>
      <c r="AA10" s="826"/>
      <c r="AB10" s="826"/>
      <c r="AC10" s="826"/>
      <c r="AD10" s="826"/>
      <c r="AE10" s="826"/>
      <c r="AF10" s="826"/>
      <c r="AG10" s="826"/>
      <c r="AH10" s="828"/>
    </row>
    <row r="11" spans="2:34" ht="20.25">
      <c r="B11" s="848"/>
      <c r="C11" s="849"/>
      <c r="D11" s="817" t="s">
        <v>148</v>
      </c>
      <c r="E11" s="818"/>
      <c r="F11" s="818"/>
      <c r="G11" s="818"/>
      <c r="H11" s="818"/>
      <c r="I11" s="818"/>
      <c r="J11" s="818"/>
      <c r="K11" s="818"/>
      <c r="L11" s="818"/>
      <c r="M11" s="818"/>
      <c r="N11" s="818"/>
      <c r="O11" s="818"/>
      <c r="P11" s="833"/>
      <c r="Q11" s="817" t="s">
        <v>149</v>
      </c>
      <c r="R11" s="818"/>
      <c r="S11" s="818"/>
      <c r="T11" s="818"/>
      <c r="U11" s="818"/>
      <c r="V11" s="818"/>
      <c r="W11" s="818"/>
      <c r="X11" s="818"/>
      <c r="Y11" s="818"/>
      <c r="Z11" s="818"/>
      <c r="AA11" s="818"/>
      <c r="AB11" s="818"/>
      <c r="AC11" s="833"/>
      <c r="AD11" s="817" t="s">
        <v>150</v>
      </c>
      <c r="AE11" s="818"/>
      <c r="AF11" s="819"/>
      <c r="AG11" s="829" t="s">
        <v>151</v>
      </c>
      <c r="AH11" s="831" t="s">
        <v>152</v>
      </c>
    </row>
    <row r="12" spans="2:34" ht="21" thickBot="1">
      <c r="B12" s="848"/>
      <c r="C12" s="849"/>
      <c r="D12" s="834">
        <f>IF($U$9&lt;&gt;"",IFERROR(_xlfn.IFNA(HELPER!G13/100,""),""),"")</f>
        <v>0.25</v>
      </c>
      <c r="E12" s="835"/>
      <c r="F12" s="835"/>
      <c r="G12" s="835"/>
      <c r="H12" s="835"/>
      <c r="I12" s="835"/>
      <c r="J12" s="835"/>
      <c r="K12" s="835"/>
      <c r="L12" s="835"/>
      <c r="M12" s="835"/>
      <c r="N12" s="835"/>
      <c r="O12" s="835"/>
      <c r="P12" s="836"/>
      <c r="Q12" s="820">
        <f>IF($U$9&lt;&gt;"",IFERROR(_xlfn.IFNA(HELPER!G14/100,""),""),"")</f>
        <v>0.45</v>
      </c>
      <c r="R12" s="821"/>
      <c r="S12" s="821"/>
      <c r="T12" s="821"/>
      <c r="U12" s="821"/>
      <c r="V12" s="821"/>
      <c r="W12" s="821"/>
      <c r="X12" s="821"/>
      <c r="Y12" s="821"/>
      <c r="Z12" s="821"/>
      <c r="AA12" s="821"/>
      <c r="AB12" s="821"/>
      <c r="AC12" s="837"/>
      <c r="AD12" s="820">
        <f>IF($U$9&lt;&gt;"",IFERROR(_xlfn.IFNA(HELPER!G15/100,""),""),"")</f>
        <v>0.3</v>
      </c>
      <c r="AE12" s="821"/>
      <c r="AF12" s="822"/>
      <c r="AG12" s="830"/>
      <c r="AH12" s="832"/>
    </row>
    <row r="13" spans="2:34" ht="17.25" thickBot="1">
      <c r="B13" s="848"/>
      <c r="C13" s="849"/>
      <c r="D13" s="195">
        <v>1</v>
      </c>
      <c r="E13" s="503">
        <v>2</v>
      </c>
      <c r="F13" s="503">
        <v>3</v>
      </c>
      <c r="G13" s="503">
        <v>4</v>
      </c>
      <c r="H13" s="503">
        <v>5</v>
      </c>
      <c r="I13" s="503">
        <v>6</v>
      </c>
      <c r="J13" s="503">
        <v>7</v>
      </c>
      <c r="K13" s="503">
        <v>8</v>
      </c>
      <c r="L13" s="503">
        <v>9</v>
      </c>
      <c r="M13" s="504">
        <v>10</v>
      </c>
      <c r="N13" s="192" t="s">
        <v>153</v>
      </c>
      <c r="O13" s="193" t="s">
        <v>96</v>
      </c>
      <c r="P13" s="194" t="s">
        <v>94</v>
      </c>
      <c r="Q13" s="195">
        <v>1</v>
      </c>
      <c r="R13" s="503">
        <v>2</v>
      </c>
      <c r="S13" s="503">
        <v>3</v>
      </c>
      <c r="T13" s="503">
        <v>4</v>
      </c>
      <c r="U13" s="503">
        <v>5</v>
      </c>
      <c r="V13" s="503">
        <v>6</v>
      </c>
      <c r="W13" s="503">
        <v>7</v>
      </c>
      <c r="X13" s="503">
        <v>8</v>
      </c>
      <c r="Y13" s="503">
        <v>9</v>
      </c>
      <c r="Z13" s="504">
        <v>10</v>
      </c>
      <c r="AA13" s="192" t="s">
        <v>153</v>
      </c>
      <c r="AB13" s="193" t="s">
        <v>96</v>
      </c>
      <c r="AC13" s="194" t="s">
        <v>94</v>
      </c>
      <c r="AD13" s="583" t="s">
        <v>88</v>
      </c>
      <c r="AE13" s="192" t="s">
        <v>96</v>
      </c>
      <c r="AF13" s="194" t="s">
        <v>94</v>
      </c>
      <c r="AG13" s="830"/>
      <c r="AH13" s="832"/>
    </row>
    <row r="14" spans="2:34">
      <c r="B14" s="838" t="s">
        <v>71</v>
      </c>
      <c r="C14" s="839"/>
      <c r="D14" s="179"/>
      <c r="E14" s="180"/>
      <c r="F14" s="181"/>
      <c r="G14" s="180"/>
      <c r="H14" s="180"/>
      <c r="I14" s="180"/>
      <c r="J14" s="180"/>
      <c r="K14" s="180"/>
      <c r="L14" s="180"/>
      <c r="M14" s="182"/>
      <c r="N14" s="196">
        <f>SUM(D14:M14)</f>
        <v>0</v>
      </c>
      <c r="O14" s="197">
        <v>100</v>
      </c>
      <c r="P14" s="198">
        <f>D12</f>
        <v>0.25</v>
      </c>
      <c r="Q14" s="179"/>
      <c r="R14" s="180"/>
      <c r="S14" s="180"/>
      <c r="T14" s="180"/>
      <c r="U14" s="180"/>
      <c r="V14" s="180"/>
      <c r="W14" s="180"/>
      <c r="X14" s="180"/>
      <c r="Y14" s="180"/>
      <c r="Z14" s="182"/>
      <c r="AA14" s="196">
        <f>SUM(Q14:Z14)</f>
        <v>0</v>
      </c>
      <c r="AB14" s="197">
        <v>100</v>
      </c>
      <c r="AC14" s="198">
        <f>Q12</f>
        <v>0.45</v>
      </c>
      <c r="AD14" s="584"/>
      <c r="AE14" s="196">
        <f>IF(AD12=0,"",100)</f>
        <v>100</v>
      </c>
      <c r="AF14" s="198">
        <f>AD12</f>
        <v>0.3</v>
      </c>
      <c r="AG14" s="830"/>
      <c r="AH14" s="832"/>
    </row>
    <row r="15" spans="2:34" ht="18">
      <c r="B15" s="199" t="s">
        <v>44</v>
      </c>
      <c r="C15" s="200"/>
      <c r="D15" s="201"/>
      <c r="E15" s="202"/>
      <c r="F15" s="202"/>
      <c r="G15" s="202"/>
      <c r="H15" s="202"/>
      <c r="I15" s="202"/>
      <c r="J15" s="202"/>
      <c r="K15" s="202"/>
      <c r="L15" s="202"/>
      <c r="M15" s="203"/>
      <c r="N15" s="201"/>
      <c r="O15" s="202"/>
      <c r="P15" s="204"/>
      <c r="Q15" s="201"/>
      <c r="R15" s="202"/>
      <c r="S15" s="202"/>
      <c r="T15" s="202"/>
      <c r="U15" s="202"/>
      <c r="V15" s="202"/>
      <c r="W15" s="202"/>
      <c r="X15" s="202"/>
      <c r="Y15" s="202"/>
      <c r="Z15" s="203"/>
      <c r="AA15" s="201"/>
      <c r="AB15" s="202"/>
      <c r="AC15" s="204"/>
      <c r="AD15" s="585"/>
      <c r="AE15" s="201"/>
      <c r="AF15" s="589"/>
      <c r="AG15" s="201"/>
      <c r="AH15" s="204"/>
    </row>
    <row r="16" spans="2:34" ht="17.25" thickBot="1">
      <c r="B16" s="205" t="s">
        <v>46</v>
      </c>
      <c r="C16" s="513"/>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90"/>
      <c r="AF16" s="591"/>
      <c r="AG16" s="407"/>
      <c r="AH16" s="206"/>
    </row>
    <row r="17" spans="2:34">
      <c r="B17" s="517">
        <v>1</v>
      </c>
      <c r="C17" s="390" t="str">
        <f>IFERROR(IF(OR($B$8="INCORRECT SHEET. Do not use this sheet to input data.",'INPUT DATA'!O11=""),"",'INPUT DATA'!O11),"")</f>
        <v/>
      </c>
      <c r="D17" s="391"/>
      <c r="E17" s="392"/>
      <c r="F17" s="392"/>
      <c r="G17" s="392"/>
      <c r="H17" s="392"/>
      <c r="I17" s="392"/>
      <c r="J17" s="392"/>
      <c r="K17" s="392"/>
      <c r="L17" s="392"/>
      <c r="M17" s="393"/>
      <c r="N17" s="394" t="str">
        <f>IF(COUNT(D17:M17)=0,"",SUM(D17:M17))</f>
        <v/>
      </c>
      <c r="O17" s="395" t="str">
        <f>IFERROR(IF(N17="","",ROUND(N17/N$14*O$14,2)),"")</f>
        <v/>
      </c>
      <c r="P17" s="396" t="str">
        <f>IFERROR(IF(O17="","",ROUND(O17*P$14,2)),"")</f>
        <v/>
      </c>
      <c r="Q17" s="391"/>
      <c r="R17" s="392"/>
      <c r="S17" s="392"/>
      <c r="T17" s="392"/>
      <c r="U17" s="392"/>
      <c r="V17" s="392"/>
      <c r="W17" s="392"/>
      <c r="X17" s="392"/>
      <c r="Y17" s="392"/>
      <c r="Z17" s="393"/>
      <c r="AA17" s="207" t="str">
        <f t="shared" ref="AA17:AA66" si="0">IF(COUNT(Q17:Z17)=0,"",SUM(Q17:Z17))</f>
        <v/>
      </c>
      <c r="AB17" s="395" t="str">
        <f>IFERROR(IF(AA17="","",ROUND(AA17/AA$14*AB$14,2)),"")</f>
        <v/>
      </c>
      <c r="AC17" s="396" t="str">
        <f>IFERROR(IF(AB17="","",ROUND(AB17*AC$14,2)),"")</f>
        <v/>
      </c>
      <c r="AD17" s="586"/>
      <c r="AE17" s="397" t="str">
        <f>IFERROR(IF(AD17="","",ROUND(AD17/$AD$14,2)*100),"")</f>
        <v/>
      </c>
      <c r="AF17" s="396" t="str">
        <f>IFERROR(IF(AE17="","",ROUND(AE17*$AF$14,2)),"")</f>
        <v/>
      </c>
      <c r="AG17" s="401" t="str">
        <f t="shared" ref="AG17:AG48" si="1">IF(AND(C17&lt;&gt;"",P17&lt;&gt;"",AC17&lt;&gt;"",$AD$12=0),SUM(P17,AC17),IF(AND(C17&lt;&gt;"",P17&lt;&gt;"",AC17&lt;&gt;"",AF17&lt;&gt;"",$D$12&gt;0,$Q$12&gt;0,$AD$12&gt;0),SUM(P17,AC17,AF17),""))</f>
        <v/>
      </c>
      <c r="AH17" s="398" t="str">
        <f>IFERROR(_xlfn.XLOOKUP(AG17,HELPER!$C$7:$C$47,HELPER!$D$7:$D$47,,1),"")</f>
        <v/>
      </c>
    </row>
    <row r="18" spans="2:34">
      <c r="B18" s="387">
        <v>2</v>
      </c>
      <c r="C18" s="399" t="str">
        <f>IFERROR(IF(OR($B$8="INCORRECT SHEET. Do not use this sheet to input data.",'INPUT DATA'!O12=""),"",'INPUT DATA'!O12),"")</f>
        <v/>
      </c>
      <c r="D18" s="183"/>
      <c r="E18" s="184"/>
      <c r="F18" s="184"/>
      <c r="G18" s="184"/>
      <c r="H18" s="184"/>
      <c r="I18" s="184"/>
      <c r="J18" s="184"/>
      <c r="K18" s="184"/>
      <c r="L18" s="184"/>
      <c r="M18" s="185"/>
      <c r="N18" s="207" t="str">
        <f t="shared" ref="N18:N66" si="2">IF(COUNT(D18:M18)=0,"",SUM(D18:M18))</f>
        <v/>
      </c>
      <c r="O18" s="208" t="str">
        <f t="shared" ref="O18:O66" si="3">IFERROR(IF(N18="","",ROUND(N18/N$14*O$14,2)),"")</f>
        <v/>
      </c>
      <c r="P18" s="209" t="str">
        <f t="shared" ref="P18:P66" si="4">IFERROR(IF(O18="","",ROUND(O18*P$14,2)),"")</f>
        <v/>
      </c>
      <c r="Q18" s="183"/>
      <c r="R18" s="184"/>
      <c r="S18" s="184"/>
      <c r="T18" s="184"/>
      <c r="U18" s="184"/>
      <c r="V18" s="184"/>
      <c r="W18" s="184"/>
      <c r="X18" s="184"/>
      <c r="Y18" s="184"/>
      <c r="Z18" s="185"/>
      <c r="AA18" s="207" t="str">
        <f t="shared" si="0"/>
        <v/>
      </c>
      <c r="AB18" s="208" t="str">
        <f t="shared" ref="AB18:AB66" si="5">IFERROR(IF(AA18="","",ROUND(AA18/AA$14*AB$14,2)),"")</f>
        <v/>
      </c>
      <c r="AC18" s="209" t="str">
        <f t="shared" ref="AC18:AC66" si="6">IFERROR(IF(AB18="","",ROUND(AB18*AC$14,2)),"")</f>
        <v/>
      </c>
      <c r="AD18" s="587"/>
      <c r="AE18" s="210" t="str">
        <f>IFERROR(IF(AD18="","",ROUND(AD18/$AD$14,2)*100),"")</f>
        <v/>
      </c>
      <c r="AF18" s="209" t="str">
        <f t="shared" ref="AF18:AF66" si="7">IFERROR(IF(AE18="","",ROUND(AE18*$AF$14,2)),"")</f>
        <v/>
      </c>
      <c r="AG18" s="402" t="str">
        <f t="shared" si="1"/>
        <v/>
      </c>
      <c r="AH18" s="211" t="str">
        <f>IFERROR(_xlfn.XLOOKUP(AG18,HELPER!$C$7:$C$47,HELPER!$D$7:$D$47,,1),"")</f>
        <v/>
      </c>
    </row>
    <row r="19" spans="2:34">
      <c r="B19" s="387">
        <v>3</v>
      </c>
      <c r="C19" s="399" t="str">
        <f>IFERROR(IF(OR($B$8="INCORRECT SHEET. Do not use this sheet to input data.",'INPUT DATA'!O13=""),"",'INPUT DATA'!O13),"")</f>
        <v/>
      </c>
      <c r="D19" s="183"/>
      <c r="E19" s="184"/>
      <c r="F19" s="184"/>
      <c r="G19" s="184"/>
      <c r="H19" s="184"/>
      <c r="I19" s="184"/>
      <c r="J19" s="184"/>
      <c r="K19" s="184"/>
      <c r="L19" s="184"/>
      <c r="M19" s="185"/>
      <c r="N19" s="207" t="str">
        <f t="shared" si="2"/>
        <v/>
      </c>
      <c r="O19" s="208" t="str">
        <f t="shared" si="3"/>
        <v/>
      </c>
      <c r="P19" s="209" t="str">
        <f t="shared" si="4"/>
        <v/>
      </c>
      <c r="Q19" s="183"/>
      <c r="R19" s="184"/>
      <c r="S19" s="184"/>
      <c r="T19" s="184"/>
      <c r="U19" s="184"/>
      <c r="V19" s="184"/>
      <c r="W19" s="184"/>
      <c r="X19" s="184"/>
      <c r="Y19" s="184"/>
      <c r="Z19" s="185"/>
      <c r="AA19" s="207" t="str">
        <f t="shared" si="0"/>
        <v/>
      </c>
      <c r="AB19" s="208" t="str">
        <f t="shared" si="5"/>
        <v/>
      </c>
      <c r="AC19" s="209" t="str">
        <f t="shared" si="6"/>
        <v/>
      </c>
      <c r="AD19" s="587"/>
      <c r="AE19" s="210" t="str">
        <f t="shared" ref="AE19:AE66" si="8">IFERROR(IF(AD19="","",ROUND(AD19/$AD$14,2)*100),"")</f>
        <v/>
      </c>
      <c r="AF19" s="209" t="str">
        <f t="shared" si="7"/>
        <v/>
      </c>
      <c r="AG19" s="402" t="str">
        <f t="shared" si="1"/>
        <v/>
      </c>
      <c r="AH19" s="211" t="str">
        <f>IFERROR(_xlfn.XLOOKUP(AG19,HELPER!$C$7:$C$47,HELPER!$D$7:$D$47,,1),"")</f>
        <v/>
      </c>
    </row>
    <row r="20" spans="2:34">
      <c r="B20" s="387">
        <v>4</v>
      </c>
      <c r="C20" s="399" t="str">
        <f>IFERROR(IF(OR($B$8="INCORRECT SHEET. Do not use this sheet to input data.",'INPUT DATA'!O14=""),"",'INPUT DATA'!O14),"")</f>
        <v/>
      </c>
      <c r="D20" s="183"/>
      <c r="E20" s="184"/>
      <c r="F20" s="184"/>
      <c r="G20" s="184"/>
      <c r="H20" s="184"/>
      <c r="I20" s="184"/>
      <c r="J20" s="184"/>
      <c r="K20" s="184"/>
      <c r="L20" s="184"/>
      <c r="M20" s="185"/>
      <c r="N20" s="207" t="str">
        <f t="shared" si="2"/>
        <v/>
      </c>
      <c r="O20" s="208" t="str">
        <f t="shared" si="3"/>
        <v/>
      </c>
      <c r="P20" s="209" t="str">
        <f t="shared" si="4"/>
        <v/>
      </c>
      <c r="Q20" s="183"/>
      <c r="R20" s="184"/>
      <c r="S20" s="184"/>
      <c r="T20" s="184"/>
      <c r="U20" s="184"/>
      <c r="V20" s="184"/>
      <c r="W20" s="184"/>
      <c r="X20" s="184"/>
      <c r="Y20" s="184"/>
      <c r="Z20" s="185"/>
      <c r="AA20" s="207" t="str">
        <f t="shared" si="0"/>
        <v/>
      </c>
      <c r="AB20" s="208" t="str">
        <f t="shared" si="5"/>
        <v/>
      </c>
      <c r="AC20" s="209" t="str">
        <f t="shared" si="6"/>
        <v/>
      </c>
      <c r="AD20" s="587"/>
      <c r="AE20" s="210" t="str">
        <f t="shared" si="8"/>
        <v/>
      </c>
      <c r="AF20" s="209" t="str">
        <f t="shared" si="7"/>
        <v/>
      </c>
      <c r="AG20" s="402" t="str">
        <f t="shared" si="1"/>
        <v/>
      </c>
      <c r="AH20" s="211" t="str">
        <f>IFERROR(_xlfn.XLOOKUP(AG20,HELPER!$C$7:$C$47,HELPER!$D$7:$D$47,,1),"")</f>
        <v/>
      </c>
    </row>
    <row r="21" spans="2:34">
      <c r="B21" s="387">
        <v>5</v>
      </c>
      <c r="C21" s="399" t="str">
        <f>IFERROR(IF(OR($B$8="INCORRECT SHEET. Do not use this sheet to input data.",'INPUT DATA'!O15=""),"",'INPUT DATA'!O15),"")</f>
        <v/>
      </c>
      <c r="D21" s="183"/>
      <c r="E21" s="184"/>
      <c r="F21" s="184"/>
      <c r="G21" s="184"/>
      <c r="H21" s="184"/>
      <c r="I21" s="184"/>
      <c r="J21" s="184"/>
      <c r="K21" s="184"/>
      <c r="L21" s="184"/>
      <c r="M21" s="185"/>
      <c r="N21" s="207" t="str">
        <f t="shared" si="2"/>
        <v/>
      </c>
      <c r="O21" s="208" t="str">
        <f t="shared" si="3"/>
        <v/>
      </c>
      <c r="P21" s="209" t="str">
        <f t="shared" si="4"/>
        <v/>
      </c>
      <c r="Q21" s="183"/>
      <c r="R21" s="184"/>
      <c r="S21" s="184"/>
      <c r="T21" s="184"/>
      <c r="U21" s="184"/>
      <c r="V21" s="184"/>
      <c r="W21" s="184"/>
      <c r="X21" s="184"/>
      <c r="Y21" s="184"/>
      <c r="Z21" s="185"/>
      <c r="AA21" s="207" t="str">
        <f t="shared" si="0"/>
        <v/>
      </c>
      <c r="AB21" s="208" t="str">
        <f t="shared" si="5"/>
        <v/>
      </c>
      <c r="AC21" s="209" t="str">
        <f t="shared" si="6"/>
        <v/>
      </c>
      <c r="AD21" s="587"/>
      <c r="AE21" s="210" t="str">
        <f t="shared" si="8"/>
        <v/>
      </c>
      <c r="AF21" s="209" t="str">
        <f t="shared" si="7"/>
        <v/>
      </c>
      <c r="AG21" s="402" t="str">
        <f t="shared" si="1"/>
        <v/>
      </c>
      <c r="AH21" s="211" t="str">
        <f>IFERROR(_xlfn.XLOOKUP(AG21,HELPER!$C$7:$C$47,HELPER!$D$7:$D$47,,1),"")</f>
        <v/>
      </c>
    </row>
    <row r="22" spans="2:34">
      <c r="B22" s="387">
        <v>6</v>
      </c>
      <c r="C22" s="399" t="str">
        <f>IFERROR(IF(OR($B$8="INCORRECT SHEET. Do not use this sheet to input data.",'INPUT DATA'!O16=""),"",'INPUT DATA'!O16),"")</f>
        <v/>
      </c>
      <c r="D22" s="183"/>
      <c r="E22" s="184"/>
      <c r="F22" s="184"/>
      <c r="G22" s="184"/>
      <c r="H22" s="184"/>
      <c r="I22" s="184"/>
      <c r="J22" s="184"/>
      <c r="K22" s="184"/>
      <c r="L22" s="184"/>
      <c r="M22" s="185"/>
      <c r="N22" s="207" t="str">
        <f t="shared" si="2"/>
        <v/>
      </c>
      <c r="O22" s="208" t="str">
        <f t="shared" si="3"/>
        <v/>
      </c>
      <c r="P22" s="209" t="str">
        <f t="shared" si="4"/>
        <v/>
      </c>
      <c r="Q22" s="183"/>
      <c r="R22" s="184"/>
      <c r="S22" s="184"/>
      <c r="T22" s="184"/>
      <c r="U22" s="184"/>
      <c r="V22" s="184"/>
      <c r="W22" s="184"/>
      <c r="X22" s="184"/>
      <c r="Y22" s="184"/>
      <c r="Z22" s="185"/>
      <c r="AA22" s="207" t="str">
        <f t="shared" si="0"/>
        <v/>
      </c>
      <c r="AB22" s="208" t="str">
        <f t="shared" si="5"/>
        <v/>
      </c>
      <c r="AC22" s="209" t="str">
        <f t="shared" si="6"/>
        <v/>
      </c>
      <c r="AD22" s="587"/>
      <c r="AE22" s="210" t="str">
        <f t="shared" si="8"/>
        <v/>
      </c>
      <c r="AF22" s="209" t="str">
        <f t="shared" si="7"/>
        <v/>
      </c>
      <c r="AG22" s="402" t="str">
        <f t="shared" si="1"/>
        <v/>
      </c>
      <c r="AH22" s="211" t="str">
        <f>IFERROR(_xlfn.XLOOKUP(AG22,HELPER!$C$7:$C$47,HELPER!$D$7:$D$47,,1),"")</f>
        <v/>
      </c>
    </row>
    <row r="23" spans="2:34">
      <c r="B23" s="387">
        <v>7</v>
      </c>
      <c r="C23" s="399" t="str">
        <f>IFERROR(IF(OR($B$8="INCORRECT SHEET. Do not use this sheet to input data.",'INPUT DATA'!O17=""),"",'INPUT DATA'!O17),"")</f>
        <v/>
      </c>
      <c r="D23" s="183"/>
      <c r="E23" s="184"/>
      <c r="F23" s="184"/>
      <c r="G23" s="184"/>
      <c r="H23" s="184"/>
      <c r="I23" s="184"/>
      <c r="J23" s="184"/>
      <c r="K23" s="184"/>
      <c r="L23" s="184"/>
      <c r="M23" s="185"/>
      <c r="N23" s="207" t="str">
        <f t="shared" si="2"/>
        <v/>
      </c>
      <c r="O23" s="208" t="str">
        <f t="shared" si="3"/>
        <v/>
      </c>
      <c r="P23" s="209" t="str">
        <f t="shared" si="4"/>
        <v/>
      </c>
      <c r="Q23" s="183"/>
      <c r="R23" s="184"/>
      <c r="S23" s="184"/>
      <c r="T23" s="184"/>
      <c r="U23" s="184"/>
      <c r="V23" s="184"/>
      <c r="W23" s="184"/>
      <c r="X23" s="184"/>
      <c r="Y23" s="184"/>
      <c r="Z23" s="185"/>
      <c r="AA23" s="207" t="str">
        <f t="shared" si="0"/>
        <v/>
      </c>
      <c r="AB23" s="208" t="str">
        <f t="shared" si="5"/>
        <v/>
      </c>
      <c r="AC23" s="209" t="str">
        <f t="shared" si="6"/>
        <v/>
      </c>
      <c r="AD23" s="587"/>
      <c r="AE23" s="210" t="str">
        <f t="shared" si="8"/>
        <v/>
      </c>
      <c r="AF23" s="209" t="str">
        <f t="shared" si="7"/>
        <v/>
      </c>
      <c r="AG23" s="402" t="str">
        <f t="shared" si="1"/>
        <v/>
      </c>
      <c r="AH23" s="211" t="str">
        <f>IFERROR(_xlfn.XLOOKUP(AG23,HELPER!$C$7:$C$47,HELPER!$D$7:$D$47,,1),"")</f>
        <v/>
      </c>
    </row>
    <row r="24" spans="2:34">
      <c r="B24" s="387">
        <v>8</v>
      </c>
      <c r="C24" s="399" t="str">
        <f>IFERROR(IF(OR($B$8="INCORRECT SHEET. Do not use this sheet to input data.",'INPUT DATA'!O18=""),"",'INPUT DATA'!O18),"")</f>
        <v/>
      </c>
      <c r="D24" s="183"/>
      <c r="E24" s="184"/>
      <c r="F24" s="184"/>
      <c r="G24" s="184"/>
      <c r="H24" s="184"/>
      <c r="I24" s="184"/>
      <c r="J24" s="184"/>
      <c r="K24" s="184"/>
      <c r="L24" s="184"/>
      <c r="M24" s="185"/>
      <c r="N24" s="207" t="str">
        <f t="shared" si="2"/>
        <v/>
      </c>
      <c r="O24" s="208" t="str">
        <f t="shared" si="3"/>
        <v/>
      </c>
      <c r="P24" s="209" t="str">
        <f t="shared" si="4"/>
        <v/>
      </c>
      <c r="Q24" s="183"/>
      <c r="R24" s="184"/>
      <c r="S24" s="184"/>
      <c r="T24" s="184"/>
      <c r="U24" s="184"/>
      <c r="V24" s="184"/>
      <c r="W24" s="184"/>
      <c r="X24" s="184"/>
      <c r="Y24" s="184"/>
      <c r="Z24" s="185"/>
      <c r="AA24" s="207" t="str">
        <f t="shared" si="0"/>
        <v/>
      </c>
      <c r="AB24" s="208" t="str">
        <f t="shared" si="5"/>
        <v/>
      </c>
      <c r="AC24" s="209" t="str">
        <f t="shared" si="6"/>
        <v/>
      </c>
      <c r="AD24" s="587"/>
      <c r="AE24" s="210" t="str">
        <f t="shared" si="8"/>
        <v/>
      </c>
      <c r="AF24" s="209" t="str">
        <f t="shared" si="7"/>
        <v/>
      </c>
      <c r="AG24" s="402" t="str">
        <f t="shared" si="1"/>
        <v/>
      </c>
      <c r="AH24" s="211" t="str">
        <f>IFERROR(_xlfn.XLOOKUP(AG24,HELPER!$C$7:$C$47,HELPER!$D$7:$D$47,,1),"")</f>
        <v/>
      </c>
    </row>
    <row r="25" spans="2:34">
      <c r="B25" s="387">
        <v>9</v>
      </c>
      <c r="C25" s="399" t="str">
        <f>IFERROR(IF(OR($B$8="INCORRECT SHEET. Do not use this sheet to input data.",'INPUT DATA'!O19=""),"",'INPUT DATA'!O19),"")</f>
        <v/>
      </c>
      <c r="D25" s="183"/>
      <c r="E25" s="184"/>
      <c r="F25" s="184"/>
      <c r="G25" s="184"/>
      <c r="H25" s="184"/>
      <c r="I25" s="184"/>
      <c r="J25" s="184"/>
      <c r="K25" s="184"/>
      <c r="L25" s="184"/>
      <c r="M25" s="185"/>
      <c r="N25" s="207" t="str">
        <f t="shared" si="2"/>
        <v/>
      </c>
      <c r="O25" s="208" t="str">
        <f t="shared" si="3"/>
        <v/>
      </c>
      <c r="P25" s="209" t="str">
        <f t="shared" si="4"/>
        <v/>
      </c>
      <c r="Q25" s="183"/>
      <c r="R25" s="184"/>
      <c r="S25" s="184"/>
      <c r="T25" s="184"/>
      <c r="U25" s="184"/>
      <c r="V25" s="184"/>
      <c r="W25" s="184"/>
      <c r="X25" s="184"/>
      <c r="Y25" s="184"/>
      <c r="Z25" s="185"/>
      <c r="AA25" s="207" t="str">
        <f t="shared" si="0"/>
        <v/>
      </c>
      <c r="AB25" s="208" t="str">
        <f t="shared" si="5"/>
        <v/>
      </c>
      <c r="AC25" s="209" t="str">
        <f t="shared" si="6"/>
        <v/>
      </c>
      <c r="AD25" s="587"/>
      <c r="AE25" s="210" t="str">
        <f t="shared" si="8"/>
        <v/>
      </c>
      <c r="AF25" s="209" t="str">
        <f t="shared" si="7"/>
        <v/>
      </c>
      <c r="AG25" s="402" t="str">
        <f t="shared" si="1"/>
        <v/>
      </c>
      <c r="AH25" s="211" t="str">
        <f>IFERROR(_xlfn.XLOOKUP(AG25,HELPER!$C$7:$C$47,HELPER!$D$7:$D$47,,1),"")</f>
        <v/>
      </c>
    </row>
    <row r="26" spans="2:34">
      <c r="B26" s="387">
        <v>10</v>
      </c>
      <c r="C26" s="399" t="str">
        <f>IFERROR(IF(OR($B$8="INCORRECT SHEET. Do not use this sheet to input data.",'INPUT DATA'!O20=""),"",'INPUT DATA'!O20),"")</f>
        <v/>
      </c>
      <c r="D26" s="183"/>
      <c r="E26" s="184"/>
      <c r="F26" s="184"/>
      <c r="G26" s="184"/>
      <c r="H26" s="184"/>
      <c r="I26" s="184"/>
      <c r="J26" s="184"/>
      <c r="K26" s="184"/>
      <c r="L26" s="184"/>
      <c r="M26" s="185"/>
      <c r="N26" s="207" t="str">
        <f t="shared" si="2"/>
        <v/>
      </c>
      <c r="O26" s="208" t="str">
        <f t="shared" si="3"/>
        <v/>
      </c>
      <c r="P26" s="209" t="str">
        <f t="shared" si="4"/>
        <v/>
      </c>
      <c r="Q26" s="183"/>
      <c r="R26" s="184"/>
      <c r="S26" s="184"/>
      <c r="T26" s="184"/>
      <c r="U26" s="184"/>
      <c r="V26" s="184"/>
      <c r="W26" s="184"/>
      <c r="X26" s="184"/>
      <c r="Y26" s="184"/>
      <c r="Z26" s="185"/>
      <c r="AA26" s="207" t="str">
        <f t="shared" si="0"/>
        <v/>
      </c>
      <c r="AB26" s="208" t="str">
        <f t="shared" si="5"/>
        <v/>
      </c>
      <c r="AC26" s="209" t="str">
        <f t="shared" si="6"/>
        <v/>
      </c>
      <c r="AD26" s="587"/>
      <c r="AE26" s="210" t="str">
        <f t="shared" si="8"/>
        <v/>
      </c>
      <c r="AF26" s="209" t="str">
        <f t="shared" si="7"/>
        <v/>
      </c>
      <c r="AG26" s="402" t="str">
        <f t="shared" si="1"/>
        <v/>
      </c>
      <c r="AH26" s="211" t="str">
        <f>IFERROR(_xlfn.XLOOKUP(AG26,HELPER!$C$7:$C$47,HELPER!$D$7:$D$47,,1),"")</f>
        <v/>
      </c>
    </row>
    <row r="27" spans="2:34">
      <c r="B27" s="387">
        <v>11</v>
      </c>
      <c r="C27" s="399" t="str">
        <f>IFERROR(IF(OR($B$8="INCORRECT SHEET. Do not use this sheet to input data.",'INPUT DATA'!O21=""),"",'INPUT DATA'!O21),"")</f>
        <v/>
      </c>
      <c r="D27" s="183"/>
      <c r="E27" s="184"/>
      <c r="F27" s="184"/>
      <c r="G27" s="184"/>
      <c r="H27" s="184"/>
      <c r="I27" s="184"/>
      <c r="J27" s="184"/>
      <c r="K27" s="184"/>
      <c r="L27" s="184"/>
      <c r="M27" s="185"/>
      <c r="N27" s="207" t="str">
        <f t="shared" si="2"/>
        <v/>
      </c>
      <c r="O27" s="208" t="str">
        <f t="shared" si="3"/>
        <v/>
      </c>
      <c r="P27" s="209" t="str">
        <f t="shared" si="4"/>
        <v/>
      </c>
      <c r="Q27" s="183"/>
      <c r="R27" s="184"/>
      <c r="S27" s="184"/>
      <c r="T27" s="184"/>
      <c r="U27" s="184"/>
      <c r="V27" s="184"/>
      <c r="W27" s="184"/>
      <c r="X27" s="184"/>
      <c r="Y27" s="184"/>
      <c r="Z27" s="185"/>
      <c r="AA27" s="207" t="str">
        <f t="shared" si="0"/>
        <v/>
      </c>
      <c r="AB27" s="208" t="str">
        <f t="shared" si="5"/>
        <v/>
      </c>
      <c r="AC27" s="209" t="str">
        <f t="shared" si="6"/>
        <v/>
      </c>
      <c r="AD27" s="587"/>
      <c r="AE27" s="210" t="str">
        <f t="shared" si="8"/>
        <v/>
      </c>
      <c r="AF27" s="209" t="str">
        <f t="shared" si="7"/>
        <v/>
      </c>
      <c r="AG27" s="402" t="str">
        <f t="shared" si="1"/>
        <v/>
      </c>
      <c r="AH27" s="211" t="str">
        <f>IFERROR(_xlfn.XLOOKUP(AG27,HELPER!$C$7:$C$47,HELPER!$D$7:$D$47,,1),"")</f>
        <v/>
      </c>
    </row>
    <row r="28" spans="2:34">
      <c r="B28" s="387">
        <v>12</v>
      </c>
      <c r="C28" s="399" t="str">
        <f>IFERROR(IF(OR($B$8="INCORRECT SHEET. Do not use this sheet to input data.",'INPUT DATA'!O22=""),"",'INPUT DATA'!O22),"")</f>
        <v/>
      </c>
      <c r="D28" s="183"/>
      <c r="E28" s="184"/>
      <c r="F28" s="184"/>
      <c r="G28" s="184"/>
      <c r="H28" s="184"/>
      <c r="I28" s="184"/>
      <c r="J28" s="184"/>
      <c r="K28" s="184"/>
      <c r="L28" s="184"/>
      <c r="M28" s="185"/>
      <c r="N28" s="207" t="str">
        <f t="shared" si="2"/>
        <v/>
      </c>
      <c r="O28" s="208" t="str">
        <f t="shared" si="3"/>
        <v/>
      </c>
      <c r="P28" s="209" t="str">
        <f t="shared" si="4"/>
        <v/>
      </c>
      <c r="Q28" s="183"/>
      <c r="R28" s="184"/>
      <c r="S28" s="184"/>
      <c r="T28" s="184"/>
      <c r="U28" s="184"/>
      <c r="V28" s="184"/>
      <c r="W28" s="184"/>
      <c r="X28" s="184"/>
      <c r="Y28" s="184"/>
      <c r="Z28" s="185"/>
      <c r="AA28" s="207" t="str">
        <f t="shared" si="0"/>
        <v/>
      </c>
      <c r="AB28" s="208" t="str">
        <f t="shared" si="5"/>
        <v/>
      </c>
      <c r="AC28" s="209" t="str">
        <f t="shared" si="6"/>
        <v/>
      </c>
      <c r="AD28" s="587"/>
      <c r="AE28" s="210" t="str">
        <f t="shared" si="8"/>
        <v/>
      </c>
      <c r="AF28" s="209" t="str">
        <f t="shared" si="7"/>
        <v/>
      </c>
      <c r="AG28" s="402" t="str">
        <f t="shared" si="1"/>
        <v/>
      </c>
      <c r="AH28" s="211" t="str">
        <f>IFERROR(_xlfn.XLOOKUP(AG28,HELPER!$C$7:$C$47,HELPER!$D$7:$D$47,,1),"")</f>
        <v/>
      </c>
    </row>
    <row r="29" spans="2:34">
      <c r="B29" s="387">
        <v>13</v>
      </c>
      <c r="C29" s="399" t="str">
        <f>IFERROR(IF(OR($B$8="INCORRECT SHEET. Do not use this sheet to input data.",'INPUT DATA'!O23=""),"",'INPUT DATA'!O23),"")</f>
        <v/>
      </c>
      <c r="D29" s="183"/>
      <c r="E29" s="184"/>
      <c r="F29" s="184"/>
      <c r="G29" s="184"/>
      <c r="H29" s="184"/>
      <c r="I29" s="184"/>
      <c r="J29" s="184"/>
      <c r="K29" s="184"/>
      <c r="L29" s="184"/>
      <c r="M29" s="185"/>
      <c r="N29" s="207" t="str">
        <f t="shared" si="2"/>
        <v/>
      </c>
      <c r="O29" s="208" t="str">
        <f t="shared" si="3"/>
        <v/>
      </c>
      <c r="P29" s="209" t="str">
        <f t="shared" si="4"/>
        <v/>
      </c>
      <c r="Q29" s="183"/>
      <c r="R29" s="184"/>
      <c r="S29" s="184"/>
      <c r="T29" s="184"/>
      <c r="U29" s="184"/>
      <c r="V29" s="184"/>
      <c r="W29" s="184"/>
      <c r="X29" s="184"/>
      <c r="Y29" s="184"/>
      <c r="Z29" s="185"/>
      <c r="AA29" s="207" t="str">
        <f t="shared" si="0"/>
        <v/>
      </c>
      <c r="AB29" s="208" t="str">
        <f t="shared" si="5"/>
        <v/>
      </c>
      <c r="AC29" s="209" t="str">
        <f t="shared" si="6"/>
        <v/>
      </c>
      <c r="AD29" s="587"/>
      <c r="AE29" s="210" t="str">
        <f t="shared" si="8"/>
        <v/>
      </c>
      <c r="AF29" s="209" t="str">
        <f t="shared" si="7"/>
        <v/>
      </c>
      <c r="AG29" s="402" t="str">
        <f t="shared" si="1"/>
        <v/>
      </c>
      <c r="AH29" s="211" t="str">
        <f>IFERROR(_xlfn.XLOOKUP(AG29,HELPER!$C$7:$C$47,HELPER!$D$7:$D$47,,1),"")</f>
        <v/>
      </c>
    </row>
    <row r="30" spans="2:34">
      <c r="B30" s="387">
        <v>14</v>
      </c>
      <c r="C30" s="399" t="str">
        <f>IFERROR(IF(OR($B$8="INCORRECT SHEET. Do not use this sheet to input data.",'INPUT DATA'!O24=""),"",'INPUT DATA'!O24),"")</f>
        <v/>
      </c>
      <c r="D30" s="183"/>
      <c r="E30" s="184"/>
      <c r="F30" s="184"/>
      <c r="G30" s="184"/>
      <c r="H30" s="184"/>
      <c r="I30" s="184"/>
      <c r="J30" s="184"/>
      <c r="K30" s="184"/>
      <c r="L30" s="184"/>
      <c r="M30" s="185"/>
      <c r="N30" s="207" t="str">
        <f t="shared" si="2"/>
        <v/>
      </c>
      <c r="O30" s="208" t="str">
        <f t="shared" si="3"/>
        <v/>
      </c>
      <c r="P30" s="209" t="str">
        <f t="shared" si="4"/>
        <v/>
      </c>
      <c r="Q30" s="183"/>
      <c r="R30" s="184"/>
      <c r="S30" s="184"/>
      <c r="T30" s="184"/>
      <c r="U30" s="184"/>
      <c r="V30" s="184"/>
      <c r="W30" s="184"/>
      <c r="X30" s="184"/>
      <c r="Y30" s="184"/>
      <c r="Z30" s="185"/>
      <c r="AA30" s="207" t="str">
        <f t="shared" si="0"/>
        <v/>
      </c>
      <c r="AB30" s="208" t="str">
        <f t="shared" si="5"/>
        <v/>
      </c>
      <c r="AC30" s="209" t="str">
        <f t="shared" si="6"/>
        <v/>
      </c>
      <c r="AD30" s="587"/>
      <c r="AE30" s="210" t="str">
        <f t="shared" si="8"/>
        <v/>
      </c>
      <c r="AF30" s="209" t="str">
        <f t="shared" si="7"/>
        <v/>
      </c>
      <c r="AG30" s="402" t="str">
        <f t="shared" si="1"/>
        <v/>
      </c>
      <c r="AH30" s="211" t="str">
        <f>IFERROR(_xlfn.XLOOKUP(AG30,HELPER!$C$7:$C$47,HELPER!$D$7:$D$47,,1),"")</f>
        <v/>
      </c>
    </row>
    <row r="31" spans="2:34">
      <c r="B31" s="387">
        <v>15</v>
      </c>
      <c r="C31" s="399" t="str">
        <f>IFERROR(IF(OR($B$8="INCORRECT SHEET. Do not use this sheet to input data.",'INPUT DATA'!O25=""),"",'INPUT DATA'!O25),"")</f>
        <v/>
      </c>
      <c r="D31" s="183"/>
      <c r="E31" s="184"/>
      <c r="F31" s="184"/>
      <c r="G31" s="184"/>
      <c r="H31" s="184"/>
      <c r="I31" s="184"/>
      <c r="J31" s="184"/>
      <c r="K31" s="184"/>
      <c r="L31" s="184"/>
      <c r="M31" s="185"/>
      <c r="N31" s="207" t="str">
        <f t="shared" si="2"/>
        <v/>
      </c>
      <c r="O31" s="208" t="str">
        <f t="shared" si="3"/>
        <v/>
      </c>
      <c r="P31" s="209" t="str">
        <f t="shared" si="4"/>
        <v/>
      </c>
      <c r="Q31" s="183"/>
      <c r="R31" s="184"/>
      <c r="S31" s="184"/>
      <c r="T31" s="184"/>
      <c r="U31" s="184"/>
      <c r="V31" s="184"/>
      <c r="W31" s="184"/>
      <c r="X31" s="184"/>
      <c r="Y31" s="184"/>
      <c r="Z31" s="185"/>
      <c r="AA31" s="207" t="str">
        <f t="shared" si="0"/>
        <v/>
      </c>
      <c r="AB31" s="208" t="str">
        <f t="shared" si="5"/>
        <v/>
      </c>
      <c r="AC31" s="209" t="str">
        <f t="shared" si="6"/>
        <v/>
      </c>
      <c r="AD31" s="587"/>
      <c r="AE31" s="210" t="str">
        <f t="shared" si="8"/>
        <v/>
      </c>
      <c r="AF31" s="209" t="str">
        <f t="shared" si="7"/>
        <v/>
      </c>
      <c r="AG31" s="402" t="str">
        <f t="shared" si="1"/>
        <v/>
      </c>
      <c r="AH31" s="211" t="str">
        <f>IFERROR(_xlfn.XLOOKUP(AG31,HELPER!$C$7:$C$47,HELPER!$D$7:$D$47,,1),"")</f>
        <v/>
      </c>
    </row>
    <row r="32" spans="2:34">
      <c r="B32" s="387">
        <v>16</v>
      </c>
      <c r="C32" s="399" t="str">
        <f>IFERROR(IF(OR($B$8="INCORRECT SHEET. Do not use this sheet to input data.",'INPUT DATA'!O26=""),"",'INPUT DATA'!O26),"")</f>
        <v/>
      </c>
      <c r="D32" s="183"/>
      <c r="E32" s="184"/>
      <c r="F32" s="184"/>
      <c r="G32" s="184"/>
      <c r="H32" s="184"/>
      <c r="I32" s="184"/>
      <c r="J32" s="184"/>
      <c r="K32" s="184"/>
      <c r="L32" s="184"/>
      <c r="M32" s="185"/>
      <c r="N32" s="207" t="str">
        <f t="shared" si="2"/>
        <v/>
      </c>
      <c r="O32" s="208" t="str">
        <f t="shared" si="3"/>
        <v/>
      </c>
      <c r="P32" s="209" t="str">
        <f t="shared" si="4"/>
        <v/>
      </c>
      <c r="Q32" s="183"/>
      <c r="R32" s="184"/>
      <c r="S32" s="184"/>
      <c r="T32" s="184"/>
      <c r="U32" s="184"/>
      <c r="V32" s="184"/>
      <c r="W32" s="184"/>
      <c r="X32" s="184"/>
      <c r="Y32" s="184"/>
      <c r="Z32" s="185"/>
      <c r="AA32" s="207" t="str">
        <f t="shared" si="0"/>
        <v/>
      </c>
      <c r="AB32" s="208" t="str">
        <f t="shared" si="5"/>
        <v/>
      </c>
      <c r="AC32" s="209" t="str">
        <f t="shared" si="6"/>
        <v/>
      </c>
      <c r="AD32" s="587"/>
      <c r="AE32" s="210" t="str">
        <f t="shared" si="8"/>
        <v/>
      </c>
      <c r="AF32" s="209" t="str">
        <f t="shared" si="7"/>
        <v/>
      </c>
      <c r="AG32" s="402" t="str">
        <f t="shared" si="1"/>
        <v/>
      </c>
      <c r="AH32" s="211" t="str">
        <f>IFERROR(_xlfn.XLOOKUP(AG32,HELPER!$C$7:$C$47,HELPER!$D$7:$D$47,,1),"")</f>
        <v/>
      </c>
    </row>
    <row r="33" spans="2:34">
      <c r="B33" s="387">
        <v>17</v>
      </c>
      <c r="C33" s="399" t="str">
        <f>IFERROR(IF(OR($B$8="INCORRECT SHEET. Do not use this sheet to input data.",'INPUT DATA'!O27=""),"",'INPUT DATA'!O27),"")</f>
        <v/>
      </c>
      <c r="D33" s="183"/>
      <c r="E33" s="184"/>
      <c r="F33" s="184"/>
      <c r="G33" s="184"/>
      <c r="H33" s="184"/>
      <c r="I33" s="184"/>
      <c r="J33" s="184"/>
      <c r="K33" s="184"/>
      <c r="L33" s="184"/>
      <c r="M33" s="185"/>
      <c r="N33" s="207" t="str">
        <f t="shared" si="2"/>
        <v/>
      </c>
      <c r="O33" s="208" t="str">
        <f t="shared" si="3"/>
        <v/>
      </c>
      <c r="P33" s="209" t="str">
        <f t="shared" si="4"/>
        <v/>
      </c>
      <c r="Q33" s="183"/>
      <c r="R33" s="184"/>
      <c r="S33" s="184"/>
      <c r="T33" s="184"/>
      <c r="U33" s="184"/>
      <c r="V33" s="184"/>
      <c r="W33" s="184"/>
      <c r="X33" s="184"/>
      <c r="Y33" s="184"/>
      <c r="Z33" s="185"/>
      <c r="AA33" s="207" t="str">
        <f t="shared" si="0"/>
        <v/>
      </c>
      <c r="AB33" s="208" t="str">
        <f t="shared" si="5"/>
        <v/>
      </c>
      <c r="AC33" s="209" t="str">
        <f t="shared" si="6"/>
        <v/>
      </c>
      <c r="AD33" s="587"/>
      <c r="AE33" s="210" t="str">
        <f t="shared" si="8"/>
        <v/>
      </c>
      <c r="AF33" s="209" t="str">
        <f t="shared" si="7"/>
        <v/>
      </c>
      <c r="AG33" s="402" t="str">
        <f t="shared" si="1"/>
        <v/>
      </c>
      <c r="AH33" s="211" t="str">
        <f>IFERROR(_xlfn.XLOOKUP(AG33,HELPER!$C$7:$C$47,HELPER!$D$7:$D$47,,1),"")</f>
        <v/>
      </c>
    </row>
    <row r="34" spans="2:34">
      <c r="B34" s="387">
        <v>18</v>
      </c>
      <c r="C34" s="399" t="str">
        <f>IFERROR(IF(OR($B$8="INCORRECT SHEET. Do not use this sheet to input data.",'INPUT DATA'!O28=""),"",'INPUT DATA'!O28),"")</f>
        <v/>
      </c>
      <c r="D34" s="183"/>
      <c r="E34" s="184"/>
      <c r="F34" s="184"/>
      <c r="G34" s="184"/>
      <c r="H34" s="184"/>
      <c r="I34" s="184"/>
      <c r="J34" s="184"/>
      <c r="K34" s="184"/>
      <c r="L34" s="184"/>
      <c r="M34" s="185"/>
      <c r="N34" s="207" t="str">
        <f t="shared" si="2"/>
        <v/>
      </c>
      <c r="O34" s="208" t="str">
        <f t="shared" si="3"/>
        <v/>
      </c>
      <c r="P34" s="209" t="str">
        <f t="shared" si="4"/>
        <v/>
      </c>
      <c r="Q34" s="183"/>
      <c r="R34" s="184"/>
      <c r="S34" s="184"/>
      <c r="T34" s="184"/>
      <c r="U34" s="184"/>
      <c r="V34" s="184"/>
      <c r="W34" s="184"/>
      <c r="X34" s="184"/>
      <c r="Y34" s="184"/>
      <c r="Z34" s="185"/>
      <c r="AA34" s="207" t="str">
        <f t="shared" si="0"/>
        <v/>
      </c>
      <c r="AB34" s="208" t="str">
        <f t="shared" si="5"/>
        <v/>
      </c>
      <c r="AC34" s="209" t="str">
        <f t="shared" si="6"/>
        <v/>
      </c>
      <c r="AD34" s="587"/>
      <c r="AE34" s="210" t="str">
        <f t="shared" si="8"/>
        <v/>
      </c>
      <c r="AF34" s="209" t="str">
        <f t="shared" si="7"/>
        <v/>
      </c>
      <c r="AG34" s="402" t="str">
        <f t="shared" si="1"/>
        <v/>
      </c>
      <c r="AH34" s="211" t="str">
        <f>IFERROR(_xlfn.XLOOKUP(AG34,HELPER!$C$7:$C$47,HELPER!$D$7:$D$47,,1),"")</f>
        <v/>
      </c>
    </row>
    <row r="35" spans="2:34">
      <c r="B35" s="387">
        <v>19</v>
      </c>
      <c r="C35" s="399" t="str">
        <f>IFERROR(IF(OR($B$8="INCORRECT SHEET. Do not use this sheet to input data.",'INPUT DATA'!O29=""),"",'INPUT DATA'!O29),"")</f>
        <v/>
      </c>
      <c r="D35" s="183"/>
      <c r="E35" s="184"/>
      <c r="F35" s="184"/>
      <c r="G35" s="184"/>
      <c r="H35" s="184"/>
      <c r="I35" s="184"/>
      <c r="J35" s="184"/>
      <c r="K35" s="184"/>
      <c r="L35" s="184"/>
      <c r="M35" s="185"/>
      <c r="N35" s="207" t="str">
        <f t="shared" si="2"/>
        <v/>
      </c>
      <c r="O35" s="208" t="str">
        <f t="shared" si="3"/>
        <v/>
      </c>
      <c r="P35" s="209" t="str">
        <f t="shared" si="4"/>
        <v/>
      </c>
      <c r="Q35" s="183"/>
      <c r="R35" s="184"/>
      <c r="S35" s="184"/>
      <c r="T35" s="184"/>
      <c r="U35" s="184"/>
      <c r="V35" s="184"/>
      <c r="W35" s="184"/>
      <c r="X35" s="184"/>
      <c r="Y35" s="184"/>
      <c r="Z35" s="185"/>
      <c r="AA35" s="207" t="str">
        <f t="shared" si="0"/>
        <v/>
      </c>
      <c r="AB35" s="208" t="str">
        <f t="shared" si="5"/>
        <v/>
      </c>
      <c r="AC35" s="209" t="str">
        <f t="shared" si="6"/>
        <v/>
      </c>
      <c r="AD35" s="587"/>
      <c r="AE35" s="210" t="str">
        <f t="shared" si="8"/>
        <v/>
      </c>
      <c r="AF35" s="209" t="str">
        <f t="shared" si="7"/>
        <v/>
      </c>
      <c r="AG35" s="402" t="str">
        <f t="shared" si="1"/>
        <v/>
      </c>
      <c r="AH35" s="211" t="str">
        <f>IFERROR(_xlfn.XLOOKUP(AG35,HELPER!$C$7:$C$47,HELPER!$D$7:$D$47,,1),"")</f>
        <v/>
      </c>
    </row>
    <row r="36" spans="2:34">
      <c r="B36" s="387">
        <v>20</v>
      </c>
      <c r="C36" s="399" t="str">
        <f>IFERROR(IF(OR($B$8="INCORRECT SHEET. Do not use this sheet to input data.",'INPUT DATA'!O30=""),"",'INPUT DATA'!O30),"")</f>
        <v/>
      </c>
      <c r="D36" s="183"/>
      <c r="E36" s="184"/>
      <c r="F36" s="184"/>
      <c r="G36" s="184"/>
      <c r="H36" s="184"/>
      <c r="I36" s="184"/>
      <c r="J36" s="184"/>
      <c r="K36" s="184"/>
      <c r="L36" s="184"/>
      <c r="M36" s="185"/>
      <c r="N36" s="207" t="str">
        <f t="shared" si="2"/>
        <v/>
      </c>
      <c r="O36" s="208" t="str">
        <f t="shared" si="3"/>
        <v/>
      </c>
      <c r="P36" s="209" t="str">
        <f t="shared" si="4"/>
        <v/>
      </c>
      <c r="Q36" s="183"/>
      <c r="R36" s="184"/>
      <c r="S36" s="184"/>
      <c r="T36" s="184"/>
      <c r="U36" s="184"/>
      <c r="V36" s="184"/>
      <c r="W36" s="184"/>
      <c r="X36" s="184"/>
      <c r="Y36" s="184"/>
      <c r="Z36" s="185"/>
      <c r="AA36" s="207" t="str">
        <f t="shared" si="0"/>
        <v/>
      </c>
      <c r="AB36" s="208" t="str">
        <f t="shared" si="5"/>
        <v/>
      </c>
      <c r="AC36" s="209" t="str">
        <f t="shared" si="6"/>
        <v/>
      </c>
      <c r="AD36" s="587"/>
      <c r="AE36" s="210" t="str">
        <f t="shared" si="8"/>
        <v/>
      </c>
      <c r="AF36" s="209" t="str">
        <f t="shared" si="7"/>
        <v/>
      </c>
      <c r="AG36" s="402" t="str">
        <f t="shared" si="1"/>
        <v/>
      </c>
      <c r="AH36" s="211" t="str">
        <f>IFERROR(_xlfn.XLOOKUP(AG36,HELPER!$C$7:$C$47,HELPER!$D$7:$D$47,,1),"")</f>
        <v/>
      </c>
    </row>
    <row r="37" spans="2:34">
      <c r="B37" s="387">
        <v>21</v>
      </c>
      <c r="C37" s="399" t="str">
        <f>IFERROR(IF(OR($B$8="INCORRECT SHEET. Do not use this sheet to input data.",'INPUT DATA'!O31=""),"",'INPUT DATA'!O31),"")</f>
        <v/>
      </c>
      <c r="D37" s="183"/>
      <c r="E37" s="184"/>
      <c r="F37" s="184"/>
      <c r="G37" s="184"/>
      <c r="H37" s="184"/>
      <c r="I37" s="184"/>
      <c r="J37" s="184"/>
      <c r="K37" s="184"/>
      <c r="L37" s="184"/>
      <c r="M37" s="185"/>
      <c r="N37" s="207" t="str">
        <f t="shared" si="2"/>
        <v/>
      </c>
      <c r="O37" s="208" t="str">
        <f t="shared" si="3"/>
        <v/>
      </c>
      <c r="P37" s="209" t="str">
        <f t="shared" si="4"/>
        <v/>
      </c>
      <c r="Q37" s="183"/>
      <c r="R37" s="184"/>
      <c r="S37" s="184"/>
      <c r="T37" s="184"/>
      <c r="U37" s="184"/>
      <c r="V37" s="184"/>
      <c r="W37" s="184"/>
      <c r="X37" s="184"/>
      <c r="Y37" s="184"/>
      <c r="Z37" s="185"/>
      <c r="AA37" s="207" t="str">
        <f t="shared" si="0"/>
        <v/>
      </c>
      <c r="AB37" s="208" t="str">
        <f t="shared" si="5"/>
        <v/>
      </c>
      <c r="AC37" s="209" t="str">
        <f t="shared" si="6"/>
        <v/>
      </c>
      <c r="AD37" s="587"/>
      <c r="AE37" s="210" t="str">
        <f t="shared" si="8"/>
        <v/>
      </c>
      <c r="AF37" s="209" t="str">
        <f t="shared" si="7"/>
        <v/>
      </c>
      <c r="AG37" s="402" t="str">
        <f t="shared" si="1"/>
        <v/>
      </c>
      <c r="AH37" s="211" t="str">
        <f>IFERROR(_xlfn.XLOOKUP(AG37,HELPER!$C$7:$C$47,HELPER!$D$7:$D$47,,1),"")</f>
        <v/>
      </c>
    </row>
    <row r="38" spans="2:34">
      <c r="B38" s="387">
        <v>22</v>
      </c>
      <c r="C38" s="399" t="str">
        <f>IFERROR(IF(OR($B$8="INCORRECT SHEET. Do not use this sheet to input data.",'INPUT DATA'!O32=""),"",'INPUT DATA'!O32),"")</f>
        <v/>
      </c>
      <c r="D38" s="183"/>
      <c r="E38" s="184"/>
      <c r="F38" s="184"/>
      <c r="G38" s="184"/>
      <c r="H38" s="184"/>
      <c r="I38" s="184"/>
      <c r="J38" s="184"/>
      <c r="K38" s="184"/>
      <c r="L38" s="184"/>
      <c r="M38" s="185"/>
      <c r="N38" s="207" t="str">
        <f t="shared" si="2"/>
        <v/>
      </c>
      <c r="O38" s="208" t="str">
        <f t="shared" si="3"/>
        <v/>
      </c>
      <c r="P38" s="209" t="str">
        <f t="shared" si="4"/>
        <v/>
      </c>
      <c r="Q38" s="183"/>
      <c r="R38" s="184"/>
      <c r="S38" s="184"/>
      <c r="T38" s="184"/>
      <c r="U38" s="184"/>
      <c r="V38" s="184"/>
      <c r="W38" s="184"/>
      <c r="X38" s="184"/>
      <c r="Y38" s="184"/>
      <c r="Z38" s="185"/>
      <c r="AA38" s="207" t="str">
        <f t="shared" si="0"/>
        <v/>
      </c>
      <c r="AB38" s="208" t="str">
        <f t="shared" si="5"/>
        <v/>
      </c>
      <c r="AC38" s="209" t="str">
        <f t="shared" si="6"/>
        <v/>
      </c>
      <c r="AD38" s="587"/>
      <c r="AE38" s="210" t="str">
        <f t="shared" si="8"/>
        <v/>
      </c>
      <c r="AF38" s="209" t="str">
        <f t="shared" si="7"/>
        <v/>
      </c>
      <c r="AG38" s="402" t="str">
        <f t="shared" si="1"/>
        <v/>
      </c>
      <c r="AH38" s="211" t="str">
        <f>IFERROR(_xlfn.XLOOKUP(AG38,HELPER!$C$7:$C$47,HELPER!$D$7:$D$47,,1),"")</f>
        <v/>
      </c>
    </row>
    <row r="39" spans="2:34">
      <c r="B39" s="387">
        <v>23</v>
      </c>
      <c r="C39" s="399" t="str">
        <f>IFERROR(IF(OR($B$8="INCORRECT SHEET. Do not use this sheet to input data.",'INPUT DATA'!O33=""),"",'INPUT DATA'!O33),"")</f>
        <v/>
      </c>
      <c r="D39" s="183"/>
      <c r="E39" s="184"/>
      <c r="F39" s="184"/>
      <c r="G39" s="184"/>
      <c r="H39" s="184"/>
      <c r="I39" s="184"/>
      <c r="J39" s="184"/>
      <c r="K39" s="184"/>
      <c r="L39" s="184"/>
      <c r="M39" s="185"/>
      <c r="N39" s="207" t="str">
        <f t="shared" si="2"/>
        <v/>
      </c>
      <c r="O39" s="208" t="str">
        <f t="shared" si="3"/>
        <v/>
      </c>
      <c r="P39" s="209" t="str">
        <f t="shared" si="4"/>
        <v/>
      </c>
      <c r="Q39" s="183"/>
      <c r="R39" s="184"/>
      <c r="S39" s="184"/>
      <c r="T39" s="184"/>
      <c r="U39" s="184"/>
      <c r="V39" s="184"/>
      <c r="W39" s="184"/>
      <c r="X39" s="184"/>
      <c r="Y39" s="184"/>
      <c r="Z39" s="185"/>
      <c r="AA39" s="207" t="str">
        <f t="shared" si="0"/>
        <v/>
      </c>
      <c r="AB39" s="208" t="str">
        <f t="shared" si="5"/>
        <v/>
      </c>
      <c r="AC39" s="209" t="str">
        <f t="shared" si="6"/>
        <v/>
      </c>
      <c r="AD39" s="587"/>
      <c r="AE39" s="210" t="str">
        <f t="shared" si="8"/>
        <v/>
      </c>
      <c r="AF39" s="209" t="str">
        <f t="shared" si="7"/>
        <v/>
      </c>
      <c r="AG39" s="402" t="str">
        <f t="shared" si="1"/>
        <v/>
      </c>
      <c r="AH39" s="211" t="str">
        <f>IFERROR(_xlfn.XLOOKUP(AG39,HELPER!$C$7:$C$47,HELPER!$D$7:$D$47,,1),"")</f>
        <v/>
      </c>
    </row>
    <row r="40" spans="2:34">
      <c r="B40" s="387">
        <v>24</v>
      </c>
      <c r="C40" s="399" t="str">
        <f>IFERROR(IF(OR($B$8="INCORRECT SHEET. Do not use this sheet to input data.",'INPUT DATA'!O34=""),"",'INPUT DATA'!O34),"")</f>
        <v/>
      </c>
      <c r="D40" s="183"/>
      <c r="E40" s="184"/>
      <c r="F40" s="184"/>
      <c r="G40" s="184"/>
      <c r="H40" s="184"/>
      <c r="I40" s="184"/>
      <c r="J40" s="184"/>
      <c r="K40" s="184"/>
      <c r="L40" s="184"/>
      <c r="M40" s="185"/>
      <c r="N40" s="207" t="str">
        <f t="shared" si="2"/>
        <v/>
      </c>
      <c r="O40" s="208" t="str">
        <f t="shared" si="3"/>
        <v/>
      </c>
      <c r="P40" s="209" t="str">
        <f t="shared" si="4"/>
        <v/>
      </c>
      <c r="Q40" s="183"/>
      <c r="R40" s="184"/>
      <c r="S40" s="184"/>
      <c r="T40" s="184"/>
      <c r="U40" s="184"/>
      <c r="V40" s="184"/>
      <c r="W40" s="184"/>
      <c r="X40" s="184"/>
      <c r="Y40" s="184"/>
      <c r="Z40" s="185"/>
      <c r="AA40" s="207" t="str">
        <f t="shared" si="0"/>
        <v/>
      </c>
      <c r="AB40" s="208" t="str">
        <f t="shared" si="5"/>
        <v/>
      </c>
      <c r="AC40" s="209" t="str">
        <f t="shared" si="6"/>
        <v/>
      </c>
      <c r="AD40" s="587"/>
      <c r="AE40" s="210" t="str">
        <f t="shared" si="8"/>
        <v/>
      </c>
      <c r="AF40" s="209" t="str">
        <f t="shared" si="7"/>
        <v/>
      </c>
      <c r="AG40" s="402" t="str">
        <f t="shared" si="1"/>
        <v/>
      </c>
      <c r="AH40" s="211" t="str">
        <f>IFERROR(_xlfn.XLOOKUP(AG40,HELPER!$C$7:$C$47,HELPER!$D$7:$D$47,,1),"")</f>
        <v/>
      </c>
    </row>
    <row r="41" spans="2:34">
      <c r="B41" s="387">
        <v>25</v>
      </c>
      <c r="C41" s="399" t="str">
        <f>IFERROR(IF(OR($B$8="INCORRECT SHEET. Do not use this sheet to input data.",'INPUT DATA'!O35=""),"",'INPUT DATA'!O35),"")</f>
        <v/>
      </c>
      <c r="D41" s="183"/>
      <c r="E41" s="184"/>
      <c r="F41" s="184"/>
      <c r="G41" s="184"/>
      <c r="H41" s="184"/>
      <c r="I41" s="184"/>
      <c r="J41" s="184"/>
      <c r="K41" s="184"/>
      <c r="L41" s="184"/>
      <c r="M41" s="185"/>
      <c r="N41" s="207" t="str">
        <f t="shared" si="2"/>
        <v/>
      </c>
      <c r="O41" s="208" t="str">
        <f t="shared" si="3"/>
        <v/>
      </c>
      <c r="P41" s="209" t="str">
        <f t="shared" si="4"/>
        <v/>
      </c>
      <c r="Q41" s="183"/>
      <c r="R41" s="184"/>
      <c r="S41" s="184"/>
      <c r="T41" s="184"/>
      <c r="U41" s="184"/>
      <c r="V41" s="184"/>
      <c r="W41" s="184"/>
      <c r="X41" s="184"/>
      <c r="Y41" s="184"/>
      <c r="Z41" s="185"/>
      <c r="AA41" s="207" t="str">
        <f t="shared" si="0"/>
        <v/>
      </c>
      <c r="AB41" s="208" t="str">
        <f t="shared" si="5"/>
        <v/>
      </c>
      <c r="AC41" s="209" t="str">
        <f t="shared" si="6"/>
        <v/>
      </c>
      <c r="AD41" s="587"/>
      <c r="AE41" s="210" t="str">
        <f t="shared" si="8"/>
        <v/>
      </c>
      <c r="AF41" s="209" t="str">
        <f t="shared" si="7"/>
        <v/>
      </c>
      <c r="AG41" s="402" t="str">
        <f t="shared" si="1"/>
        <v/>
      </c>
      <c r="AH41" s="211" t="str">
        <f>IFERROR(_xlfn.XLOOKUP(AG41,HELPER!$C$7:$C$47,HELPER!$D$7:$D$47,,1),"")</f>
        <v/>
      </c>
    </row>
    <row r="42" spans="2:34">
      <c r="B42" s="387">
        <v>26</v>
      </c>
      <c r="C42" s="399" t="str">
        <f>IFERROR(IF(OR($B$8="INCORRECT SHEET. Do not use this sheet to input data.",'INPUT DATA'!O36=""),"",'INPUT DATA'!O36),"")</f>
        <v/>
      </c>
      <c r="D42" s="183"/>
      <c r="E42" s="184"/>
      <c r="F42" s="184"/>
      <c r="G42" s="184"/>
      <c r="H42" s="184"/>
      <c r="I42" s="184"/>
      <c r="J42" s="184"/>
      <c r="K42" s="184"/>
      <c r="L42" s="184"/>
      <c r="M42" s="185"/>
      <c r="N42" s="207" t="str">
        <f t="shared" si="2"/>
        <v/>
      </c>
      <c r="O42" s="208" t="str">
        <f t="shared" si="3"/>
        <v/>
      </c>
      <c r="P42" s="209" t="str">
        <f t="shared" si="4"/>
        <v/>
      </c>
      <c r="Q42" s="183"/>
      <c r="R42" s="184"/>
      <c r="S42" s="184"/>
      <c r="T42" s="184"/>
      <c r="U42" s="184"/>
      <c r="V42" s="184"/>
      <c r="W42" s="184"/>
      <c r="X42" s="184"/>
      <c r="Y42" s="184"/>
      <c r="Z42" s="185"/>
      <c r="AA42" s="207" t="str">
        <f t="shared" si="0"/>
        <v/>
      </c>
      <c r="AB42" s="208" t="str">
        <f t="shared" si="5"/>
        <v/>
      </c>
      <c r="AC42" s="209" t="str">
        <f t="shared" si="6"/>
        <v/>
      </c>
      <c r="AD42" s="587"/>
      <c r="AE42" s="210" t="str">
        <f t="shared" si="8"/>
        <v/>
      </c>
      <c r="AF42" s="209" t="str">
        <f t="shared" si="7"/>
        <v/>
      </c>
      <c r="AG42" s="402" t="str">
        <f t="shared" si="1"/>
        <v/>
      </c>
      <c r="AH42" s="211" t="str">
        <f>IFERROR(_xlfn.XLOOKUP(AG42,HELPER!$C$7:$C$47,HELPER!$D$7:$D$47,,1),"")</f>
        <v/>
      </c>
    </row>
    <row r="43" spans="2:34">
      <c r="B43" s="387">
        <v>27</v>
      </c>
      <c r="C43" s="399" t="str">
        <f>IFERROR(IF(OR($B$8="INCORRECT SHEET. Do not use this sheet to input data.",'INPUT DATA'!O37=""),"",'INPUT DATA'!O37),"")</f>
        <v/>
      </c>
      <c r="D43" s="183"/>
      <c r="E43" s="184"/>
      <c r="F43" s="184"/>
      <c r="G43" s="184"/>
      <c r="H43" s="184"/>
      <c r="I43" s="184"/>
      <c r="J43" s="184"/>
      <c r="K43" s="184"/>
      <c r="L43" s="184"/>
      <c r="M43" s="185"/>
      <c r="N43" s="207" t="str">
        <f t="shared" si="2"/>
        <v/>
      </c>
      <c r="O43" s="208" t="str">
        <f t="shared" si="3"/>
        <v/>
      </c>
      <c r="P43" s="209" t="str">
        <f t="shared" si="4"/>
        <v/>
      </c>
      <c r="Q43" s="183"/>
      <c r="R43" s="184"/>
      <c r="S43" s="184"/>
      <c r="T43" s="184"/>
      <c r="U43" s="184"/>
      <c r="V43" s="184"/>
      <c r="W43" s="184"/>
      <c r="X43" s="184"/>
      <c r="Y43" s="184"/>
      <c r="Z43" s="185"/>
      <c r="AA43" s="207" t="str">
        <f t="shared" si="0"/>
        <v/>
      </c>
      <c r="AB43" s="208" t="str">
        <f t="shared" si="5"/>
        <v/>
      </c>
      <c r="AC43" s="209" t="str">
        <f t="shared" si="6"/>
        <v/>
      </c>
      <c r="AD43" s="587"/>
      <c r="AE43" s="210" t="str">
        <f t="shared" si="8"/>
        <v/>
      </c>
      <c r="AF43" s="209" t="str">
        <f t="shared" si="7"/>
        <v/>
      </c>
      <c r="AG43" s="402" t="str">
        <f t="shared" si="1"/>
        <v/>
      </c>
      <c r="AH43" s="211" t="str">
        <f>IFERROR(_xlfn.XLOOKUP(AG43,HELPER!$C$7:$C$47,HELPER!$D$7:$D$47,,1),"")</f>
        <v/>
      </c>
    </row>
    <row r="44" spans="2:34">
      <c r="B44" s="387">
        <v>28</v>
      </c>
      <c r="C44" s="399" t="str">
        <f>IFERROR(IF(OR($B$8="INCORRECT SHEET. Do not use this sheet to input data.",'INPUT DATA'!O38=""),"",'INPUT DATA'!O38),"")</f>
        <v/>
      </c>
      <c r="D44" s="183"/>
      <c r="E44" s="184"/>
      <c r="F44" s="184"/>
      <c r="G44" s="184"/>
      <c r="H44" s="184"/>
      <c r="I44" s="184"/>
      <c r="J44" s="184"/>
      <c r="K44" s="184"/>
      <c r="L44" s="184"/>
      <c r="M44" s="185"/>
      <c r="N44" s="207" t="str">
        <f t="shared" si="2"/>
        <v/>
      </c>
      <c r="O44" s="208" t="str">
        <f t="shared" si="3"/>
        <v/>
      </c>
      <c r="P44" s="209" t="str">
        <f t="shared" si="4"/>
        <v/>
      </c>
      <c r="Q44" s="183"/>
      <c r="R44" s="184"/>
      <c r="S44" s="184"/>
      <c r="T44" s="184"/>
      <c r="U44" s="184"/>
      <c r="V44" s="184"/>
      <c r="W44" s="184"/>
      <c r="X44" s="184"/>
      <c r="Y44" s="184"/>
      <c r="Z44" s="185"/>
      <c r="AA44" s="207" t="str">
        <f t="shared" si="0"/>
        <v/>
      </c>
      <c r="AB44" s="208" t="str">
        <f t="shared" si="5"/>
        <v/>
      </c>
      <c r="AC44" s="209" t="str">
        <f t="shared" si="6"/>
        <v/>
      </c>
      <c r="AD44" s="587"/>
      <c r="AE44" s="210" t="str">
        <f t="shared" si="8"/>
        <v/>
      </c>
      <c r="AF44" s="209" t="str">
        <f t="shared" si="7"/>
        <v/>
      </c>
      <c r="AG44" s="402" t="str">
        <f t="shared" si="1"/>
        <v/>
      </c>
      <c r="AH44" s="211" t="str">
        <f>IFERROR(_xlfn.XLOOKUP(AG44,HELPER!$C$7:$C$47,HELPER!$D$7:$D$47,,1),"")</f>
        <v/>
      </c>
    </row>
    <row r="45" spans="2:34">
      <c r="B45" s="387">
        <v>29</v>
      </c>
      <c r="C45" s="399" t="str">
        <f>IFERROR(IF(OR($B$8="INCORRECT SHEET. Do not use this sheet to input data.",'INPUT DATA'!O39=""),"",'INPUT DATA'!O39),"")</f>
        <v/>
      </c>
      <c r="D45" s="183"/>
      <c r="E45" s="184"/>
      <c r="F45" s="184"/>
      <c r="G45" s="184"/>
      <c r="H45" s="184"/>
      <c r="I45" s="184"/>
      <c r="J45" s="184"/>
      <c r="K45" s="184"/>
      <c r="L45" s="184"/>
      <c r="M45" s="185"/>
      <c r="N45" s="207" t="str">
        <f t="shared" si="2"/>
        <v/>
      </c>
      <c r="O45" s="208" t="str">
        <f t="shared" si="3"/>
        <v/>
      </c>
      <c r="P45" s="209" t="str">
        <f t="shared" si="4"/>
        <v/>
      </c>
      <c r="Q45" s="183"/>
      <c r="R45" s="184"/>
      <c r="S45" s="184"/>
      <c r="T45" s="184"/>
      <c r="U45" s="184"/>
      <c r="V45" s="184"/>
      <c r="W45" s="184"/>
      <c r="X45" s="184"/>
      <c r="Y45" s="184"/>
      <c r="Z45" s="185"/>
      <c r="AA45" s="207" t="str">
        <f t="shared" si="0"/>
        <v/>
      </c>
      <c r="AB45" s="208" t="str">
        <f t="shared" si="5"/>
        <v/>
      </c>
      <c r="AC45" s="209" t="str">
        <f t="shared" si="6"/>
        <v/>
      </c>
      <c r="AD45" s="587"/>
      <c r="AE45" s="210" t="str">
        <f t="shared" si="8"/>
        <v/>
      </c>
      <c r="AF45" s="209" t="str">
        <f t="shared" si="7"/>
        <v/>
      </c>
      <c r="AG45" s="402" t="str">
        <f t="shared" si="1"/>
        <v/>
      </c>
      <c r="AH45" s="211" t="str">
        <f>IFERROR(_xlfn.XLOOKUP(AG45,HELPER!$C$7:$C$47,HELPER!$D$7:$D$47,,1),"")</f>
        <v/>
      </c>
    </row>
    <row r="46" spans="2:34">
      <c r="B46" s="387">
        <v>30</v>
      </c>
      <c r="C46" s="399" t="str">
        <f>IFERROR(IF(OR($B$8="INCORRECT SHEET. Do not use this sheet to input data.",'INPUT DATA'!O40=""),"",'INPUT DATA'!O40),"")</f>
        <v/>
      </c>
      <c r="D46" s="183"/>
      <c r="E46" s="184"/>
      <c r="F46" s="184"/>
      <c r="G46" s="184"/>
      <c r="H46" s="184"/>
      <c r="I46" s="184"/>
      <c r="J46" s="184"/>
      <c r="K46" s="184"/>
      <c r="L46" s="184"/>
      <c r="M46" s="185"/>
      <c r="N46" s="207" t="str">
        <f t="shared" si="2"/>
        <v/>
      </c>
      <c r="O46" s="208" t="str">
        <f t="shared" si="3"/>
        <v/>
      </c>
      <c r="P46" s="209" t="str">
        <f t="shared" si="4"/>
        <v/>
      </c>
      <c r="Q46" s="183"/>
      <c r="R46" s="184"/>
      <c r="S46" s="184"/>
      <c r="T46" s="184"/>
      <c r="U46" s="184"/>
      <c r="V46" s="184"/>
      <c r="W46" s="184"/>
      <c r="X46" s="184"/>
      <c r="Y46" s="184"/>
      <c r="Z46" s="185"/>
      <c r="AA46" s="207" t="str">
        <f t="shared" si="0"/>
        <v/>
      </c>
      <c r="AB46" s="208" t="str">
        <f t="shared" si="5"/>
        <v/>
      </c>
      <c r="AC46" s="209" t="str">
        <f t="shared" si="6"/>
        <v/>
      </c>
      <c r="AD46" s="587"/>
      <c r="AE46" s="210" t="str">
        <f t="shared" si="8"/>
        <v/>
      </c>
      <c r="AF46" s="209" t="str">
        <f t="shared" si="7"/>
        <v/>
      </c>
      <c r="AG46" s="402" t="str">
        <f t="shared" si="1"/>
        <v/>
      </c>
      <c r="AH46" s="211" t="str">
        <f>IFERROR(_xlfn.XLOOKUP(AG46,HELPER!$C$7:$C$47,HELPER!$D$7:$D$47,,1),"")</f>
        <v/>
      </c>
    </row>
    <row r="47" spans="2:34">
      <c r="B47" s="387">
        <v>31</v>
      </c>
      <c r="C47" s="399" t="str">
        <f>IFERROR(IF(OR($B$8="INCORRECT SHEET. Do not use this sheet to input data.",'INPUT DATA'!O41=""),"",'INPUT DATA'!O41),"")</f>
        <v/>
      </c>
      <c r="D47" s="183"/>
      <c r="E47" s="184"/>
      <c r="F47" s="184"/>
      <c r="G47" s="184"/>
      <c r="H47" s="184"/>
      <c r="I47" s="184"/>
      <c r="J47" s="184"/>
      <c r="K47" s="184"/>
      <c r="L47" s="184"/>
      <c r="M47" s="185"/>
      <c r="N47" s="207" t="str">
        <f t="shared" si="2"/>
        <v/>
      </c>
      <c r="O47" s="208" t="str">
        <f t="shared" si="3"/>
        <v/>
      </c>
      <c r="P47" s="209" t="str">
        <f t="shared" si="4"/>
        <v/>
      </c>
      <c r="Q47" s="183"/>
      <c r="R47" s="184"/>
      <c r="S47" s="184"/>
      <c r="T47" s="184"/>
      <c r="U47" s="184"/>
      <c r="V47" s="184"/>
      <c r="W47" s="184"/>
      <c r="X47" s="184"/>
      <c r="Y47" s="184"/>
      <c r="Z47" s="185"/>
      <c r="AA47" s="207" t="str">
        <f t="shared" si="0"/>
        <v/>
      </c>
      <c r="AB47" s="208" t="str">
        <f t="shared" si="5"/>
        <v/>
      </c>
      <c r="AC47" s="209" t="str">
        <f t="shared" si="6"/>
        <v/>
      </c>
      <c r="AD47" s="587"/>
      <c r="AE47" s="210" t="str">
        <f t="shared" si="8"/>
        <v/>
      </c>
      <c r="AF47" s="209" t="str">
        <f t="shared" si="7"/>
        <v/>
      </c>
      <c r="AG47" s="402" t="str">
        <f t="shared" si="1"/>
        <v/>
      </c>
      <c r="AH47" s="211" t="str">
        <f>IFERROR(_xlfn.XLOOKUP(AG47,HELPER!$C$7:$C$47,HELPER!$D$7:$D$47,,1),"")</f>
        <v/>
      </c>
    </row>
    <row r="48" spans="2:34">
      <c r="B48" s="387">
        <v>32</v>
      </c>
      <c r="C48" s="399" t="str">
        <f>IFERROR(IF(OR($B$8="INCORRECT SHEET. Do not use this sheet to input data.",'INPUT DATA'!O42=""),"",'INPUT DATA'!O42),"")</f>
        <v/>
      </c>
      <c r="D48" s="183"/>
      <c r="E48" s="184"/>
      <c r="F48" s="184"/>
      <c r="G48" s="184"/>
      <c r="H48" s="184"/>
      <c r="I48" s="184"/>
      <c r="J48" s="184"/>
      <c r="K48" s="184"/>
      <c r="L48" s="184"/>
      <c r="M48" s="185"/>
      <c r="N48" s="207" t="str">
        <f t="shared" si="2"/>
        <v/>
      </c>
      <c r="O48" s="208" t="str">
        <f t="shared" si="3"/>
        <v/>
      </c>
      <c r="P48" s="209" t="str">
        <f t="shared" si="4"/>
        <v/>
      </c>
      <c r="Q48" s="183"/>
      <c r="R48" s="184"/>
      <c r="S48" s="184"/>
      <c r="T48" s="184"/>
      <c r="U48" s="184"/>
      <c r="V48" s="184"/>
      <c r="W48" s="184"/>
      <c r="X48" s="184"/>
      <c r="Y48" s="184"/>
      <c r="Z48" s="185"/>
      <c r="AA48" s="207" t="str">
        <f t="shared" si="0"/>
        <v/>
      </c>
      <c r="AB48" s="208" t="str">
        <f t="shared" si="5"/>
        <v/>
      </c>
      <c r="AC48" s="209" t="str">
        <f t="shared" si="6"/>
        <v/>
      </c>
      <c r="AD48" s="587"/>
      <c r="AE48" s="210" t="str">
        <f t="shared" si="8"/>
        <v/>
      </c>
      <c r="AF48" s="209" t="str">
        <f t="shared" si="7"/>
        <v/>
      </c>
      <c r="AG48" s="402" t="str">
        <f t="shared" si="1"/>
        <v/>
      </c>
      <c r="AH48" s="211" t="str">
        <f>IFERROR(_xlfn.XLOOKUP(AG48,HELPER!$C$7:$C$47,HELPER!$D$7:$D$47,,1),"")</f>
        <v/>
      </c>
    </row>
    <row r="49" spans="2:34">
      <c r="B49" s="387">
        <v>33</v>
      </c>
      <c r="C49" s="399" t="str">
        <f>IFERROR(IF(OR($B$8="INCORRECT SHEET. Do not use this sheet to input data.",'INPUT DATA'!O43=""),"",'INPUT DATA'!O43),"")</f>
        <v/>
      </c>
      <c r="D49" s="183"/>
      <c r="E49" s="184"/>
      <c r="F49" s="184"/>
      <c r="G49" s="184"/>
      <c r="H49" s="184"/>
      <c r="I49" s="184"/>
      <c r="J49" s="184"/>
      <c r="K49" s="184"/>
      <c r="L49" s="184"/>
      <c r="M49" s="185"/>
      <c r="N49" s="207" t="str">
        <f t="shared" si="2"/>
        <v/>
      </c>
      <c r="O49" s="208" t="str">
        <f t="shared" si="3"/>
        <v/>
      </c>
      <c r="P49" s="209" t="str">
        <f t="shared" si="4"/>
        <v/>
      </c>
      <c r="Q49" s="183"/>
      <c r="R49" s="184"/>
      <c r="S49" s="184"/>
      <c r="T49" s="184"/>
      <c r="U49" s="184"/>
      <c r="V49" s="184"/>
      <c r="W49" s="184"/>
      <c r="X49" s="184"/>
      <c r="Y49" s="184"/>
      <c r="Z49" s="185"/>
      <c r="AA49" s="207" t="str">
        <f t="shared" si="0"/>
        <v/>
      </c>
      <c r="AB49" s="208" t="str">
        <f t="shared" si="5"/>
        <v/>
      </c>
      <c r="AC49" s="209" t="str">
        <f t="shared" si="6"/>
        <v/>
      </c>
      <c r="AD49" s="587"/>
      <c r="AE49" s="210" t="str">
        <f t="shared" si="8"/>
        <v/>
      </c>
      <c r="AF49" s="209" t="str">
        <f t="shared" si="7"/>
        <v/>
      </c>
      <c r="AG49" s="402" t="str">
        <f t="shared" ref="AG49:AG66" si="9">IF(AND(C49&lt;&gt;"",P49&lt;&gt;"",AC49&lt;&gt;"",$AD$12=0),SUM(P49,AC49),IF(AND(C49&lt;&gt;"",P49&lt;&gt;"",AC49&lt;&gt;"",AF49&lt;&gt;"",$D$12&gt;0,$Q$12&gt;0,$AD$12&gt;0),SUM(P49,AC49,AF49),""))</f>
        <v/>
      </c>
      <c r="AH49" s="211" t="str">
        <f>IFERROR(_xlfn.XLOOKUP(AG49,HELPER!$C$7:$C$47,HELPER!$D$7:$D$47,,1),"")</f>
        <v/>
      </c>
    </row>
    <row r="50" spans="2:34">
      <c r="B50" s="387">
        <v>34</v>
      </c>
      <c r="C50" s="399" t="str">
        <f>IFERROR(IF(OR($B$8="INCORRECT SHEET. Do not use this sheet to input data.",'INPUT DATA'!O44=""),"",'INPUT DATA'!O44),"")</f>
        <v/>
      </c>
      <c r="D50" s="183"/>
      <c r="E50" s="184"/>
      <c r="F50" s="184"/>
      <c r="G50" s="184"/>
      <c r="H50" s="184"/>
      <c r="I50" s="184"/>
      <c r="J50" s="184"/>
      <c r="K50" s="184"/>
      <c r="L50" s="184"/>
      <c r="M50" s="185"/>
      <c r="N50" s="207" t="str">
        <f t="shared" si="2"/>
        <v/>
      </c>
      <c r="O50" s="208" t="str">
        <f t="shared" si="3"/>
        <v/>
      </c>
      <c r="P50" s="209" t="str">
        <f t="shared" si="4"/>
        <v/>
      </c>
      <c r="Q50" s="183"/>
      <c r="R50" s="184"/>
      <c r="S50" s="184"/>
      <c r="T50" s="184"/>
      <c r="U50" s="184"/>
      <c r="V50" s="184"/>
      <c r="W50" s="184"/>
      <c r="X50" s="184"/>
      <c r="Y50" s="184"/>
      <c r="Z50" s="185"/>
      <c r="AA50" s="207" t="str">
        <f t="shared" si="0"/>
        <v/>
      </c>
      <c r="AB50" s="208" t="str">
        <f t="shared" si="5"/>
        <v/>
      </c>
      <c r="AC50" s="209" t="str">
        <f t="shared" si="6"/>
        <v/>
      </c>
      <c r="AD50" s="587"/>
      <c r="AE50" s="210" t="str">
        <f t="shared" si="8"/>
        <v/>
      </c>
      <c r="AF50" s="209" t="str">
        <f t="shared" si="7"/>
        <v/>
      </c>
      <c r="AG50" s="402" t="str">
        <f t="shared" si="9"/>
        <v/>
      </c>
      <c r="AH50" s="211" t="str">
        <f>IFERROR(_xlfn.XLOOKUP(AG50,HELPER!$C$7:$C$47,HELPER!$D$7:$D$47,,1),"")</f>
        <v/>
      </c>
    </row>
    <row r="51" spans="2:34">
      <c r="B51" s="387">
        <v>35</v>
      </c>
      <c r="C51" s="399" t="str">
        <f>IFERROR(IF(OR($B$8="INCORRECT SHEET. Do not use this sheet to input data.",'INPUT DATA'!O45=""),"",'INPUT DATA'!O45),"")</f>
        <v/>
      </c>
      <c r="D51" s="183"/>
      <c r="E51" s="184"/>
      <c r="F51" s="184"/>
      <c r="G51" s="184"/>
      <c r="H51" s="184"/>
      <c r="I51" s="184"/>
      <c r="J51" s="184"/>
      <c r="K51" s="184"/>
      <c r="L51" s="184"/>
      <c r="M51" s="185"/>
      <c r="N51" s="207" t="str">
        <f t="shared" si="2"/>
        <v/>
      </c>
      <c r="O51" s="208" t="str">
        <f t="shared" si="3"/>
        <v/>
      </c>
      <c r="P51" s="209" t="str">
        <f t="shared" si="4"/>
        <v/>
      </c>
      <c r="Q51" s="183"/>
      <c r="R51" s="184"/>
      <c r="S51" s="184"/>
      <c r="T51" s="184"/>
      <c r="U51" s="184"/>
      <c r="V51" s="184"/>
      <c r="W51" s="184"/>
      <c r="X51" s="184"/>
      <c r="Y51" s="184"/>
      <c r="Z51" s="185"/>
      <c r="AA51" s="207" t="str">
        <f t="shared" si="0"/>
        <v/>
      </c>
      <c r="AB51" s="208" t="str">
        <f t="shared" si="5"/>
        <v/>
      </c>
      <c r="AC51" s="209" t="str">
        <f t="shared" si="6"/>
        <v/>
      </c>
      <c r="AD51" s="587"/>
      <c r="AE51" s="210" t="str">
        <f t="shared" si="8"/>
        <v/>
      </c>
      <c r="AF51" s="209" t="str">
        <f t="shared" si="7"/>
        <v/>
      </c>
      <c r="AG51" s="402" t="str">
        <f t="shared" si="9"/>
        <v/>
      </c>
      <c r="AH51" s="211" t="str">
        <f>IFERROR(_xlfn.XLOOKUP(AG51,HELPER!$C$7:$C$47,HELPER!$D$7:$D$47,,1),"")</f>
        <v/>
      </c>
    </row>
    <row r="52" spans="2:34">
      <c r="B52" s="387">
        <v>36</v>
      </c>
      <c r="C52" s="399" t="str">
        <f>IFERROR(IF(OR($B$8="INCORRECT SHEET. Do not use this sheet to input data.",'INPUT DATA'!O46=""),"",'INPUT DATA'!O46),"")</f>
        <v/>
      </c>
      <c r="D52" s="183"/>
      <c r="E52" s="184"/>
      <c r="F52" s="184"/>
      <c r="G52" s="184"/>
      <c r="H52" s="184"/>
      <c r="I52" s="184"/>
      <c r="J52" s="184"/>
      <c r="K52" s="184"/>
      <c r="L52" s="184"/>
      <c r="M52" s="185"/>
      <c r="N52" s="207" t="str">
        <f t="shared" si="2"/>
        <v/>
      </c>
      <c r="O52" s="208" t="str">
        <f t="shared" si="3"/>
        <v/>
      </c>
      <c r="P52" s="209" t="str">
        <f t="shared" si="4"/>
        <v/>
      </c>
      <c r="Q52" s="183"/>
      <c r="R52" s="184"/>
      <c r="S52" s="184"/>
      <c r="T52" s="184"/>
      <c r="U52" s="184"/>
      <c r="V52" s="184"/>
      <c r="W52" s="184"/>
      <c r="X52" s="184"/>
      <c r="Y52" s="184"/>
      <c r="Z52" s="185"/>
      <c r="AA52" s="207" t="str">
        <f t="shared" si="0"/>
        <v/>
      </c>
      <c r="AB52" s="208" t="str">
        <f t="shared" si="5"/>
        <v/>
      </c>
      <c r="AC52" s="209" t="str">
        <f t="shared" si="6"/>
        <v/>
      </c>
      <c r="AD52" s="587"/>
      <c r="AE52" s="210" t="str">
        <f t="shared" si="8"/>
        <v/>
      </c>
      <c r="AF52" s="209" t="str">
        <f t="shared" si="7"/>
        <v/>
      </c>
      <c r="AG52" s="402" t="str">
        <f t="shared" si="9"/>
        <v/>
      </c>
      <c r="AH52" s="211" t="str">
        <f>IFERROR(_xlfn.XLOOKUP(AG52,HELPER!$C$7:$C$47,HELPER!$D$7:$D$47,,1),"")</f>
        <v/>
      </c>
    </row>
    <row r="53" spans="2:34">
      <c r="B53" s="387">
        <v>37</v>
      </c>
      <c r="C53" s="399" t="str">
        <f>IFERROR(IF(OR($B$8="INCORRECT SHEET. Do not use this sheet to input data.",'INPUT DATA'!O47=""),"",'INPUT DATA'!O47),"")</f>
        <v/>
      </c>
      <c r="D53" s="183"/>
      <c r="E53" s="184"/>
      <c r="F53" s="184"/>
      <c r="G53" s="184"/>
      <c r="H53" s="184"/>
      <c r="I53" s="184"/>
      <c r="J53" s="184"/>
      <c r="K53" s="184"/>
      <c r="L53" s="184"/>
      <c r="M53" s="185"/>
      <c r="N53" s="207" t="str">
        <f t="shared" si="2"/>
        <v/>
      </c>
      <c r="O53" s="208" t="str">
        <f t="shared" si="3"/>
        <v/>
      </c>
      <c r="P53" s="209" t="str">
        <f t="shared" si="4"/>
        <v/>
      </c>
      <c r="Q53" s="183"/>
      <c r="R53" s="184"/>
      <c r="S53" s="184"/>
      <c r="T53" s="184"/>
      <c r="U53" s="184"/>
      <c r="V53" s="184"/>
      <c r="W53" s="184"/>
      <c r="X53" s="184"/>
      <c r="Y53" s="184"/>
      <c r="Z53" s="185"/>
      <c r="AA53" s="207" t="str">
        <f t="shared" si="0"/>
        <v/>
      </c>
      <c r="AB53" s="208" t="str">
        <f t="shared" si="5"/>
        <v/>
      </c>
      <c r="AC53" s="209" t="str">
        <f t="shared" si="6"/>
        <v/>
      </c>
      <c r="AD53" s="587"/>
      <c r="AE53" s="210" t="str">
        <f t="shared" si="8"/>
        <v/>
      </c>
      <c r="AF53" s="209" t="str">
        <f t="shared" si="7"/>
        <v/>
      </c>
      <c r="AG53" s="402" t="str">
        <f t="shared" si="9"/>
        <v/>
      </c>
      <c r="AH53" s="211" t="str">
        <f>IFERROR(_xlfn.XLOOKUP(AG53,HELPER!$C$7:$C$47,HELPER!$D$7:$D$47,,1),"")</f>
        <v/>
      </c>
    </row>
    <row r="54" spans="2:34">
      <c r="B54" s="387">
        <v>38</v>
      </c>
      <c r="C54" s="399" t="str">
        <f>IFERROR(IF(OR($B$8="INCORRECT SHEET. Do not use this sheet to input data.",'INPUT DATA'!O48=""),"",'INPUT DATA'!O48),"")</f>
        <v/>
      </c>
      <c r="D54" s="183"/>
      <c r="E54" s="184"/>
      <c r="F54" s="184"/>
      <c r="G54" s="184"/>
      <c r="H54" s="184"/>
      <c r="I54" s="184"/>
      <c r="J54" s="184"/>
      <c r="K54" s="184"/>
      <c r="L54" s="184"/>
      <c r="M54" s="185"/>
      <c r="N54" s="207" t="str">
        <f t="shared" si="2"/>
        <v/>
      </c>
      <c r="O54" s="208" t="str">
        <f t="shared" si="3"/>
        <v/>
      </c>
      <c r="P54" s="209" t="str">
        <f t="shared" si="4"/>
        <v/>
      </c>
      <c r="Q54" s="183"/>
      <c r="R54" s="184"/>
      <c r="S54" s="184"/>
      <c r="T54" s="184"/>
      <c r="U54" s="184"/>
      <c r="V54" s="184"/>
      <c r="W54" s="184"/>
      <c r="X54" s="184"/>
      <c r="Y54" s="184"/>
      <c r="Z54" s="185"/>
      <c r="AA54" s="207" t="str">
        <f t="shared" si="0"/>
        <v/>
      </c>
      <c r="AB54" s="208" t="str">
        <f t="shared" si="5"/>
        <v/>
      </c>
      <c r="AC54" s="209" t="str">
        <f t="shared" si="6"/>
        <v/>
      </c>
      <c r="AD54" s="587"/>
      <c r="AE54" s="210" t="str">
        <f t="shared" si="8"/>
        <v/>
      </c>
      <c r="AF54" s="209" t="str">
        <f t="shared" si="7"/>
        <v/>
      </c>
      <c r="AG54" s="402" t="str">
        <f t="shared" si="9"/>
        <v/>
      </c>
      <c r="AH54" s="211" t="str">
        <f>IFERROR(_xlfn.XLOOKUP(AG54,HELPER!$C$7:$C$47,HELPER!$D$7:$D$47,,1),"")</f>
        <v/>
      </c>
    </row>
    <row r="55" spans="2:34">
      <c r="B55" s="387">
        <v>39</v>
      </c>
      <c r="C55" s="399" t="str">
        <f>IFERROR(IF(OR($B$8="INCORRECT SHEET. Do not use this sheet to input data.",'INPUT DATA'!O49=""),"",'INPUT DATA'!O49),"")</f>
        <v/>
      </c>
      <c r="D55" s="183"/>
      <c r="E55" s="184"/>
      <c r="F55" s="184"/>
      <c r="G55" s="184"/>
      <c r="H55" s="184"/>
      <c r="I55" s="184"/>
      <c r="J55" s="184"/>
      <c r="K55" s="184"/>
      <c r="L55" s="184"/>
      <c r="M55" s="185"/>
      <c r="N55" s="207" t="str">
        <f t="shared" si="2"/>
        <v/>
      </c>
      <c r="O55" s="208" t="str">
        <f t="shared" si="3"/>
        <v/>
      </c>
      <c r="P55" s="209" t="str">
        <f t="shared" si="4"/>
        <v/>
      </c>
      <c r="Q55" s="183"/>
      <c r="R55" s="184"/>
      <c r="S55" s="184"/>
      <c r="T55" s="184"/>
      <c r="U55" s="184"/>
      <c r="V55" s="184"/>
      <c r="W55" s="184"/>
      <c r="X55" s="184"/>
      <c r="Y55" s="184"/>
      <c r="Z55" s="185"/>
      <c r="AA55" s="207" t="str">
        <f t="shared" si="0"/>
        <v/>
      </c>
      <c r="AB55" s="208" t="str">
        <f t="shared" si="5"/>
        <v/>
      </c>
      <c r="AC55" s="209" t="str">
        <f t="shared" si="6"/>
        <v/>
      </c>
      <c r="AD55" s="587"/>
      <c r="AE55" s="210" t="str">
        <f t="shared" si="8"/>
        <v/>
      </c>
      <c r="AF55" s="209" t="str">
        <f t="shared" si="7"/>
        <v/>
      </c>
      <c r="AG55" s="402" t="str">
        <f t="shared" si="9"/>
        <v/>
      </c>
      <c r="AH55" s="211" t="str">
        <f>IFERROR(_xlfn.XLOOKUP(AG55,HELPER!$C$7:$C$47,HELPER!$D$7:$D$47,,1),"")</f>
        <v/>
      </c>
    </row>
    <row r="56" spans="2:34">
      <c r="B56" s="387">
        <v>40</v>
      </c>
      <c r="C56" s="399" t="str">
        <f>IFERROR(IF(OR($B$8="INCORRECT SHEET. Do not use this sheet to input data.",'INPUT DATA'!O50=""),"",'INPUT DATA'!O50),"")</f>
        <v/>
      </c>
      <c r="D56" s="183"/>
      <c r="E56" s="184"/>
      <c r="F56" s="184"/>
      <c r="G56" s="184"/>
      <c r="H56" s="184"/>
      <c r="I56" s="184"/>
      <c r="J56" s="184"/>
      <c r="K56" s="184"/>
      <c r="L56" s="184"/>
      <c r="M56" s="185"/>
      <c r="N56" s="207" t="str">
        <f t="shared" si="2"/>
        <v/>
      </c>
      <c r="O56" s="208" t="str">
        <f t="shared" si="3"/>
        <v/>
      </c>
      <c r="P56" s="209" t="str">
        <f t="shared" si="4"/>
        <v/>
      </c>
      <c r="Q56" s="183"/>
      <c r="R56" s="184"/>
      <c r="S56" s="184"/>
      <c r="T56" s="184"/>
      <c r="U56" s="184"/>
      <c r="V56" s="184"/>
      <c r="W56" s="184"/>
      <c r="X56" s="184"/>
      <c r="Y56" s="184"/>
      <c r="Z56" s="185"/>
      <c r="AA56" s="207" t="str">
        <f t="shared" si="0"/>
        <v/>
      </c>
      <c r="AB56" s="208" t="str">
        <f t="shared" si="5"/>
        <v/>
      </c>
      <c r="AC56" s="209" t="str">
        <f t="shared" si="6"/>
        <v/>
      </c>
      <c r="AD56" s="587"/>
      <c r="AE56" s="210" t="str">
        <f t="shared" si="8"/>
        <v/>
      </c>
      <c r="AF56" s="209" t="str">
        <f t="shared" si="7"/>
        <v/>
      </c>
      <c r="AG56" s="402" t="str">
        <f t="shared" si="9"/>
        <v/>
      </c>
      <c r="AH56" s="211" t="str">
        <f>IFERROR(_xlfn.XLOOKUP(AG56,HELPER!$C$7:$C$47,HELPER!$D$7:$D$47,,1),"")</f>
        <v/>
      </c>
    </row>
    <row r="57" spans="2:34">
      <c r="B57" s="387">
        <v>41</v>
      </c>
      <c r="C57" s="399" t="str">
        <f>IFERROR(IF(OR($B$8="INCORRECT SHEET. Do not use this sheet to input data.",'INPUT DATA'!O51=""),"",'INPUT DATA'!O51),"")</f>
        <v/>
      </c>
      <c r="D57" s="183"/>
      <c r="E57" s="184"/>
      <c r="F57" s="184"/>
      <c r="G57" s="184"/>
      <c r="H57" s="184"/>
      <c r="I57" s="184"/>
      <c r="J57" s="184"/>
      <c r="K57" s="184"/>
      <c r="L57" s="184"/>
      <c r="M57" s="185"/>
      <c r="N57" s="207" t="str">
        <f t="shared" si="2"/>
        <v/>
      </c>
      <c r="O57" s="208" t="str">
        <f t="shared" si="3"/>
        <v/>
      </c>
      <c r="P57" s="209" t="str">
        <f t="shared" si="4"/>
        <v/>
      </c>
      <c r="Q57" s="183"/>
      <c r="R57" s="184"/>
      <c r="S57" s="184"/>
      <c r="T57" s="184"/>
      <c r="U57" s="184"/>
      <c r="V57" s="184"/>
      <c r="W57" s="184"/>
      <c r="X57" s="184"/>
      <c r="Y57" s="184"/>
      <c r="Z57" s="185"/>
      <c r="AA57" s="207" t="str">
        <f t="shared" si="0"/>
        <v/>
      </c>
      <c r="AB57" s="208" t="str">
        <f t="shared" si="5"/>
        <v/>
      </c>
      <c r="AC57" s="209" t="str">
        <f t="shared" si="6"/>
        <v/>
      </c>
      <c r="AD57" s="587"/>
      <c r="AE57" s="210" t="str">
        <f t="shared" si="8"/>
        <v/>
      </c>
      <c r="AF57" s="209" t="str">
        <f>IFERROR(IF(AE57="","",ROUND(AE57*$AF$14,2)),"")</f>
        <v/>
      </c>
      <c r="AG57" s="402" t="str">
        <f t="shared" si="9"/>
        <v/>
      </c>
      <c r="AH57" s="211" t="str">
        <f>IFERROR(_xlfn.XLOOKUP(AG57,HELPER!$C$7:$C$47,HELPER!$D$7:$D$47,,1),"")</f>
        <v/>
      </c>
    </row>
    <row r="58" spans="2:34">
      <c r="B58" s="387">
        <v>42</v>
      </c>
      <c r="C58" s="399" t="str">
        <f>IFERROR(IF(OR($B$8="INCORRECT SHEET. Do not use this sheet to input data.",'INPUT DATA'!O52=""),"",'INPUT DATA'!O52),"")</f>
        <v/>
      </c>
      <c r="D58" s="183"/>
      <c r="E58" s="184"/>
      <c r="F58" s="184"/>
      <c r="G58" s="184"/>
      <c r="H58" s="184"/>
      <c r="I58" s="184"/>
      <c r="J58" s="184"/>
      <c r="K58" s="184"/>
      <c r="L58" s="184"/>
      <c r="M58" s="185"/>
      <c r="N58" s="207" t="str">
        <f t="shared" si="2"/>
        <v/>
      </c>
      <c r="O58" s="208" t="str">
        <f t="shared" si="3"/>
        <v/>
      </c>
      <c r="P58" s="209" t="str">
        <f t="shared" si="4"/>
        <v/>
      </c>
      <c r="Q58" s="183"/>
      <c r="R58" s="184"/>
      <c r="S58" s="184"/>
      <c r="T58" s="184"/>
      <c r="U58" s="184"/>
      <c r="V58" s="184"/>
      <c r="W58" s="184"/>
      <c r="X58" s="184"/>
      <c r="Y58" s="184"/>
      <c r="Z58" s="185"/>
      <c r="AA58" s="207" t="str">
        <f t="shared" si="0"/>
        <v/>
      </c>
      <c r="AB58" s="208" t="str">
        <f t="shared" si="5"/>
        <v/>
      </c>
      <c r="AC58" s="209" t="str">
        <f t="shared" si="6"/>
        <v/>
      </c>
      <c r="AD58" s="587"/>
      <c r="AE58" s="210" t="str">
        <f t="shared" si="8"/>
        <v/>
      </c>
      <c r="AF58" s="209" t="str">
        <f t="shared" si="7"/>
        <v/>
      </c>
      <c r="AG58" s="402" t="str">
        <f t="shared" si="9"/>
        <v/>
      </c>
      <c r="AH58" s="211" t="str">
        <f>IFERROR(_xlfn.XLOOKUP(AG58,HELPER!$C$7:$C$47,HELPER!$D$7:$D$47,,1),"")</f>
        <v/>
      </c>
    </row>
    <row r="59" spans="2:34">
      <c r="B59" s="387">
        <v>43</v>
      </c>
      <c r="C59" s="399" t="str">
        <f>IFERROR(IF(OR($B$8="INCORRECT SHEET. Do not use this sheet to input data.",'INPUT DATA'!O53=""),"",'INPUT DATA'!O53),"")</f>
        <v/>
      </c>
      <c r="D59" s="183"/>
      <c r="E59" s="184"/>
      <c r="F59" s="184"/>
      <c r="G59" s="184"/>
      <c r="H59" s="184"/>
      <c r="I59" s="184"/>
      <c r="J59" s="184"/>
      <c r="K59" s="184"/>
      <c r="L59" s="184"/>
      <c r="M59" s="185"/>
      <c r="N59" s="207" t="str">
        <f t="shared" si="2"/>
        <v/>
      </c>
      <c r="O59" s="208" t="str">
        <f t="shared" si="3"/>
        <v/>
      </c>
      <c r="P59" s="209" t="str">
        <f t="shared" si="4"/>
        <v/>
      </c>
      <c r="Q59" s="183"/>
      <c r="R59" s="184"/>
      <c r="S59" s="184"/>
      <c r="T59" s="184"/>
      <c r="U59" s="184"/>
      <c r="V59" s="184"/>
      <c r="W59" s="184"/>
      <c r="X59" s="184"/>
      <c r="Y59" s="184"/>
      <c r="Z59" s="185"/>
      <c r="AA59" s="207" t="str">
        <f t="shared" si="0"/>
        <v/>
      </c>
      <c r="AB59" s="208" t="str">
        <f t="shared" si="5"/>
        <v/>
      </c>
      <c r="AC59" s="209" t="str">
        <f t="shared" si="6"/>
        <v/>
      </c>
      <c r="AD59" s="587"/>
      <c r="AE59" s="210" t="str">
        <f t="shared" si="8"/>
        <v/>
      </c>
      <c r="AF59" s="209" t="str">
        <f t="shared" si="7"/>
        <v/>
      </c>
      <c r="AG59" s="402" t="str">
        <f t="shared" si="9"/>
        <v/>
      </c>
      <c r="AH59" s="211" t="str">
        <f>IFERROR(_xlfn.XLOOKUP(AG59,HELPER!$C$7:$C$47,HELPER!$D$7:$D$47,,1),"")</f>
        <v/>
      </c>
    </row>
    <row r="60" spans="2:34">
      <c r="B60" s="387">
        <v>44</v>
      </c>
      <c r="C60" s="399" t="str">
        <f>IFERROR(IF(OR($B$8="INCORRECT SHEET. Do not use this sheet to input data.",'INPUT DATA'!O54=""),"",'INPUT DATA'!O54),"")</f>
        <v/>
      </c>
      <c r="D60" s="183"/>
      <c r="E60" s="184"/>
      <c r="F60" s="184"/>
      <c r="G60" s="184"/>
      <c r="H60" s="184"/>
      <c r="I60" s="184"/>
      <c r="J60" s="184"/>
      <c r="K60" s="184"/>
      <c r="L60" s="184"/>
      <c r="M60" s="185"/>
      <c r="N60" s="207" t="str">
        <f t="shared" si="2"/>
        <v/>
      </c>
      <c r="O60" s="208" t="str">
        <f t="shared" si="3"/>
        <v/>
      </c>
      <c r="P60" s="209" t="str">
        <f t="shared" si="4"/>
        <v/>
      </c>
      <c r="Q60" s="183"/>
      <c r="R60" s="184"/>
      <c r="S60" s="184"/>
      <c r="T60" s="184"/>
      <c r="U60" s="184"/>
      <c r="V60" s="184"/>
      <c r="W60" s="184"/>
      <c r="X60" s="184"/>
      <c r="Y60" s="184"/>
      <c r="Z60" s="185"/>
      <c r="AA60" s="207" t="str">
        <f t="shared" si="0"/>
        <v/>
      </c>
      <c r="AB60" s="208" t="str">
        <f t="shared" si="5"/>
        <v/>
      </c>
      <c r="AC60" s="209" t="str">
        <f t="shared" si="6"/>
        <v/>
      </c>
      <c r="AD60" s="587"/>
      <c r="AE60" s="210" t="str">
        <f t="shared" si="8"/>
        <v/>
      </c>
      <c r="AF60" s="209" t="str">
        <f t="shared" si="7"/>
        <v/>
      </c>
      <c r="AG60" s="402" t="str">
        <f t="shared" si="9"/>
        <v/>
      </c>
      <c r="AH60" s="211" t="str">
        <f>IFERROR(_xlfn.XLOOKUP(AG60,HELPER!$C$7:$C$47,HELPER!$D$7:$D$47,,1),"")</f>
        <v/>
      </c>
    </row>
    <row r="61" spans="2:34">
      <c r="B61" s="387">
        <v>45</v>
      </c>
      <c r="C61" s="399" t="str">
        <f>IFERROR(IF(OR($B$8="INCORRECT SHEET. Do not use this sheet to input data.",'INPUT DATA'!O55=""),"",'INPUT DATA'!O55),"")</f>
        <v/>
      </c>
      <c r="D61" s="183"/>
      <c r="E61" s="184"/>
      <c r="F61" s="184"/>
      <c r="G61" s="184"/>
      <c r="H61" s="184"/>
      <c r="I61" s="184"/>
      <c r="J61" s="184"/>
      <c r="K61" s="184"/>
      <c r="L61" s="184"/>
      <c r="M61" s="185"/>
      <c r="N61" s="207" t="str">
        <f t="shared" si="2"/>
        <v/>
      </c>
      <c r="O61" s="208" t="str">
        <f t="shared" si="3"/>
        <v/>
      </c>
      <c r="P61" s="209" t="str">
        <f t="shared" si="4"/>
        <v/>
      </c>
      <c r="Q61" s="183"/>
      <c r="R61" s="184"/>
      <c r="S61" s="184"/>
      <c r="T61" s="184"/>
      <c r="U61" s="184"/>
      <c r="V61" s="184"/>
      <c r="W61" s="184"/>
      <c r="X61" s="184"/>
      <c r="Y61" s="184"/>
      <c r="Z61" s="185"/>
      <c r="AA61" s="207" t="str">
        <f t="shared" si="0"/>
        <v/>
      </c>
      <c r="AB61" s="208" t="str">
        <f t="shared" si="5"/>
        <v/>
      </c>
      <c r="AC61" s="209" t="str">
        <f t="shared" si="6"/>
        <v/>
      </c>
      <c r="AD61" s="587"/>
      <c r="AE61" s="210" t="str">
        <f t="shared" si="8"/>
        <v/>
      </c>
      <c r="AF61" s="209" t="str">
        <f t="shared" si="7"/>
        <v/>
      </c>
      <c r="AG61" s="402" t="str">
        <f t="shared" si="9"/>
        <v/>
      </c>
      <c r="AH61" s="211" t="str">
        <f>IFERROR(_xlfn.XLOOKUP(AG61,HELPER!$C$7:$C$47,HELPER!$D$7:$D$47,,1),"")</f>
        <v/>
      </c>
    </row>
    <row r="62" spans="2:34">
      <c r="B62" s="387">
        <v>46</v>
      </c>
      <c r="C62" s="399" t="str">
        <f>IFERROR(IF(OR($B$8="INCORRECT SHEET. Do not use this sheet to input data.",'INPUT DATA'!O56=""),"",'INPUT DATA'!O56),"")</f>
        <v/>
      </c>
      <c r="D62" s="183"/>
      <c r="E62" s="184"/>
      <c r="F62" s="184"/>
      <c r="G62" s="184"/>
      <c r="H62" s="184"/>
      <c r="I62" s="184"/>
      <c r="J62" s="184"/>
      <c r="K62" s="184"/>
      <c r="L62" s="184"/>
      <c r="M62" s="185"/>
      <c r="N62" s="207" t="str">
        <f t="shared" si="2"/>
        <v/>
      </c>
      <c r="O62" s="208" t="str">
        <f t="shared" si="3"/>
        <v/>
      </c>
      <c r="P62" s="209" t="str">
        <f t="shared" si="4"/>
        <v/>
      </c>
      <c r="Q62" s="183"/>
      <c r="R62" s="184"/>
      <c r="S62" s="184"/>
      <c r="T62" s="184"/>
      <c r="U62" s="184"/>
      <c r="V62" s="184"/>
      <c r="W62" s="184"/>
      <c r="X62" s="184"/>
      <c r="Y62" s="184"/>
      <c r="Z62" s="185"/>
      <c r="AA62" s="207" t="str">
        <f t="shared" si="0"/>
        <v/>
      </c>
      <c r="AB62" s="208" t="str">
        <f t="shared" si="5"/>
        <v/>
      </c>
      <c r="AC62" s="209" t="str">
        <f t="shared" si="6"/>
        <v/>
      </c>
      <c r="AD62" s="587"/>
      <c r="AE62" s="210" t="str">
        <f t="shared" si="8"/>
        <v/>
      </c>
      <c r="AF62" s="209" t="str">
        <f t="shared" si="7"/>
        <v/>
      </c>
      <c r="AG62" s="402" t="str">
        <f t="shared" si="9"/>
        <v/>
      </c>
      <c r="AH62" s="211" t="str">
        <f>IFERROR(_xlfn.XLOOKUP(AG62,HELPER!$C$7:$C$47,HELPER!$D$7:$D$47,,1),"")</f>
        <v/>
      </c>
    </row>
    <row r="63" spans="2:34">
      <c r="B63" s="387">
        <v>47</v>
      </c>
      <c r="C63" s="399" t="str">
        <f>IFERROR(IF(OR($B$8="INCORRECT SHEET. Do not use this sheet to input data.",'INPUT DATA'!O57=""),"",'INPUT DATA'!O57),"")</f>
        <v/>
      </c>
      <c r="D63" s="183"/>
      <c r="E63" s="184"/>
      <c r="F63" s="184"/>
      <c r="G63" s="184"/>
      <c r="H63" s="184"/>
      <c r="I63" s="184"/>
      <c r="J63" s="184"/>
      <c r="K63" s="184"/>
      <c r="L63" s="184"/>
      <c r="M63" s="185"/>
      <c r="N63" s="207" t="str">
        <f t="shared" si="2"/>
        <v/>
      </c>
      <c r="O63" s="208" t="str">
        <f t="shared" si="3"/>
        <v/>
      </c>
      <c r="P63" s="209" t="str">
        <f t="shared" si="4"/>
        <v/>
      </c>
      <c r="Q63" s="183"/>
      <c r="R63" s="184"/>
      <c r="S63" s="184"/>
      <c r="T63" s="184"/>
      <c r="U63" s="184"/>
      <c r="V63" s="184"/>
      <c r="W63" s="184"/>
      <c r="X63" s="184"/>
      <c r="Y63" s="184"/>
      <c r="Z63" s="185"/>
      <c r="AA63" s="207" t="str">
        <f t="shared" si="0"/>
        <v/>
      </c>
      <c r="AB63" s="208" t="str">
        <f t="shared" si="5"/>
        <v/>
      </c>
      <c r="AC63" s="209" t="str">
        <f t="shared" si="6"/>
        <v/>
      </c>
      <c r="AD63" s="587"/>
      <c r="AE63" s="210" t="str">
        <f t="shared" si="8"/>
        <v/>
      </c>
      <c r="AF63" s="209" t="str">
        <f t="shared" si="7"/>
        <v/>
      </c>
      <c r="AG63" s="402" t="str">
        <f t="shared" si="9"/>
        <v/>
      </c>
      <c r="AH63" s="211" t="str">
        <f>IFERROR(_xlfn.XLOOKUP(AG63,HELPER!$C$7:$C$47,HELPER!$D$7:$D$47,,1),"")</f>
        <v/>
      </c>
    </row>
    <row r="64" spans="2:34">
      <c r="B64" s="387">
        <v>48</v>
      </c>
      <c r="C64" s="399" t="str">
        <f>IFERROR(IF(OR($B$8="INCORRECT SHEET. Do not use this sheet to input data.",'INPUT DATA'!O58=""),"",'INPUT DATA'!O58),"")</f>
        <v/>
      </c>
      <c r="D64" s="183"/>
      <c r="E64" s="184"/>
      <c r="F64" s="184"/>
      <c r="G64" s="184"/>
      <c r="H64" s="184"/>
      <c r="I64" s="184"/>
      <c r="J64" s="184"/>
      <c r="K64" s="184"/>
      <c r="L64" s="184"/>
      <c r="M64" s="185"/>
      <c r="N64" s="207" t="str">
        <f t="shared" si="2"/>
        <v/>
      </c>
      <c r="O64" s="208" t="str">
        <f t="shared" si="3"/>
        <v/>
      </c>
      <c r="P64" s="209" t="str">
        <f t="shared" si="4"/>
        <v/>
      </c>
      <c r="Q64" s="183"/>
      <c r="R64" s="184"/>
      <c r="S64" s="184"/>
      <c r="T64" s="184"/>
      <c r="U64" s="184"/>
      <c r="V64" s="184"/>
      <c r="W64" s="184"/>
      <c r="X64" s="184"/>
      <c r="Y64" s="184"/>
      <c r="Z64" s="185"/>
      <c r="AA64" s="207" t="str">
        <f t="shared" si="0"/>
        <v/>
      </c>
      <c r="AB64" s="208" t="str">
        <f t="shared" si="5"/>
        <v/>
      </c>
      <c r="AC64" s="209" t="str">
        <f t="shared" si="6"/>
        <v/>
      </c>
      <c r="AD64" s="587"/>
      <c r="AE64" s="210" t="str">
        <f t="shared" si="8"/>
        <v/>
      </c>
      <c r="AF64" s="209" t="str">
        <f t="shared" si="7"/>
        <v/>
      </c>
      <c r="AG64" s="402" t="str">
        <f t="shared" si="9"/>
        <v/>
      </c>
      <c r="AH64" s="211" t="str">
        <f>IFERROR(_xlfn.XLOOKUP(AG64,HELPER!$C$7:$C$47,HELPER!$D$7:$D$47,,1),"")</f>
        <v/>
      </c>
    </row>
    <row r="65" spans="2:34">
      <c r="B65" s="387">
        <v>49</v>
      </c>
      <c r="C65" s="399" t="str">
        <f>IFERROR(IF(OR($B$8="INCORRECT SHEET. Do not use this sheet to input data.",'INPUT DATA'!O59=""),"",'INPUT DATA'!O59),"")</f>
        <v/>
      </c>
      <c r="D65" s="183"/>
      <c r="E65" s="184"/>
      <c r="F65" s="184"/>
      <c r="G65" s="184"/>
      <c r="H65" s="184"/>
      <c r="I65" s="184"/>
      <c r="J65" s="184"/>
      <c r="K65" s="184"/>
      <c r="L65" s="184"/>
      <c r="M65" s="185"/>
      <c r="N65" s="207" t="str">
        <f t="shared" si="2"/>
        <v/>
      </c>
      <c r="O65" s="208" t="str">
        <f t="shared" si="3"/>
        <v/>
      </c>
      <c r="P65" s="209" t="str">
        <f t="shared" si="4"/>
        <v/>
      </c>
      <c r="Q65" s="183"/>
      <c r="R65" s="184"/>
      <c r="S65" s="184"/>
      <c r="T65" s="184"/>
      <c r="U65" s="184"/>
      <c r="V65" s="184"/>
      <c r="W65" s="184"/>
      <c r="X65" s="184"/>
      <c r="Y65" s="184"/>
      <c r="Z65" s="185"/>
      <c r="AA65" s="207" t="str">
        <f t="shared" si="0"/>
        <v/>
      </c>
      <c r="AB65" s="208" t="str">
        <f t="shared" si="5"/>
        <v/>
      </c>
      <c r="AC65" s="209" t="str">
        <f t="shared" si="6"/>
        <v/>
      </c>
      <c r="AD65" s="587"/>
      <c r="AE65" s="210" t="str">
        <f t="shared" si="8"/>
        <v/>
      </c>
      <c r="AF65" s="209" t="str">
        <f t="shared" si="7"/>
        <v/>
      </c>
      <c r="AG65" s="402" t="str">
        <f t="shared" si="9"/>
        <v/>
      </c>
      <c r="AH65" s="211" t="str">
        <f>IFERROR(_xlfn.XLOOKUP(AG65,HELPER!$C$7:$C$47,HELPER!$D$7:$D$47,,1),"")</f>
        <v/>
      </c>
    </row>
    <row r="66" spans="2:34" ht="17.25" thickBot="1">
      <c r="B66" s="518">
        <v>50</v>
      </c>
      <c r="C66" s="400" t="str">
        <f>IFERROR(IF(OR($B$8="INCORRECT SHEET. Do not use this sheet to input data.",'INPUT DATA'!O60=""),"",'INPUT DATA'!O60),"")</f>
        <v/>
      </c>
      <c r="D66" s="186"/>
      <c r="E66" s="187"/>
      <c r="F66" s="187"/>
      <c r="G66" s="187"/>
      <c r="H66" s="187"/>
      <c r="I66" s="187"/>
      <c r="J66" s="187"/>
      <c r="K66" s="187"/>
      <c r="L66" s="187"/>
      <c r="M66" s="188"/>
      <c r="N66" s="217" t="str">
        <f t="shared" si="2"/>
        <v/>
      </c>
      <c r="O66" s="218" t="str">
        <f t="shared" si="3"/>
        <v/>
      </c>
      <c r="P66" s="219" t="str">
        <f t="shared" si="4"/>
        <v/>
      </c>
      <c r="Q66" s="186"/>
      <c r="R66" s="187"/>
      <c r="S66" s="187"/>
      <c r="T66" s="187"/>
      <c r="U66" s="187"/>
      <c r="V66" s="187"/>
      <c r="W66" s="187"/>
      <c r="X66" s="187"/>
      <c r="Y66" s="187"/>
      <c r="Z66" s="188"/>
      <c r="AA66" s="217" t="str">
        <f t="shared" si="0"/>
        <v/>
      </c>
      <c r="AB66" s="218" t="str">
        <f t="shared" si="5"/>
        <v/>
      </c>
      <c r="AC66" s="219" t="str">
        <f t="shared" si="6"/>
        <v/>
      </c>
      <c r="AD66" s="588"/>
      <c r="AE66" s="210" t="str">
        <f t="shared" si="8"/>
        <v/>
      </c>
      <c r="AF66" s="219" t="str">
        <f t="shared" si="7"/>
        <v/>
      </c>
      <c r="AG66" s="403" t="str">
        <f t="shared" si="9"/>
        <v/>
      </c>
      <c r="AH66" s="14" t="str">
        <f>IFERROR(_xlfn.XLOOKUP(AG66,HELPER!$C$7:$C$47,HELPER!$D$7:$D$47,,1),"")</f>
        <v/>
      </c>
    </row>
    <row r="67" spans="2:34" ht="17.25" thickBot="1">
      <c r="B67" s="359" t="s">
        <v>47</v>
      </c>
      <c r="C67" s="433"/>
      <c r="D67" s="212"/>
      <c r="E67" s="212"/>
      <c r="F67" s="212"/>
      <c r="G67" s="212"/>
      <c r="H67" s="212"/>
      <c r="I67" s="212"/>
      <c r="J67" s="212"/>
      <c r="K67" s="212"/>
      <c r="L67" s="212"/>
      <c r="M67" s="212"/>
      <c r="N67" s="213"/>
      <c r="O67" s="214"/>
      <c r="P67" s="215"/>
      <c r="Q67" s="212"/>
      <c r="R67" s="212"/>
      <c r="S67" s="212"/>
      <c r="T67" s="212"/>
      <c r="U67" s="212"/>
      <c r="V67" s="212"/>
      <c r="W67" s="212"/>
      <c r="X67" s="212"/>
      <c r="Y67" s="212"/>
      <c r="Z67" s="212"/>
      <c r="AA67" s="213"/>
      <c r="AB67" s="214"/>
      <c r="AC67" s="215"/>
      <c r="AD67" s="212"/>
      <c r="AE67" s="592"/>
      <c r="AF67" s="593"/>
      <c r="AG67" s="408"/>
      <c r="AH67" s="216"/>
    </row>
    <row r="68" spans="2:34">
      <c r="B68" s="516">
        <v>1</v>
      </c>
      <c r="C68" s="390" t="str">
        <f>IFERROR(IF(OR($B$8="INCORRECT SHEET. Do not use this sheet to input data.",'INPUT DATA'!S11=""),"",'INPUT DATA'!S11),"")</f>
        <v/>
      </c>
      <c r="D68" s="391"/>
      <c r="E68" s="392"/>
      <c r="F68" s="392"/>
      <c r="G68" s="392"/>
      <c r="H68" s="392"/>
      <c r="I68" s="392"/>
      <c r="J68" s="392"/>
      <c r="K68" s="392"/>
      <c r="L68" s="392"/>
      <c r="M68" s="393"/>
      <c r="N68" s="394" t="str">
        <f>IF(COUNT(D68:M68)=0,"",SUM(D68:M68))</f>
        <v/>
      </c>
      <c r="O68" s="395" t="str">
        <f>IFERROR(IF(N68="","",ROUND(N68/N$14*O$14,2)),"")</f>
        <v/>
      </c>
      <c r="P68" s="396" t="str">
        <f>IFERROR(IF(O68="","",ROUND(O68*P$14,2)),"")</f>
        <v/>
      </c>
      <c r="Q68" s="391"/>
      <c r="R68" s="392"/>
      <c r="S68" s="392"/>
      <c r="T68" s="392"/>
      <c r="U68" s="392"/>
      <c r="V68" s="392"/>
      <c r="W68" s="392"/>
      <c r="X68" s="392"/>
      <c r="Y68" s="392"/>
      <c r="Z68" s="393"/>
      <c r="AA68" s="394" t="str">
        <f>IF(COUNT(Q68:Z68)=0,"",SUM(Q68:Z68))</f>
        <v/>
      </c>
      <c r="AB68" s="395" t="str">
        <f>IFERROR(IF(AA68="","",ROUND(AA68/AA$14*AB$14,2)),"")</f>
        <v/>
      </c>
      <c r="AC68" s="396" t="str">
        <f>IFERROR(IF(AB68="","",ROUND(AB68*AC$14,2)),"")</f>
        <v/>
      </c>
      <c r="AD68" s="586"/>
      <c r="AE68" s="397" t="str">
        <f>IFERROR(IF(AD68="","",ROUND(AD68/$AD$14,2)*100),"")</f>
        <v/>
      </c>
      <c r="AF68" s="396" t="str">
        <f>IFERROR(IF(AE68="","",ROUND(AE68*$AF$14,2)),"")</f>
        <v/>
      </c>
      <c r="AG68" s="401" t="str">
        <f>IF(AND(C68&lt;&gt;"",P68&lt;&gt;"",AC68&lt;&gt;"",$AD$12=0),SUM(P68,AC68),IF(AND(C68&lt;&gt;"",P68&lt;&gt;"",AC68&lt;&gt;"",AF68&lt;&gt;"",$D$12&gt;0,$Q$12&gt;0,$AD$12&gt;0),SUM(P68,AC68,AF68),""))</f>
        <v/>
      </c>
      <c r="AH68" s="398" t="str">
        <f>IFERROR(_xlfn.XLOOKUP(AG68,HELPER!$C$7:$C$47,HELPER!$D$7:$D$47,,1),"")</f>
        <v/>
      </c>
    </row>
    <row r="69" spans="2:34">
      <c r="B69" s="388">
        <v>2</v>
      </c>
      <c r="C69" s="432" t="str">
        <f>IFERROR(IF(OR($B$8="INCORRECT SHEET. Do not use this sheet to input data.",'INPUT DATA'!S12=""),"",'INPUT DATA'!S12),"")</f>
        <v/>
      </c>
      <c r="D69" s="183"/>
      <c r="E69" s="184"/>
      <c r="F69" s="184"/>
      <c r="G69" s="184"/>
      <c r="H69" s="184"/>
      <c r="I69" s="184"/>
      <c r="J69" s="184"/>
      <c r="K69" s="184"/>
      <c r="L69" s="184"/>
      <c r="M69" s="185"/>
      <c r="N69" s="207" t="str">
        <f t="shared" ref="N69:N117" si="10">IF(COUNT(D69:M69)=0,"",SUM(D69:M69))</f>
        <v/>
      </c>
      <c r="O69" s="208" t="str">
        <f t="shared" ref="O69:O117" si="11">IFERROR(IF(N69="","",ROUND(N69/N$14*O$14,2)),"")</f>
        <v/>
      </c>
      <c r="P69" s="209" t="str">
        <f t="shared" ref="P69:P117" si="12">IFERROR(IF(O69="","",ROUND(O69*P$14,2)),"")</f>
        <v/>
      </c>
      <c r="Q69" s="183"/>
      <c r="R69" s="184"/>
      <c r="S69" s="184"/>
      <c r="T69" s="184"/>
      <c r="U69" s="184"/>
      <c r="V69" s="184"/>
      <c r="W69" s="184"/>
      <c r="X69" s="184"/>
      <c r="Y69" s="184"/>
      <c r="Z69" s="185"/>
      <c r="AA69" s="207" t="str">
        <f t="shared" ref="AA69:AA117" si="13">IF(COUNT(Q69:Z69)=0,"",SUM(Q69:Z69))</f>
        <v/>
      </c>
      <c r="AB69" s="208" t="str">
        <f t="shared" ref="AB69:AB117" si="14">IFERROR(IF(AA69="","",ROUND(AA69/AA$14*AB$14,2)),"")</f>
        <v/>
      </c>
      <c r="AC69" s="209" t="str">
        <f t="shared" ref="AC69:AC117" si="15">IFERROR(IF(AB69="","",ROUND(AB69*AC$14,2)),"")</f>
        <v/>
      </c>
      <c r="AD69" s="587"/>
      <c r="AE69" s="210" t="str">
        <f t="shared" ref="AE69:AE116" si="16">IFERROR(IF(AD69="","",ROUND(AD69/$AD$14,2)*100),"")</f>
        <v/>
      </c>
      <c r="AF69" s="209" t="str">
        <f t="shared" ref="AF69:AF107" si="17">IFERROR(IF(AE69="","",ROUND(AE69*$AF$14,2)),"")</f>
        <v/>
      </c>
      <c r="AG69" s="402" t="str">
        <f t="shared" ref="AG69:AG117" si="18">IF(AND(C69&lt;&gt;"",P69&lt;&gt;"",AC69&lt;&gt;"",$AD$12=0),SUM(P69,AC69),IF(AND(C69&lt;&gt;"",P69&lt;&gt;"",AC69&lt;&gt;"",AF69&lt;&gt;"",$D$12&gt;0,$Q$12&gt;0,$AD$12&gt;0),SUM(P69,AC69,AF69),""))</f>
        <v/>
      </c>
      <c r="AH69" s="211" t="str">
        <f>IFERROR(_xlfn.XLOOKUP(AG69,HELPER!$C$7:$C$47,HELPER!$D$7:$D$47,,1),"")</f>
        <v/>
      </c>
    </row>
    <row r="70" spans="2:34">
      <c r="B70" s="388">
        <v>3</v>
      </c>
      <c r="C70" s="432" t="str">
        <f>IFERROR(IF(OR($B$8="INCORRECT SHEET. Do not use this sheet to input data.",'INPUT DATA'!S13=""),"",'INPUT DATA'!S13),"")</f>
        <v/>
      </c>
      <c r="D70" s="183"/>
      <c r="E70" s="184"/>
      <c r="F70" s="184"/>
      <c r="G70" s="184"/>
      <c r="H70" s="184"/>
      <c r="I70" s="184"/>
      <c r="J70" s="184"/>
      <c r="K70" s="184"/>
      <c r="L70" s="184"/>
      <c r="M70" s="185"/>
      <c r="N70" s="207" t="str">
        <f t="shared" si="10"/>
        <v/>
      </c>
      <c r="O70" s="208" t="str">
        <f t="shared" si="11"/>
        <v/>
      </c>
      <c r="P70" s="209" t="str">
        <f t="shared" si="12"/>
        <v/>
      </c>
      <c r="Q70" s="183"/>
      <c r="R70" s="184"/>
      <c r="S70" s="184"/>
      <c r="T70" s="184"/>
      <c r="U70" s="184"/>
      <c r="V70" s="184"/>
      <c r="W70" s="184"/>
      <c r="X70" s="184"/>
      <c r="Y70" s="184"/>
      <c r="Z70" s="185"/>
      <c r="AA70" s="207" t="str">
        <f t="shared" si="13"/>
        <v/>
      </c>
      <c r="AB70" s="208" t="str">
        <f t="shared" si="14"/>
        <v/>
      </c>
      <c r="AC70" s="209" t="str">
        <f t="shared" si="15"/>
        <v/>
      </c>
      <c r="AD70" s="587"/>
      <c r="AE70" s="210" t="str">
        <f t="shared" si="16"/>
        <v/>
      </c>
      <c r="AF70" s="209" t="str">
        <f t="shared" si="17"/>
        <v/>
      </c>
      <c r="AG70" s="402" t="str">
        <f t="shared" si="18"/>
        <v/>
      </c>
      <c r="AH70" s="211" t="str">
        <f>IFERROR(_xlfn.XLOOKUP(AG70,HELPER!$C$7:$C$47,HELPER!$D$7:$D$47,,1),"")</f>
        <v/>
      </c>
    </row>
    <row r="71" spans="2:34">
      <c r="B71" s="388">
        <v>4</v>
      </c>
      <c r="C71" s="432" t="str">
        <f>IFERROR(IF(OR($B$8="INCORRECT SHEET. Do not use this sheet to input data.",'INPUT DATA'!S14=""),"",'INPUT DATA'!S14),"")</f>
        <v/>
      </c>
      <c r="D71" s="183"/>
      <c r="E71" s="184"/>
      <c r="F71" s="184"/>
      <c r="G71" s="184"/>
      <c r="H71" s="184"/>
      <c r="I71" s="184"/>
      <c r="J71" s="184"/>
      <c r="K71" s="184"/>
      <c r="L71" s="184"/>
      <c r="M71" s="185"/>
      <c r="N71" s="207" t="str">
        <f t="shared" si="10"/>
        <v/>
      </c>
      <c r="O71" s="208" t="str">
        <f t="shared" si="11"/>
        <v/>
      </c>
      <c r="P71" s="209" t="str">
        <f t="shared" si="12"/>
        <v/>
      </c>
      <c r="Q71" s="183"/>
      <c r="R71" s="184"/>
      <c r="S71" s="184"/>
      <c r="T71" s="184"/>
      <c r="U71" s="184"/>
      <c r="V71" s="184"/>
      <c r="W71" s="184"/>
      <c r="X71" s="184"/>
      <c r="Y71" s="184"/>
      <c r="Z71" s="185"/>
      <c r="AA71" s="207" t="str">
        <f t="shared" si="13"/>
        <v/>
      </c>
      <c r="AB71" s="208" t="str">
        <f t="shared" si="14"/>
        <v/>
      </c>
      <c r="AC71" s="209" t="str">
        <f t="shared" si="15"/>
        <v/>
      </c>
      <c r="AD71" s="587"/>
      <c r="AE71" s="210" t="str">
        <f t="shared" si="16"/>
        <v/>
      </c>
      <c r="AF71" s="209" t="str">
        <f t="shared" si="17"/>
        <v/>
      </c>
      <c r="AG71" s="402" t="str">
        <f t="shared" si="18"/>
        <v/>
      </c>
      <c r="AH71" s="211" t="str">
        <f>IFERROR(_xlfn.XLOOKUP(AG71,HELPER!$C$7:$C$47,HELPER!$D$7:$D$47,,1),"")</f>
        <v/>
      </c>
    </row>
    <row r="72" spans="2:34">
      <c r="B72" s="388">
        <v>5</v>
      </c>
      <c r="C72" s="432" t="str">
        <f>IFERROR(IF(OR($B$8="INCORRECT SHEET. Do not use this sheet to input data.",'INPUT DATA'!S15=""),"",'INPUT DATA'!S15),"")</f>
        <v/>
      </c>
      <c r="D72" s="183"/>
      <c r="E72" s="184"/>
      <c r="F72" s="184"/>
      <c r="G72" s="184"/>
      <c r="H72" s="184"/>
      <c r="I72" s="184"/>
      <c r="J72" s="184"/>
      <c r="K72" s="184"/>
      <c r="L72" s="184"/>
      <c r="M72" s="185"/>
      <c r="N72" s="207" t="str">
        <f t="shared" si="10"/>
        <v/>
      </c>
      <c r="O72" s="208" t="str">
        <f t="shared" si="11"/>
        <v/>
      </c>
      <c r="P72" s="209" t="str">
        <f t="shared" si="12"/>
        <v/>
      </c>
      <c r="Q72" s="183"/>
      <c r="R72" s="184"/>
      <c r="S72" s="184"/>
      <c r="T72" s="184"/>
      <c r="U72" s="184"/>
      <c r="V72" s="184"/>
      <c r="W72" s="184"/>
      <c r="X72" s="184"/>
      <c r="Y72" s="184"/>
      <c r="Z72" s="185"/>
      <c r="AA72" s="207" t="str">
        <f t="shared" si="13"/>
        <v/>
      </c>
      <c r="AB72" s="208" t="str">
        <f t="shared" si="14"/>
        <v/>
      </c>
      <c r="AC72" s="209" t="str">
        <f t="shared" si="15"/>
        <v/>
      </c>
      <c r="AD72" s="587"/>
      <c r="AE72" s="210" t="str">
        <f t="shared" si="16"/>
        <v/>
      </c>
      <c r="AF72" s="209" t="str">
        <f t="shared" si="17"/>
        <v/>
      </c>
      <c r="AG72" s="402" t="str">
        <f t="shared" si="18"/>
        <v/>
      </c>
      <c r="AH72" s="211" t="str">
        <f>IFERROR(_xlfn.XLOOKUP(AG72,HELPER!$C$7:$C$47,HELPER!$D$7:$D$47,,1),"")</f>
        <v/>
      </c>
    </row>
    <row r="73" spans="2:34">
      <c r="B73" s="388">
        <v>6</v>
      </c>
      <c r="C73" s="432" t="str">
        <f>IFERROR(IF(OR($B$8="INCORRECT SHEET. Do not use this sheet to input data.",'INPUT DATA'!S16=""),"",'INPUT DATA'!S16),"")</f>
        <v/>
      </c>
      <c r="D73" s="183"/>
      <c r="E73" s="184"/>
      <c r="F73" s="184"/>
      <c r="G73" s="184"/>
      <c r="H73" s="184"/>
      <c r="I73" s="184"/>
      <c r="J73" s="184"/>
      <c r="K73" s="184"/>
      <c r="L73" s="184"/>
      <c r="M73" s="185"/>
      <c r="N73" s="207" t="str">
        <f t="shared" si="10"/>
        <v/>
      </c>
      <c r="O73" s="208" t="str">
        <f t="shared" si="11"/>
        <v/>
      </c>
      <c r="P73" s="209" t="str">
        <f t="shared" si="12"/>
        <v/>
      </c>
      <c r="Q73" s="183"/>
      <c r="R73" s="184"/>
      <c r="S73" s="184"/>
      <c r="T73" s="184"/>
      <c r="U73" s="184"/>
      <c r="V73" s="184"/>
      <c r="W73" s="184"/>
      <c r="X73" s="184"/>
      <c r="Y73" s="184"/>
      <c r="Z73" s="185"/>
      <c r="AA73" s="207" t="str">
        <f t="shared" si="13"/>
        <v/>
      </c>
      <c r="AB73" s="208" t="str">
        <f t="shared" si="14"/>
        <v/>
      </c>
      <c r="AC73" s="209" t="str">
        <f t="shared" si="15"/>
        <v/>
      </c>
      <c r="AD73" s="587"/>
      <c r="AE73" s="210" t="str">
        <f t="shared" si="16"/>
        <v/>
      </c>
      <c r="AF73" s="209" t="str">
        <f t="shared" si="17"/>
        <v/>
      </c>
      <c r="AG73" s="402" t="str">
        <f t="shared" si="18"/>
        <v/>
      </c>
      <c r="AH73" s="211" t="str">
        <f>IFERROR(_xlfn.XLOOKUP(AG73,HELPER!$C$7:$C$47,HELPER!$D$7:$D$47,,1),"")</f>
        <v/>
      </c>
    </row>
    <row r="74" spans="2:34">
      <c r="B74" s="388">
        <v>7</v>
      </c>
      <c r="C74" s="432" t="str">
        <f>IFERROR(IF(OR($B$8="INCORRECT SHEET. Do not use this sheet to input data.",'INPUT DATA'!S17=""),"",'INPUT DATA'!S17),"")</f>
        <v/>
      </c>
      <c r="D74" s="183"/>
      <c r="E74" s="184"/>
      <c r="F74" s="184"/>
      <c r="G74" s="184"/>
      <c r="H74" s="184"/>
      <c r="I74" s="184"/>
      <c r="J74" s="184"/>
      <c r="K74" s="184"/>
      <c r="L74" s="184"/>
      <c r="M74" s="185"/>
      <c r="N74" s="207" t="str">
        <f t="shared" si="10"/>
        <v/>
      </c>
      <c r="O74" s="208" t="str">
        <f t="shared" si="11"/>
        <v/>
      </c>
      <c r="P74" s="209" t="str">
        <f t="shared" si="12"/>
        <v/>
      </c>
      <c r="Q74" s="183"/>
      <c r="R74" s="184"/>
      <c r="S74" s="184"/>
      <c r="T74" s="184"/>
      <c r="U74" s="184"/>
      <c r="V74" s="184"/>
      <c r="W74" s="184"/>
      <c r="X74" s="184"/>
      <c r="Y74" s="184"/>
      <c r="Z74" s="185"/>
      <c r="AA74" s="207" t="str">
        <f t="shared" si="13"/>
        <v/>
      </c>
      <c r="AB74" s="208" t="str">
        <f t="shared" si="14"/>
        <v/>
      </c>
      <c r="AC74" s="209" t="str">
        <f t="shared" si="15"/>
        <v/>
      </c>
      <c r="AD74" s="587"/>
      <c r="AE74" s="210" t="str">
        <f t="shared" si="16"/>
        <v/>
      </c>
      <c r="AF74" s="209" t="str">
        <f t="shared" si="17"/>
        <v/>
      </c>
      <c r="AG74" s="402" t="str">
        <f t="shared" si="18"/>
        <v/>
      </c>
      <c r="AH74" s="211" t="str">
        <f>IFERROR(_xlfn.XLOOKUP(AG74,HELPER!$C$7:$C$47,HELPER!$D$7:$D$47,,1),"")</f>
        <v/>
      </c>
    </row>
    <row r="75" spans="2:34">
      <c r="B75" s="388">
        <v>8</v>
      </c>
      <c r="C75" s="432" t="str">
        <f>IFERROR(IF(OR($B$8="INCORRECT SHEET. Do not use this sheet to input data.",'INPUT DATA'!S18=""),"",'INPUT DATA'!S18),"")</f>
        <v/>
      </c>
      <c r="D75" s="183"/>
      <c r="E75" s="184"/>
      <c r="F75" s="184"/>
      <c r="G75" s="184"/>
      <c r="H75" s="184"/>
      <c r="I75" s="184"/>
      <c r="J75" s="184"/>
      <c r="K75" s="184"/>
      <c r="L75" s="184"/>
      <c r="M75" s="185"/>
      <c r="N75" s="207" t="str">
        <f t="shared" si="10"/>
        <v/>
      </c>
      <c r="O75" s="208" t="str">
        <f t="shared" si="11"/>
        <v/>
      </c>
      <c r="P75" s="209" t="str">
        <f t="shared" si="12"/>
        <v/>
      </c>
      <c r="Q75" s="183"/>
      <c r="R75" s="184"/>
      <c r="S75" s="184"/>
      <c r="T75" s="184"/>
      <c r="U75" s="184"/>
      <c r="V75" s="184"/>
      <c r="W75" s="184"/>
      <c r="X75" s="184"/>
      <c r="Y75" s="184"/>
      <c r="Z75" s="185"/>
      <c r="AA75" s="207" t="str">
        <f t="shared" si="13"/>
        <v/>
      </c>
      <c r="AB75" s="208" t="str">
        <f t="shared" si="14"/>
        <v/>
      </c>
      <c r="AC75" s="209" t="str">
        <f t="shared" si="15"/>
        <v/>
      </c>
      <c r="AD75" s="587"/>
      <c r="AE75" s="210" t="str">
        <f t="shared" si="16"/>
        <v/>
      </c>
      <c r="AF75" s="209" t="str">
        <f t="shared" si="17"/>
        <v/>
      </c>
      <c r="AG75" s="402" t="str">
        <f t="shared" si="18"/>
        <v/>
      </c>
      <c r="AH75" s="211" t="str">
        <f>IFERROR(_xlfn.XLOOKUP(AG75,HELPER!$C$7:$C$47,HELPER!$D$7:$D$47,,1),"")</f>
        <v/>
      </c>
    </row>
    <row r="76" spans="2:34">
      <c r="B76" s="388">
        <v>9</v>
      </c>
      <c r="C76" s="432" t="str">
        <f>IFERROR(IF(OR($B$8="INCORRECT SHEET. Do not use this sheet to input data.",'INPUT DATA'!S19=""),"",'INPUT DATA'!S19),"")</f>
        <v/>
      </c>
      <c r="D76" s="183"/>
      <c r="E76" s="184"/>
      <c r="F76" s="184"/>
      <c r="G76" s="184"/>
      <c r="H76" s="184"/>
      <c r="I76" s="184"/>
      <c r="J76" s="184"/>
      <c r="K76" s="184"/>
      <c r="L76" s="184"/>
      <c r="M76" s="185"/>
      <c r="N76" s="207" t="str">
        <f t="shared" si="10"/>
        <v/>
      </c>
      <c r="O76" s="208" t="str">
        <f t="shared" si="11"/>
        <v/>
      </c>
      <c r="P76" s="209" t="str">
        <f t="shared" si="12"/>
        <v/>
      </c>
      <c r="Q76" s="183"/>
      <c r="R76" s="184"/>
      <c r="S76" s="184"/>
      <c r="T76" s="184"/>
      <c r="U76" s="184"/>
      <c r="V76" s="184"/>
      <c r="W76" s="184"/>
      <c r="X76" s="184"/>
      <c r="Y76" s="184"/>
      <c r="Z76" s="185"/>
      <c r="AA76" s="207" t="str">
        <f t="shared" si="13"/>
        <v/>
      </c>
      <c r="AB76" s="208" t="str">
        <f t="shared" si="14"/>
        <v/>
      </c>
      <c r="AC76" s="209" t="str">
        <f t="shared" si="15"/>
        <v/>
      </c>
      <c r="AD76" s="587"/>
      <c r="AE76" s="210" t="str">
        <f t="shared" si="16"/>
        <v/>
      </c>
      <c r="AF76" s="209" t="str">
        <f t="shared" si="17"/>
        <v/>
      </c>
      <c r="AG76" s="402" t="str">
        <f t="shared" si="18"/>
        <v/>
      </c>
      <c r="AH76" s="211" t="str">
        <f>IFERROR(_xlfn.XLOOKUP(AG76,HELPER!$C$7:$C$47,HELPER!$D$7:$D$47,,1),"")</f>
        <v/>
      </c>
    </row>
    <row r="77" spans="2:34">
      <c r="B77" s="388">
        <v>10</v>
      </c>
      <c r="C77" s="432" t="str">
        <f>IFERROR(IF(OR($B$8="INCORRECT SHEET. Do not use this sheet to input data.",'INPUT DATA'!S20=""),"",'INPUT DATA'!S20),"")</f>
        <v/>
      </c>
      <c r="D77" s="183"/>
      <c r="E77" s="184"/>
      <c r="F77" s="184"/>
      <c r="G77" s="184"/>
      <c r="H77" s="184"/>
      <c r="I77" s="184"/>
      <c r="J77" s="184"/>
      <c r="K77" s="184"/>
      <c r="L77" s="184"/>
      <c r="M77" s="185"/>
      <c r="N77" s="207" t="str">
        <f t="shared" si="10"/>
        <v/>
      </c>
      <c r="O77" s="208" t="str">
        <f t="shared" si="11"/>
        <v/>
      </c>
      <c r="P77" s="209" t="str">
        <f t="shared" si="12"/>
        <v/>
      </c>
      <c r="Q77" s="183"/>
      <c r="R77" s="184"/>
      <c r="S77" s="184"/>
      <c r="T77" s="184"/>
      <c r="U77" s="184"/>
      <c r="V77" s="184"/>
      <c r="W77" s="184"/>
      <c r="X77" s="184"/>
      <c r="Y77" s="184"/>
      <c r="Z77" s="185"/>
      <c r="AA77" s="207" t="str">
        <f t="shared" si="13"/>
        <v/>
      </c>
      <c r="AB77" s="208" t="str">
        <f t="shared" si="14"/>
        <v/>
      </c>
      <c r="AC77" s="209" t="str">
        <f t="shared" si="15"/>
        <v/>
      </c>
      <c r="AD77" s="587"/>
      <c r="AE77" s="210" t="str">
        <f t="shared" si="16"/>
        <v/>
      </c>
      <c r="AF77" s="209" t="str">
        <f t="shared" si="17"/>
        <v/>
      </c>
      <c r="AG77" s="402" t="str">
        <f t="shared" si="18"/>
        <v/>
      </c>
      <c r="AH77" s="211" t="str">
        <f>IFERROR(_xlfn.XLOOKUP(AG77,HELPER!$C$7:$C$47,HELPER!$D$7:$D$47,,1),"")</f>
        <v/>
      </c>
    </row>
    <row r="78" spans="2:34">
      <c r="B78" s="388">
        <v>11</v>
      </c>
      <c r="C78" s="432" t="str">
        <f>IFERROR(IF(OR($B$8="INCORRECT SHEET. Do not use this sheet to input data.",'INPUT DATA'!S21=""),"",'INPUT DATA'!S21),"")</f>
        <v/>
      </c>
      <c r="D78" s="183"/>
      <c r="E78" s="184"/>
      <c r="F78" s="184"/>
      <c r="G78" s="184"/>
      <c r="H78" s="184"/>
      <c r="I78" s="184"/>
      <c r="J78" s="184"/>
      <c r="K78" s="184"/>
      <c r="L78" s="184"/>
      <c r="M78" s="185"/>
      <c r="N78" s="207" t="str">
        <f t="shared" si="10"/>
        <v/>
      </c>
      <c r="O78" s="208" t="str">
        <f t="shared" si="11"/>
        <v/>
      </c>
      <c r="P78" s="209" t="str">
        <f t="shared" si="12"/>
        <v/>
      </c>
      <c r="Q78" s="183"/>
      <c r="R78" s="184"/>
      <c r="S78" s="184"/>
      <c r="T78" s="184"/>
      <c r="U78" s="184"/>
      <c r="V78" s="184"/>
      <c r="W78" s="184"/>
      <c r="X78" s="184"/>
      <c r="Y78" s="184"/>
      <c r="Z78" s="185"/>
      <c r="AA78" s="207" t="str">
        <f t="shared" si="13"/>
        <v/>
      </c>
      <c r="AB78" s="208" t="str">
        <f t="shared" si="14"/>
        <v/>
      </c>
      <c r="AC78" s="209" t="str">
        <f t="shared" si="15"/>
        <v/>
      </c>
      <c r="AD78" s="587"/>
      <c r="AE78" s="210" t="str">
        <f t="shared" si="16"/>
        <v/>
      </c>
      <c r="AF78" s="209" t="str">
        <f t="shared" si="17"/>
        <v/>
      </c>
      <c r="AG78" s="402" t="str">
        <f t="shared" si="18"/>
        <v/>
      </c>
      <c r="AH78" s="211" t="str">
        <f>IFERROR(_xlfn.XLOOKUP(AG78,HELPER!$C$7:$C$47,HELPER!$D$7:$D$47,,1),"")</f>
        <v/>
      </c>
    </row>
    <row r="79" spans="2:34">
      <c r="B79" s="388">
        <v>12</v>
      </c>
      <c r="C79" s="432" t="str">
        <f>IFERROR(IF(OR($B$8="INCORRECT SHEET. Do not use this sheet to input data.",'INPUT DATA'!S22=""),"",'INPUT DATA'!S22),"")</f>
        <v/>
      </c>
      <c r="D79" s="183"/>
      <c r="E79" s="184"/>
      <c r="F79" s="184"/>
      <c r="G79" s="184"/>
      <c r="H79" s="184"/>
      <c r="I79" s="184"/>
      <c r="J79" s="184"/>
      <c r="K79" s="184"/>
      <c r="L79" s="184"/>
      <c r="M79" s="185"/>
      <c r="N79" s="207" t="str">
        <f t="shared" si="10"/>
        <v/>
      </c>
      <c r="O79" s="208" t="str">
        <f t="shared" si="11"/>
        <v/>
      </c>
      <c r="P79" s="209" t="str">
        <f t="shared" si="12"/>
        <v/>
      </c>
      <c r="Q79" s="183"/>
      <c r="R79" s="184"/>
      <c r="S79" s="184"/>
      <c r="T79" s="184"/>
      <c r="U79" s="184"/>
      <c r="V79" s="184"/>
      <c r="W79" s="184"/>
      <c r="X79" s="184"/>
      <c r="Y79" s="184"/>
      <c r="Z79" s="185"/>
      <c r="AA79" s="207" t="str">
        <f t="shared" si="13"/>
        <v/>
      </c>
      <c r="AB79" s="208" t="str">
        <f t="shared" si="14"/>
        <v/>
      </c>
      <c r="AC79" s="209" t="str">
        <f t="shared" si="15"/>
        <v/>
      </c>
      <c r="AD79" s="587"/>
      <c r="AE79" s="210" t="str">
        <f t="shared" si="16"/>
        <v/>
      </c>
      <c r="AF79" s="209" t="str">
        <f t="shared" si="17"/>
        <v/>
      </c>
      <c r="AG79" s="402" t="str">
        <f t="shared" si="18"/>
        <v/>
      </c>
      <c r="AH79" s="211" t="str">
        <f>IFERROR(_xlfn.XLOOKUP(AG79,HELPER!$C$7:$C$47,HELPER!$D$7:$D$47,,1),"")</f>
        <v/>
      </c>
    </row>
    <row r="80" spans="2:34">
      <c r="B80" s="388">
        <v>13</v>
      </c>
      <c r="C80" s="432" t="str">
        <f>IFERROR(IF(OR($B$8="INCORRECT SHEET. Do not use this sheet to input data.",'INPUT DATA'!S23=""),"",'INPUT DATA'!S23),"")</f>
        <v/>
      </c>
      <c r="D80" s="183"/>
      <c r="E80" s="184"/>
      <c r="F80" s="184"/>
      <c r="G80" s="184"/>
      <c r="H80" s="184"/>
      <c r="I80" s="184"/>
      <c r="J80" s="184"/>
      <c r="K80" s="184"/>
      <c r="L80" s="184"/>
      <c r="M80" s="185"/>
      <c r="N80" s="207" t="str">
        <f t="shared" si="10"/>
        <v/>
      </c>
      <c r="O80" s="208" t="str">
        <f t="shared" si="11"/>
        <v/>
      </c>
      <c r="P80" s="209" t="str">
        <f t="shared" si="12"/>
        <v/>
      </c>
      <c r="Q80" s="183"/>
      <c r="R80" s="184"/>
      <c r="S80" s="184"/>
      <c r="T80" s="184"/>
      <c r="U80" s="184"/>
      <c r="V80" s="184"/>
      <c r="W80" s="184"/>
      <c r="X80" s="184"/>
      <c r="Y80" s="184"/>
      <c r="Z80" s="185"/>
      <c r="AA80" s="207" t="str">
        <f t="shared" si="13"/>
        <v/>
      </c>
      <c r="AB80" s="208" t="str">
        <f t="shared" si="14"/>
        <v/>
      </c>
      <c r="AC80" s="209" t="str">
        <f t="shared" si="15"/>
        <v/>
      </c>
      <c r="AD80" s="587"/>
      <c r="AE80" s="210" t="str">
        <f t="shared" si="16"/>
        <v/>
      </c>
      <c r="AF80" s="209" t="str">
        <f t="shared" si="17"/>
        <v/>
      </c>
      <c r="AG80" s="402" t="str">
        <f t="shared" si="18"/>
        <v/>
      </c>
      <c r="AH80" s="211" t="str">
        <f>IFERROR(_xlfn.XLOOKUP(AG80,HELPER!$C$7:$C$47,HELPER!$D$7:$D$47,,1),"")</f>
        <v/>
      </c>
    </row>
    <row r="81" spans="2:34">
      <c r="B81" s="388">
        <v>14</v>
      </c>
      <c r="C81" s="432" t="str">
        <f>IFERROR(IF(OR($B$8="INCORRECT SHEET. Do not use this sheet to input data.",'INPUT DATA'!S24=""),"",'INPUT DATA'!S24),"")</f>
        <v/>
      </c>
      <c r="D81" s="183"/>
      <c r="E81" s="184"/>
      <c r="F81" s="184"/>
      <c r="G81" s="184"/>
      <c r="H81" s="184"/>
      <c r="I81" s="184"/>
      <c r="J81" s="184"/>
      <c r="K81" s="184"/>
      <c r="L81" s="184"/>
      <c r="M81" s="185"/>
      <c r="N81" s="207" t="str">
        <f t="shared" si="10"/>
        <v/>
      </c>
      <c r="O81" s="208" t="str">
        <f t="shared" si="11"/>
        <v/>
      </c>
      <c r="P81" s="209" t="str">
        <f t="shared" si="12"/>
        <v/>
      </c>
      <c r="Q81" s="183"/>
      <c r="R81" s="184"/>
      <c r="S81" s="184"/>
      <c r="T81" s="184"/>
      <c r="U81" s="184"/>
      <c r="V81" s="184"/>
      <c r="W81" s="184"/>
      <c r="X81" s="184"/>
      <c r="Y81" s="184"/>
      <c r="Z81" s="185"/>
      <c r="AA81" s="207" t="str">
        <f t="shared" si="13"/>
        <v/>
      </c>
      <c r="AB81" s="208" t="str">
        <f t="shared" si="14"/>
        <v/>
      </c>
      <c r="AC81" s="209" t="str">
        <f t="shared" si="15"/>
        <v/>
      </c>
      <c r="AD81" s="587"/>
      <c r="AE81" s="210" t="str">
        <f t="shared" si="16"/>
        <v/>
      </c>
      <c r="AF81" s="209" t="str">
        <f t="shared" si="17"/>
        <v/>
      </c>
      <c r="AG81" s="402" t="str">
        <f t="shared" si="18"/>
        <v/>
      </c>
      <c r="AH81" s="211" t="str">
        <f>IFERROR(_xlfn.XLOOKUP(AG81,HELPER!$C$7:$C$47,HELPER!$D$7:$D$47,,1),"")</f>
        <v/>
      </c>
    </row>
    <row r="82" spans="2:34">
      <c r="B82" s="388">
        <v>15</v>
      </c>
      <c r="C82" s="432" t="str">
        <f>IFERROR(IF(OR($B$8="INCORRECT SHEET. Do not use this sheet to input data.",'INPUT DATA'!S25=""),"",'INPUT DATA'!S25),"")</f>
        <v/>
      </c>
      <c r="D82" s="183"/>
      <c r="E82" s="184"/>
      <c r="F82" s="184"/>
      <c r="G82" s="184"/>
      <c r="H82" s="184"/>
      <c r="I82" s="184"/>
      <c r="J82" s="184"/>
      <c r="K82" s="184"/>
      <c r="L82" s="184"/>
      <c r="M82" s="185"/>
      <c r="N82" s="207" t="str">
        <f t="shared" si="10"/>
        <v/>
      </c>
      <c r="O82" s="208" t="str">
        <f t="shared" si="11"/>
        <v/>
      </c>
      <c r="P82" s="209" t="str">
        <f t="shared" si="12"/>
        <v/>
      </c>
      <c r="Q82" s="183"/>
      <c r="R82" s="184"/>
      <c r="S82" s="184"/>
      <c r="T82" s="184"/>
      <c r="U82" s="184"/>
      <c r="V82" s="184"/>
      <c r="W82" s="184"/>
      <c r="X82" s="184"/>
      <c r="Y82" s="184"/>
      <c r="Z82" s="185"/>
      <c r="AA82" s="207" t="str">
        <f t="shared" si="13"/>
        <v/>
      </c>
      <c r="AB82" s="208" t="str">
        <f t="shared" si="14"/>
        <v/>
      </c>
      <c r="AC82" s="209" t="str">
        <f t="shared" si="15"/>
        <v/>
      </c>
      <c r="AD82" s="587"/>
      <c r="AE82" s="210" t="str">
        <f t="shared" si="16"/>
        <v/>
      </c>
      <c r="AF82" s="209" t="str">
        <f t="shared" si="17"/>
        <v/>
      </c>
      <c r="AG82" s="402" t="str">
        <f t="shared" si="18"/>
        <v/>
      </c>
      <c r="AH82" s="211" t="str">
        <f>IFERROR(_xlfn.XLOOKUP(AG82,HELPER!$C$7:$C$47,HELPER!$D$7:$D$47,,1),"")</f>
        <v/>
      </c>
    </row>
    <row r="83" spans="2:34">
      <c r="B83" s="388">
        <v>16</v>
      </c>
      <c r="C83" s="432" t="str">
        <f>IFERROR(IF(OR($B$8="INCORRECT SHEET. Do not use this sheet to input data.",'INPUT DATA'!S26=""),"",'INPUT DATA'!S26),"")</f>
        <v/>
      </c>
      <c r="D83" s="183"/>
      <c r="E83" s="184"/>
      <c r="F83" s="184"/>
      <c r="G83" s="184"/>
      <c r="H83" s="184"/>
      <c r="I83" s="184"/>
      <c r="J83" s="184"/>
      <c r="K83" s="184"/>
      <c r="L83" s="184"/>
      <c r="M83" s="185"/>
      <c r="N83" s="207" t="str">
        <f t="shared" si="10"/>
        <v/>
      </c>
      <c r="O83" s="208" t="str">
        <f t="shared" si="11"/>
        <v/>
      </c>
      <c r="P83" s="209" t="str">
        <f t="shared" si="12"/>
        <v/>
      </c>
      <c r="Q83" s="183"/>
      <c r="R83" s="184"/>
      <c r="S83" s="184"/>
      <c r="T83" s="184"/>
      <c r="U83" s="184"/>
      <c r="V83" s="184"/>
      <c r="W83" s="184"/>
      <c r="X83" s="184"/>
      <c r="Y83" s="184"/>
      <c r="Z83" s="185"/>
      <c r="AA83" s="207" t="str">
        <f t="shared" si="13"/>
        <v/>
      </c>
      <c r="AB83" s="208" t="str">
        <f t="shared" si="14"/>
        <v/>
      </c>
      <c r="AC83" s="209" t="str">
        <f t="shared" si="15"/>
        <v/>
      </c>
      <c r="AD83" s="587"/>
      <c r="AE83" s="210" t="str">
        <f t="shared" si="16"/>
        <v/>
      </c>
      <c r="AF83" s="209" t="str">
        <f t="shared" si="17"/>
        <v/>
      </c>
      <c r="AG83" s="402" t="str">
        <f t="shared" si="18"/>
        <v/>
      </c>
      <c r="AH83" s="211" t="str">
        <f>IFERROR(_xlfn.XLOOKUP(AG83,HELPER!$C$7:$C$47,HELPER!$D$7:$D$47,,1),"")</f>
        <v/>
      </c>
    </row>
    <row r="84" spans="2:34">
      <c r="B84" s="388">
        <v>17</v>
      </c>
      <c r="C84" s="432" t="str">
        <f>IFERROR(IF(OR($B$8="INCORRECT SHEET. Do not use this sheet to input data.",'INPUT DATA'!S27=""),"",'INPUT DATA'!S27),"")</f>
        <v/>
      </c>
      <c r="D84" s="183"/>
      <c r="E84" s="184"/>
      <c r="F84" s="184"/>
      <c r="G84" s="184"/>
      <c r="H84" s="184"/>
      <c r="I84" s="184"/>
      <c r="J84" s="184"/>
      <c r="K84" s="184"/>
      <c r="L84" s="184"/>
      <c r="M84" s="185"/>
      <c r="N84" s="207" t="str">
        <f t="shared" si="10"/>
        <v/>
      </c>
      <c r="O84" s="208" t="str">
        <f t="shared" si="11"/>
        <v/>
      </c>
      <c r="P84" s="209" t="str">
        <f t="shared" si="12"/>
        <v/>
      </c>
      <c r="Q84" s="183"/>
      <c r="R84" s="184"/>
      <c r="S84" s="184"/>
      <c r="T84" s="184"/>
      <c r="U84" s="184"/>
      <c r="V84" s="184"/>
      <c r="W84" s="184"/>
      <c r="X84" s="184"/>
      <c r="Y84" s="184"/>
      <c r="Z84" s="185"/>
      <c r="AA84" s="207" t="str">
        <f t="shared" si="13"/>
        <v/>
      </c>
      <c r="AB84" s="208" t="str">
        <f t="shared" si="14"/>
        <v/>
      </c>
      <c r="AC84" s="209" t="str">
        <f t="shared" si="15"/>
        <v/>
      </c>
      <c r="AD84" s="587"/>
      <c r="AE84" s="210" t="str">
        <f t="shared" si="16"/>
        <v/>
      </c>
      <c r="AF84" s="209" t="str">
        <f t="shared" si="17"/>
        <v/>
      </c>
      <c r="AG84" s="402" t="str">
        <f t="shared" si="18"/>
        <v/>
      </c>
      <c r="AH84" s="211" t="str">
        <f>IFERROR(_xlfn.XLOOKUP(AG84,HELPER!$C$7:$C$47,HELPER!$D$7:$D$47,,1),"")</f>
        <v/>
      </c>
    </row>
    <row r="85" spans="2:34">
      <c r="B85" s="388">
        <v>18</v>
      </c>
      <c r="C85" s="432" t="str">
        <f>IFERROR(IF(OR($B$8="INCORRECT SHEET. Do not use this sheet to input data.",'INPUT DATA'!S28=""),"",'INPUT DATA'!S28),"")</f>
        <v/>
      </c>
      <c r="D85" s="183"/>
      <c r="E85" s="184"/>
      <c r="F85" s="184"/>
      <c r="G85" s="184"/>
      <c r="H85" s="184"/>
      <c r="I85" s="184"/>
      <c r="J85" s="184"/>
      <c r="K85" s="184"/>
      <c r="L85" s="184"/>
      <c r="M85" s="185"/>
      <c r="N85" s="207" t="str">
        <f t="shared" si="10"/>
        <v/>
      </c>
      <c r="O85" s="208" t="str">
        <f t="shared" si="11"/>
        <v/>
      </c>
      <c r="P85" s="209" t="str">
        <f t="shared" si="12"/>
        <v/>
      </c>
      <c r="Q85" s="183"/>
      <c r="R85" s="184"/>
      <c r="S85" s="184"/>
      <c r="T85" s="184"/>
      <c r="U85" s="184"/>
      <c r="V85" s="184"/>
      <c r="W85" s="184"/>
      <c r="X85" s="184"/>
      <c r="Y85" s="184"/>
      <c r="Z85" s="185"/>
      <c r="AA85" s="207" t="str">
        <f t="shared" si="13"/>
        <v/>
      </c>
      <c r="AB85" s="208" t="str">
        <f t="shared" si="14"/>
        <v/>
      </c>
      <c r="AC85" s="209" t="str">
        <f t="shared" si="15"/>
        <v/>
      </c>
      <c r="AD85" s="587"/>
      <c r="AE85" s="210" t="str">
        <f t="shared" si="16"/>
        <v/>
      </c>
      <c r="AF85" s="209" t="str">
        <f t="shared" si="17"/>
        <v/>
      </c>
      <c r="AG85" s="402" t="str">
        <f t="shared" si="18"/>
        <v/>
      </c>
      <c r="AH85" s="211" t="str">
        <f>IFERROR(_xlfn.XLOOKUP(AG85,HELPER!$C$7:$C$47,HELPER!$D$7:$D$47,,1),"")</f>
        <v/>
      </c>
    </row>
    <row r="86" spans="2:34">
      <c r="B86" s="388">
        <v>19</v>
      </c>
      <c r="C86" s="432" t="str">
        <f>IFERROR(IF(OR($B$8="INCORRECT SHEET. Do not use this sheet to input data.",'INPUT DATA'!S29=""),"",'INPUT DATA'!S29),"")</f>
        <v/>
      </c>
      <c r="D86" s="183"/>
      <c r="E86" s="184"/>
      <c r="F86" s="184"/>
      <c r="G86" s="184"/>
      <c r="H86" s="184"/>
      <c r="I86" s="184"/>
      <c r="J86" s="184"/>
      <c r="K86" s="184"/>
      <c r="L86" s="184"/>
      <c r="M86" s="185"/>
      <c r="N86" s="207" t="str">
        <f t="shared" si="10"/>
        <v/>
      </c>
      <c r="O86" s="208" t="str">
        <f t="shared" si="11"/>
        <v/>
      </c>
      <c r="P86" s="209" t="str">
        <f t="shared" si="12"/>
        <v/>
      </c>
      <c r="Q86" s="183"/>
      <c r="R86" s="184"/>
      <c r="S86" s="184"/>
      <c r="T86" s="184"/>
      <c r="U86" s="184"/>
      <c r="V86" s="184"/>
      <c r="W86" s="184"/>
      <c r="X86" s="184"/>
      <c r="Y86" s="184"/>
      <c r="Z86" s="185"/>
      <c r="AA86" s="207" t="str">
        <f t="shared" si="13"/>
        <v/>
      </c>
      <c r="AB86" s="208" t="str">
        <f t="shared" si="14"/>
        <v/>
      </c>
      <c r="AC86" s="209" t="str">
        <f t="shared" si="15"/>
        <v/>
      </c>
      <c r="AD86" s="587"/>
      <c r="AE86" s="210" t="str">
        <f t="shared" si="16"/>
        <v/>
      </c>
      <c r="AF86" s="209" t="str">
        <f t="shared" si="17"/>
        <v/>
      </c>
      <c r="AG86" s="402" t="str">
        <f t="shared" si="18"/>
        <v/>
      </c>
      <c r="AH86" s="211" t="str">
        <f>IFERROR(_xlfn.XLOOKUP(AG86,HELPER!$C$7:$C$47,HELPER!$D$7:$D$47,,1),"")</f>
        <v/>
      </c>
    </row>
    <row r="87" spans="2:34">
      <c r="B87" s="388">
        <v>20</v>
      </c>
      <c r="C87" s="432" t="str">
        <f>IFERROR(IF(OR($B$8="INCORRECT SHEET. Do not use this sheet to input data.",'INPUT DATA'!S30=""),"",'INPUT DATA'!S30),"")</f>
        <v/>
      </c>
      <c r="D87" s="183"/>
      <c r="E87" s="184"/>
      <c r="F87" s="184"/>
      <c r="G87" s="184"/>
      <c r="H87" s="184"/>
      <c r="I87" s="184"/>
      <c r="J87" s="184"/>
      <c r="K87" s="184"/>
      <c r="L87" s="184"/>
      <c r="M87" s="185"/>
      <c r="N87" s="207" t="str">
        <f t="shared" si="10"/>
        <v/>
      </c>
      <c r="O87" s="208" t="str">
        <f t="shared" si="11"/>
        <v/>
      </c>
      <c r="P87" s="209" t="str">
        <f t="shared" si="12"/>
        <v/>
      </c>
      <c r="Q87" s="183"/>
      <c r="R87" s="184"/>
      <c r="S87" s="184"/>
      <c r="T87" s="184"/>
      <c r="U87" s="184"/>
      <c r="V87" s="184"/>
      <c r="W87" s="184"/>
      <c r="X87" s="184"/>
      <c r="Y87" s="184"/>
      <c r="Z87" s="185"/>
      <c r="AA87" s="207" t="str">
        <f t="shared" si="13"/>
        <v/>
      </c>
      <c r="AB87" s="208" t="str">
        <f t="shared" si="14"/>
        <v/>
      </c>
      <c r="AC87" s="209" t="str">
        <f t="shared" si="15"/>
        <v/>
      </c>
      <c r="AD87" s="587"/>
      <c r="AE87" s="210" t="str">
        <f t="shared" si="16"/>
        <v/>
      </c>
      <c r="AF87" s="209" t="str">
        <f t="shared" si="17"/>
        <v/>
      </c>
      <c r="AG87" s="402" t="str">
        <f t="shared" si="18"/>
        <v/>
      </c>
      <c r="AH87" s="211" t="str">
        <f>IFERROR(_xlfn.XLOOKUP(AG87,HELPER!$C$7:$C$47,HELPER!$D$7:$D$47,,1),"")</f>
        <v/>
      </c>
    </row>
    <row r="88" spans="2:34">
      <c r="B88" s="388">
        <v>21</v>
      </c>
      <c r="C88" s="432" t="str">
        <f>IFERROR(IF(OR($B$8="INCORRECT SHEET. Do not use this sheet to input data.",'INPUT DATA'!S31=""),"",'INPUT DATA'!S31),"")</f>
        <v/>
      </c>
      <c r="D88" s="183"/>
      <c r="E88" s="184"/>
      <c r="F88" s="184"/>
      <c r="G88" s="184"/>
      <c r="H88" s="184"/>
      <c r="I88" s="184"/>
      <c r="J88" s="184"/>
      <c r="K88" s="184"/>
      <c r="L88" s="184"/>
      <c r="M88" s="185"/>
      <c r="N88" s="207" t="str">
        <f t="shared" si="10"/>
        <v/>
      </c>
      <c r="O88" s="208" t="str">
        <f t="shared" si="11"/>
        <v/>
      </c>
      <c r="P88" s="209" t="str">
        <f t="shared" si="12"/>
        <v/>
      </c>
      <c r="Q88" s="183"/>
      <c r="R88" s="184"/>
      <c r="S88" s="184"/>
      <c r="T88" s="184"/>
      <c r="U88" s="184"/>
      <c r="V88" s="184"/>
      <c r="W88" s="184"/>
      <c r="X88" s="184"/>
      <c r="Y88" s="184"/>
      <c r="Z88" s="185"/>
      <c r="AA88" s="207" t="str">
        <f t="shared" si="13"/>
        <v/>
      </c>
      <c r="AB88" s="208" t="str">
        <f t="shared" si="14"/>
        <v/>
      </c>
      <c r="AC88" s="209" t="str">
        <f t="shared" si="15"/>
        <v/>
      </c>
      <c r="AD88" s="587"/>
      <c r="AE88" s="210" t="str">
        <f t="shared" si="16"/>
        <v/>
      </c>
      <c r="AF88" s="209" t="str">
        <f t="shared" si="17"/>
        <v/>
      </c>
      <c r="AG88" s="402" t="str">
        <f t="shared" si="18"/>
        <v/>
      </c>
      <c r="AH88" s="211" t="str">
        <f>IFERROR(_xlfn.XLOOKUP(AG88,HELPER!$C$7:$C$47,HELPER!$D$7:$D$47,,1),"")</f>
        <v/>
      </c>
    </row>
    <row r="89" spans="2:34">
      <c r="B89" s="388">
        <v>22</v>
      </c>
      <c r="C89" s="432" t="str">
        <f>IFERROR(IF(OR($B$8="INCORRECT SHEET. Do not use this sheet to input data.",'INPUT DATA'!S32=""),"",'INPUT DATA'!S32),"")</f>
        <v/>
      </c>
      <c r="D89" s="183"/>
      <c r="E89" s="184"/>
      <c r="F89" s="184"/>
      <c r="G89" s="184"/>
      <c r="H89" s="184"/>
      <c r="I89" s="184"/>
      <c r="J89" s="184"/>
      <c r="K89" s="184"/>
      <c r="L89" s="184"/>
      <c r="M89" s="185"/>
      <c r="N89" s="207" t="str">
        <f t="shared" si="10"/>
        <v/>
      </c>
      <c r="O89" s="208" t="str">
        <f t="shared" si="11"/>
        <v/>
      </c>
      <c r="P89" s="209" t="str">
        <f t="shared" si="12"/>
        <v/>
      </c>
      <c r="Q89" s="183"/>
      <c r="R89" s="184"/>
      <c r="S89" s="184"/>
      <c r="T89" s="184"/>
      <c r="U89" s="184"/>
      <c r="V89" s="184"/>
      <c r="W89" s="184"/>
      <c r="X89" s="184"/>
      <c r="Y89" s="184"/>
      <c r="Z89" s="185"/>
      <c r="AA89" s="207" t="str">
        <f t="shared" si="13"/>
        <v/>
      </c>
      <c r="AB89" s="208" t="str">
        <f t="shared" si="14"/>
        <v/>
      </c>
      <c r="AC89" s="209" t="str">
        <f t="shared" si="15"/>
        <v/>
      </c>
      <c r="AD89" s="587"/>
      <c r="AE89" s="210" t="str">
        <f t="shared" si="16"/>
        <v/>
      </c>
      <c r="AF89" s="209" t="str">
        <f t="shared" si="17"/>
        <v/>
      </c>
      <c r="AG89" s="402" t="str">
        <f t="shared" si="18"/>
        <v/>
      </c>
      <c r="AH89" s="211" t="str">
        <f>IFERROR(_xlfn.XLOOKUP(AG89,HELPER!$C$7:$C$47,HELPER!$D$7:$D$47,,1),"")</f>
        <v/>
      </c>
    </row>
    <row r="90" spans="2:34">
      <c r="B90" s="388">
        <v>23</v>
      </c>
      <c r="C90" s="432" t="str">
        <f>IFERROR(IF(OR($B$8="INCORRECT SHEET. Do not use this sheet to input data.",'INPUT DATA'!S33=""),"",'INPUT DATA'!S33),"")</f>
        <v/>
      </c>
      <c r="D90" s="183"/>
      <c r="E90" s="184"/>
      <c r="F90" s="184"/>
      <c r="G90" s="184"/>
      <c r="H90" s="184"/>
      <c r="I90" s="184"/>
      <c r="J90" s="184"/>
      <c r="K90" s="184"/>
      <c r="L90" s="184"/>
      <c r="M90" s="185"/>
      <c r="N90" s="207" t="str">
        <f t="shared" si="10"/>
        <v/>
      </c>
      <c r="O90" s="208" t="str">
        <f t="shared" si="11"/>
        <v/>
      </c>
      <c r="P90" s="209" t="str">
        <f t="shared" si="12"/>
        <v/>
      </c>
      <c r="Q90" s="183"/>
      <c r="R90" s="184"/>
      <c r="S90" s="184"/>
      <c r="T90" s="184"/>
      <c r="U90" s="184"/>
      <c r="V90" s="184"/>
      <c r="W90" s="184"/>
      <c r="X90" s="184"/>
      <c r="Y90" s="184"/>
      <c r="Z90" s="185"/>
      <c r="AA90" s="207" t="str">
        <f t="shared" si="13"/>
        <v/>
      </c>
      <c r="AB90" s="208" t="str">
        <f t="shared" si="14"/>
        <v/>
      </c>
      <c r="AC90" s="209" t="str">
        <f t="shared" si="15"/>
        <v/>
      </c>
      <c r="AD90" s="587"/>
      <c r="AE90" s="210" t="str">
        <f t="shared" si="16"/>
        <v/>
      </c>
      <c r="AF90" s="209" t="str">
        <f t="shared" si="17"/>
        <v/>
      </c>
      <c r="AG90" s="402" t="str">
        <f t="shared" si="18"/>
        <v/>
      </c>
      <c r="AH90" s="211" t="str">
        <f>IFERROR(_xlfn.XLOOKUP(AG90,HELPER!$C$7:$C$47,HELPER!$D$7:$D$47,,1),"")</f>
        <v/>
      </c>
    </row>
    <row r="91" spans="2:34">
      <c r="B91" s="388">
        <v>24</v>
      </c>
      <c r="C91" s="432" t="str">
        <f>IFERROR(IF(OR($B$8="INCORRECT SHEET. Do not use this sheet to input data.",'INPUT DATA'!S34=""),"",'INPUT DATA'!S34),"")</f>
        <v/>
      </c>
      <c r="D91" s="183"/>
      <c r="E91" s="184"/>
      <c r="F91" s="184"/>
      <c r="G91" s="184"/>
      <c r="H91" s="184"/>
      <c r="I91" s="184"/>
      <c r="J91" s="184"/>
      <c r="K91" s="184"/>
      <c r="L91" s="184"/>
      <c r="M91" s="185"/>
      <c r="N91" s="207" t="str">
        <f t="shared" si="10"/>
        <v/>
      </c>
      <c r="O91" s="208" t="str">
        <f t="shared" si="11"/>
        <v/>
      </c>
      <c r="P91" s="209" t="str">
        <f t="shared" si="12"/>
        <v/>
      </c>
      <c r="Q91" s="183"/>
      <c r="R91" s="184"/>
      <c r="S91" s="184"/>
      <c r="T91" s="184"/>
      <c r="U91" s="184"/>
      <c r="V91" s="184"/>
      <c r="W91" s="184"/>
      <c r="X91" s="184"/>
      <c r="Y91" s="184"/>
      <c r="Z91" s="185"/>
      <c r="AA91" s="207" t="str">
        <f t="shared" si="13"/>
        <v/>
      </c>
      <c r="AB91" s="208" t="str">
        <f t="shared" si="14"/>
        <v/>
      </c>
      <c r="AC91" s="209" t="str">
        <f t="shared" si="15"/>
        <v/>
      </c>
      <c r="AD91" s="587"/>
      <c r="AE91" s="210" t="str">
        <f t="shared" si="16"/>
        <v/>
      </c>
      <c r="AF91" s="209" t="str">
        <f t="shared" si="17"/>
        <v/>
      </c>
      <c r="AG91" s="402" t="str">
        <f t="shared" si="18"/>
        <v/>
      </c>
      <c r="AH91" s="211" t="str">
        <f>IFERROR(_xlfn.XLOOKUP(AG91,HELPER!$C$7:$C$47,HELPER!$D$7:$D$47,,1),"")</f>
        <v/>
      </c>
    </row>
    <row r="92" spans="2:34">
      <c r="B92" s="388">
        <v>25</v>
      </c>
      <c r="C92" s="432" t="str">
        <f>IFERROR(IF(OR($B$8="INCORRECT SHEET. Do not use this sheet to input data.",'INPUT DATA'!S35=""),"",'INPUT DATA'!S35),"")</f>
        <v/>
      </c>
      <c r="D92" s="183"/>
      <c r="E92" s="184"/>
      <c r="F92" s="184"/>
      <c r="G92" s="184"/>
      <c r="H92" s="184"/>
      <c r="I92" s="184"/>
      <c r="J92" s="184"/>
      <c r="K92" s="184"/>
      <c r="L92" s="184"/>
      <c r="M92" s="185"/>
      <c r="N92" s="207" t="str">
        <f t="shared" si="10"/>
        <v/>
      </c>
      <c r="O92" s="208" t="str">
        <f t="shared" si="11"/>
        <v/>
      </c>
      <c r="P92" s="209" t="str">
        <f t="shared" si="12"/>
        <v/>
      </c>
      <c r="Q92" s="183"/>
      <c r="R92" s="184"/>
      <c r="S92" s="184"/>
      <c r="T92" s="184"/>
      <c r="U92" s="184"/>
      <c r="V92" s="184"/>
      <c r="W92" s="184"/>
      <c r="X92" s="184"/>
      <c r="Y92" s="184"/>
      <c r="Z92" s="185"/>
      <c r="AA92" s="207" t="str">
        <f t="shared" si="13"/>
        <v/>
      </c>
      <c r="AB92" s="208" t="str">
        <f t="shared" si="14"/>
        <v/>
      </c>
      <c r="AC92" s="209" t="str">
        <f t="shared" si="15"/>
        <v/>
      </c>
      <c r="AD92" s="587"/>
      <c r="AE92" s="210" t="str">
        <f t="shared" si="16"/>
        <v/>
      </c>
      <c r="AF92" s="209" t="str">
        <f t="shared" si="17"/>
        <v/>
      </c>
      <c r="AG92" s="402" t="str">
        <f t="shared" si="18"/>
        <v/>
      </c>
      <c r="AH92" s="211" t="str">
        <f>IFERROR(_xlfn.XLOOKUP(AG92,HELPER!$C$7:$C$47,HELPER!$D$7:$D$47,,1),"")</f>
        <v/>
      </c>
    </row>
    <row r="93" spans="2:34">
      <c r="B93" s="388">
        <v>26</v>
      </c>
      <c r="C93" s="432" t="str">
        <f>IFERROR(IF(OR($B$8="INCORRECT SHEET. Do not use this sheet to input data.",'INPUT DATA'!S36=""),"",'INPUT DATA'!S36),"")</f>
        <v/>
      </c>
      <c r="D93" s="183"/>
      <c r="E93" s="184"/>
      <c r="F93" s="184"/>
      <c r="G93" s="184"/>
      <c r="H93" s="184"/>
      <c r="I93" s="184"/>
      <c r="J93" s="184"/>
      <c r="K93" s="184"/>
      <c r="L93" s="184"/>
      <c r="M93" s="185"/>
      <c r="N93" s="207" t="str">
        <f t="shared" si="10"/>
        <v/>
      </c>
      <c r="O93" s="208" t="str">
        <f t="shared" si="11"/>
        <v/>
      </c>
      <c r="P93" s="209" t="str">
        <f t="shared" si="12"/>
        <v/>
      </c>
      <c r="Q93" s="183"/>
      <c r="R93" s="184"/>
      <c r="S93" s="184"/>
      <c r="T93" s="184"/>
      <c r="U93" s="184"/>
      <c r="V93" s="184"/>
      <c r="W93" s="184"/>
      <c r="X93" s="184"/>
      <c r="Y93" s="184"/>
      <c r="Z93" s="185"/>
      <c r="AA93" s="207" t="str">
        <f t="shared" si="13"/>
        <v/>
      </c>
      <c r="AB93" s="208" t="str">
        <f t="shared" si="14"/>
        <v/>
      </c>
      <c r="AC93" s="209" t="str">
        <f t="shared" si="15"/>
        <v/>
      </c>
      <c r="AD93" s="587"/>
      <c r="AE93" s="210" t="str">
        <f t="shared" si="16"/>
        <v/>
      </c>
      <c r="AF93" s="209" t="str">
        <f t="shared" si="17"/>
        <v/>
      </c>
      <c r="AG93" s="402" t="str">
        <f t="shared" si="18"/>
        <v/>
      </c>
      <c r="AH93" s="211" t="str">
        <f>IFERROR(_xlfn.XLOOKUP(AG93,HELPER!$C$7:$C$47,HELPER!$D$7:$D$47,,1),"")</f>
        <v/>
      </c>
    </row>
    <row r="94" spans="2:34">
      <c r="B94" s="388">
        <v>27</v>
      </c>
      <c r="C94" s="432" t="str">
        <f>IFERROR(IF(OR($B$8="INCORRECT SHEET. Do not use this sheet to input data.",'INPUT DATA'!S37=""),"",'INPUT DATA'!S37),"")</f>
        <v/>
      </c>
      <c r="D94" s="183"/>
      <c r="E94" s="184"/>
      <c r="F94" s="184"/>
      <c r="G94" s="184"/>
      <c r="H94" s="184"/>
      <c r="I94" s="184"/>
      <c r="J94" s="184"/>
      <c r="K94" s="184"/>
      <c r="L94" s="184"/>
      <c r="M94" s="185"/>
      <c r="N94" s="207" t="str">
        <f t="shared" si="10"/>
        <v/>
      </c>
      <c r="O94" s="208" t="str">
        <f t="shared" si="11"/>
        <v/>
      </c>
      <c r="P94" s="209" t="str">
        <f t="shared" si="12"/>
        <v/>
      </c>
      <c r="Q94" s="183"/>
      <c r="R94" s="184"/>
      <c r="S94" s="184"/>
      <c r="T94" s="184"/>
      <c r="U94" s="184"/>
      <c r="V94" s="184"/>
      <c r="W94" s="184"/>
      <c r="X94" s="184"/>
      <c r="Y94" s="184"/>
      <c r="Z94" s="185"/>
      <c r="AA94" s="207" t="str">
        <f t="shared" si="13"/>
        <v/>
      </c>
      <c r="AB94" s="208" t="str">
        <f t="shared" si="14"/>
        <v/>
      </c>
      <c r="AC94" s="209" t="str">
        <f t="shared" si="15"/>
        <v/>
      </c>
      <c r="AD94" s="587"/>
      <c r="AE94" s="210" t="str">
        <f t="shared" si="16"/>
        <v/>
      </c>
      <c r="AF94" s="209" t="str">
        <f t="shared" si="17"/>
        <v/>
      </c>
      <c r="AG94" s="402" t="str">
        <f t="shared" si="18"/>
        <v/>
      </c>
      <c r="AH94" s="211" t="str">
        <f>IFERROR(_xlfn.XLOOKUP(AG94,HELPER!$C$7:$C$47,HELPER!$D$7:$D$47,,1),"")</f>
        <v/>
      </c>
    </row>
    <row r="95" spans="2:34">
      <c r="B95" s="388">
        <v>28</v>
      </c>
      <c r="C95" s="432" t="str">
        <f>IFERROR(IF(OR($B$8="INCORRECT SHEET. Do not use this sheet to input data.",'INPUT DATA'!S38=""),"",'INPUT DATA'!S38),"")</f>
        <v/>
      </c>
      <c r="D95" s="183"/>
      <c r="E95" s="184"/>
      <c r="F95" s="184"/>
      <c r="G95" s="184"/>
      <c r="H95" s="184"/>
      <c r="I95" s="184"/>
      <c r="J95" s="184"/>
      <c r="K95" s="184"/>
      <c r="L95" s="184"/>
      <c r="M95" s="185"/>
      <c r="N95" s="207" t="str">
        <f t="shared" si="10"/>
        <v/>
      </c>
      <c r="O95" s="208" t="str">
        <f t="shared" si="11"/>
        <v/>
      </c>
      <c r="P95" s="209" t="str">
        <f t="shared" si="12"/>
        <v/>
      </c>
      <c r="Q95" s="183"/>
      <c r="R95" s="184"/>
      <c r="S95" s="184"/>
      <c r="T95" s="184"/>
      <c r="U95" s="184"/>
      <c r="V95" s="184"/>
      <c r="W95" s="184"/>
      <c r="X95" s="184"/>
      <c r="Y95" s="184"/>
      <c r="Z95" s="185"/>
      <c r="AA95" s="207" t="str">
        <f t="shared" si="13"/>
        <v/>
      </c>
      <c r="AB95" s="208" t="str">
        <f t="shared" si="14"/>
        <v/>
      </c>
      <c r="AC95" s="209" t="str">
        <f t="shared" si="15"/>
        <v/>
      </c>
      <c r="AD95" s="587"/>
      <c r="AE95" s="210" t="str">
        <f t="shared" si="16"/>
        <v/>
      </c>
      <c r="AF95" s="209" t="str">
        <f t="shared" si="17"/>
        <v/>
      </c>
      <c r="AG95" s="402" t="str">
        <f t="shared" si="18"/>
        <v/>
      </c>
      <c r="AH95" s="211" t="str">
        <f>IFERROR(_xlfn.XLOOKUP(AG95,HELPER!$C$7:$C$47,HELPER!$D$7:$D$47,,1),"")</f>
        <v/>
      </c>
    </row>
    <row r="96" spans="2:34">
      <c r="B96" s="388">
        <v>29</v>
      </c>
      <c r="C96" s="432" t="str">
        <f>IFERROR(IF(OR($B$8="INCORRECT SHEET. Do not use this sheet to input data.",'INPUT DATA'!S39=""),"",'INPUT DATA'!S39),"")</f>
        <v/>
      </c>
      <c r="D96" s="183"/>
      <c r="E96" s="184"/>
      <c r="F96" s="184"/>
      <c r="G96" s="184"/>
      <c r="H96" s="184"/>
      <c r="I96" s="184"/>
      <c r="J96" s="184"/>
      <c r="K96" s="184"/>
      <c r="L96" s="184"/>
      <c r="M96" s="185"/>
      <c r="N96" s="207" t="str">
        <f t="shared" si="10"/>
        <v/>
      </c>
      <c r="O96" s="208" t="str">
        <f t="shared" si="11"/>
        <v/>
      </c>
      <c r="P96" s="209" t="str">
        <f t="shared" si="12"/>
        <v/>
      </c>
      <c r="Q96" s="183"/>
      <c r="R96" s="184"/>
      <c r="S96" s="184"/>
      <c r="T96" s="184"/>
      <c r="U96" s="184"/>
      <c r="V96" s="184"/>
      <c r="W96" s="184"/>
      <c r="X96" s="184"/>
      <c r="Y96" s="184"/>
      <c r="Z96" s="185"/>
      <c r="AA96" s="207" t="str">
        <f t="shared" si="13"/>
        <v/>
      </c>
      <c r="AB96" s="208" t="str">
        <f t="shared" si="14"/>
        <v/>
      </c>
      <c r="AC96" s="209" t="str">
        <f t="shared" si="15"/>
        <v/>
      </c>
      <c r="AD96" s="587"/>
      <c r="AE96" s="210" t="str">
        <f t="shared" si="16"/>
        <v/>
      </c>
      <c r="AF96" s="209" t="str">
        <f t="shared" si="17"/>
        <v/>
      </c>
      <c r="AG96" s="402" t="str">
        <f t="shared" si="18"/>
        <v/>
      </c>
      <c r="AH96" s="211" t="str">
        <f>IFERROR(_xlfn.XLOOKUP(AG96,HELPER!$C$7:$C$47,HELPER!$D$7:$D$47,,1),"")</f>
        <v/>
      </c>
    </row>
    <row r="97" spans="2:34">
      <c r="B97" s="388">
        <v>30</v>
      </c>
      <c r="C97" s="432" t="str">
        <f>IFERROR(IF(OR($B$8="INCORRECT SHEET. Do not use this sheet to input data.",'INPUT DATA'!S40=""),"",'INPUT DATA'!S40),"")</f>
        <v/>
      </c>
      <c r="D97" s="183"/>
      <c r="E97" s="184"/>
      <c r="F97" s="184"/>
      <c r="G97" s="184"/>
      <c r="H97" s="184"/>
      <c r="I97" s="184"/>
      <c r="J97" s="184"/>
      <c r="K97" s="184"/>
      <c r="L97" s="184"/>
      <c r="M97" s="185"/>
      <c r="N97" s="207" t="str">
        <f t="shared" si="10"/>
        <v/>
      </c>
      <c r="O97" s="208" t="str">
        <f t="shared" si="11"/>
        <v/>
      </c>
      <c r="P97" s="209" t="str">
        <f t="shared" si="12"/>
        <v/>
      </c>
      <c r="Q97" s="183"/>
      <c r="R97" s="184"/>
      <c r="S97" s="184"/>
      <c r="T97" s="184"/>
      <c r="U97" s="184"/>
      <c r="V97" s="184"/>
      <c r="W97" s="184"/>
      <c r="X97" s="184"/>
      <c r="Y97" s="184"/>
      <c r="Z97" s="185"/>
      <c r="AA97" s="207" t="str">
        <f t="shared" si="13"/>
        <v/>
      </c>
      <c r="AB97" s="208" t="str">
        <f t="shared" si="14"/>
        <v/>
      </c>
      <c r="AC97" s="209" t="str">
        <f t="shared" si="15"/>
        <v/>
      </c>
      <c r="AD97" s="587"/>
      <c r="AE97" s="210" t="str">
        <f t="shared" si="16"/>
        <v/>
      </c>
      <c r="AF97" s="209" t="str">
        <f t="shared" si="17"/>
        <v/>
      </c>
      <c r="AG97" s="402" t="str">
        <f t="shared" si="18"/>
        <v/>
      </c>
      <c r="AH97" s="211" t="str">
        <f>IFERROR(_xlfn.XLOOKUP(AG97,HELPER!$C$7:$C$47,HELPER!$D$7:$D$47,,1),"")</f>
        <v/>
      </c>
    </row>
    <row r="98" spans="2:34">
      <c r="B98" s="388">
        <v>31</v>
      </c>
      <c r="C98" s="432" t="str">
        <f>IFERROR(IF(OR($B$8="INCORRECT SHEET. Do not use this sheet to input data.",'INPUT DATA'!S41=""),"",'INPUT DATA'!S41),"")</f>
        <v/>
      </c>
      <c r="D98" s="183"/>
      <c r="E98" s="184"/>
      <c r="F98" s="184"/>
      <c r="G98" s="184"/>
      <c r="H98" s="184"/>
      <c r="I98" s="184"/>
      <c r="J98" s="184"/>
      <c r="K98" s="184"/>
      <c r="L98" s="184"/>
      <c r="M98" s="185"/>
      <c r="N98" s="207" t="str">
        <f t="shared" si="10"/>
        <v/>
      </c>
      <c r="O98" s="208" t="str">
        <f t="shared" si="11"/>
        <v/>
      </c>
      <c r="P98" s="209" t="str">
        <f t="shared" si="12"/>
        <v/>
      </c>
      <c r="Q98" s="183"/>
      <c r="R98" s="184"/>
      <c r="S98" s="184"/>
      <c r="T98" s="184"/>
      <c r="U98" s="184"/>
      <c r="V98" s="184"/>
      <c r="W98" s="184"/>
      <c r="X98" s="184"/>
      <c r="Y98" s="184"/>
      <c r="Z98" s="185"/>
      <c r="AA98" s="207" t="str">
        <f t="shared" si="13"/>
        <v/>
      </c>
      <c r="AB98" s="208" t="str">
        <f t="shared" si="14"/>
        <v/>
      </c>
      <c r="AC98" s="209" t="str">
        <f t="shared" si="15"/>
        <v/>
      </c>
      <c r="AD98" s="587"/>
      <c r="AE98" s="210" t="str">
        <f t="shared" si="16"/>
        <v/>
      </c>
      <c r="AF98" s="209" t="str">
        <f t="shared" si="17"/>
        <v/>
      </c>
      <c r="AG98" s="402" t="str">
        <f t="shared" si="18"/>
        <v/>
      </c>
      <c r="AH98" s="211" t="str">
        <f>IFERROR(_xlfn.XLOOKUP(AG98,HELPER!$C$7:$C$47,HELPER!$D$7:$D$47,,1),"")</f>
        <v/>
      </c>
    </row>
    <row r="99" spans="2:34">
      <c r="B99" s="388">
        <v>32</v>
      </c>
      <c r="C99" s="432" t="str">
        <f>IFERROR(IF(OR($B$8="INCORRECT SHEET. Do not use this sheet to input data.",'INPUT DATA'!S42=""),"",'INPUT DATA'!S42),"")</f>
        <v/>
      </c>
      <c r="D99" s="183"/>
      <c r="E99" s="184"/>
      <c r="F99" s="184"/>
      <c r="G99" s="184"/>
      <c r="H99" s="184"/>
      <c r="I99" s="184"/>
      <c r="J99" s="184"/>
      <c r="K99" s="184"/>
      <c r="L99" s="184"/>
      <c r="M99" s="185"/>
      <c r="N99" s="207" t="str">
        <f t="shared" si="10"/>
        <v/>
      </c>
      <c r="O99" s="208" t="str">
        <f t="shared" si="11"/>
        <v/>
      </c>
      <c r="P99" s="209" t="str">
        <f t="shared" si="12"/>
        <v/>
      </c>
      <c r="Q99" s="183"/>
      <c r="R99" s="184"/>
      <c r="S99" s="184"/>
      <c r="T99" s="184"/>
      <c r="U99" s="184"/>
      <c r="V99" s="184"/>
      <c r="W99" s="184"/>
      <c r="X99" s="184"/>
      <c r="Y99" s="184"/>
      <c r="Z99" s="185"/>
      <c r="AA99" s="207" t="str">
        <f t="shared" si="13"/>
        <v/>
      </c>
      <c r="AB99" s="208" t="str">
        <f t="shared" si="14"/>
        <v/>
      </c>
      <c r="AC99" s="209" t="str">
        <f t="shared" si="15"/>
        <v/>
      </c>
      <c r="AD99" s="587"/>
      <c r="AE99" s="210" t="str">
        <f t="shared" si="16"/>
        <v/>
      </c>
      <c r="AF99" s="209" t="str">
        <f t="shared" si="17"/>
        <v/>
      </c>
      <c r="AG99" s="402" t="str">
        <f t="shared" si="18"/>
        <v/>
      </c>
      <c r="AH99" s="211" t="str">
        <f>IFERROR(_xlfn.XLOOKUP(AG99,HELPER!$C$7:$C$47,HELPER!$D$7:$D$47,,1),"")</f>
        <v/>
      </c>
    </row>
    <row r="100" spans="2:34">
      <c r="B100" s="388">
        <v>33</v>
      </c>
      <c r="C100" s="432" t="str">
        <f>IFERROR(IF(OR($B$8="INCORRECT SHEET. Do not use this sheet to input data.",'INPUT DATA'!S43=""),"",'INPUT DATA'!S43),"")</f>
        <v/>
      </c>
      <c r="D100" s="183"/>
      <c r="E100" s="184"/>
      <c r="F100" s="184"/>
      <c r="G100" s="184"/>
      <c r="H100" s="184"/>
      <c r="I100" s="184"/>
      <c r="J100" s="184"/>
      <c r="K100" s="184"/>
      <c r="L100" s="184"/>
      <c r="M100" s="185"/>
      <c r="N100" s="207" t="str">
        <f t="shared" si="10"/>
        <v/>
      </c>
      <c r="O100" s="208" t="str">
        <f t="shared" si="11"/>
        <v/>
      </c>
      <c r="P100" s="209" t="str">
        <f t="shared" si="12"/>
        <v/>
      </c>
      <c r="Q100" s="183"/>
      <c r="R100" s="184"/>
      <c r="S100" s="184"/>
      <c r="T100" s="184"/>
      <c r="U100" s="184"/>
      <c r="V100" s="184"/>
      <c r="W100" s="184"/>
      <c r="X100" s="184"/>
      <c r="Y100" s="184"/>
      <c r="Z100" s="185"/>
      <c r="AA100" s="207" t="str">
        <f t="shared" si="13"/>
        <v/>
      </c>
      <c r="AB100" s="208" t="str">
        <f t="shared" si="14"/>
        <v/>
      </c>
      <c r="AC100" s="209" t="str">
        <f t="shared" si="15"/>
        <v/>
      </c>
      <c r="AD100" s="587"/>
      <c r="AE100" s="210" t="str">
        <f t="shared" si="16"/>
        <v/>
      </c>
      <c r="AF100" s="209" t="str">
        <f t="shared" si="17"/>
        <v/>
      </c>
      <c r="AG100" s="402" t="str">
        <f t="shared" si="18"/>
        <v/>
      </c>
      <c r="AH100" s="211" t="str">
        <f>IFERROR(_xlfn.XLOOKUP(AG100,HELPER!$C$7:$C$47,HELPER!$D$7:$D$47,,1),"")</f>
        <v/>
      </c>
    </row>
    <row r="101" spans="2:34">
      <c r="B101" s="388">
        <v>34</v>
      </c>
      <c r="C101" s="432" t="str">
        <f>IFERROR(IF(OR($B$8="INCORRECT SHEET. Do not use this sheet to input data.",'INPUT DATA'!S44=""),"",'INPUT DATA'!S44),"")</f>
        <v/>
      </c>
      <c r="D101" s="183"/>
      <c r="E101" s="184"/>
      <c r="F101" s="184"/>
      <c r="G101" s="184"/>
      <c r="H101" s="184"/>
      <c r="I101" s="184"/>
      <c r="J101" s="184"/>
      <c r="K101" s="184"/>
      <c r="L101" s="184"/>
      <c r="M101" s="185"/>
      <c r="N101" s="207" t="str">
        <f t="shared" si="10"/>
        <v/>
      </c>
      <c r="O101" s="208" t="str">
        <f t="shared" si="11"/>
        <v/>
      </c>
      <c r="P101" s="209" t="str">
        <f t="shared" si="12"/>
        <v/>
      </c>
      <c r="Q101" s="183"/>
      <c r="R101" s="184"/>
      <c r="S101" s="184"/>
      <c r="T101" s="184"/>
      <c r="U101" s="184"/>
      <c r="V101" s="184"/>
      <c r="W101" s="184"/>
      <c r="X101" s="184"/>
      <c r="Y101" s="184"/>
      <c r="Z101" s="185"/>
      <c r="AA101" s="207" t="str">
        <f t="shared" si="13"/>
        <v/>
      </c>
      <c r="AB101" s="208" t="str">
        <f t="shared" si="14"/>
        <v/>
      </c>
      <c r="AC101" s="209" t="str">
        <f t="shared" si="15"/>
        <v/>
      </c>
      <c r="AD101" s="587"/>
      <c r="AE101" s="210" t="str">
        <f t="shared" si="16"/>
        <v/>
      </c>
      <c r="AF101" s="209" t="str">
        <f t="shared" si="17"/>
        <v/>
      </c>
      <c r="AG101" s="402" t="str">
        <f t="shared" si="18"/>
        <v/>
      </c>
      <c r="AH101" s="211" t="str">
        <f>IFERROR(_xlfn.XLOOKUP(AG101,HELPER!$C$7:$C$47,HELPER!$D$7:$D$47,,1),"")</f>
        <v/>
      </c>
    </row>
    <row r="102" spans="2:34">
      <c r="B102" s="388">
        <v>35</v>
      </c>
      <c r="C102" s="432" t="str">
        <f>IFERROR(IF(OR($B$8="INCORRECT SHEET. Do not use this sheet to input data.",'INPUT DATA'!S45=""),"",'INPUT DATA'!S45),"")</f>
        <v/>
      </c>
      <c r="D102" s="183"/>
      <c r="E102" s="184"/>
      <c r="F102" s="184"/>
      <c r="G102" s="184"/>
      <c r="H102" s="184"/>
      <c r="I102" s="184"/>
      <c r="J102" s="184"/>
      <c r="K102" s="184"/>
      <c r="L102" s="184"/>
      <c r="M102" s="185"/>
      <c r="N102" s="207" t="str">
        <f t="shared" si="10"/>
        <v/>
      </c>
      <c r="O102" s="208" t="str">
        <f t="shared" si="11"/>
        <v/>
      </c>
      <c r="P102" s="209" t="str">
        <f t="shared" si="12"/>
        <v/>
      </c>
      <c r="Q102" s="183"/>
      <c r="R102" s="184"/>
      <c r="S102" s="184"/>
      <c r="T102" s="184"/>
      <c r="U102" s="184"/>
      <c r="V102" s="184"/>
      <c r="W102" s="184"/>
      <c r="X102" s="184"/>
      <c r="Y102" s="184"/>
      <c r="Z102" s="185"/>
      <c r="AA102" s="207" t="str">
        <f t="shared" si="13"/>
        <v/>
      </c>
      <c r="AB102" s="208" t="str">
        <f t="shared" si="14"/>
        <v/>
      </c>
      <c r="AC102" s="209" t="str">
        <f t="shared" si="15"/>
        <v/>
      </c>
      <c r="AD102" s="587"/>
      <c r="AE102" s="210" t="str">
        <f t="shared" si="16"/>
        <v/>
      </c>
      <c r="AF102" s="209" t="str">
        <f t="shared" si="17"/>
        <v/>
      </c>
      <c r="AG102" s="402" t="str">
        <f t="shared" si="18"/>
        <v/>
      </c>
      <c r="AH102" s="211" t="str">
        <f>IFERROR(_xlfn.XLOOKUP(AG102,HELPER!$C$7:$C$47,HELPER!$D$7:$D$47,,1),"")</f>
        <v/>
      </c>
    </row>
    <row r="103" spans="2:34">
      <c r="B103" s="388">
        <v>36</v>
      </c>
      <c r="C103" s="432" t="str">
        <f>IFERROR(IF(OR($B$8="INCORRECT SHEET. Do not use this sheet to input data.",'INPUT DATA'!S46=""),"",'INPUT DATA'!S46),"")</f>
        <v/>
      </c>
      <c r="D103" s="183"/>
      <c r="E103" s="184"/>
      <c r="F103" s="184"/>
      <c r="G103" s="184"/>
      <c r="H103" s="184"/>
      <c r="I103" s="184"/>
      <c r="J103" s="184"/>
      <c r="K103" s="184"/>
      <c r="L103" s="184"/>
      <c r="M103" s="185"/>
      <c r="N103" s="207" t="str">
        <f t="shared" si="10"/>
        <v/>
      </c>
      <c r="O103" s="208" t="str">
        <f t="shared" si="11"/>
        <v/>
      </c>
      <c r="P103" s="209" t="str">
        <f t="shared" si="12"/>
        <v/>
      </c>
      <c r="Q103" s="183"/>
      <c r="R103" s="184"/>
      <c r="S103" s="184"/>
      <c r="T103" s="184"/>
      <c r="U103" s="184"/>
      <c r="V103" s="184"/>
      <c r="W103" s="184"/>
      <c r="X103" s="184"/>
      <c r="Y103" s="184"/>
      <c r="Z103" s="185"/>
      <c r="AA103" s="207" t="str">
        <f t="shared" si="13"/>
        <v/>
      </c>
      <c r="AB103" s="208" t="str">
        <f t="shared" si="14"/>
        <v/>
      </c>
      <c r="AC103" s="209" t="str">
        <f t="shared" si="15"/>
        <v/>
      </c>
      <c r="AD103" s="587"/>
      <c r="AE103" s="210" t="str">
        <f t="shared" si="16"/>
        <v/>
      </c>
      <c r="AF103" s="209" t="str">
        <f t="shared" si="17"/>
        <v/>
      </c>
      <c r="AG103" s="402" t="str">
        <f t="shared" si="18"/>
        <v/>
      </c>
      <c r="AH103" s="211" t="str">
        <f>IFERROR(_xlfn.XLOOKUP(AG103,HELPER!$C$7:$C$47,HELPER!$D$7:$D$47,,1),"")</f>
        <v/>
      </c>
    </row>
    <row r="104" spans="2:34">
      <c r="B104" s="388">
        <v>37</v>
      </c>
      <c r="C104" s="432" t="str">
        <f>IFERROR(IF(OR($B$8="INCORRECT SHEET. Do not use this sheet to input data.",'INPUT DATA'!S47=""),"",'INPUT DATA'!S47),"")</f>
        <v/>
      </c>
      <c r="D104" s="183"/>
      <c r="E104" s="184"/>
      <c r="F104" s="184"/>
      <c r="G104" s="184"/>
      <c r="H104" s="184"/>
      <c r="I104" s="184"/>
      <c r="J104" s="184"/>
      <c r="K104" s="184"/>
      <c r="L104" s="184"/>
      <c r="M104" s="185"/>
      <c r="N104" s="207" t="str">
        <f t="shared" si="10"/>
        <v/>
      </c>
      <c r="O104" s="208" t="str">
        <f t="shared" si="11"/>
        <v/>
      </c>
      <c r="P104" s="209" t="str">
        <f t="shared" si="12"/>
        <v/>
      </c>
      <c r="Q104" s="183"/>
      <c r="R104" s="184"/>
      <c r="S104" s="184"/>
      <c r="T104" s="184"/>
      <c r="U104" s="184"/>
      <c r="V104" s="184"/>
      <c r="W104" s="184"/>
      <c r="X104" s="184"/>
      <c r="Y104" s="184"/>
      <c r="Z104" s="185"/>
      <c r="AA104" s="207" t="str">
        <f t="shared" si="13"/>
        <v/>
      </c>
      <c r="AB104" s="208" t="str">
        <f t="shared" si="14"/>
        <v/>
      </c>
      <c r="AC104" s="209" t="str">
        <f t="shared" si="15"/>
        <v/>
      </c>
      <c r="AD104" s="587"/>
      <c r="AE104" s="210" t="str">
        <f t="shared" si="16"/>
        <v/>
      </c>
      <c r="AF104" s="209" t="str">
        <f t="shared" si="17"/>
        <v/>
      </c>
      <c r="AG104" s="402" t="str">
        <f t="shared" si="18"/>
        <v/>
      </c>
      <c r="AH104" s="211" t="str">
        <f>IFERROR(_xlfn.XLOOKUP(AG104,HELPER!$C$7:$C$47,HELPER!$D$7:$D$47,,1),"")</f>
        <v/>
      </c>
    </row>
    <row r="105" spans="2:34">
      <c r="B105" s="388">
        <v>38</v>
      </c>
      <c r="C105" s="432" t="str">
        <f>IFERROR(IF(OR($B$8="INCORRECT SHEET. Do not use this sheet to input data.",'INPUT DATA'!S48=""),"",'INPUT DATA'!S48),"")</f>
        <v/>
      </c>
      <c r="D105" s="183"/>
      <c r="E105" s="184"/>
      <c r="F105" s="184"/>
      <c r="G105" s="184"/>
      <c r="H105" s="184"/>
      <c r="I105" s="184"/>
      <c r="J105" s="184"/>
      <c r="K105" s="184"/>
      <c r="L105" s="184"/>
      <c r="M105" s="185"/>
      <c r="N105" s="207" t="str">
        <f t="shared" si="10"/>
        <v/>
      </c>
      <c r="O105" s="208" t="str">
        <f t="shared" si="11"/>
        <v/>
      </c>
      <c r="P105" s="209" t="str">
        <f t="shared" si="12"/>
        <v/>
      </c>
      <c r="Q105" s="183"/>
      <c r="R105" s="184"/>
      <c r="S105" s="184"/>
      <c r="T105" s="184"/>
      <c r="U105" s="184"/>
      <c r="V105" s="184"/>
      <c r="W105" s="184"/>
      <c r="X105" s="184"/>
      <c r="Y105" s="184"/>
      <c r="Z105" s="185"/>
      <c r="AA105" s="207" t="str">
        <f t="shared" si="13"/>
        <v/>
      </c>
      <c r="AB105" s="208" t="str">
        <f t="shared" si="14"/>
        <v/>
      </c>
      <c r="AC105" s="209" t="str">
        <f t="shared" si="15"/>
        <v/>
      </c>
      <c r="AD105" s="587"/>
      <c r="AE105" s="210" t="str">
        <f t="shared" si="16"/>
        <v/>
      </c>
      <c r="AF105" s="209" t="str">
        <f t="shared" si="17"/>
        <v/>
      </c>
      <c r="AG105" s="402" t="str">
        <f t="shared" si="18"/>
        <v/>
      </c>
      <c r="AH105" s="211" t="str">
        <f>IFERROR(_xlfn.XLOOKUP(AG105,HELPER!$C$7:$C$47,HELPER!$D$7:$D$47,,1),"")</f>
        <v/>
      </c>
    </row>
    <row r="106" spans="2:34">
      <c r="B106" s="388">
        <v>39</v>
      </c>
      <c r="C106" s="432" t="str">
        <f>IFERROR(IF(OR($B$8="INCORRECT SHEET. Do not use this sheet to input data.",'INPUT DATA'!S49=""),"",'INPUT DATA'!S49),"")</f>
        <v/>
      </c>
      <c r="D106" s="183"/>
      <c r="E106" s="184"/>
      <c r="F106" s="184"/>
      <c r="G106" s="184"/>
      <c r="H106" s="184"/>
      <c r="I106" s="184"/>
      <c r="J106" s="184"/>
      <c r="K106" s="184"/>
      <c r="L106" s="184"/>
      <c r="M106" s="185"/>
      <c r="N106" s="207" t="str">
        <f t="shared" si="10"/>
        <v/>
      </c>
      <c r="O106" s="208" t="str">
        <f t="shared" si="11"/>
        <v/>
      </c>
      <c r="P106" s="209" t="str">
        <f t="shared" si="12"/>
        <v/>
      </c>
      <c r="Q106" s="183"/>
      <c r="R106" s="184"/>
      <c r="S106" s="184"/>
      <c r="T106" s="184"/>
      <c r="U106" s="184"/>
      <c r="V106" s="184"/>
      <c r="W106" s="184"/>
      <c r="X106" s="184"/>
      <c r="Y106" s="184"/>
      <c r="Z106" s="185"/>
      <c r="AA106" s="207" t="str">
        <f t="shared" si="13"/>
        <v/>
      </c>
      <c r="AB106" s="208" t="str">
        <f t="shared" si="14"/>
        <v/>
      </c>
      <c r="AC106" s="209" t="str">
        <f t="shared" si="15"/>
        <v/>
      </c>
      <c r="AD106" s="587"/>
      <c r="AE106" s="210" t="str">
        <f t="shared" si="16"/>
        <v/>
      </c>
      <c r="AF106" s="209" t="str">
        <f t="shared" si="17"/>
        <v/>
      </c>
      <c r="AG106" s="402" t="str">
        <f t="shared" si="18"/>
        <v/>
      </c>
      <c r="AH106" s="211" t="str">
        <f>IFERROR(_xlfn.XLOOKUP(AG106,HELPER!$C$7:$C$47,HELPER!$D$7:$D$47,,1),"")</f>
        <v/>
      </c>
    </row>
    <row r="107" spans="2:34">
      <c r="B107" s="388">
        <v>40</v>
      </c>
      <c r="C107" s="432" t="str">
        <f>IFERROR(IF(OR($B$8="INCORRECT SHEET. Do not use this sheet to input data.",'INPUT DATA'!S50=""),"",'INPUT DATA'!S50),"")</f>
        <v/>
      </c>
      <c r="D107" s="183"/>
      <c r="E107" s="184"/>
      <c r="F107" s="184"/>
      <c r="G107" s="184"/>
      <c r="H107" s="184"/>
      <c r="I107" s="184"/>
      <c r="J107" s="184"/>
      <c r="K107" s="184"/>
      <c r="L107" s="184"/>
      <c r="M107" s="185"/>
      <c r="N107" s="207" t="str">
        <f t="shared" si="10"/>
        <v/>
      </c>
      <c r="O107" s="208" t="str">
        <f t="shared" si="11"/>
        <v/>
      </c>
      <c r="P107" s="209" t="str">
        <f t="shared" si="12"/>
        <v/>
      </c>
      <c r="Q107" s="183"/>
      <c r="R107" s="184"/>
      <c r="S107" s="184"/>
      <c r="T107" s="184"/>
      <c r="U107" s="184"/>
      <c r="V107" s="184"/>
      <c r="W107" s="184"/>
      <c r="X107" s="184"/>
      <c r="Y107" s="184"/>
      <c r="Z107" s="185"/>
      <c r="AA107" s="207" t="str">
        <f t="shared" si="13"/>
        <v/>
      </c>
      <c r="AB107" s="208" t="str">
        <f t="shared" si="14"/>
        <v/>
      </c>
      <c r="AC107" s="209" t="str">
        <f t="shared" si="15"/>
        <v/>
      </c>
      <c r="AD107" s="587"/>
      <c r="AE107" s="210" t="str">
        <f t="shared" si="16"/>
        <v/>
      </c>
      <c r="AF107" s="209" t="str">
        <f t="shared" si="17"/>
        <v/>
      </c>
      <c r="AG107" s="402" t="str">
        <f t="shared" si="18"/>
        <v/>
      </c>
      <c r="AH107" s="211" t="str">
        <f>IFERROR(_xlfn.XLOOKUP(AG107,HELPER!$C$7:$C$47,HELPER!$D$7:$D$47,,1),"")</f>
        <v/>
      </c>
    </row>
    <row r="108" spans="2:34">
      <c r="B108" s="388">
        <v>41</v>
      </c>
      <c r="C108" s="432" t="str">
        <f>IFERROR(IF(OR($B$8="INCORRECT SHEET. Do not use this sheet to input data.",'INPUT DATA'!S51=""),"",'INPUT DATA'!S51),"")</f>
        <v/>
      </c>
      <c r="D108" s="183"/>
      <c r="E108" s="184"/>
      <c r="F108" s="184"/>
      <c r="G108" s="184"/>
      <c r="H108" s="184"/>
      <c r="I108" s="184"/>
      <c r="J108" s="184"/>
      <c r="K108" s="184"/>
      <c r="L108" s="184"/>
      <c r="M108" s="185"/>
      <c r="N108" s="207" t="str">
        <f t="shared" si="10"/>
        <v/>
      </c>
      <c r="O108" s="208" t="str">
        <f t="shared" si="11"/>
        <v/>
      </c>
      <c r="P108" s="209" t="str">
        <f t="shared" si="12"/>
        <v/>
      </c>
      <c r="Q108" s="183"/>
      <c r="R108" s="184"/>
      <c r="S108" s="184"/>
      <c r="T108" s="184"/>
      <c r="U108" s="184"/>
      <c r="V108" s="184"/>
      <c r="W108" s="184"/>
      <c r="X108" s="184"/>
      <c r="Y108" s="184"/>
      <c r="Z108" s="185"/>
      <c r="AA108" s="207" t="str">
        <f t="shared" si="13"/>
        <v/>
      </c>
      <c r="AB108" s="208" t="str">
        <f t="shared" si="14"/>
        <v/>
      </c>
      <c r="AC108" s="209" t="str">
        <f t="shared" si="15"/>
        <v/>
      </c>
      <c r="AD108" s="587"/>
      <c r="AE108" s="210" t="str">
        <f t="shared" si="16"/>
        <v/>
      </c>
      <c r="AF108" s="209" t="str">
        <f>IFERROR(IF(AE108="","",ROUND(AE108*$AF$14,2)),"")</f>
        <v/>
      </c>
      <c r="AG108" s="402" t="str">
        <f t="shared" si="18"/>
        <v/>
      </c>
      <c r="AH108" s="211" t="str">
        <f>IFERROR(_xlfn.XLOOKUP(AG108,HELPER!$C$7:$C$47,HELPER!$D$7:$D$47,,1),"")</f>
        <v/>
      </c>
    </row>
    <row r="109" spans="2:34">
      <c r="B109" s="388">
        <v>42</v>
      </c>
      <c r="C109" s="432" t="str">
        <f>IFERROR(IF(OR($B$8="INCORRECT SHEET. Do not use this sheet to input data.",'INPUT DATA'!S52=""),"",'INPUT DATA'!S52),"")</f>
        <v/>
      </c>
      <c r="D109" s="183"/>
      <c r="E109" s="184"/>
      <c r="F109" s="184"/>
      <c r="G109" s="184"/>
      <c r="H109" s="184"/>
      <c r="I109" s="184"/>
      <c r="J109" s="184"/>
      <c r="K109" s="184"/>
      <c r="L109" s="184"/>
      <c r="M109" s="185"/>
      <c r="N109" s="207" t="str">
        <f t="shared" si="10"/>
        <v/>
      </c>
      <c r="O109" s="208" t="str">
        <f t="shared" si="11"/>
        <v/>
      </c>
      <c r="P109" s="209" t="str">
        <f t="shared" si="12"/>
        <v/>
      </c>
      <c r="Q109" s="183"/>
      <c r="R109" s="184"/>
      <c r="S109" s="184"/>
      <c r="T109" s="184"/>
      <c r="U109" s="184"/>
      <c r="V109" s="184"/>
      <c r="W109" s="184"/>
      <c r="X109" s="184"/>
      <c r="Y109" s="184"/>
      <c r="Z109" s="185"/>
      <c r="AA109" s="207" t="str">
        <f t="shared" si="13"/>
        <v/>
      </c>
      <c r="AB109" s="208" t="str">
        <f t="shared" si="14"/>
        <v/>
      </c>
      <c r="AC109" s="209" t="str">
        <f t="shared" si="15"/>
        <v/>
      </c>
      <c r="AD109" s="587"/>
      <c r="AE109" s="210" t="str">
        <f t="shared" si="16"/>
        <v/>
      </c>
      <c r="AF109" s="209" t="str">
        <f t="shared" ref="AF109:AF117" si="19">IFERROR(IF(AE109="","",ROUND(AE109*$AF$14,2)),"")</f>
        <v/>
      </c>
      <c r="AG109" s="402" t="str">
        <f t="shared" si="18"/>
        <v/>
      </c>
      <c r="AH109" s="211" t="str">
        <f>IFERROR(_xlfn.XLOOKUP(AG109,HELPER!$C$7:$C$47,HELPER!$D$7:$D$47,,1),"")</f>
        <v/>
      </c>
    </row>
    <row r="110" spans="2:34">
      <c r="B110" s="388">
        <v>43</v>
      </c>
      <c r="C110" s="432" t="str">
        <f>IFERROR(IF(OR($B$8="INCORRECT SHEET. Do not use this sheet to input data.",'INPUT DATA'!S53=""),"",'INPUT DATA'!S53),"")</f>
        <v/>
      </c>
      <c r="D110" s="183"/>
      <c r="E110" s="184"/>
      <c r="F110" s="184"/>
      <c r="G110" s="184"/>
      <c r="H110" s="184"/>
      <c r="I110" s="184"/>
      <c r="J110" s="184"/>
      <c r="K110" s="184"/>
      <c r="L110" s="184"/>
      <c r="M110" s="185"/>
      <c r="N110" s="207" t="str">
        <f t="shared" si="10"/>
        <v/>
      </c>
      <c r="O110" s="208" t="str">
        <f t="shared" si="11"/>
        <v/>
      </c>
      <c r="P110" s="209" t="str">
        <f t="shared" si="12"/>
        <v/>
      </c>
      <c r="Q110" s="183"/>
      <c r="R110" s="184"/>
      <c r="S110" s="184"/>
      <c r="T110" s="184"/>
      <c r="U110" s="184"/>
      <c r="V110" s="184"/>
      <c r="W110" s="184"/>
      <c r="X110" s="184"/>
      <c r="Y110" s="184"/>
      <c r="Z110" s="185"/>
      <c r="AA110" s="207" t="str">
        <f t="shared" si="13"/>
        <v/>
      </c>
      <c r="AB110" s="208" t="str">
        <f t="shared" si="14"/>
        <v/>
      </c>
      <c r="AC110" s="209" t="str">
        <f t="shared" si="15"/>
        <v/>
      </c>
      <c r="AD110" s="587"/>
      <c r="AE110" s="210" t="str">
        <f t="shared" si="16"/>
        <v/>
      </c>
      <c r="AF110" s="209" t="str">
        <f t="shared" si="19"/>
        <v/>
      </c>
      <c r="AG110" s="402" t="str">
        <f t="shared" si="18"/>
        <v/>
      </c>
      <c r="AH110" s="211" t="str">
        <f>IFERROR(_xlfn.XLOOKUP(AG110,HELPER!$C$7:$C$47,HELPER!$D$7:$D$47,,1),"")</f>
        <v/>
      </c>
    </row>
    <row r="111" spans="2:34">
      <c r="B111" s="388">
        <v>44</v>
      </c>
      <c r="C111" s="432" t="str">
        <f>IFERROR(IF(OR($B$8="INCORRECT SHEET. Do not use this sheet to input data.",'INPUT DATA'!S54=""),"",'INPUT DATA'!S54),"")</f>
        <v/>
      </c>
      <c r="D111" s="183"/>
      <c r="E111" s="184"/>
      <c r="F111" s="184"/>
      <c r="G111" s="184"/>
      <c r="H111" s="184"/>
      <c r="I111" s="184"/>
      <c r="J111" s="184"/>
      <c r="K111" s="184"/>
      <c r="L111" s="184"/>
      <c r="M111" s="185"/>
      <c r="N111" s="207" t="str">
        <f t="shared" si="10"/>
        <v/>
      </c>
      <c r="O111" s="208" t="str">
        <f t="shared" si="11"/>
        <v/>
      </c>
      <c r="P111" s="209" t="str">
        <f t="shared" si="12"/>
        <v/>
      </c>
      <c r="Q111" s="183"/>
      <c r="R111" s="184"/>
      <c r="S111" s="184"/>
      <c r="T111" s="184"/>
      <c r="U111" s="184"/>
      <c r="V111" s="184"/>
      <c r="W111" s="184"/>
      <c r="X111" s="184"/>
      <c r="Y111" s="184"/>
      <c r="Z111" s="185"/>
      <c r="AA111" s="207" t="str">
        <f t="shared" si="13"/>
        <v/>
      </c>
      <c r="AB111" s="208" t="str">
        <f t="shared" si="14"/>
        <v/>
      </c>
      <c r="AC111" s="209" t="str">
        <f t="shared" si="15"/>
        <v/>
      </c>
      <c r="AD111" s="587"/>
      <c r="AE111" s="210" t="str">
        <f t="shared" si="16"/>
        <v/>
      </c>
      <c r="AF111" s="209" t="str">
        <f t="shared" si="19"/>
        <v/>
      </c>
      <c r="AG111" s="402" t="str">
        <f t="shared" si="18"/>
        <v/>
      </c>
      <c r="AH111" s="211" t="str">
        <f>IFERROR(_xlfn.XLOOKUP(AG111,HELPER!$C$7:$C$47,HELPER!$D$7:$D$47,,1),"")</f>
        <v/>
      </c>
    </row>
    <row r="112" spans="2:34">
      <c r="B112" s="388">
        <v>45</v>
      </c>
      <c r="C112" s="432" t="str">
        <f>IFERROR(IF(OR($B$8="INCORRECT SHEET. Do not use this sheet to input data.",'INPUT DATA'!S55=""),"",'INPUT DATA'!S55),"")</f>
        <v/>
      </c>
      <c r="D112" s="183"/>
      <c r="E112" s="184"/>
      <c r="F112" s="184"/>
      <c r="G112" s="184"/>
      <c r="H112" s="184"/>
      <c r="I112" s="184"/>
      <c r="J112" s="184"/>
      <c r="K112" s="184"/>
      <c r="L112" s="184"/>
      <c r="M112" s="185"/>
      <c r="N112" s="207" t="str">
        <f t="shared" si="10"/>
        <v/>
      </c>
      <c r="O112" s="208" t="str">
        <f t="shared" si="11"/>
        <v/>
      </c>
      <c r="P112" s="209" t="str">
        <f t="shared" si="12"/>
        <v/>
      </c>
      <c r="Q112" s="183"/>
      <c r="R112" s="184"/>
      <c r="S112" s="184"/>
      <c r="T112" s="184"/>
      <c r="U112" s="184"/>
      <c r="V112" s="184"/>
      <c r="W112" s="184"/>
      <c r="X112" s="184"/>
      <c r="Y112" s="184"/>
      <c r="Z112" s="185"/>
      <c r="AA112" s="207" t="str">
        <f t="shared" si="13"/>
        <v/>
      </c>
      <c r="AB112" s="208" t="str">
        <f t="shared" si="14"/>
        <v/>
      </c>
      <c r="AC112" s="209" t="str">
        <f t="shared" si="15"/>
        <v/>
      </c>
      <c r="AD112" s="587"/>
      <c r="AE112" s="210" t="str">
        <f t="shared" si="16"/>
        <v/>
      </c>
      <c r="AF112" s="209" t="str">
        <f t="shared" si="19"/>
        <v/>
      </c>
      <c r="AG112" s="402" t="str">
        <f t="shared" si="18"/>
        <v/>
      </c>
      <c r="AH112" s="211" t="str">
        <f>IFERROR(_xlfn.XLOOKUP(AG112,HELPER!$C$7:$C$47,HELPER!$D$7:$D$47,,1),"")</f>
        <v/>
      </c>
    </row>
    <row r="113" spans="2:34">
      <c r="B113" s="388">
        <v>46</v>
      </c>
      <c r="C113" s="432" t="str">
        <f>IFERROR(IF(OR($B$8="INCORRECT SHEET. Do not use this sheet to input data.",'INPUT DATA'!S56=""),"",'INPUT DATA'!S56),"")</f>
        <v/>
      </c>
      <c r="D113" s="183"/>
      <c r="E113" s="184"/>
      <c r="F113" s="184"/>
      <c r="G113" s="184"/>
      <c r="H113" s="184"/>
      <c r="I113" s="184"/>
      <c r="J113" s="184"/>
      <c r="K113" s="184"/>
      <c r="L113" s="184"/>
      <c r="M113" s="185"/>
      <c r="N113" s="207" t="str">
        <f t="shared" si="10"/>
        <v/>
      </c>
      <c r="O113" s="208" t="str">
        <f t="shared" si="11"/>
        <v/>
      </c>
      <c r="P113" s="209" t="str">
        <f t="shared" si="12"/>
        <v/>
      </c>
      <c r="Q113" s="183"/>
      <c r="R113" s="184"/>
      <c r="S113" s="184"/>
      <c r="T113" s="184"/>
      <c r="U113" s="184"/>
      <c r="V113" s="184"/>
      <c r="W113" s="184"/>
      <c r="X113" s="184"/>
      <c r="Y113" s="184"/>
      <c r="Z113" s="185"/>
      <c r="AA113" s="207" t="str">
        <f t="shared" si="13"/>
        <v/>
      </c>
      <c r="AB113" s="208" t="str">
        <f t="shared" si="14"/>
        <v/>
      </c>
      <c r="AC113" s="209" t="str">
        <f t="shared" si="15"/>
        <v/>
      </c>
      <c r="AD113" s="587"/>
      <c r="AE113" s="210" t="str">
        <f t="shared" si="16"/>
        <v/>
      </c>
      <c r="AF113" s="209" t="str">
        <f t="shared" si="19"/>
        <v/>
      </c>
      <c r="AG113" s="402" t="str">
        <f t="shared" si="18"/>
        <v/>
      </c>
      <c r="AH113" s="211" t="str">
        <f>IFERROR(_xlfn.XLOOKUP(AG113,HELPER!$C$7:$C$47,HELPER!$D$7:$D$47,,1),"")</f>
        <v/>
      </c>
    </row>
    <row r="114" spans="2:34">
      <c r="B114" s="388">
        <v>47</v>
      </c>
      <c r="C114" s="432" t="str">
        <f>IFERROR(IF(OR($B$8="INCORRECT SHEET. Do not use this sheet to input data.",'INPUT DATA'!S57=""),"",'INPUT DATA'!S57),"")</f>
        <v/>
      </c>
      <c r="D114" s="183"/>
      <c r="E114" s="184"/>
      <c r="F114" s="184"/>
      <c r="G114" s="184"/>
      <c r="H114" s="184"/>
      <c r="I114" s="184"/>
      <c r="J114" s="184"/>
      <c r="K114" s="184"/>
      <c r="L114" s="184"/>
      <c r="M114" s="185"/>
      <c r="N114" s="207" t="str">
        <f t="shared" si="10"/>
        <v/>
      </c>
      <c r="O114" s="208" t="str">
        <f t="shared" si="11"/>
        <v/>
      </c>
      <c r="P114" s="209" t="str">
        <f t="shared" si="12"/>
        <v/>
      </c>
      <c r="Q114" s="183"/>
      <c r="R114" s="184"/>
      <c r="S114" s="184"/>
      <c r="T114" s="184"/>
      <c r="U114" s="184"/>
      <c r="V114" s="184"/>
      <c r="W114" s="184"/>
      <c r="X114" s="184"/>
      <c r="Y114" s="184"/>
      <c r="Z114" s="185"/>
      <c r="AA114" s="207" t="str">
        <f t="shared" si="13"/>
        <v/>
      </c>
      <c r="AB114" s="208" t="str">
        <f t="shared" si="14"/>
        <v/>
      </c>
      <c r="AC114" s="209" t="str">
        <f t="shared" si="15"/>
        <v/>
      </c>
      <c r="AD114" s="587"/>
      <c r="AE114" s="210" t="str">
        <f t="shared" si="16"/>
        <v/>
      </c>
      <c r="AF114" s="209" t="str">
        <f t="shared" si="19"/>
        <v/>
      </c>
      <c r="AG114" s="402" t="str">
        <f t="shared" si="18"/>
        <v/>
      </c>
      <c r="AH114" s="211" t="str">
        <f>IFERROR(_xlfn.XLOOKUP(AG114,HELPER!$C$7:$C$47,HELPER!$D$7:$D$47,,1),"")</f>
        <v/>
      </c>
    </row>
    <row r="115" spans="2:34">
      <c r="B115" s="388">
        <v>48</v>
      </c>
      <c r="C115" s="432" t="str">
        <f>IFERROR(IF(OR($B$8="INCORRECT SHEET. Do not use this sheet to input data.",'INPUT DATA'!S58=""),"",'INPUT DATA'!S58),"")</f>
        <v/>
      </c>
      <c r="D115" s="183"/>
      <c r="E115" s="184"/>
      <c r="F115" s="184"/>
      <c r="G115" s="184"/>
      <c r="H115" s="184"/>
      <c r="I115" s="184"/>
      <c r="J115" s="184"/>
      <c r="K115" s="184"/>
      <c r="L115" s="184"/>
      <c r="M115" s="185"/>
      <c r="N115" s="207" t="str">
        <f t="shared" si="10"/>
        <v/>
      </c>
      <c r="O115" s="208" t="str">
        <f t="shared" si="11"/>
        <v/>
      </c>
      <c r="P115" s="209" t="str">
        <f t="shared" si="12"/>
        <v/>
      </c>
      <c r="Q115" s="183"/>
      <c r="R115" s="184"/>
      <c r="S115" s="184"/>
      <c r="T115" s="184"/>
      <c r="U115" s="184"/>
      <c r="V115" s="184"/>
      <c r="W115" s="184"/>
      <c r="X115" s="184"/>
      <c r="Y115" s="184"/>
      <c r="Z115" s="185"/>
      <c r="AA115" s="207" t="str">
        <f t="shared" si="13"/>
        <v/>
      </c>
      <c r="AB115" s="208" t="str">
        <f t="shared" si="14"/>
        <v/>
      </c>
      <c r="AC115" s="209" t="str">
        <f t="shared" si="15"/>
        <v/>
      </c>
      <c r="AD115" s="587"/>
      <c r="AE115" s="210" t="str">
        <f t="shared" si="16"/>
        <v/>
      </c>
      <c r="AF115" s="209" t="str">
        <f t="shared" si="19"/>
        <v/>
      </c>
      <c r="AG115" s="402" t="str">
        <f t="shared" si="18"/>
        <v/>
      </c>
      <c r="AH115" s="211" t="str">
        <f>IFERROR(_xlfn.XLOOKUP(AG115,HELPER!$C$7:$C$47,HELPER!$D$7:$D$47,,1),"")</f>
        <v/>
      </c>
    </row>
    <row r="116" spans="2:34">
      <c r="B116" s="388">
        <v>49</v>
      </c>
      <c r="C116" s="432" t="str">
        <f>IFERROR(IF(OR($B$8="INCORRECT SHEET. Do not use this sheet to input data.",'INPUT DATA'!S59=""),"",'INPUT DATA'!S59),"")</f>
        <v/>
      </c>
      <c r="D116" s="183"/>
      <c r="E116" s="184"/>
      <c r="F116" s="184"/>
      <c r="G116" s="184"/>
      <c r="H116" s="184"/>
      <c r="I116" s="184"/>
      <c r="J116" s="184"/>
      <c r="K116" s="184"/>
      <c r="L116" s="184"/>
      <c r="M116" s="185"/>
      <c r="N116" s="207" t="str">
        <f t="shared" si="10"/>
        <v/>
      </c>
      <c r="O116" s="208" t="str">
        <f t="shared" si="11"/>
        <v/>
      </c>
      <c r="P116" s="209" t="str">
        <f t="shared" si="12"/>
        <v/>
      </c>
      <c r="Q116" s="183"/>
      <c r="R116" s="184"/>
      <c r="S116" s="184"/>
      <c r="T116" s="184"/>
      <c r="U116" s="184"/>
      <c r="V116" s="184"/>
      <c r="W116" s="184"/>
      <c r="X116" s="184"/>
      <c r="Y116" s="184"/>
      <c r="Z116" s="185"/>
      <c r="AA116" s="207" t="str">
        <f t="shared" si="13"/>
        <v/>
      </c>
      <c r="AB116" s="208" t="str">
        <f t="shared" si="14"/>
        <v/>
      </c>
      <c r="AC116" s="209" t="str">
        <f t="shared" si="15"/>
        <v/>
      </c>
      <c r="AD116" s="587"/>
      <c r="AE116" s="210" t="str">
        <f t="shared" si="16"/>
        <v/>
      </c>
      <c r="AF116" s="209" t="str">
        <f t="shared" si="19"/>
        <v/>
      </c>
      <c r="AG116" s="402" t="str">
        <f t="shared" si="18"/>
        <v/>
      </c>
      <c r="AH116" s="211" t="str">
        <f>IFERROR(_xlfn.XLOOKUP(AG116,HELPER!$C$7:$C$47,HELPER!$D$7:$D$47,,1),"")</f>
        <v/>
      </c>
    </row>
    <row r="117" spans="2:34" ht="17.25" thickBot="1">
      <c r="B117" s="389">
        <v>50</v>
      </c>
      <c r="C117" s="515" t="str">
        <f>IFERROR(IF(OR($B$8="INCORRECT SHEET. Do not use this sheet to input data.",'INPUT DATA'!S60=""),"",'INPUT DATA'!S60),"")</f>
        <v/>
      </c>
      <c r="D117" s="186"/>
      <c r="E117" s="187"/>
      <c r="F117" s="187"/>
      <c r="G117" s="187"/>
      <c r="H117" s="187"/>
      <c r="I117" s="187"/>
      <c r="J117" s="187"/>
      <c r="K117" s="187"/>
      <c r="L117" s="187"/>
      <c r="M117" s="188"/>
      <c r="N117" s="217" t="str">
        <f t="shared" si="10"/>
        <v/>
      </c>
      <c r="O117" s="218" t="str">
        <f t="shared" si="11"/>
        <v/>
      </c>
      <c r="P117" s="219" t="str">
        <f t="shared" si="12"/>
        <v/>
      </c>
      <c r="Q117" s="186"/>
      <c r="R117" s="187"/>
      <c r="S117" s="187"/>
      <c r="T117" s="187"/>
      <c r="U117" s="187"/>
      <c r="V117" s="187"/>
      <c r="W117" s="187"/>
      <c r="X117" s="187"/>
      <c r="Y117" s="187"/>
      <c r="Z117" s="188"/>
      <c r="AA117" s="217" t="str">
        <f t="shared" si="13"/>
        <v/>
      </c>
      <c r="AB117" s="218" t="str">
        <f t="shared" si="14"/>
        <v/>
      </c>
      <c r="AC117" s="219" t="str">
        <f t="shared" si="15"/>
        <v/>
      </c>
      <c r="AD117" s="588"/>
      <c r="AE117" s="220" t="str">
        <f>IFERROR(IF(AD117="","",ROUND(AD117/$AD$14,2)*100),"")</f>
        <v/>
      </c>
      <c r="AF117" s="219" t="str">
        <f t="shared" si="19"/>
        <v/>
      </c>
      <c r="AG117" s="403" t="str">
        <f t="shared" si="18"/>
        <v/>
      </c>
      <c r="AH117" s="14" t="str">
        <f>IFERROR(_xlfn.XLOOKUP(AG117,HELPER!$C$7:$C$47,HELPER!$D$7:$D$47,,1),"")</f>
        <v/>
      </c>
    </row>
    <row r="118" spans="2:34">
      <c r="B118" s="45" t="s">
        <v>154</v>
      </c>
      <c r="C118" s="45"/>
      <c r="D118" s="45"/>
      <c r="E118" s="45" t="s">
        <v>154</v>
      </c>
      <c r="F118" s="45" t="s">
        <v>154</v>
      </c>
      <c r="G118" s="45" t="s">
        <v>154</v>
      </c>
      <c r="H118" s="45" t="s">
        <v>154</v>
      </c>
      <c r="I118" s="45" t="s">
        <v>154</v>
      </c>
      <c r="J118" s="45" t="s">
        <v>154</v>
      </c>
      <c r="K118" s="45" t="s">
        <v>154</v>
      </c>
      <c r="L118" s="45" t="s">
        <v>154</v>
      </c>
      <c r="M118" s="45" t="s">
        <v>154</v>
      </c>
      <c r="N118" s="45" t="s">
        <v>154</v>
      </c>
      <c r="O118" s="45" t="s">
        <v>154</v>
      </c>
      <c r="P118" s="45" t="s">
        <v>154</v>
      </c>
      <c r="Q118" s="45"/>
      <c r="R118" s="45" t="s">
        <v>154</v>
      </c>
      <c r="S118" s="45" t="s">
        <v>154</v>
      </c>
      <c r="T118" s="45" t="s">
        <v>154</v>
      </c>
      <c r="U118" s="45" t="s">
        <v>154</v>
      </c>
      <c r="V118" s="45" t="s">
        <v>154</v>
      </c>
      <c r="W118" s="45" t="s">
        <v>154</v>
      </c>
      <c r="X118" s="45" t="s">
        <v>154</v>
      </c>
      <c r="Y118" s="45" t="s">
        <v>154</v>
      </c>
      <c r="Z118" s="45" t="s">
        <v>154</v>
      </c>
      <c r="AA118" s="45" t="s">
        <v>154</v>
      </c>
      <c r="AB118" s="45" t="s">
        <v>154</v>
      </c>
      <c r="AC118" s="45" t="s">
        <v>154</v>
      </c>
      <c r="AD118" s="45"/>
      <c r="AE118" s="45"/>
      <c r="AF118" s="45" t="s">
        <v>154</v>
      </c>
      <c r="AG118" s="45" t="s">
        <v>154</v>
      </c>
      <c r="AH118" s="45" t="s">
        <v>154</v>
      </c>
    </row>
    <row r="119" spans="2:34"/>
    <row r="120" spans="2:34"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row>
  </sheetData>
  <sheetProtection algorithmName="SHA-512" hashValue="3vGlD4XbdiQJt2qxhw2bEjBqohfrIuu3aumJbkgAAWiySSPeH5MinX8r3TGt/7Txkl0/PHcW0ktKBa8xol4sjw==" saltValue="OyBFMWsDa0yMRV3hH/DmTA==" spinCount="100000" sheet="1" objects="1" scenarios="1" formatCells="0" formatColumns="0" formatRows="0" autoFilter="0"/>
  <autoFilter ref="C15:C118" xr:uid="{8A1226F9-1F1C-4E6A-ADB2-85745A735187}"/>
  <mergeCells count="25">
    <mergeCell ref="B14:C14"/>
    <mergeCell ref="D10:G10"/>
    <mergeCell ref="D9:G9"/>
    <mergeCell ref="J9:M9"/>
    <mergeCell ref="B9:C13"/>
    <mergeCell ref="AD11:AF11"/>
    <mergeCell ref="AD12:AF12"/>
    <mergeCell ref="Q9:T9"/>
    <mergeCell ref="Q10:T10"/>
    <mergeCell ref="H10:P10"/>
    <mergeCell ref="U10:AH10"/>
    <mergeCell ref="AG11:AG14"/>
    <mergeCell ref="AH11:AH14"/>
    <mergeCell ref="D11:P11"/>
    <mergeCell ref="D12:P12"/>
    <mergeCell ref="Q11:AC11"/>
    <mergeCell ref="Q12:AC12"/>
    <mergeCell ref="P6:T6"/>
    <mergeCell ref="H7:T7"/>
    <mergeCell ref="H9:I9"/>
    <mergeCell ref="AA6:AC6"/>
    <mergeCell ref="AA7:AC7"/>
    <mergeCell ref="H6:M6"/>
    <mergeCell ref="U9:AH9"/>
    <mergeCell ref="N9:P9"/>
  </mergeCells>
  <phoneticPr fontId="3" type="noConversion"/>
  <conditionalFormatting sqref="B8:AH8">
    <cfRule type="expression" dxfId="57" priority="29">
      <formula>$B$8="INCORRECT SHEET. Do not use this sheet to input data."</formula>
    </cfRule>
  </conditionalFormatting>
  <conditionalFormatting sqref="B11:AH14 B9:AH9 B10:U10">
    <cfRule type="expression" dxfId="56" priority="28">
      <formula>$B$8="INCORRECT SHEET. Do not use this sheet to input data."</formula>
    </cfRule>
  </conditionalFormatting>
  <conditionalFormatting sqref="C17:C66 AH17:AH66">
    <cfRule type="expression" dxfId="55" priority="12">
      <formula>$AH17&lt;75</formula>
    </cfRule>
  </conditionalFormatting>
  <conditionalFormatting sqref="C68:C117">
    <cfRule type="expression" dxfId="54" priority="8">
      <formula>$AH68&lt;75</formula>
    </cfRule>
  </conditionalFormatting>
  <conditionalFormatting sqref="D17:M66 D68:M117">
    <cfRule type="expression" dxfId="53" priority="15">
      <formula>D$14=""</formula>
    </cfRule>
  </conditionalFormatting>
  <conditionalFormatting sqref="N17:P66 N68:P117">
    <cfRule type="expression" dxfId="52" priority="13">
      <formula>$O17&lt;70</formula>
    </cfRule>
  </conditionalFormatting>
  <conditionalFormatting sqref="O17:O66 O68:O117">
    <cfRule type="expression" dxfId="51" priority="11">
      <formula>$O17&lt;70</formula>
    </cfRule>
  </conditionalFormatting>
  <conditionalFormatting sqref="Q17:Z66 AD17:AD66 Q68:Z117 AD68:AD117">
    <cfRule type="expression" dxfId="50" priority="14">
      <formula>Q$14=""</formula>
    </cfRule>
  </conditionalFormatting>
  <conditionalFormatting sqref="AA17:AC66 AA68:AC117">
    <cfRule type="expression" dxfId="49" priority="10">
      <formula>$AB17&lt;70</formula>
    </cfRule>
  </conditionalFormatting>
  <conditionalFormatting sqref="AB17:AB66 AB68:AB117">
    <cfRule type="expression" dxfId="48" priority="9">
      <formula>$AB17&lt;70</formula>
    </cfRule>
  </conditionalFormatting>
  <conditionalFormatting sqref="AD13">
    <cfRule type="expression" dxfId="47" priority="92">
      <formula>#REF!&lt;&gt;""</formula>
    </cfRule>
  </conditionalFormatting>
  <conditionalFormatting sqref="AD13:AD14">
    <cfRule type="expression" dxfId="46" priority="36">
      <formula>$AD$14=0</formula>
    </cfRule>
    <cfRule type="expression" dxfId="45" priority="91">
      <formula>#REF!=""</formula>
    </cfRule>
  </conditionalFormatting>
  <conditionalFormatting sqref="AD11:AF14">
    <cfRule type="expression" dxfId="44" priority="25">
      <formula>$AD$12=0</formula>
    </cfRule>
  </conditionalFormatting>
  <conditionalFormatting sqref="AE17:AE66">
    <cfRule type="expression" dxfId="43" priority="6">
      <formula>$AE17&lt;70</formula>
    </cfRule>
  </conditionalFormatting>
  <conditionalFormatting sqref="AE68:AE117">
    <cfRule type="expression" dxfId="42" priority="1">
      <formula>$AE68&lt;70</formula>
    </cfRule>
  </conditionalFormatting>
  <conditionalFormatting sqref="AE17:AF66">
    <cfRule type="expression" dxfId="41" priority="7">
      <formula>$AE17&lt;70</formula>
    </cfRule>
  </conditionalFormatting>
  <conditionalFormatting sqref="AE68:AF117">
    <cfRule type="expression" dxfId="40" priority="2">
      <formula>$AE68&lt;70</formula>
    </cfRule>
  </conditionalFormatting>
  <conditionalFormatting sqref="AH68:AH117">
    <cfRule type="expression" dxfId="39" priority="5">
      <formula>$AH68&lt;75</formula>
    </cfRule>
  </conditionalFormatting>
  <dataValidations count="1">
    <dataValidation type="list" allowBlank="1" showInputMessage="1" showErrorMessage="1" sqref="Q17:Z117 D17:M117 AD17:AD117" xr:uid="{97F63350-60B7-481A-98A5-B77E3B44894F}">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7FA1-FB55-41B2-9326-E299C5AB6A53}">
  <sheetPr>
    <tabColor theme="5"/>
  </sheetPr>
  <dimension ref="A1:AS120"/>
  <sheetViews>
    <sheetView showGridLines="0" zoomScale="85" zoomScaleNormal="87" workbookViewId="0">
      <pane ySplit="15" topLeftCell="A16" activePane="bottomLeft" state="frozen"/>
      <selection pane="bottomLeft" activeCell="B2" sqref="B2"/>
    </sheetView>
  </sheetViews>
  <sheetFormatPr defaultColWidth="0" defaultRowHeight="16.5"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6.7109375" style="2" customWidth="1"/>
    <col min="33" max="34" width="8.7109375" style="2" customWidth="1"/>
    <col min="35" max="35" width="3.7109375" style="2" customWidth="1"/>
    <col min="36" max="45" width="3.7109375" style="2" hidden="1" customWidth="1"/>
    <col min="46" max="16384" width="9.140625" style="2" hidden="1"/>
  </cols>
  <sheetData>
    <row r="1" spans="2:34"/>
    <row r="2" spans="2:34" ht="27">
      <c r="B2" s="189" t="s">
        <v>144</v>
      </c>
      <c r="C2" s="10"/>
      <c r="D2" s="10"/>
      <c r="E2" s="10"/>
      <c r="F2" s="10"/>
      <c r="G2" s="10"/>
      <c r="H2" s="10"/>
      <c r="I2" s="10"/>
      <c r="J2" s="10"/>
      <c r="K2" s="10"/>
      <c r="L2" s="10"/>
      <c r="M2" s="10"/>
      <c r="N2" s="10"/>
      <c r="O2" s="10"/>
      <c r="P2" s="10"/>
      <c r="Q2" s="10"/>
      <c r="R2" s="10"/>
      <c r="S2" s="10"/>
      <c r="T2" s="10"/>
      <c r="U2" s="10"/>
      <c r="V2" s="10"/>
      <c r="W2" s="10"/>
      <c r="X2" s="10"/>
      <c r="Y2" s="10"/>
      <c r="Z2" s="10"/>
      <c r="AA2" s="10"/>
      <c r="AB2" s="10"/>
      <c r="AC2" s="190"/>
      <c r="AD2" s="10"/>
      <c r="AE2" s="10"/>
      <c r="AF2" s="10"/>
      <c r="AG2" s="10"/>
      <c r="AH2" s="10"/>
    </row>
    <row r="3" spans="2:34">
      <c r="B3" s="191" t="s">
        <v>145</v>
      </c>
      <c r="C3" s="10"/>
      <c r="D3" s="10"/>
      <c r="E3" s="10"/>
      <c r="F3" s="10"/>
      <c r="G3" s="10"/>
      <c r="H3" s="10"/>
      <c r="I3" s="10"/>
      <c r="J3" s="10"/>
      <c r="K3" s="10"/>
      <c r="L3" s="10"/>
      <c r="M3" s="10"/>
      <c r="N3" s="10"/>
      <c r="O3" s="10"/>
      <c r="P3" s="10"/>
      <c r="Q3" s="10"/>
      <c r="R3" s="10"/>
      <c r="S3" s="10"/>
      <c r="T3" s="10"/>
      <c r="U3" s="10"/>
      <c r="V3" s="10"/>
      <c r="W3" s="10"/>
      <c r="X3" s="10"/>
      <c r="Y3" s="10"/>
      <c r="Z3" s="10"/>
      <c r="AA3" s="10"/>
      <c r="AB3" s="10"/>
      <c r="AC3" s="190"/>
      <c r="AD3" s="10"/>
      <c r="AE3" s="10"/>
      <c r="AF3" s="10"/>
      <c r="AG3" s="10"/>
      <c r="AH3" s="10"/>
    </row>
    <row r="4" spans="2:34"/>
    <row r="5" spans="2:34"/>
    <row r="6" spans="2:34">
      <c r="G6" s="46" t="s">
        <v>7</v>
      </c>
      <c r="H6" s="806" t="str">
        <f>UPPER('INPUT DATA'!F10)</f>
        <v xml:space="preserve">CAR </v>
      </c>
      <c r="I6" s="806"/>
      <c r="J6" s="806"/>
      <c r="K6" s="806"/>
      <c r="L6" s="806"/>
      <c r="M6" s="806"/>
      <c r="O6" s="46" t="s">
        <v>10</v>
      </c>
      <c r="P6" s="806" t="str">
        <f>UPPER('INPUT DATA'!F11)</f>
        <v/>
      </c>
      <c r="Q6" s="806"/>
      <c r="R6" s="806"/>
      <c r="S6" s="806"/>
      <c r="T6" s="806"/>
      <c r="Z6" s="46" t="s">
        <v>12</v>
      </c>
      <c r="AA6" s="806" t="str">
        <f>IF('INPUT DATA'!F13="","",'INPUT DATA'!F13)</f>
        <v/>
      </c>
      <c r="AB6" s="806"/>
      <c r="AC6" s="806"/>
    </row>
    <row r="7" spans="2:34">
      <c r="G7" s="46" t="s">
        <v>14</v>
      </c>
      <c r="H7" s="807" t="str">
        <f>UPPER('INPUT DATA'!F14)</f>
        <v/>
      </c>
      <c r="I7" s="808"/>
      <c r="J7" s="808"/>
      <c r="K7" s="808"/>
      <c r="L7" s="808"/>
      <c r="M7" s="808"/>
      <c r="N7" s="808"/>
      <c r="O7" s="808"/>
      <c r="P7" s="808"/>
      <c r="Q7" s="808"/>
      <c r="R7" s="808"/>
      <c r="S7" s="808"/>
      <c r="T7" s="809"/>
      <c r="Z7" s="46" t="s">
        <v>16</v>
      </c>
      <c r="AA7" s="806" t="str">
        <f>'INPUT DATA'!F16&amp;"    "&amp;'INPUT DATA'!G16</f>
        <v>2026    –    2027</v>
      </c>
      <c r="AB7" s="806"/>
      <c r="AC7" s="806"/>
    </row>
    <row r="8" spans="2:34" ht="17.25" thickBot="1">
      <c r="B8" s="269" t="str">
        <f>IF(OR(HELPER!G23="2ND",HELPER!G23="1ST &amp; 2ND",HELPER!G23="2ND &amp; 3RD",HELPER!G23="1ST, 2ND, 3RD"),"","INCORRECT SHEET. Do not use this sheet to input data.")</f>
        <v/>
      </c>
      <c r="C8" s="45"/>
    </row>
    <row r="9" spans="2:34" ht="20.25">
      <c r="B9" s="846" t="s">
        <v>155</v>
      </c>
      <c r="C9" s="847"/>
      <c r="D9" s="841" t="s">
        <v>23</v>
      </c>
      <c r="E9" s="842"/>
      <c r="F9" s="842"/>
      <c r="G9" s="842"/>
      <c r="H9" s="810">
        <f>IFERROR(IF(B8&lt;&gt;"INCORRECT SHEET. Do not use this sheet to input data.",'INPUT DATA'!F24,""),"")</f>
        <v>12</v>
      </c>
      <c r="I9" s="810"/>
      <c r="J9" s="843" t="s">
        <v>146</v>
      </c>
      <c r="K9" s="844"/>
      <c r="L9" s="844"/>
      <c r="M9" s="845"/>
      <c r="N9" s="814" t="str">
        <f>IFERROR(IF(B8&lt;&gt;"INCORRECT SHEET. Do not use this sheet to input data.",UPPER('INPUT DATA'!F25),""),"")</f>
        <v/>
      </c>
      <c r="O9" s="815"/>
      <c r="P9" s="816"/>
      <c r="Q9" s="823" t="s">
        <v>37</v>
      </c>
      <c r="R9" s="823"/>
      <c r="S9" s="823"/>
      <c r="T9" s="823"/>
      <c r="U9" s="811" t="str">
        <f>IFERROR(IF(B8&lt;&gt;"INCORRECT SHEET. Do not use this sheet to input data.",UPPER(HELPER!G10),""),"")</f>
        <v>TITLE</v>
      </c>
      <c r="V9" s="812"/>
      <c r="W9" s="812"/>
      <c r="X9" s="812"/>
      <c r="Y9" s="812"/>
      <c r="Z9" s="812"/>
      <c r="AA9" s="812"/>
      <c r="AB9" s="812"/>
      <c r="AC9" s="812"/>
      <c r="AD9" s="812"/>
      <c r="AE9" s="812"/>
      <c r="AF9" s="812"/>
      <c r="AG9" s="812"/>
      <c r="AH9" s="813"/>
    </row>
    <row r="10" spans="2:34" ht="15" customHeight="1" thickBot="1">
      <c r="B10" s="848"/>
      <c r="C10" s="849"/>
      <c r="D10" s="840" t="s">
        <v>21</v>
      </c>
      <c r="E10" s="824"/>
      <c r="F10" s="824"/>
      <c r="G10" s="824"/>
      <c r="H10" s="825" t="str">
        <f>IFERROR(IF(B8&lt;&gt;"INCORRECT SHEET. Do not use this sheet to input data.",UPPER('INPUT DATA'!F22),""),"")</f>
        <v/>
      </c>
      <c r="I10" s="826"/>
      <c r="J10" s="826"/>
      <c r="K10" s="826"/>
      <c r="L10" s="826"/>
      <c r="M10" s="826"/>
      <c r="N10" s="826"/>
      <c r="O10" s="826"/>
      <c r="P10" s="827"/>
      <c r="Q10" s="824" t="s">
        <v>147</v>
      </c>
      <c r="R10" s="824"/>
      <c r="S10" s="824"/>
      <c r="T10" s="824"/>
      <c r="U10" s="825" t="str">
        <f>IFERROR(IF(B8&lt;&gt;"INCORRECT SHEET. Do not use this sheet to input data.",UPPER(HELPER!G9),""),"")</f>
        <v>ACADEMIC TRACK (EXCEPT IMMERSION)</v>
      </c>
      <c r="V10" s="826"/>
      <c r="W10" s="826"/>
      <c r="X10" s="826"/>
      <c r="Y10" s="826"/>
      <c r="Z10" s="826"/>
      <c r="AA10" s="826"/>
      <c r="AB10" s="826"/>
      <c r="AC10" s="826"/>
      <c r="AD10" s="826"/>
      <c r="AE10" s="826"/>
      <c r="AF10" s="826"/>
      <c r="AG10" s="826"/>
      <c r="AH10" s="828"/>
    </row>
    <row r="11" spans="2:34" ht="20.25">
      <c r="B11" s="848"/>
      <c r="C11" s="849"/>
      <c r="D11" s="817" t="s">
        <v>148</v>
      </c>
      <c r="E11" s="818"/>
      <c r="F11" s="818"/>
      <c r="G11" s="818"/>
      <c r="H11" s="818"/>
      <c r="I11" s="818"/>
      <c r="J11" s="818"/>
      <c r="K11" s="818"/>
      <c r="L11" s="818"/>
      <c r="M11" s="818"/>
      <c r="N11" s="818"/>
      <c r="O11" s="818"/>
      <c r="P11" s="833"/>
      <c r="Q11" s="817" t="s">
        <v>149</v>
      </c>
      <c r="R11" s="818"/>
      <c r="S11" s="818"/>
      <c r="T11" s="818"/>
      <c r="U11" s="818"/>
      <c r="V11" s="818"/>
      <c r="W11" s="818"/>
      <c r="X11" s="818"/>
      <c r="Y11" s="818"/>
      <c r="Z11" s="818"/>
      <c r="AA11" s="818"/>
      <c r="AB11" s="818"/>
      <c r="AC11" s="833"/>
      <c r="AD11" s="817" t="s">
        <v>150</v>
      </c>
      <c r="AE11" s="818"/>
      <c r="AF11" s="819"/>
      <c r="AG11" s="829" t="s">
        <v>151</v>
      </c>
      <c r="AH11" s="831" t="s">
        <v>152</v>
      </c>
    </row>
    <row r="12" spans="2:34" ht="21" thickBot="1">
      <c r="B12" s="848"/>
      <c r="C12" s="849"/>
      <c r="D12" s="834">
        <f>IF($U$9&lt;&gt;"",IFERROR(_xlfn.IFNA(HELPER!G13/100,""),""),"")</f>
        <v>0.25</v>
      </c>
      <c r="E12" s="835"/>
      <c r="F12" s="835"/>
      <c r="G12" s="835"/>
      <c r="H12" s="835"/>
      <c r="I12" s="835"/>
      <c r="J12" s="835"/>
      <c r="K12" s="835"/>
      <c r="L12" s="835"/>
      <c r="M12" s="835"/>
      <c r="N12" s="835"/>
      <c r="O12" s="835"/>
      <c r="P12" s="836"/>
      <c r="Q12" s="820">
        <f>IF($U$9&lt;&gt;"",IFERROR(_xlfn.IFNA(HELPER!G14/100,""),""),"")</f>
        <v>0.45</v>
      </c>
      <c r="R12" s="821"/>
      <c r="S12" s="821"/>
      <c r="T12" s="821"/>
      <c r="U12" s="821"/>
      <c r="V12" s="821"/>
      <c r="W12" s="821"/>
      <c r="X12" s="821"/>
      <c r="Y12" s="821"/>
      <c r="Z12" s="821"/>
      <c r="AA12" s="821"/>
      <c r="AB12" s="821"/>
      <c r="AC12" s="837"/>
      <c r="AD12" s="820">
        <f>IF($U$9&lt;&gt;"",IFERROR(_xlfn.IFNA(HELPER!G15/100,""),""),"")</f>
        <v>0.3</v>
      </c>
      <c r="AE12" s="821"/>
      <c r="AF12" s="822"/>
      <c r="AG12" s="830"/>
      <c r="AH12" s="832"/>
    </row>
    <row r="13" spans="2:34" ht="17.25" thickBot="1">
      <c r="B13" s="848"/>
      <c r="C13" s="849"/>
      <c r="D13" s="195">
        <v>1</v>
      </c>
      <c r="E13" s="503">
        <v>2</v>
      </c>
      <c r="F13" s="503">
        <v>3</v>
      </c>
      <c r="G13" s="503">
        <v>4</v>
      </c>
      <c r="H13" s="503">
        <v>5</v>
      </c>
      <c r="I13" s="503">
        <v>6</v>
      </c>
      <c r="J13" s="503">
        <v>7</v>
      </c>
      <c r="K13" s="503">
        <v>8</v>
      </c>
      <c r="L13" s="503">
        <v>9</v>
      </c>
      <c r="M13" s="504">
        <v>10</v>
      </c>
      <c r="N13" s="192" t="s">
        <v>153</v>
      </c>
      <c r="O13" s="193" t="s">
        <v>96</v>
      </c>
      <c r="P13" s="194" t="s">
        <v>94</v>
      </c>
      <c r="Q13" s="195">
        <v>1</v>
      </c>
      <c r="R13" s="503">
        <v>2</v>
      </c>
      <c r="S13" s="503">
        <v>3</v>
      </c>
      <c r="T13" s="503">
        <v>4</v>
      </c>
      <c r="U13" s="503">
        <v>5</v>
      </c>
      <c r="V13" s="503">
        <v>6</v>
      </c>
      <c r="W13" s="503">
        <v>7</v>
      </c>
      <c r="X13" s="503">
        <v>8</v>
      </c>
      <c r="Y13" s="503">
        <v>9</v>
      </c>
      <c r="Z13" s="504">
        <v>10</v>
      </c>
      <c r="AA13" s="192" t="s">
        <v>153</v>
      </c>
      <c r="AB13" s="193" t="s">
        <v>96</v>
      </c>
      <c r="AC13" s="194" t="s">
        <v>94</v>
      </c>
      <c r="AD13" s="195" t="s">
        <v>88</v>
      </c>
      <c r="AE13" s="192" t="s">
        <v>96</v>
      </c>
      <c r="AF13" s="404" t="s">
        <v>94</v>
      </c>
      <c r="AG13" s="830"/>
      <c r="AH13" s="832"/>
    </row>
    <row r="14" spans="2:34">
      <c r="B14" s="838" t="s">
        <v>71</v>
      </c>
      <c r="C14" s="839"/>
      <c r="D14" s="179"/>
      <c r="E14" s="180"/>
      <c r="F14" s="181"/>
      <c r="G14" s="180"/>
      <c r="H14" s="180"/>
      <c r="I14" s="180"/>
      <c r="J14" s="180"/>
      <c r="K14" s="180"/>
      <c r="L14" s="180"/>
      <c r="M14" s="182"/>
      <c r="N14" s="196">
        <f>SUM(D14:M14)</f>
        <v>0</v>
      </c>
      <c r="O14" s="197">
        <v>100</v>
      </c>
      <c r="P14" s="198">
        <f>D12</f>
        <v>0.25</v>
      </c>
      <c r="Q14" s="179"/>
      <c r="R14" s="180"/>
      <c r="S14" s="180"/>
      <c r="T14" s="180"/>
      <c r="U14" s="180"/>
      <c r="V14" s="180"/>
      <c r="W14" s="180"/>
      <c r="X14" s="180"/>
      <c r="Y14" s="180"/>
      <c r="Z14" s="182"/>
      <c r="AA14" s="196">
        <f>SUM(Q14:Z14)</f>
        <v>0</v>
      </c>
      <c r="AB14" s="197">
        <v>100</v>
      </c>
      <c r="AC14" s="198">
        <f>Q12</f>
        <v>0.45</v>
      </c>
      <c r="AD14" s="179"/>
      <c r="AE14" s="196">
        <f>IF(AD12=0,"",100)</f>
        <v>100</v>
      </c>
      <c r="AF14" s="405">
        <f>AD12</f>
        <v>0.3</v>
      </c>
      <c r="AG14" s="830"/>
      <c r="AH14" s="832"/>
    </row>
    <row r="15" spans="2:34" ht="18">
      <c r="B15" s="199" t="s">
        <v>44</v>
      </c>
      <c r="C15" s="200"/>
      <c r="D15" s="201"/>
      <c r="E15" s="202"/>
      <c r="F15" s="202"/>
      <c r="G15" s="202"/>
      <c r="H15" s="202"/>
      <c r="I15" s="202"/>
      <c r="J15" s="202"/>
      <c r="K15" s="202"/>
      <c r="L15" s="202"/>
      <c r="M15" s="203"/>
      <c r="N15" s="201"/>
      <c r="O15" s="202"/>
      <c r="P15" s="204"/>
      <c r="Q15" s="201"/>
      <c r="R15" s="202"/>
      <c r="S15" s="202"/>
      <c r="T15" s="202"/>
      <c r="U15" s="202"/>
      <c r="V15" s="202"/>
      <c r="W15" s="202"/>
      <c r="X15" s="202"/>
      <c r="Y15" s="202"/>
      <c r="Z15" s="203"/>
      <c r="AA15" s="201"/>
      <c r="AB15" s="202"/>
      <c r="AC15" s="204"/>
      <c r="AD15" s="201"/>
      <c r="AE15" s="201"/>
      <c r="AF15" s="406"/>
      <c r="AG15" s="201"/>
      <c r="AH15" s="204"/>
    </row>
    <row r="16" spans="2:34" ht="17.25" thickBot="1">
      <c r="B16" s="205" t="s">
        <v>46</v>
      </c>
      <c r="C16" s="513"/>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90"/>
      <c r="AF16" s="591"/>
      <c r="AG16" s="407"/>
      <c r="AH16" s="206"/>
    </row>
    <row r="17" spans="2:34">
      <c r="B17" s="517">
        <v>1</v>
      </c>
      <c r="C17" s="390" t="str">
        <f>IFERROR(IF(OR($B$8="INCORRECT SHEET. Do not use this sheet to input data.",'INPUT DATA'!O11=""),"",'INPUT DATA'!O11),"")</f>
        <v/>
      </c>
      <c r="D17" s="391"/>
      <c r="E17" s="392"/>
      <c r="F17" s="392"/>
      <c r="G17" s="392"/>
      <c r="H17" s="392"/>
      <c r="I17" s="392"/>
      <c r="J17" s="392"/>
      <c r="K17" s="392"/>
      <c r="L17" s="392"/>
      <c r="M17" s="393"/>
      <c r="N17" s="394" t="str">
        <f>IF(COUNT(D17:M17)=0,"",SUM(D17:M17))</f>
        <v/>
      </c>
      <c r="O17" s="395" t="str">
        <f>IFERROR(IF(N17="","",ROUND(N17/N$14*O$14,2)),"")</f>
        <v/>
      </c>
      <c r="P17" s="396" t="str">
        <f>IFERROR(IF(O17="","",ROUND(O17*P$14,2)),"")</f>
        <v/>
      </c>
      <c r="Q17" s="391"/>
      <c r="R17" s="392"/>
      <c r="S17" s="392"/>
      <c r="T17" s="392"/>
      <c r="U17" s="392"/>
      <c r="V17" s="392"/>
      <c r="W17" s="392"/>
      <c r="X17" s="392"/>
      <c r="Y17" s="392"/>
      <c r="Z17" s="393"/>
      <c r="AA17" s="207" t="str">
        <f t="shared" ref="AA17:AA66" si="0">IF(COUNT(Q17:Z17)=0,"",SUM(Q17:Z17))</f>
        <v/>
      </c>
      <c r="AB17" s="395" t="str">
        <f>IFERROR(IF(AA17="","",ROUND(AA17/AA$14*AB$14,2)),"")</f>
        <v/>
      </c>
      <c r="AC17" s="396" t="str">
        <f>IFERROR(IF(AB17="","",ROUND(AB17*AC$14,2)),"")</f>
        <v/>
      </c>
      <c r="AD17" s="586"/>
      <c r="AE17" s="397" t="str">
        <f>IFERROR(IF(AD17="","",ROUND(AD17/$AD$14,2)*100),"")</f>
        <v/>
      </c>
      <c r="AF17" s="396" t="str">
        <f>IFERROR(IF(AE17="","",ROUND(AE17*$AF$14,2)),"")</f>
        <v/>
      </c>
      <c r="AG17" s="401" t="str">
        <f t="shared" ref="AG17:AG48" si="1">IF(AND(C17&lt;&gt;"",P17&lt;&gt;"",AC17&lt;&gt;"",$AD$12=0),SUM(P17,AC17),IF(AND(C17&lt;&gt;"",P17&lt;&gt;"",AC17&lt;&gt;"",AF17&lt;&gt;"",$D$12&gt;0,$Q$12&gt;0,$AD$12&gt;0),SUM(P17,AC17,AF17),""))</f>
        <v/>
      </c>
      <c r="AH17" s="398" t="str">
        <f>IFERROR(_xlfn.XLOOKUP(AG17,HELPER!$C$7:$C$47,HELPER!$D$7:$D$47,,1),"")</f>
        <v/>
      </c>
    </row>
    <row r="18" spans="2:34">
      <c r="B18" s="387">
        <v>2</v>
      </c>
      <c r="C18" s="399" t="str">
        <f>IFERROR(IF(OR($B$8="INCORRECT SHEET. Do not use this sheet to input data.",'INPUT DATA'!O12=""),"",'INPUT DATA'!O12),"")</f>
        <v/>
      </c>
      <c r="D18" s="183"/>
      <c r="E18" s="184"/>
      <c r="F18" s="184"/>
      <c r="G18" s="184"/>
      <c r="H18" s="184"/>
      <c r="I18" s="184"/>
      <c r="J18" s="184"/>
      <c r="K18" s="184"/>
      <c r="L18" s="184"/>
      <c r="M18" s="185"/>
      <c r="N18" s="207" t="str">
        <f t="shared" ref="N18:N66" si="2">IF(COUNT(D18:M18)=0,"",SUM(D18:M18))</f>
        <v/>
      </c>
      <c r="O18" s="208" t="str">
        <f t="shared" ref="O18:O66" si="3">IFERROR(IF(N18="","",ROUND(N18/N$14*O$14,2)),"")</f>
        <v/>
      </c>
      <c r="P18" s="209" t="str">
        <f t="shared" ref="P18:P66" si="4">IFERROR(IF(O18="","",ROUND(O18*P$14,2)),"")</f>
        <v/>
      </c>
      <c r="Q18" s="183"/>
      <c r="R18" s="184"/>
      <c r="S18" s="184"/>
      <c r="T18" s="184"/>
      <c r="U18" s="184"/>
      <c r="V18" s="184"/>
      <c r="W18" s="184"/>
      <c r="X18" s="184"/>
      <c r="Y18" s="184"/>
      <c r="Z18" s="185"/>
      <c r="AA18" s="207" t="str">
        <f t="shared" si="0"/>
        <v/>
      </c>
      <c r="AB18" s="208" t="str">
        <f t="shared" ref="AB18:AB66" si="5">IFERROR(IF(AA18="","",ROUND(AA18/AA$14*AB$14,2)),"")</f>
        <v/>
      </c>
      <c r="AC18" s="209" t="str">
        <f t="shared" ref="AC18:AC66" si="6">IFERROR(IF(AB18="","",ROUND(AB18*AC$14,2)),"")</f>
        <v/>
      </c>
      <c r="AD18" s="587"/>
      <c r="AE18" s="210" t="str">
        <f>IFERROR(IF(AD18="","",ROUND(AD18/$AD$14,2)*100),"")</f>
        <v/>
      </c>
      <c r="AF18" s="209" t="str">
        <f t="shared" ref="AF18:AF66" si="7">IFERROR(IF(AE18="","",ROUND(AE18*$AF$14,2)),"")</f>
        <v/>
      </c>
      <c r="AG18" s="402" t="str">
        <f t="shared" si="1"/>
        <v/>
      </c>
      <c r="AH18" s="211" t="str">
        <f>IFERROR(_xlfn.XLOOKUP(AG18,HELPER!$C$7:$C$47,HELPER!$D$7:$D$47,,1),"")</f>
        <v/>
      </c>
    </row>
    <row r="19" spans="2:34">
      <c r="B19" s="387">
        <v>3</v>
      </c>
      <c r="C19" s="399" t="str">
        <f>IFERROR(IF(OR($B$8="INCORRECT SHEET. Do not use this sheet to input data.",'INPUT DATA'!O13=""),"",'INPUT DATA'!O13),"")</f>
        <v/>
      </c>
      <c r="D19" s="183"/>
      <c r="E19" s="184"/>
      <c r="F19" s="184"/>
      <c r="G19" s="184"/>
      <c r="H19" s="184"/>
      <c r="I19" s="184"/>
      <c r="J19" s="184"/>
      <c r="K19" s="184"/>
      <c r="L19" s="184"/>
      <c r="M19" s="185"/>
      <c r="N19" s="207" t="str">
        <f t="shared" si="2"/>
        <v/>
      </c>
      <c r="O19" s="208" t="str">
        <f t="shared" si="3"/>
        <v/>
      </c>
      <c r="P19" s="209" t="str">
        <f t="shared" si="4"/>
        <v/>
      </c>
      <c r="Q19" s="183"/>
      <c r="R19" s="184"/>
      <c r="S19" s="184"/>
      <c r="T19" s="184"/>
      <c r="U19" s="184"/>
      <c r="V19" s="184"/>
      <c r="W19" s="184"/>
      <c r="X19" s="184"/>
      <c r="Y19" s="184"/>
      <c r="Z19" s="185"/>
      <c r="AA19" s="207" t="str">
        <f t="shared" si="0"/>
        <v/>
      </c>
      <c r="AB19" s="208" t="str">
        <f t="shared" si="5"/>
        <v/>
      </c>
      <c r="AC19" s="209" t="str">
        <f t="shared" si="6"/>
        <v/>
      </c>
      <c r="AD19" s="587"/>
      <c r="AE19" s="210" t="str">
        <f t="shared" ref="AE19:AE66" si="8">IFERROR(IF(AD19="","",ROUND(AD19/$AD$14,2)*100),"")</f>
        <v/>
      </c>
      <c r="AF19" s="209" t="str">
        <f t="shared" si="7"/>
        <v/>
      </c>
      <c r="AG19" s="402" t="str">
        <f t="shared" si="1"/>
        <v/>
      </c>
      <c r="AH19" s="211" t="str">
        <f>IFERROR(_xlfn.XLOOKUP(AG19,HELPER!$C$7:$C$47,HELPER!$D$7:$D$47,,1),"")</f>
        <v/>
      </c>
    </row>
    <row r="20" spans="2:34">
      <c r="B20" s="387">
        <v>4</v>
      </c>
      <c r="C20" s="399" t="str">
        <f>IFERROR(IF(OR($B$8="INCORRECT SHEET. Do not use this sheet to input data.",'INPUT DATA'!O14=""),"",'INPUT DATA'!O14),"")</f>
        <v/>
      </c>
      <c r="D20" s="183"/>
      <c r="E20" s="184"/>
      <c r="F20" s="184"/>
      <c r="G20" s="184"/>
      <c r="H20" s="184"/>
      <c r="I20" s="184"/>
      <c r="J20" s="184"/>
      <c r="K20" s="184"/>
      <c r="L20" s="184"/>
      <c r="M20" s="185"/>
      <c r="N20" s="207" t="str">
        <f t="shared" si="2"/>
        <v/>
      </c>
      <c r="O20" s="208" t="str">
        <f t="shared" si="3"/>
        <v/>
      </c>
      <c r="P20" s="209" t="str">
        <f t="shared" si="4"/>
        <v/>
      </c>
      <c r="Q20" s="183"/>
      <c r="R20" s="184"/>
      <c r="S20" s="184"/>
      <c r="T20" s="184"/>
      <c r="U20" s="184"/>
      <c r="V20" s="184"/>
      <c r="W20" s="184"/>
      <c r="X20" s="184"/>
      <c r="Y20" s="184"/>
      <c r="Z20" s="185"/>
      <c r="AA20" s="207" t="str">
        <f t="shared" si="0"/>
        <v/>
      </c>
      <c r="AB20" s="208" t="str">
        <f t="shared" si="5"/>
        <v/>
      </c>
      <c r="AC20" s="209" t="str">
        <f t="shared" si="6"/>
        <v/>
      </c>
      <c r="AD20" s="587"/>
      <c r="AE20" s="210" t="str">
        <f t="shared" si="8"/>
        <v/>
      </c>
      <c r="AF20" s="209" t="str">
        <f t="shared" si="7"/>
        <v/>
      </c>
      <c r="AG20" s="402" t="str">
        <f t="shared" si="1"/>
        <v/>
      </c>
      <c r="AH20" s="211" t="str">
        <f>IFERROR(_xlfn.XLOOKUP(AG20,HELPER!$C$7:$C$47,HELPER!$D$7:$D$47,,1),"")</f>
        <v/>
      </c>
    </row>
    <row r="21" spans="2:34">
      <c r="B21" s="387">
        <v>5</v>
      </c>
      <c r="C21" s="399" t="str">
        <f>IFERROR(IF(OR($B$8="INCORRECT SHEET. Do not use this sheet to input data.",'INPUT DATA'!O15=""),"",'INPUT DATA'!O15),"")</f>
        <v/>
      </c>
      <c r="D21" s="183"/>
      <c r="E21" s="184"/>
      <c r="F21" s="184"/>
      <c r="G21" s="184"/>
      <c r="H21" s="184"/>
      <c r="I21" s="184"/>
      <c r="J21" s="184"/>
      <c r="K21" s="184"/>
      <c r="L21" s="184"/>
      <c r="M21" s="185"/>
      <c r="N21" s="207" t="str">
        <f t="shared" si="2"/>
        <v/>
      </c>
      <c r="O21" s="208" t="str">
        <f t="shared" si="3"/>
        <v/>
      </c>
      <c r="P21" s="209" t="str">
        <f t="shared" si="4"/>
        <v/>
      </c>
      <c r="Q21" s="183"/>
      <c r="R21" s="184"/>
      <c r="S21" s="184"/>
      <c r="T21" s="184"/>
      <c r="U21" s="184"/>
      <c r="V21" s="184"/>
      <c r="W21" s="184"/>
      <c r="X21" s="184"/>
      <c r="Y21" s="184"/>
      <c r="Z21" s="185"/>
      <c r="AA21" s="207" t="str">
        <f t="shared" si="0"/>
        <v/>
      </c>
      <c r="AB21" s="208" t="str">
        <f t="shared" si="5"/>
        <v/>
      </c>
      <c r="AC21" s="209" t="str">
        <f t="shared" si="6"/>
        <v/>
      </c>
      <c r="AD21" s="587"/>
      <c r="AE21" s="210" t="str">
        <f t="shared" si="8"/>
        <v/>
      </c>
      <c r="AF21" s="209" t="str">
        <f t="shared" si="7"/>
        <v/>
      </c>
      <c r="AG21" s="402" t="str">
        <f t="shared" si="1"/>
        <v/>
      </c>
      <c r="AH21" s="211" t="str">
        <f>IFERROR(_xlfn.XLOOKUP(AG21,HELPER!$C$7:$C$47,HELPER!$D$7:$D$47,,1),"")</f>
        <v/>
      </c>
    </row>
    <row r="22" spans="2:34">
      <c r="B22" s="387">
        <v>6</v>
      </c>
      <c r="C22" s="399" t="str">
        <f>IFERROR(IF(OR($B$8="INCORRECT SHEET. Do not use this sheet to input data.",'INPUT DATA'!O16=""),"",'INPUT DATA'!O16),"")</f>
        <v/>
      </c>
      <c r="D22" s="183"/>
      <c r="E22" s="184"/>
      <c r="F22" s="184"/>
      <c r="G22" s="184"/>
      <c r="H22" s="184"/>
      <c r="I22" s="184"/>
      <c r="J22" s="184"/>
      <c r="K22" s="184"/>
      <c r="L22" s="184"/>
      <c r="M22" s="185"/>
      <c r="N22" s="207" t="str">
        <f t="shared" si="2"/>
        <v/>
      </c>
      <c r="O22" s="208" t="str">
        <f t="shared" si="3"/>
        <v/>
      </c>
      <c r="P22" s="209" t="str">
        <f t="shared" si="4"/>
        <v/>
      </c>
      <c r="Q22" s="183"/>
      <c r="R22" s="184"/>
      <c r="S22" s="184"/>
      <c r="T22" s="184"/>
      <c r="U22" s="184"/>
      <c r="V22" s="184"/>
      <c r="W22" s="184"/>
      <c r="X22" s="184"/>
      <c r="Y22" s="184"/>
      <c r="Z22" s="185"/>
      <c r="AA22" s="207" t="str">
        <f t="shared" si="0"/>
        <v/>
      </c>
      <c r="AB22" s="208" t="str">
        <f t="shared" si="5"/>
        <v/>
      </c>
      <c r="AC22" s="209" t="str">
        <f t="shared" si="6"/>
        <v/>
      </c>
      <c r="AD22" s="587"/>
      <c r="AE22" s="210" t="str">
        <f t="shared" si="8"/>
        <v/>
      </c>
      <c r="AF22" s="209" t="str">
        <f t="shared" si="7"/>
        <v/>
      </c>
      <c r="AG22" s="402" t="str">
        <f t="shared" si="1"/>
        <v/>
      </c>
      <c r="AH22" s="211" t="str">
        <f>IFERROR(_xlfn.XLOOKUP(AG22,HELPER!$C$7:$C$47,HELPER!$D$7:$D$47,,1),"")</f>
        <v/>
      </c>
    </row>
    <row r="23" spans="2:34">
      <c r="B23" s="387">
        <v>7</v>
      </c>
      <c r="C23" s="399" t="str">
        <f>IFERROR(IF(OR($B$8="INCORRECT SHEET. Do not use this sheet to input data.",'INPUT DATA'!O17=""),"",'INPUT DATA'!O17),"")</f>
        <v/>
      </c>
      <c r="D23" s="183"/>
      <c r="E23" s="184"/>
      <c r="F23" s="184"/>
      <c r="G23" s="184"/>
      <c r="H23" s="184"/>
      <c r="I23" s="184"/>
      <c r="J23" s="184"/>
      <c r="K23" s="184"/>
      <c r="L23" s="184"/>
      <c r="M23" s="185"/>
      <c r="N23" s="207" t="str">
        <f t="shared" si="2"/>
        <v/>
      </c>
      <c r="O23" s="208" t="str">
        <f t="shared" si="3"/>
        <v/>
      </c>
      <c r="P23" s="209" t="str">
        <f t="shared" si="4"/>
        <v/>
      </c>
      <c r="Q23" s="183"/>
      <c r="R23" s="184"/>
      <c r="S23" s="184"/>
      <c r="T23" s="184"/>
      <c r="U23" s="184"/>
      <c r="V23" s="184"/>
      <c r="W23" s="184"/>
      <c r="X23" s="184"/>
      <c r="Y23" s="184"/>
      <c r="Z23" s="185"/>
      <c r="AA23" s="207" t="str">
        <f t="shared" si="0"/>
        <v/>
      </c>
      <c r="AB23" s="208" t="str">
        <f t="shared" si="5"/>
        <v/>
      </c>
      <c r="AC23" s="209" t="str">
        <f t="shared" si="6"/>
        <v/>
      </c>
      <c r="AD23" s="587"/>
      <c r="AE23" s="210" t="str">
        <f t="shared" si="8"/>
        <v/>
      </c>
      <c r="AF23" s="209" t="str">
        <f t="shared" si="7"/>
        <v/>
      </c>
      <c r="AG23" s="402" t="str">
        <f t="shared" si="1"/>
        <v/>
      </c>
      <c r="AH23" s="211" t="str">
        <f>IFERROR(_xlfn.XLOOKUP(AG23,HELPER!$C$7:$C$47,HELPER!$D$7:$D$47,,1),"")</f>
        <v/>
      </c>
    </row>
    <row r="24" spans="2:34">
      <c r="B24" s="387">
        <v>8</v>
      </c>
      <c r="C24" s="399" t="str">
        <f>IFERROR(IF(OR($B$8="INCORRECT SHEET. Do not use this sheet to input data.",'INPUT DATA'!O18=""),"",'INPUT DATA'!O18),"")</f>
        <v/>
      </c>
      <c r="D24" s="183"/>
      <c r="E24" s="184"/>
      <c r="F24" s="184"/>
      <c r="G24" s="184"/>
      <c r="H24" s="184"/>
      <c r="I24" s="184"/>
      <c r="J24" s="184"/>
      <c r="K24" s="184"/>
      <c r="L24" s="184"/>
      <c r="M24" s="185"/>
      <c r="N24" s="207" t="str">
        <f t="shared" si="2"/>
        <v/>
      </c>
      <c r="O24" s="208" t="str">
        <f t="shared" si="3"/>
        <v/>
      </c>
      <c r="P24" s="209" t="str">
        <f t="shared" si="4"/>
        <v/>
      </c>
      <c r="Q24" s="183"/>
      <c r="R24" s="184"/>
      <c r="S24" s="184"/>
      <c r="T24" s="184"/>
      <c r="U24" s="184"/>
      <c r="V24" s="184"/>
      <c r="W24" s="184"/>
      <c r="X24" s="184"/>
      <c r="Y24" s="184"/>
      <c r="Z24" s="185"/>
      <c r="AA24" s="207" t="str">
        <f t="shared" si="0"/>
        <v/>
      </c>
      <c r="AB24" s="208" t="str">
        <f t="shared" si="5"/>
        <v/>
      </c>
      <c r="AC24" s="209" t="str">
        <f t="shared" si="6"/>
        <v/>
      </c>
      <c r="AD24" s="587"/>
      <c r="AE24" s="210" t="str">
        <f t="shared" si="8"/>
        <v/>
      </c>
      <c r="AF24" s="209" t="str">
        <f t="shared" si="7"/>
        <v/>
      </c>
      <c r="AG24" s="402" t="str">
        <f t="shared" si="1"/>
        <v/>
      </c>
      <c r="AH24" s="211" t="str">
        <f>IFERROR(_xlfn.XLOOKUP(AG24,HELPER!$C$7:$C$47,HELPER!$D$7:$D$47,,1),"")</f>
        <v/>
      </c>
    </row>
    <row r="25" spans="2:34">
      <c r="B25" s="387">
        <v>9</v>
      </c>
      <c r="C25" s="399" t="str">
        <f>IFERROR(IF(OR($B$8="INCORRECT SHEET. Do not use this sheet to input data.",'INPUT DATA'!O19=""),"",'INPUT DATA'!O19),"")</f>
        <v/>
      </c>
      <c r="D25" s="183"/>
      <c r="E25" s="184"/>
      <c r="F25" s="184"/>
      <c r="G25" s="184"/>
      <c r="H25" s="184"/>
      <c r="I25" s="184"/>
      <c r="J25" s="184"/>
      <c r="K25" s="184"/>
      <c r="L25" s="184"/>
      <c r="M25" s="185"/>
      <c r="N25" s="207" t="str">
        <f t="shared" si="2"/>
        <v/>
      </c>
      <c r="O25" s="208" t="str">
        <f t="shared" si="3"/>
        <v/>
      </c>
      <c r="P25" s="209" t="str">
        <f t="shared" si="4"/>
        <v/>
      </c>
      <c r="Q25" s="183"/>
      <c r="R25" s="184"/>
      <c r="S25" s="184"/>
      <c r="T25" s="184"/>
      <c r="U25" s="184"/>
      <c r="V25" s="184"/>
      <c r="W25" s="184"/>
      <c r="X25" s="184"/>
      <c r="Y25" s="184"/>
      <c r="Z25" s="185"/>
      <c r="AA25" s="207" t="str">
        <f t="shared" si="0"/>
        <v/>
      </c>
      <c r="AB25" s="208" t="str">
        <f t="shared" si="5"/>
        <v/>
      </c>
      <c r="AC25" s="209" t="str">
        <f t="shared" si="6"/>
        <v/>
      </c>
      <c r="AD25" s="587"/>
      <c r="AE25" s="210" t="str">
        <f t="shared" si="8"/>
        <v/>
      </c>
      <c r="AF25" s="209" t="str">
        <f t="shared" si="7"/>
        <v/>
      </c>
      <c r="AG25" s="402" t="str">
        <f t="shared" si="1"/>
        <v/>
      </c>
      <c r="AH25" s="211" t="str">
        <f>IFERROR(_xlfn.XLOOKUP(AG25,HELPER!$C$7:$C$47,HELPER!$D$7:$D$47,,1),"")</f>
        <v/>
      </c>
    </row>
    <row r="26" spans="2:34">
      <c r="B26" s="387">
        <v>10</v>
      </c>
      <c r="C26" s="399" t="str">
        <f>IFERROR(IF(OR($B$8="INCORRECT SHEET. Do not use this sheet to input data.",'INPUT DATA'!O20=""),"",'INPUT DATA'!O20),"")</f>
        <v/>
      </c>
      <c r="D26" s="183"/>
      <c r="E26" s="184"/>
      <c r="F26" s="184"/>
      <c r="G26" s="184"/>
      <c r="H26" s="184"/>
      <c r="I26" s="184"/>
      <c r="J26" s="184"/>
      <c r="K26" s="184"/>
      <c r="L26" s="184"/>
      <c r="M26" s="185"/>
      <c r="N26" s="207" t="str">
        <f t="shared" si="2"/>
        <v/>
      </c>
      <c r="O26" s="208" t="str">
        <f t="shared" si="3"/>
        <v/>
      </c>
      <c r="P26" s="209" t="str">
        <f t="shared" si="4"/>
        <v/>
      </c>
      <c r="Q26" s="183"/>
      <c r="R26" s="184"/>
      <c r="S26" s="184"/>
      <c r="T26" s="184"/>
      <c r="U26" s="184"/>
      <c r="V26" s="184"/>
      <c r="W26" s="184"/>
      <c r="X26" s="184"/>
      <c r="Y26" s="184"/>
      <c r="Z26" s="185"/>
      <c r="AA26" s="207" t="str">
        <f t="shared" si="0"/>
        <v/>
      </c>
      <c r="AB26" s="208" t="str">
        <f t="shared" si="5"/>
        <v/>
      </c>
      <c r="AC26" s="209" t="str">
        <f t="shared" si="6"/>
        <v/>
      </c>
      <c r="AD26" s="587"/>
      <c r="AE26" s="210" t="str">
        <f t="shared" si="8"/>
        <v/>
      </c>
      <c r="AF26" s="209" t="str">
        <f t="shared" si="7"/>
        <v/>
      </c>
      <c r="AG26" s="402" t="str">
        <f t="shared" si="1"/>
        <v/>
      </c>
      <c r="AH26" s="211" t="str">
        <f>IFERROR(_xlfn.XLOOKUP(AG26,HELPER!$C$7:$C$47,HELPER!$D$7:$D$47,,1),"")</f>
        <v/>
      </c>
    </row>
    <row r="27" spans="2:34">
      <c r="B27" s="387">
        <v>11</v>
      </c>
      <c r="C27" s="399" t="str">
        <f>IFERROR(IF(OR($B$8="INCORRECT SHEET. Do not use this sheet to input data.",'INPUT DATA'!O21=""),"",'INPUT DATA'!O21),"")</f>
        <v/>
      </c>
      <c r="D27" s="183"/>
      <c r="E27" s="184"/>
      <c r="F27" s="184"/>
      <c r="G27" s="184"/>
      <c r="H27" s="184"/>
      <c r="I27" s="184"/>
      <c r="J27" s="184"/>
      <c r="K27" s="184"/>
      <c r="L27" s="184"/>
      <c r="M27" s="185"/>
      <c r="N27" s="207" t="str">
        <f t="shared" si="2"/>
        <v/>
      </c>
      <c r="O27" s="208" t="str">
        <f t="shared" si="3"/>
        <v/>
      </c>
      <c r="P27" s="209" t="str">
        <f t="shared" si="4"/>
        <v/>
      </c>
      <c r="Q27" s="183"/>
      <c r="R27" s="184"/>
      <c r="S27" s="184"/>
      <c r="T27" s="184"/>
      <c r="U27" s="184"/>
      <c r="V27" s="184"/>
      <c r="W27" s="184"/>
      <c r="X27" s="184"/>
      <c r="Y27" s="184"/>
      <c r="Z27" s="185"/>
      <c r="AA27" s="207" t="str">
        <f t="shared" si="0"/>
        <v/>
      </c>
      <c r="AB27" s="208" t="str">
        <f t="shared" si="5"/>
        <v/>
      </c>
      <c r="AC27" s="209" t="str">
        <f t="shared" si="6"/>
        <v/>
      </c>
      <c r="AD27" s="587"/>
      <c r="AE27" s="210" t="str">
        <f t="shared" si="8"/>
        <v/>
      </c>
      <c r="AF27" s="209" t="str">
        <f t="shared" si="7"/>
        <v/>
      </c>
      <c r="AG27" s="402" t="str">
        <f t="shared" si="1"/>
        <v/>
      </c>
      <c r="AH27" s="211" t="str">
        <f>IFERROR(_xlfn.XLOOKUP(AG27,HELPER!$C$7:$C$47,HELPER!$D$7:$D$47,,1),"")</f>
        <v/>
      </c>
    </row>
    <row r="28" spans="2:34">
      <c r="B28" s="387">
        <v>12</v>
      </c>
      <c r="C28" s="399" t="str">
        <f>IFERROR(IF(OR($B$8="INCORRECT SHEET. Do not use this sheet to input data.",'INPUT DATA'!O22=""),"",'INPUT DATA'!O22),"")</f>
        <v/>
      </c>
      <c r="D28" s="183"/>
      <c r="E28" s="184"/>
      <c r="F28" s="184"/>
      <c r="G28" s="184"/>
      <c r="H28" s="184"/>
      <c r="I28" s="184"/>
      <c r="J28" s="184"/>
      <c r="K28" s="184"/>
      <c r="L28" s="184"/>
      <c r="M28" s="185"/>
      <c r="N28" s="207" t="str">
        <f t="shared" si="2"/>
        <v/>
      </c>
      <c r="O28" s="208" t="str">
        <f t="shared" si="3"/>
        <v/>
      </c>
      <c r="P28" s="209" t="str">
        <f t="shared" si="4"/>
        <v/>
      </c>
      <c r="Q28" s="183"/>
      <c r="R28" s="184"/>
      <c r="S28" s="184"/>
      <c r="T28" s="184"/>
      <c r="U28" s="184"/>
      <c r="V28" s="184"/>
      <c r="W28" s="184"/>
      <c r="X28" s="184"/>
      <c r="Y28" s="184"/>
      <c r="Z28" s="185"/>
      <c r="AA28" s="207" t="str">
        <f t="shared" si="0"/>
        <v/>
      </c>
      <c r="AB28" s="208" t="str">
        <f t="shared" si="5"/>
        <v/>
      </c>
      <c r="AC28" s="209" t="str">
        <f t="shared" si="6"/>
        <v/>
      </c>
      <c r="AD28" s="587"/>
      <c r="AE28" s="210" t="str">
        <f t="shared" si="8"/>
        <v/>
      </c>
      <c r="AF28" s="209" t="str">
        <f t="shared" si="7"/>
        <v/>
      </c>
      <c r="AG28" s="402" t="str">
        <f t="shared" si="1"/>
        <v/>
      </c>
      <c r="AH28" s="211" t="str">
        <f>IFERROR(_xlfn.XLOOKUP(AG28,HELPER!$C$7:$C$47,HELPER!$D$7:$D$47,,1),"")</f>
        <v/>
      </c>
    </row>
    <row r="29" spans="2:34">
      <c r="B29" s="387">
        <v>13</v>
      </c>
      <c r="C29" s="399" t="str">
        <f>IFERROR(IF(OR($B$8="INCORRECT SHEET. Do not use this sheet to input data.",'INPUT DATA'!O23=""),"",'INPUT DATA'!O23),"")</f>
        <v/>
      </c>
      <c r="D29" s="183"/>
      <c r="E29" s="184"/>
      <c r="F29" s="184"/>
      <c r="G29" s="184"/>
      <c r="H29" s="184"/>
      <c r="I29" s="184"/>
      <c r="J29" s="184"/>
      <c r="K29" s="184"/>
      <c r="L29" s="184"/>
      <c r="M29" s="185"/>
      <c r="N29" s="207" t="str">
        <f t="shared" si="2"/>
        <v/>
      </c>
      <c r="O29" s="208" t="str">
        <f t="shared" si="3"/>
        <v/>
      </c>
      <c r="P29" s="209" t="str">
        <f t="shared" si="4"/>
        <v/>
      </c>
      <c r="Q29" s="183"/>
      <c r="R29" s="184"/>
      <c r="S29" s="184"/>
      <c r="T29" s="184"/>
      <c r="U29" s="184"/>
      <c r="V29" s="184"/>
      <c r="W29" s="184"/>
      <c r="X29" s="184"/>
      <c r="Y29" s="184"/>
      <c r="Z29" s="185"/>
      <c r="AA29" s="207" t="str">
        <f t="shared" si="0"/>
        <v/>
      </c>
      <c r="AB29" s="208" t="str">
        <f t="shared" si="5"/>
        <v/>
      </c>
      <c r="AC29" s="209" t="str">
        <f t="shared" si="6"/>
        <v/>
      </c>
      <c r="AD29" s="587"/>
      <c r="AE29" s="210" t="str">
        <f t="shared" si="8"/>
        <v/>
      </c>
      <c r="AF29" s="209" t="str">
        <f t="shared" si="7"/>
        <v/>
      </c>
      <c r="AG29" s="402" t="str">
        <f t="shared" si="1"/>
        <v/>
      </c>
      <c r="AH29" s="211" t="str">
        <f>IFERROR(_xlfn.XLOOKUP(AG29,HELPER!$C$7:$C$47,HELPER!$D$7:$D$47,,1),"")</f>
        <v/>
      </c>
    </row>
    <row r="30" spans="2:34">
      <c r="B30" s="387">
        <v>14</v>
      </c>
      <c r="C30" s="399" t="str">
        <f>IFERROR(IF(OR($B$8="INCORRECT SHEET. Do not use this sheet to input data.",'INPUT DATA'!O24=""),"",'INPUT DATA'!O24),"")</f>
        <v/>
      </c>
      <c r="D30" s="183"/>
      <c r="E30" s="184"/>
      <c r="F30" s="184"/>
      <c r="G30" s="184"/>
      <c r="H30" s="184"/>
      <c r="I30" s="184"/>
      <c r="J30" s="184"/>
      <c r="K30" s="184"/>
      <c r="L30" s="184"/>
      <c r="M30" s="185"/>
      <c r="N30" s="207" t="str">
        <f t="shared" si="2"/>
        <v/>
      </c>
      <c r="O30" s="208" t="str">
        <f t="shared" si="3"/>
        <v/>
      </c>
      <c r="P30" s="209" t="str">
        <f t="shared" si="4"/>
        <v/>
      </c>
      <c r="Q30" s="183"/>
      <c r="R30" s="184"/>
      <c r="S30" s="184"/>
      <c r="T30" s="184"/>
      <c r="U30" s="184"/>
      <c r="V30" s="184"/>
      <c r="W30" s="184"/>
      <c r="X30" s="184"/>
      <c r="Y30" s="184"/>
      <c r="Z30" s="185"/>
      <c r="AA30" s="207" t="str">
        <f t="shared" si="0"/>
        <v/>
      </c>
      <c r="AB30" s="208" t="str">
        <f t="shared" si="5"/>
        <v/>
      </c>
      <c r="AC30" s="209" t="str">
        <f t="shared" si="6"/>
        <v/>
      </c>
      <c r="AD30" s="587"/>
      <c r="AE30" s="210" t="str">
        <f t="shared" si="8"/>
        <v/>
      </c>
      <c r="AF30" s="209" t="str">
        <f t="shared" si="7"/>
        <v/>
      </c>
      <c r="AG30" s="402" t="str">
        <f t="shared" si="1"/>
        <v/>
      </c>
      <c r="AH30" s="211" t="str">
        <f>IFERROR(_xlfn.XLOOKUP(AG30,HELPER!$C$7:$C$47,HELPER!$D$7:$D$47,,1),"")</f>
        <v/>
      </c>
    </row>
    <row r="31" spans="2:34">
      <c r="B31" s="387">
        <v>15</v>
      </c>
      <c r="C31" s="399" t="str">
        <f>IFERROR(IF(OR($B$8="INCORRECT SHEET. Do not use this sheet to input data.",'INPUT DATA'!O25=""),"",'INPUT DATA'!O25),"")</f>
        <v/>
      </c>
      <c r="D31" s="183"/>
      <c r="E31" s="184"/>
      <c r="F31" s="184"/>
      <c r="G31" s="184"/>
      <c r="H31" s="184"/>
      <c r="I31" s="184"/>
      <c r="J31" s="184"/>
      <c r="K31" s="184"/>
      <c r="L31" s="184"/>
      <c r="M31" s="185"/>
      <c r="N31" s="207" t="str">
        <f t="shared" si="2"/>
        <v/>
      </c>
      <c r="O31" s="208" t="str">
        <f t="shared" si="3"/>
        <v/>
      </c>
      <c r="P31" s="209" t="str">
        <f t="shared" si="4"/>
        <v/>
      </c>
      <c r="Q31" s="183"/>
      <c r="R31" s="184"/>
      <c r="S31" s="184"/>
      <c r="T31" s="184"/>
      <c r="U31" s="184"/>
      <c r="V31" s="184"/>
      <c r="W31" s="184"/>
      <c r="X31" s="184"/>
      <c r="Y31" s="184"/>
      <c r="Z31" s="185"/>
      <c r="AA31" s="207" t="str">
        <f t="shared" si="0"/>
        <v/>
      </c>
      <c r="AB31" s="208" t="str">
        <f t="shared" si="5"/>
        <v/>
      </c>
      <c r="AC31" s="209" t="str">
        <f t="shared" si="6"/>
        <v/>
      </c>
      <c r="AD31" s="587"/>
      <c r="AE31" s="210" t="str">
        <f t="shared" si="8"/>
        <v/>
      </c>
      <c r="AF31" s="209" t="str">
        <f t="shared" si="7"/>
        <v/>
      </c>
      <c r="AG31" s="402" t="str">
        <f t="shared" si="1"/>
        <v/>
      </c>
      <c r="AH31" s="211" t="str">
        <f>IFERROR(_xlfn.XLOOKUP(AG31,HELPER!$C$7:$C$47,HELPER!$D$7:$D$47,,1),"")</f>
        <v/>
      </c>
    </row>
    <row r="32" spans="2:34">
      <c r="B32" s="387">
        <v>16</v>
      </c>
      <c r="C32" s="399" t="str">
        <f>IFERROR(IF(OR($B$8="INCORRECT SHEET. Do not use this sheet to input data.",'INPUT DATA'!O26=""),"",'INPUT DATA'!O26),"")</f>
        <v/>
      </c>
      <c r="D32" s="183"/>
      <c r="E32" s="184"/>
      <c r="F32" s="184"/>
      <c r="G32" s="184"/>
      <c r="H32" s="184"/>
      <c r="I32" s="184"/>
      <c r="J32" s="184"/>
      <c r="K32" s="184"/>
      <c r="L32" s="184"/>
      <c r="M32" s="185"/>
      <c r="N32" s="207" t="str">
        <f t="shared" si="2"/>
        <v/>
      </c>
      <c r="O32" s="208" t="str">
        <f t="shared" si="3"/>
        <v/>
      </c>
      <c r="P32" s="209" t="str">
        <f t="shared" si="4"/>
        <v/>
      </c>
      <c r="Q32" s="183"/>
      <c r="R32" s="184"/>
      <c r="S32" s="184"/>
      <c r="T32" s="184"/>
      <c r="U32" s="184"/>
      <c r="V32" s="184"/>
      <c r="W32" s="184"/>
      <c r="X32" s="184"/>
      <c r="Y32" s="184"/>
      <c r="Z32" s="185"/>
      <c r="AA32" s="207" t="str">
        <f t="shared" si="0"/>
        <v/>
      </c>
      <c r="AB32" s="208" t="str">
        <f t="shared" si="5"/>
        <v/>
      </c>
      <c r="AC32" s="209" t="str">
        <f t="shared" si="6"/>
        <v/>
      </c>
      <c r="AD32" s="587"/>
      <c r="AE32" s="210" t="str">
        <f t="shared" si="8"/>
        <v/>
      </c>
      <c r="AF32" s="209" t="str">
        <f t="shared" si="7"/>
        <v/>
      </c>
      <c r="AG32" s="402" t="str">
        <f t="shared" si="1"/>
        <v/>
      </c>
      <c r="AH32" s="211" t="str">
        <f>IFERROR(_xlfn.XLOOKUP(AG32,HELPER!$C$7:$C$47,HELPER!$D$7:$D$47,,1),"")</f>
        <v/>
      </c>
    </row>
    <row r="33" spans="2:34">
      <c r="B33" s="387">
        <v>17</v>
      </c>
      <c r="C33" s="399" t="str">
        <f>IFERROR(IF(OR($B$8="INCORRECT SHEET. Do not use this sheet to input data.",'INPUT DATA'!O27=""),"",'INPUT DATA'!O27),"")</f>
        <v/>
      </c>
      <c r="D33" s="183"/>
      <c r="E33" s="184"/>
      <c r="F33" s="184"/>
      <c r="G33" s="184"/>
      <c r="H33" s="184"/>
      <c r="I33" s="184"/>
      <c r="J33" s="184"/>
      <c r="K33" s="184"/>
      <c r="L33" s="184"/>
      <c r="M33" s="185"/>
      <c r="N33" s="207" t="str">
        <f t="shared" si="2"/>
        <v/>
      </c>
      <c r="O33" s="208" t="str">
        <f t="shared" si="3"/>
        <v/>
      </c>
      <c r="P33" s="209" t="str">
        <f t="shared" si="4"/>
        <v/>
      </c>
      <c r="Q33" s="183"/>
      <c r="R33" s="184"/>
      <c r="S33" s="184"/>
      <c r="T33" s="184"/>
      <c r="U33" s="184"/>
      <c r="V33" s="184"/>
      <c r="W33" s="184"/>
      <c r="X33" s="184"/>
      <c r="Y33" s="184"/>
      <c r="Z33" s="185"/>
      <c r="AA33" s="207" t="str">
        <f t="shared" si="0"/>
        <v/>
      </c>
      <c r="AB33" s="208" t="str">
        <f t="shared" si="5"/>
        <v/>
      </c>
      <c r="AC33" s="209" t="str">
        <f t="shared" si="6"/>
        <v/>
      </c>
      <c r="AD33" s="587"/>
      <c r="AE33" s="210" t="str">
        <f t="shared" si="8"/>
        <v/>
      </c>
      <c r="AF33" s="209" t="str">
        <f t="shared" si="7"/>
        <v/>
      </c>
      <c r="AG33" s="402" t="str">
        <f t="shared" si="1"/>
        <v/>
      </c>
      <c r="AH33" s="211" t="str">
        <f>IFERROR(_xlfn.XLOOKUP(AG33,HELPER!$C$7:$C$47,HELPER!$D$7:$D$47,,1),"")</f>
        <v/>
      </c>
    </row>
    <row r="34" spans="2:34">
      <c r="B34" s="387">
        <v>18</v>
      </c>
      <c r="C34" s="399" t="str">
        <f>IFERROR(IF(OR($B$8="INCORRECT SHEET. Do not use this sheet to input data.",'INPUT DATA'!O28=""),"",'INPUT DATA'!O28),"")</f>
        <v/>
      </c>
      <c r="D34" s="183"/>
      <c r="E34" s="184"/>
      <c r="F34" s="184"/>
      <c r="G34" s="184"/>
      <c r="H34" s="184"/>
      <c r="I34" s="184"/>
      <c r="J34" s="184"/>
      <c r="K34" s="184"/>
      <c r="L34" s="184"/>
      <c r="M34" s="185"/>
      <c r="N34" s="207" t="str">
        <f t="shared" si="2"/>
        <v/>
      </c>
      <c r="O34" s="208" t="str">
        <f t="shared" si="3"/>
        <v/>
      </c>
      <c r="P34" s="209" t="str">
        <f t="shared" si="4"/>
        <v/>
      </c>
      <c r="Q34" s="183"/>
      <c r="R34" s="184"/>
      <c r="S34" s="184"/>
      <c r="T34" s="184"/>
      <c r="U34" s="184"/>
      <c r="V34" s="184"/>
      <c r="W34" s="184"/>
      <c r="X34" s="184"/>
      <c r="Y34" s="184"/>
      <c r="Z34" s="185"/>
      <c r="AA34" s="207" t="str">
        <f t="shared" si="0"/>
        <v/>
      </c>
      <c r="AB34" s="208" t="str">
        <f t="shared" si="5"/>
        <v/>
      </c>
      <c r="AC34" s="209" t="str">
        <f t="shared" si="6"/>
        <v/>
      </c>
      <c r="AD34" s="587"/>
      <c r="AE34" s="210" t="str">
        <f t="shared" si="8"/>
        <v/>
      </c>
      <c r="AF34" s="209" t="str">
        <f t="shared" si="7"/>
        <v/>
      </c>
      <c r="AG34" s="402" t="str">
        <f t="shared" si="1"/>
        <v/>
      </c>
      <c r="AH34" s="211" t="str">
        <f>IFERROR(_xlfn.XLOOKUP(AG34,HELPER!$C$7:$C$47,HELPER!$D$7:$D$47,,1),"")</f>
        <v/>
      </c>
    </row>
    <row r="35" spans="2:34">
      <c r="B35" s="387">
        <v>19</v>
      </c>
      <c r="C35" s="399" t="str">
        <f>IFERROR(IF(OR($B$8="INCORRECT SHEET. Do not use this sheet to input data.",'INPUT DATA'!O29=""),"",'INPUT DATA'!O29),"")</f>
        <v/>
      </c>
      <c r="D35" s="183"/>
      <c r="E35" s="184"/>
      <c r="F35" s="184"/>
      <c r="G35" s="184"/>
      <c r="H35" s="184"/>
      <c r="I35" s="184"/>
      <c r="J35" s="184"/>
      <c r="K35" s="184"/>
      <c r="L35" s="184"/>
      <c r="M35" s="185"/>
      <c r="N35" s="207" t="str">
        <f t="shared" si="2"/>
        <v/>
      </c>
      <c r="O35" s="208" t="str">
        <f t="shared" si="3"/>
        <v/>
      </c>
      <c r="P35" s="209" t="str">
        <f t="shared" si="4"/>
        <v/>
      </c>
      <c r="Q35" s="183"/>
      <c r="R35" s="184"/>
      <c r="S35" s="184"/>
      <c r="T35" s="184"/>
      <c r="U35" s="184"/>
      <c r="V35" s="184"/>
      <c r="W35" s="184"/>
      <c r="X35" s="184"/>
      <c r="Y35" s="184"/>
      <c r="Z35" s="185"/>
      <c r="AA35" s="207" t="str">
        <f t="shared" si="0"/>
        <v/>
      </c>
      <c r="AB35" s="208" t="str">
        <f t="shared" si="5"/>
        <v/>
      </c>
      <c r="AC35" s="209" t="str">
        <f t="shared" si="6"/>
        <v/>
      </c>
      <c r="AD35" s="587"/>
      <c r="AE35" s="210" t="str">
        <f t="shared" si="8"/>
        <v/>
      </c>
      <c r="AF35" s="209" t="str">
        <f t="shared" si="7"/>
        <v/>
      </c>
      <c r="AG35" s="402" t="str">
        <f t="shared" si="1"/>
        <v/>
      </c>
      <c r="AH35" s="211" t="str">
        <f>IFERROR(_xlfn.XLOOKUP(AG35,HELPER!$C$7:$C$47,HELPER!$D$7:$D$47,,1),"")</f>
        <v/>
      </c>
    </row>
    <row r="36" spans="2:34">
      <c r="B36" s="387">
        <v>20</v>
      </c>
      <c r="C36" s="399" t="str">
        <f>IFERROR(IF(OR($B$8="INCORRECT SHEET. Do not use this sheet to input data.",'INPUT DATA'!O30=""),"",'INPUT DATA'!O30),"")</f>
        <v/>
      </c>
      <c r="D36" s="183"/>
      <c r="E36" s="184"/>
      <c r="F36" s="184"/>
      <c r="G36" s="184"/>
      <c r="H36" s="184"/>
      <c r="I36" s="184"/>
      <c r="J36" s="184"/>
      <c r="K36" s="184"/>
      <c r="L36" s="184"/>
      <c r="M36" s="185"/>
      <c r="N36" s="207" t="str">
        <f t="shared" si="2"/>
        <v/>
      </c>
      <c r="O36" s="208" t="str">
        <f t="shared" si="3"/>
        <v/>
      </c>
      <c r="P36" s="209" t="str">
        <f t="shared" si="4"/>
        <v/>
      </c>
      <c r="Q36" s="183"/>
      <c r="R36" s="184"/>
      <c r="S36" s="184"/>
      <c r="T36" s="184"/>
      <c r="U36" s="184"/>
      <c r="V36" s="184"/>
      <c r="W36" s="184"/>
      <c r="X36" s="184"/>
      <c r="Y36" s="184"/>
      <c r="Z36" s="185"/>
      <c r="AA36" s="207" t="str">
        <f t="shared" si="0"/>
        <v/>
      </c>
      <c r="AB36" s="208" t="str">
        <f t="shared" si="5"/>
        <v/>
      </c>
      <c r="AC36" s="209" t="str">
        <f t="shared" si="6"/>
        <v/>
      </c>
      <c r="AD36" s="587"/>
      <c r="AE36" s="210" t="str">
        <f t="shared" si="8"/>
        <v/>
      </c>
      <c r="AF36" s="209" t="str">
        <f t="shared" si="7"/>
        <v/>
      </c>
      <c r="AG36" s="402" t="str">
        <f t="shared" si="1"/>
        <v/>
      </c>
      <c r="AH36" s="211" t="str">
        <f>IFERROR(_xlfn.XLOOKUP(AG36,HELPER!$C$7:$C$47,HELPER!$D$7:$D$47,,1),"")</f>
        <v/>
      </c>
    </row>
    <row r="37" spans="2:34">
      <c r="B37" s="387">
        <v>21</v>
      </c>
      <c r="C37" s="399" t="str">
        <f>IFERROR(IF(OR($B$8="INCORRECT SHEET. Do not use this sheet to input data.",'INPUT DATA'!O31=""),"",'INPUT DATA'!O31),"")</f>
        <v/>
      </c>
      <c r="D37" s="183"/>
      <c r="E37" s="184"/>
      <c r="F37" s="184"/>
      <c r="G37" s="184"/>
      <c r="H37" s="184"/>
      <c r="I37" s="184"/>
      <c r="J37" s="184"/>
      <c r="K37" s="184"/>
      <c r="L37" s="184"/>
      <c r="M37" s="185"/>
      <c r="N37" s="207" t="str">
        <f t="shared" si="2"/>
        <v/>
      </c>
      <c r="O37" s="208" t="str">
        <f t="shared" si="3"/>
        <v/>
      </c>
      <c r="P37" s="209" t="str">
        <f t="shared" si="4"/>
        <v/>
      </c>
      <c r="Q37" s="183"/>
      <c r="R37" s="184"/>
      <c r="S37" s="184"/>
      <c r="T37" s="184"/>
      <c r="U37" s="184"/>
      <c r="V37" s="184"/>
      <c r="W37" s="184"/>
      <c r="X37" s="184"/>
      <c r="Y37" s="184"/>
      <c r="Z37" s="185"/>
      <c r="AA37" s="207" t="str">
        <f t="shared" si="0"/>
        <v/>
      </c>
      <c r="AB37" s="208" t="str">
        <f t="shared" si="5"/>
        <v/>
      </c>
      <c r="AC37" s="209" t="str">
        <f t="shared" si="6"/>
        <v/>
      </c>
      <c r="AD37" s="587"/>
      <c r="AE37" s="210" t="str">
        <f t="shared" si="8"/>
        <v/>
      </c>
      <c r="AF37" s="209" t="str">
        <f t="shared" si="7"/>
        <v/>
      </c>
      <c r="AG37" s="402" t="str">
        <f t="shared" si="1"/>
        <v/>
      </c>
      <c r="AH37" s="211" t="str">
        <f>IFERROR(_xlfn.XLOOKUP(AG37,HELPER!$C$7:$C$47,HELPER!$D$7:$D$47,,1),"")</f>
        <v/>
      </c>
    </row>
    <row r="38" spans="2:34">
      <c r="B38" s="387">
        <v>22</v>
      </c>
      <c r="C38" s="399" t="str">
        <f>IFERROR(IF(OR($B$8="INCORRECT SHEET. Do not use this sheet to input data.",'INPUT DATA'!O32=""),"",'INPUT DATA'!O32),"")</f>
        <v/>
      </c>
      <c r="D38" s="183"/>
      <c r="E38" s="184"/>
      <c r="F38" s="184"/>
      <c r="G38" s="184"/>
      <c r="H38" s="184"/>
      <c r="I38" s="184"/>
      <c r="J38" s="184"/>
      <c r="K38" s="184"/>
      <c r="L38" s="184"/>
      <c r="M38" s="185"/>
      <c r="N38" s="207" t="str">
        <f t="shared" si="2"/>
        <v/>
      </c>
      <c r="O38" s="208" t="str">
        <f t="shared" si="3"/>
        <v/>
      </c>
      <c r="P38" s="209" t="str">
        <f t="shared" si="4"/>
        <v/>
      </c>
      <c r="Q38" s="183"/>
      <c r="R38" s="184"/>
      <c r="S38" s="184"/>
      <c r="T38" s="184"/>
      <c r="U38" s="184"/>
      <c r="V38" s="184"/>
      <c r="W38" s="184"/>
      <c r="X38" s="184"/>
      <c r="Y38" s="184"/>
      <c r="Z38" s="185"/>
      <c r="AA38" s="207" t="str">
        <f t="shared" si="0"/>
        <v/>
      </c>
      <c r="AB38" s="208" t="str">
        <f t="shared" si="5"/>
        <v/>
      </c>
      <c r="AC38" s="209" t="str">
        <f t="shared" si="6"/>
        <v/>
      </c>
      <c r="AD38" s="587"/>
      <c r="AE38" s="210" t="str">
        <f t="shared" si="8"/>
        <v/>
      </c>
      <c r="AF38" s="209" t="str">
        <f t="shared" si="7"/>
        <v/>
      </c>
      <c r="AG38" s="402" t="str">
        <f t="shared" si="1"/>
        <v/>
      </c>
      <c r="AH38" s="211" t="str">
        <f>IFERROR(_xlfn.XLOOKUP(AG38,HELPER!$C$7:$C$47,HELPER!$D$7:$D$47,,1),"")</f>
        <v/>
      </c>
    </row>
    <row r="39" spans="2:34">
      <c r="B39" s="387">
        <v>23</v>
      </c>
      <c r="C39" s="399" t="str">
        <f>IFERROR(IF(OR($B$8="INCORRECT SHEET. Do not use this sheet to input data.",'INPUT DATA'!O33=""),"",'INPUT DATA'!O33),"")</f>
        <v/>
      </c>
      <c r="D39" s="183"/>
      <c r="E39" s="184"/>
      <c r="F39" s="184"/>
      <c r="G39" s="184"/>
      <c r="H39" s="184"/>
      <c r="I39" s="184"/>
      <c r="J39" s="184"/>
      <c r="K39" s="184"/>
      <c r="L39" s="184"/>
      <c r="M39" s="185"/>
      <c r="N39" s="207" t="str">
        <f t="shared" si="2"/>
        <v/>
      </c>
      <c r="O39" s="208" t="str">
        <f t="shared" si="3"/>
        <v/>
      </c>
      <c r="P39" s="209" t="str">
        <f t="shared" si="4"/>
        <v/>
      </c>
      <c r="Q39" s="183"/>
      <c r="R39" s="184"/>
      <c r="S39" s="184"/>
      <c r="T39" s="184"/>
      <c r="U39" s="184"/>
      <c r="V39" s="184"/>
      <c r="W39" s="184"/>
      <c r="X39" s="184"/>
      <c r="Y39" s="184"/>
      <c r="Z39" s="185"/>
      <c r="AA39" s="207" t="str">
        <f t="shared" si="0"/>
        <v/>
      </c>
      <c r="AB39" s="208" t="str">
        <f t="shared" si="5"/>
        <v/>
      </c>
      <c r="AC39" s="209" t="str">
        <f t="shared" si="6"/>
        <v/>
      </c>
      <c r="AD39" s="587"/>
      <c r="AE39" s="210" t="str">
        <f t="shared" si="8"/>
        <v/>
      </c>
      <c r="AF39" s="209" t="str">
        <f t="shared" si="7"/>
        <v/>
      </c>
      <c r="AG39" s="402" t="str">
        <f t="shared" si="1"/>
        <v/>
      </c>
      <c r="AH39" s="211" t="str">
        <f>IFERROR(_xlfn.XLOOKUP(AG39,HELPER!$C$7:$C$47,HELPER!$D$7:$D$47,,1),"")</f>
        <v/>
      </c>
    </row>
    <row r="40" spans="2:34">
      <c r="B40" s="387">
        <v>24</v>
      </c>
      <c r="C40" s="399" t="str">
        <f>IFERROR(IF(OR($B$8="INCORRECT SHEET. Do not use this sheet to input data.",'INPUT DATA'!O34=""),"",'INPUT DATA'!O34),"")</f>
        <v/>
      </c>
      <c r="D40" s="183"/>
      <c r="E40" s="184"/>
      <c r="F40" s="184"/>
      <c r="G40" s="184"/>
      <c r="H40" s="184"/>
      <c r="I40" s="184"/>
      <c r="J40" s="184"/>
      <c r="K40" s="184"/>
      <c r="L40" s="184"/>
      <c r="M40" s="185"/>
      <c r="N40" s="207" t="str">
        <f t="shared" si="2"/>
        <v/>
      </c>
      <c r="O40" s="208" t="str">
        <f t="shared" si="3"/>
        <v/>
      </c>
      <c r="P40" s="209" t="str">
        <f t="shared" si="4"/>
        <v/>
      </c>
      <c r="Q40" s="183"/>
      <c r="R40" s="184"/>
      <c r="S40" s="184"/>
      <c r="T40" s="184"/>
      <c r="U40" s="184"/>
      <c r="V40" s="184"/>
      <c r="W40" s="184"/>
      <c r="X40" s="184"/>
      <c r="Y40" s="184"/>
      <c r="Z40" s="185"/>
      <c r="AA40" s="207" t="str">
        <f t="shared" si="0"/>
        <v/>
      </c>
      <c r="AB40" s="208" t="str">
        <f t="shared" si="5"/>
        <v/>
      </c>
      <c r="AC40" s="209" t="str">
        <f t="shared" si="6"/>
        <v/>
      </c>
      <c r="AD40" s="587"/>
      <c r="AE40" s="210" t="str">
        <f t="shared" si="8"/>
        <v/>
      </c>
      <c r="AF40" s="209" t="str">
        <f t="shared" si="7"/>
        <v/>
      </c>
      <c r="AG40" s="402" t="str">
        <f t="shared" si="1"/>
        <v/>
      </c>
      <c r="AH40" s="211" t="str">
        <f>IFERROR(_xlfn.XLOOKUP(AG40,HELPER!$C$7:$C$47,HELPER!$D$7:$D$47,,1),"")</f>
        <v/>
      </c>
    </row>
    <row r="41" spans="2:34">
      <c r="B41" s="387">
        <v>25</v>
      </c>
      <c r="C41" s="399" t="str">
        <f>IFERROR(IF(OR($B$8="INCORRECT SHEET. Do not use this sheet to input data.",'INPUT DATA'!O35=""),"",'INPUT DATA'!O35),"")</f>
        <v/>
      </c>
      <c r="D41" s="183"/>
      <c r="E41" s="184"/>
      <c r="F41" s="184"/>
      <c r="G41" s="184"/>
      <c r="H41" s="184"/>
      <c r="I41" s="184"/>
      <c r="J41" s="184"/>
      <c r="K41" s="184"/>
      <c r="L41" s="184"/>
      <c r="M41" s="185"/>
      <c r="N41" s="207" t="str">
        <f t="shared" si="2"/>
        <v/>
      </c>
      <c r="O41" s="208" t="str">
        <f t="shared" si="3"/>
        <v/>
      </c>
      <c r="P41" s="209" t="str">
        <f t="shared" si="4"/>
        <v/>
      </c>
      <c r="Q41" s="183"/>
      <c r="R41" s="184"/>
      <c r="S41" s="184"/>
      <c r="T41" s="184"/>
      <c r="U41" s="184"/>
      <c r="V41" s="184"/>
      <c r="W41" s="184"/>
      <c r="X41" s="184"/>
      <c r="Y41" s="184"/>
      <c r="Z41" s="185"/>
      <c r="AA41" s="207" t="str">
        <f t="shared" si="0"/>
        <v/>
      </c>
      <c r="AB41" s="208" t="str">
        <f t="shared" si="5"/>
        <v/>
      </c>
      <c r="AC41" s="209" t="str">
        <f t="shared" si="6"/>
        <v/>
      </c>
      <c r="AD41" s="587"/>
      <c r="AE41" s="210" t="str">
        <f t="shared" si="8"/>
        <v/>
      </c>
      <c r="AF41" s="209" t="str">
        <f t="shared" si="7"/>
        <v/>
      </c>
      <c r="AG41" s="402" t="str">
        <f t="shared" si="1"/>
        <v/>
      </c>
      <c r="AH41" s="211" t="str">
        <f>IFERROR(_xlfn.XLOOKUP(AG41,HELPER!$C$7:$C$47,HELPER!$D$7:$D$47,,1),"")</f>
        <v/>
      </c>
    </row>
    <row r="42" spans="2:34">
      <c r="B42" s="387">
        <v>26</v>
      </c>
      <c r="C42" s="399" t="str">
        <f>IFERROR(IF(OR($B$8="INCORRECT SHEET. Do not use this sheet to input data.",'INPUT DATA'!O36=""),"",'INPUT DATA'!O36),"")</f>
        <v/>
      </c>
      <c r="D42" s="183"/>
      <c r="E42" s="184"/>
      <c r="F42" s="184"/>
      <c r="G42" s="184"/>
      <c r="H42" s="184"/>
      <c r="I42" s="184"/>
      <c r="J42" s="184"/>
      <c r="K42" s="184"/>
      <c r="L42" s="184"/>
      <c r="M42" s="185"/>
      <c r="N42" s="207" t="str">
        <f t="shared" si="2"/>
        <v/>
      </c>
      <c r="O42" s="208" t="str">
        <f t="shared" si="3"/>
        <v/>
      </c>
      <c r="P42" s="209" t="str">
        <f t="shared" si="4"/>
        <v/>
      </c>
      <c r="Q42" s="183"/>
      <c r="R42" s="184"/>
      <c r="S42" s="184"/>
      <c r="T42" s="184"/>
      <c r="U42" s="184"/>
      <c r="V42" s="184"/>
      <c r="W42" s="184"/>
      <c r="X42" s="184"/>
      <c r="Y42" s="184"/>
      <c r="Z42" s="185"/>
      <c r="AA42" s="207" t="str">
        <f t="shared" si="0"/>
        <v/>
      </c>
      <c r="AB42" s="208" t="str">
        <f t="shared" si="5"/>
        <v/>
      </c>
      <c r="AC42" s="209" t="str">
        <f t="shared" si="6"/>
        <v/>
      </c>
      <c r="AD42" s="587"/>
      <c r="AE42" s="210" t="str">
        <f t="shared" si="8"/>
        <v/>
      </c>
      <c r="AF42" s="209" t="str">
        <f t="shared" si="7"/>
        <v/>
      </c>
      <c r="AG42" s="402" t="str">
        <f t="shared" si="1"/>
        <v/>
      </c>
      <c r="AH42" s="211" t="str">
        <f>IFERROR(_xlfn.XLOOKUP(AG42,HELPER!$C$7:$C$47,HELPER!$D$7:$D$47,,1),"")</f>
        <v/>
      </c>
    </row>
    <row r="43" spans="2:34">
      <c r="B43" s="387">
        <v>27</v>
      </c>
      <c r="C43" s="399" t="str">
        <f>IFERROR(IF(OR($B$8="INCORRECT SHEET. Do not use this sheet to input data.",'INPUT DATA'!O37=""),"",'INPUT DATA'!O37),"")</f>
        <v/>
      </c>
      <c r="D43" s="183"/>
      <c r="E43" s="184"/>
      <c r="F43" s="184"/>
      <c r="G43" s="184"/>
      <c r="H43" s="184"/>
      <c r="I43" s="184"/>
      <c r="J43" s="184"/>
      <c r="K43" s="184"/>
      <c r="L43" s="184"/>
      <c r="M43" s="185"/>
      <c r="N43" s="207" t="str">
        <f t="shared" si="2"/>
        <v/>
      </c>
      <c r="O43" s="208" t="str">
        <f t="shared" si="3"/>
        <v/>
      </c>
      <c r="P43" s="209" t="str">
        <f t="shared" si="4"/>
        <v/>
      </c>
      <c r="Q43" s="183"/>
      <c r="R43" s="184"/>
      <c r="S43" s="184"/>
      <c r="T43" s="184"/>
      <c r="U43" s="184"/>
      <c r="V43" s="184"/>
      <c r="W43" s="184"/>
      <c r="X43" s="184"/>
      <c r="Y43" s="184"/>
      <c r="Z43" s="185"/>
      <c r="AA43" s="207" t="str">
        <f t="shared" si="0"/>
        <v/>
      </c>
      <c r="AB43" s="208" t="str">
        <f t="shared" si="5"/>
        <v/>
      </c>
      <c r="AC43" s="209" t="str">
        <f t="shared" si="6"/>
        <v/>
      </c>
      <c r="AD43" s="587"/>
      <c r="AE43" s="210" t="str">
        <f t="shared" si="8"/>
        <v/>
      </c>
      <c r="AF43" s="209" t="str">
        <f t="shared" si="7"/>
        <v/>
      </c>
      <c r="AG43" s="402" t="str">
        <f t="shared" si="1"/>
        <v/>
      </c>
      <c r="AH43" s="211" t="str">
        <f>IFERROR(_xlfn.XLOOKUP(AG43,HELPER!$C$7:$C$47,HELPER!$D$7:$D$47,,1),"")</f>
        <v/>
      </c>
    </row>
    <row r="44" spans="2:34">
      <c r="B44" s="387">
        <v>28</v>
      </c>
      <c r="C44" s="399" t="str">
        <f>IFERROR(IF(OR($B$8="INCORRECT SHEET. Do not use this sheet to input data.",'INPUT DATA'!O38=""),"",'INPUT DATA'!O38),"")</f>
        <v/>
      </c>
      <c r="D44" s="183"/>
      <c r="E44" s="184"/>
      <c r="F44" s="184"/>
      <c r="G44" s="184"/>
      <c r="H44" s="184"/>
      <c r="I44" s="184"/>
      <c r="J44" s="184"/>
      <c r="K44" s="184"/>
      <c r="L44" s="184"/>
      <c r="M44" s="185"/>
      <c r="N44" s="207" t="str">
        <f t="shared" si="2"/>
        <v/>
      </c>
      <c r="O44" s="208" t="str">
        <f t="shared" si="3"/>
        <v/>
      </c>
      <c r="P44" s="209" t="str">
        <f t="shared" si="4"/>
        <v/>
      </c>
      <c r="Q44" s="183"/>
      <c r="R44" s="184"/>
      <c r="S44" s="184"/>
      <c r="T44" s="184"/>
      <c r="U44" s="184"/>
      <c r="V44" s="184"/>
      <c r="W44" s="184"/>
      <c r="X44" s="184"/>
      <c r="Y44" s="184"/>
      <c r="Z44" s="185"/>
      <c r="AA44" s="207" t="str">
        <f t="shared" si="0"/>
        <v/>
      </c>
      <c r="AB44" s="208" t="str">
        <f t="shared" si="5"/>
        <v/>
      </c>
      <c r="AC44" s="209" t="str">
        <f t="shared" si="6"/>
        <v/>
      </c>
      <c r="AD44" s="587"/>
      <c r="AE44" s="210" t="str">
        <f t="shared" si="8"/>
        <v/>
      </c>
      <c r="AF44" s="209" t="str">
        <f t="shared" si="7"/>
        <v/>
      </c>
      <c r="AG44" s="402" t="str">
        <f t="shared" si="1"/>
        <v/>
      </c>
      <c r="AH44" s="211" t="str">
        <f>IFERROR(_xlfn.XLOOKUP(AG44,HELPER!$C$7:$C$47,HELPER!$D$7:$D$47,,1),"")</f>
        <v/>
      </c>
    </row>
    <row r="45" spans="2:34">
      <c r="B45" s="387">
        <v>29</v>
      </c>
      <c r="C45" s="399" t="str">
        <f>IFERROR(IF(OR($B$8="INCORRECT SHEET. Do not use this sheet to input data.",'INPUT DATA'!O39=""),"",'INPUT DATA'!O39),"")</f>
        <v/>
      </c>
      <c r="D45" s="183"/>
      <c r="E45" s="184"/>
      <c r="F45" s="184"/>
      <c r="G45" s="184"/>
      <c r="H45" s="184"/>
      <c r="I45" s="184"/>
      <c r="J45" s="184"/>
      <c r="K45" s="184"/>
      <c r="L45" s="184"/>
      <c r="M45" s="185"/>
      <c r="N45" s="207" t="str">
        <f t="shared" si="2"/>
        <v/>
      </c>
      <c r="O45" s="208" t="str">
        <f t="shared" si="3"/>
        <v/>
      </c>
      <c r="P45" s="209" t="str">
        <f t="shared" si="4"/>
        <v/>
      </c>
      <c r="Q45" s="183"/>
      <c r="R45" s="184"/>
      <c r="S45" s="184"/>
      <c r="T45" s="184"/>
      <c r="U45" s="184"/>
      <c r="V45" s="184"/>
      <c r="W45" s="184"/>
      <c r="X45" s="184"/>
      <c r="Y45" s="184"/>
      <c r="Z45" s="185"/>
      <c r="AA45" s="207" t="str">
        <f t="shared" si="0"/>
        <v/>
      </c>
      <c r="AB45" s="208" t="str">
        <f t="shared" si="5"/>
        <v/>
      </c>
      <c r="AC45" s="209" t="str">
        <f t="shared" si="6"/>
        <v/>
      </c>
      <c r="AD45" s="587"/>
      <c r="AE45" s="210" t="str">
        <f t="shared" si="8"/>
        <v/>
      </c>
      <c r="AF45" s="209" t="str">
        <f t="shared" si="7"/>
        <v/>
      </c>
      <c r="AG45" s="402" t="str">
        <f t="shared" si="1"/>
        <v/>
      </c>
      <c r="AH45" s="211" t="str">
        <f>IFERROR(_xlfn.XLOOKUP(AG45,HELPER!$C$7:$C$47,HELPER!$D$7:$D$47,,1),"")</f>
        <v/>
      </c>
    </row>
    <row r="46" spans="2:34">
      <c r="B46" s="387">
        <v>30</v>
      </c>
      <c r="C46" s="399" t="str">
        <f>IFERROR(IF(OR($B$8="INCORRECT SHEET. Do not use this sheet to input data.",'INPUT DATA'!O40=""),"",'INPUT DATA'!O40),"")</f>
        <v/>
      </c>
      <c r="D46" s="183"/>
      <c r="E46" s="184"/>
      <c r="F46" s="184"/>
      <c r="G46" s="184"/>
      <c r="H46" s="184"/>
      <c r="I46" s="184"/>
      <c r="J46" s="184"/>
      <c r="K46" s="184"/>
      <c r="L46" s="184"/>
      <c r="M46" s="185"/>
      <c r="N46" s="207" t="str">
        <f t="shared" si="2"/>
        <v/>
      </c>
      <c r="O46" s="208" t="str">
        <f t="shared" si="3"/>
        <v/>
      </c>
      <c r="P46" s="209" t="str">
        <f t="shared" si="4"/>
        <v/>
      </c>
      <c r="Q46" s="183"/>
      <c r="R46" s="184"/>
      <c r="S46" s="184"/>
      <c r="T46" s="184"/>
      <c r="U46" s="184"/>
      <c r="V46" s="184"/>
      <c r="W46" s="184"/>
      <c r="X46" s="184"/>
      <c r="Y46" s="184"/>
      <c r="Z46" s="185"/>
      <c r="AA46" s="207" t="str">
        <f t="shared" si="0"/>
        <v/>
      </c>
      <c r="AB46" s="208" t="str">
        <f t="shared" si="5"/>
        <v/>
      </c>
      <c r="AC46" s="209" t="str">
        <f t="shared" si="6"/>
        <v/>
      </c>
      <c r="AD46" s="587"/>
      <c r="AE46" s="210" t="str">
        <f t="shared" si="8"/>
        <v/>
      </c>
      <c r="AF46" s="209" t="str">
        <f t="shared" si="7"/>
        <v/>
      </c>
      <c r="AG46" s="402" t="str">
        <f t="shared" si="1"/>
        <v/>
      </c>
      <c r="AH46" s="211" t="str">
        <f>IFERROR(_xlfn.XLOOKUP(AG46,HELPER!$C$7:$C$47,HELPER!$D$7:$D$47,,1),"")</f>
        <v/>
      </c>
    </row>
    <row r="47" spans="2:34">
      <c r="B47" s="387">
        <v>31</v>
      </c>
      <c r="C47" s="399" t="str">
        <f>IFERROR(IF(OR($B$8="INCORRECT SHEET. Do not use this sheet to input data.",'INPUT DATA'!O41=""),"",'INPUT DATA'!O41),"")</f>
        <v/>
      </c>
      <c r="D47" s="183"/>
      <c r="E47" s="184"/>
      <c r="F47" s="184"/>
      <c r="G47" s="184"/>
      <c r="H47" s="184"/>
      <c r="I47" s="184"/>
      <c r="J47" s="184"/>
      <c r="K47" s="184"/>
      <c r="L47" s="184"/>
      <c r="M47" s="185"/>
      <c r="N47" s="207" t="str">
        <f t="shared" si="2"/>
        <v/>
      </c>
      <c r="O47" s="208" t="str">
        <f t="shared" si="3"/>
        <v/>
      </c>
      <c r="P47" s="209" t="str">
        <f t="shared" si="4"/>
        <v/>
      </c>
      <c r="Q47" s="183"/>
      <c r="R47" s="184"/>
      <c r="S47" s="184"/>
      <c r="T47" s="184"/>
      <c r="U47" s="184"/>
      <c r="V47" s="184"/>
      <c r="W47" s="184"/>
      <c r="X47" s="184"/>
      <c r="Y47" s="184"/>
      <c r="Z47" s="185"/>
      <c r="AA47" s="207" t="str">
        <f t="shared" si="0"/>
        <v/>
      </c>
      <c r="AB47" s="208" t="str">
        <f t="shared" si="5"/>
        <v/>
      </c>
      <c r="AC47" s="209" t="str">
        <f t="shared" si="6"/>
        <v/>
      </c>
      <c r="AD47" s="587"/>
      <c r="AE47" s="210" t="str">
        <f t="shared" si="8"/>
        <v/>
      </c>
      <c r="AF47" s="209" t="str">
        <f t="shared" si="7"/>
        <v/>
      </c>
      <c r="AG47" s="402" t="str">
        <f t="shared" si="1"/>
        <v/>
      </c>
      <c r="AH47" s="211" t="str">
        <f>IFERROR(_xlfn.XLOOKUP(AG47,HELPER!$C$7:$C$47,HELPER!$D$7:$D$47,,1),"")</f>
        <v/>
      </c>
    </row>
    <row r="48" spans="2:34">
      <c r="B48" s="387">
        <v>32</v>
      </c>
      <c r="C48" s="399" t="str">
        <f>IFERROR(IF(OR($B$8="INCORRECT SHEET. Do not use this sheet to input data.",'INPUT DATA'!O42=""),"",'INPUT DATA'!O42),"")</f>
        <v/>
      </c>
      <c r="D48" s="183"/>
      <c r="E48" s="184"/>
      <c r="F48" s="184"/>
      <c r="G48" s="184"/>
      <c r="H48" s="184"/>
      <c r="I48" s="184"/>
      <c r="J48" s="184"/>
      <c r="K48" s="184"/>
      <c r="L48" s="184"/>
      <c r="M48" s="185"/>
      <c r="N48" s="207" t="str">
        <f t="shared" si="2"/>
        <v/>
      </c>
      <c r="O48" s="208" t="str">
        <f t="shared" si="3"/>
        <v/>
      </c>
      <c r="P48" s="209" t="str">
        <f t="shared" si="4"/>
        <v/>
      </c>
      <c r="Q48" s="183"/>
      <c r="R48" s="184"/>
      <c r="S48" s="184"/>
      <c r="T48" s="184"/>
      <c r="U48" s="184"/>
      <c r="V48" s="184"/>
      <c r="W48" s="184"/>
      <c r="X48" s="184"/>
      <c r="Y48" s="184"/>
      <c r="Z48" s="185"/>
      <c r="AA48" s="207" t="str">
        <f t="shared" si="0"/>
        <v/>
      </c>
      <c r="AB48" s="208" t="str">
        <f t="shared" si="5"/>
        <v/>
      </c>
      <c r="AC48" s="209" t="str">
        <f t="shared" si="6"/>
        <v/>
      </c>
      <c r="AD48" s="587"/>
      <c r="AE48" s="210" t="str">
        <f t="shared" si="8"/>
        <v/>
      </c>
      <c r="AF48" s="209" t="str">
        <f t="shared" si="7"/>
        <v/>
      </c>
      <c r="AG48" s="402" t="str">
        <f t="shared" si="1"/>
        <v/>
      </c>
      <c r="AH48" s="211" t="str">
        <f>IFERROR(_xlfn.XLOOKUP(AG48,HELPER!$C$7:$C$47,HELPER!$D$7:$D$47,,1),"")</f>
        <v/>
      </c>
    </row>
    <row r="49" spans="2:34">
      <c r="B49" s="387">
        <v>33</v>
      </c>
      <c r="C49" s="399" t="str">
        <f>IFERROR(IF(OR($B$8="INCORRECT SHEET. Do not use this sheet to input data.",'INPUT DATA'!O43=""),"",'INPUT DATA'!O43),"")</f>
        <v/>
      </c>
      <c r="D49" s="183"/>
      <c r="E49" s="184"/>
      <c r="F49" s="184"/>
      <c r="G49" s="184"/>
      <c r="H49" s="184"/>
      <c r="I49" s="184"/>
      <c r="J49" s="184"/>
      <c r="K49" s="184"/>
      <c r="L49" s="184"/>
      <c r="M49" s="185"/>
      <c r="N49" s="207" t="str">
        <f t="shared" si="2"/>
        <v/>
      </c>
      <c r="O49" s="208" t="str">
        <f t="shared" si="3"/>
        <v/>
      </c>
      <c r="P49" s="209" t="str">
        <f t="shared" si="4"/>
        <v/>
      </c>
      <c r="Q49" s="183"/>
      <c r="R49" s="184"/>
      <c r="S49" s="184"/>
      <c r="T49" s="184"/>
      <c r="U49" s="184"/>
      <c r="V49" s="184"/>
      <c r="W49" s="184"/>
      <c r="X49" s="184"/>
      <c r="Y49" s="184"/>
      <c r="Z49" s="185"/>
      <c r="AA49" s="207" t="str">
        <f t="shared" si="0"/>
        <v/>
      </c>
      <c r="AB49" s="208" t="str">
        <f t="shared" si="5"/>
        <v/>
      </c>
      <c r="AC49" s="209" t="str">
        <f t="shared" si="6"/>
        <v/>
      </c>
      <c r="AD49" s="587"/>
      <c r="AE49" s="210" t="str">
        <f t="shared" si="8"/>
        <v/>
      </c>
      <c r="AF49" s="209" t="str">
        <f t="shared" si="7"/>
        <v/>
      </c>
      <c r="AG49" s="402" t="str">
        <f t="shared" ref="AG49:AG66" si="9">IF(AND(C49&lt;&gt;"",P49&lt;&gt;"",AC49&lt;&gt;"",$AD$12=0),SUM(P49,AC49),IF(AND(C49&lt;&gt;"",P49&lt;&gt;"",AC49&lt;&gt;"",AF49&lt;&gt;"",$D$12&gt;0,$Q$12&gt;0,$AD$12&gt;0),SUM(P49,AC49,AF49),""))</f>
        <v/>
      </c>
      <c r="AH49" s="211" t="str">
        <f>IFERROR(_xlfn.XLOOKUP(AG49,HELPER!$C$7:$C$47,HELPER!$D$7:$D$47,,1),"")</f>
        <v/>
      </c>
    </row>
    <row r="50" spans="2:34">
      <c r="B50" s="387">
        <v>34</v>
      </c>
      <c r="C50" s="399" t="str">
        <f>IFERROR(IF(OR($B$8="INCORRECT SHEET. Do not use this sheet to input data.",'INPUT DATA'!O44=""),"",'INPUT DATA'!O44),"")</f>
        <v/>
      </c>
      <c r="D50" s="183"/>
      <c r="E50" s="184"/>
      <c r="F50" s="184"/>
      <c r="G50" s="184"/>
      <c r="H50" s="184"/>
      <c r="I50" s="184"/>
      <c r="J50" s="184"/>
      <c r="K50" s="184"/>
      <c r="L50" s="184"/>
      <c r="M50" s="185"/>
      <c r="N50" s="207" t="str">
        <f t="shared" si="2"/>
        <v/>
      </c>
      <c r="O50" s="208" t="str">
        <f t="shared" si="3"/>
        <v/>
      </c>
      <c r="P50" s="209" t="str">
        <f t="shared" si="4"/>
        <v/>
      </c>
      <c r="Q50" s="183"/>
      <c r="R50" s="184"/>
      <c r="S50" s="184"/>
      <c r="T50" s="184"/>
      <c r="U50" s="184"/>
      <c r="V50" s="184"/>
      <c r="W50" s="184"/>
      <c r="X50" s="184"/>
      <c r="Y50" s="184"/>
      <c r="Z50" s="185"/>
      <c r="AA50" s="207" t="str">
        <f t="shared" si="0"/>
        <v/>
      </c>
      <c r="AB50" s="208" t="str">
        <f t="shared" si="5"/>
        <v/>
      </c>
      <c r="AC50" s="209" t="str">
        <f t="shared" si="6"/>
        <v/>
      </c>
      <c r="AD50" s="587"/>
      <c r="AE50" s="210" t="str">
        <f t="shared" si="8"/>
        <v/>
      </c>
      <c r="AF50" s="209" t="str">
        <f t="shared" si="7"/>
        <v/>
      </c>
      <c r="AG50" s="402" t="str">
        <f t="shared" si="9"/>
        <v/>
      </c>
      <c r="AH50" s="211" t="str">
        <f>IFERROR(_xlfn.XLOOKUP(AG50,HELPER!$C$7:$C$47,HELPER!$D$7:$D$47,,1),"")</f>
        <v/>
      </c>
    </row>
    <row r="51" spans="2:34">
      <c r="B51" s="387">
        <v>35</v>
      </c>
      <c r="C51" s="399" t="str">
        <f>IFERROR(IF(OR($B$8="INCORRECT SHEET. Do not use this sheet to input data.",'INPUT DATA'!O45=""),"",'INPUT DATA'!O45),"")</f>
        <v/>
      </c>
      <c r="D51" s="183"/>
      <c r="E51" s="184"/>
      <c r="F51" s="184"/>
      <c r="G51" s="184"/>
      <c r="H51" s="184"/>
      <c r="I51" s="184"/>
      <c r="J51" s="184"/>
      <c r="K51" s="184"/>
      <c r="L51" s="184"/>
      <c r="M51" s="185"/>
      <c r="N51" s="207" t="str">
        <f t="shared" si="2"/>
        <v/>
      </c>
      <c r="O51" s="208" t="str">
        <f t="shared" si="3"/>
        <v/>
      </c>
      <c r="P51" s="209" t="str">
        <f t="shared" si="4"/>
        <v/>
      </c>
      <c r="Q51" s="183"/>
      <c r="R51" s="184"/>
      <c r="S51" s="184"/>
      <c r="T51" s="184"/>
      <c r="U51" s="184"/>
      <c r="V51" s="184"/>
      <c r="W51" s="184"/>
      <c r="X51" s="184"/>
      <c r="Y51" s="184"/>
      <c r="Z51" s="185"/>
      <c r="AA51" s="207" t="str">
        <f t="shared" si="0"/>
        <v/>
      </c>
      <c r="AB51" s="208" t="str">
        <f t="shared" si="5"/>
        <v/>
      </c>
      <c r="AC51" s="209" t="str">
        <f t="shared" si="6"/>
        <v/>
      </c>
      <c r="AD51" s="587"/>
      <c r="AE51" s="210" t="str">
        <f t="shared" si="8"/>
        <v/>
      </c>
      <c r="AF51" s="209" t="str">
        <f t="shared" si="7"/>
        <v/>
      </c>
      <c r="AG51" s="402" t="str">
        <f t="shared" si="9"/>
        <v/>
      </c>
      <c r="AH51" s="211" t="str">
        <f>IFERROR(_xlfn.XLOOKUP(AG51,HELPER!$C$7:$C$47,HELPER!$D$7:$D$47,,1),"")</f>
        <v/>
      </c>
    </row>
    <row r="52" spans="2:34">
      <c r="B52" s="387">
        <v>36</v>
      </c>
      <c r="C52" s="399" t="str">
        <f>IFERROR(IF(OR($B$8="INCORRECT SHEET. Do not use this sheet to input data.",'INPUT DATA'!O46=""),"",'INPUT DATA'!O46),"")</f>
        <v/>
      </c>
      <c r="D52" s="183"/>
      <c r="E52" s="184"/>
      <c r="F52" s="184"/>
      <c r="G52" s="184"/>
      <c r="H52" s="184"/>
      <c r="I52" s="184"/>
      <c r="J52" s="184"/>
      <c r="K52" s="184"/>
      <c r="L52" s="184"/>
      <c r="M52" s="185"/>
      <c r="N52" s="207" t="str">
        <f t="shared" si="2"/>
        <v/>
      </c>
      <c r="O52" s="208" t="str">
        <f t="shared" si="3"/>
        <v/>
      </c>
      <c r="P52" s="209" t="str">
        <f t="shared" si="4"/>
        <v/>
      </c>
      <c r="Q52" s="183"/>
      <c r="R52" s="184"/>
      <c r="S52" s="184"/>
      <c r="T52" s="184"/>
      <c r="U52" s="184"/>
      <c r="V52" s="184"/>
      <c r="W52" s="184"/>
      <c r="X52" s="184"/>
      <c r="Y52" s="184"/>
      <c r="Z52" s="185"/>
      <c r="AA52" s="207" t="str">
        <f t="shared" si="0"/>
        <v/>
      </c>
      <c r="AB52" s="208" t="str">
        <f t="shared" si="5"/>
        <v/>
      </c>
      <c r="AC52" s="209" t="str">
        <f t="shared" si="6"/>
        <v/>
      </c>
      <c r="AD52" s="587"/>
      <c r="AE52" s="210" t="str">
        <f t="shared" si="8"/>
        <v/>
      </c>
      <c r="AF52" s="209" t="str">
        <f t="shared" si="7"/>
        <v/>
      </c>
      <c r="AG52" s="402" t="str">
        <f t="shared" si="9"/>
        <v/>
      </c>
      <c r="AH52" s="211" t="str">
        <f>IFERROR(_xlfn.XLOOKUP(AG52,HELPER!$C$7:$C$47,HELPER!$D$7:$D$47,,1),"")</f>
        <v/>
      </c>
    </row>
    <row r="53" spans="2:34">
      <c r="B53" s="387">
        <v>37</v>
      </c>
      <c r="C53" s="399" t="str">
        <f>IFERROR(IF(OR($B$8="INCORRECT SHEET. Do not use this sheet to input data.",'INPUT DATA'!O47=""),"",'INPUT DATA'!O47),"")</f>
        <v/>
      </c>
      <c r="D53" s="183"/>
      <c r="E53" s="184"/>
      <c r="F53" s="184"/>
      <c r="G53" s="184"/>
      <c r="H53" s="184"/>
      <c r="I53" s="184"/>
      <c r="J53" s="184"/>
      <c r="K53" s="184"/>
      <c r="L53" s="184"/>
      <c r="M53" s="185"/>
      <c r="N53" s="207" t="str">
        <f t="shared" si="2"/>
        <v/>
      </c>
      <c r="O53" s="208" t="str">
        <f t="shared" si="3"/>
        <v/>
      </c>
      <c r="P53" s="209" t="str">
        <f t="shared" si="4"/>
        <v/>
      </c>
      <c r="Q53" s="183"/>
      <c r="R53" s="184"/>
      <c r="S53" s="184"/>
      <c r="T53" s="184"/>
      <c r="U53" s="184"/>
      <c r="V53" s="184"/>
      <c r="W53" s="184"/>
      <c r="X53" s="184"/>
      <c r="Y53" s="184"/>
      <c r="Z53" s="185"/>
      <c r="AA53" s="207" t="str">
        <f t="shared" si="0"/>
        <v/>
      </c>
      <c r="AB53" s="208" t="str">
        <f t="shared" si="5"/>
        <v/>
      </c>
      <c r="AC53" s="209" t="str">
        <f t="shared" si="6"/>
        <v/>
      </c>
      <c r="AD53" s="587"/>
      <c r="AE53" s="210" t="str">
        <f t="shared" si="8"/>
        <v/>
      </c>
      <c r="AF53" s="209" t="str">
        <f t="shared" si="7"/>
        <v/>
      </c>
      <c r="AG53" s="402" t="str">
        <f t="shared" si="9"/>
        <v/>
      </c>
      <c r="AH53" s="211" t="str">
        <f>IFERROR(_xlfn.XLOOKUP(AG53,HELPER!$C$7:$C$47,HELPER!$D$7:$D$47,,1),"")</f>
        <v/>
      </c>
    </row>
    <row r="54" spans="2:34">
      <c r="B54" s="387">
        <v>38</v>
      </c>
      <c r="C54" s="399" t="str">
        <f>IFERROR(IF(OR($B$8="INCORRECT SHEET. Do not use this sheet to input data.",'INPUT DATA'!O48=""),"",'INPUT DATA'!O48),"")</f>
        <v/>
      </c>
      <c r="D54" s="183"/>
      <c r="E54" s="184"/>
      <c r="F54" s="184"/>
      <c r="G54" s="184"/>
      <c r="H54" s="184"/>
      <c r="I54" s="184"/>
      <c r="J54" s="184"/>
      <c r="K54" s="184"/>
      <c r="L54" s="184"/>
      <c r="M54" s="185"/>
      <c r="N54" s="207" t="str">
        <f t="shared" si="2"/>
        <v/>
      </c>
      <c r="O54" s="208" t="str">
        <f t="shared" si="3"/>
        <v/>
      </c>
      <c r="P54" s="209" t="str">
        <f t="shared" si="4"/>
        <v/>
      </c>
      <c r="Q54" s="183"/>
      <c r="R54" s="184"/>
      <c r="S54" s="184"/>
      <c r="T54" s="184"/>
      <c r="U54" s="184"/>
      <c r="V54" s="184"/>
      <c r="W54" s="184"/>
      <c r="X54" s="184"/>
      <c r="Y54" s="184"/>
      <c r="Z54" s="185"/>
      <c r="AA54" s="207" t="str">
        <f t="shared" si="0"/>
        <v/>
      </c>
      <c r="AB54" s="208" t="str">
        <f t="shared" si="5"/>
        <v/>
      </c>
      <c r="AC54" s="209" t="str">
        <f t="shared" si="6"/>
        <v/>
      </c>
      <c r="AD54" s="587"/>
      <c r="AE54" s="210" t="str">
        <f t="shared" si="8"/>
        <v/>
      </c>
      <c r="AF54" s="209" t="str">
        <f t="shared" si="7"/>
        <v/>
      </c>
      <c r="AG54" s="402" t="str">
        <f t="shared" si="9"/>
        <v/>
      </c>
      <c r="AH54" s="211" t="str">
        <f>IFERROR(_xlfn.XLOOKUP(AG54,HELPER!$C$7:$C$47,HELPER!$D$7:$D$47,,1),"")</f>
        <v/>
      </c>
    </row>
    <row r="55" spans="2:34">
      <c r="B55" s="387">
        <v>39</v>
      </c>
      <c r="C55" s="399" t="str">
        <f>IFERROR(IF(OR($B$8="INCORRECT SHEET. Do not use this sheet to input data.",'INPUT DATA'!O49=""),"",'INPUT DATA'!O49),"")</f>
        <v/>
      </c>
      <c r="D55" s="183"/>
      <c r="E55" s="184"/>
      <c r="F55" s="184"/>
      <c r="G55" s="184"/>
      <c r="H55" s="184"/>
      <c r="I55" s="184"/>
      <c r="J55" s="184"/>
      <c r="K55" s="184"/>
      <c r="L55" s="184"/>
      <c r="M55" s="185"/>
      <c r="N55" s="207" t="str">
        <f t="shared" si="2"/>
        <v/>
      </c>
      <c r="O55" s="208" t="str">
        <f t="shared" si="3"/>
        <v/>
      </c>
      <c r="P55" s="209" t="str">
        <f t="shared" si="4"/>
        <v/>
      </c>
      <c r="Q55" s="183"/>
      <c r="R55" s="184"/>
      <c r="S55" s="184"/>
      <c r="T55" s="184"/>
      <c r="U55" s="184"/>
      <c r="V55" s="184"/>
      <c r="W55" s="184"/>
      <c r="X55" s="184"/>
      <c r="Y55" s="184"/>
      <c r="Z55" s="185"/>
      <c r="AA55" s="207" t="str">
        <f t="shared" si="0"/>
        <v/>
      </c>
      <c r="AB55" s="208" t="str">
        <f t="shared" si="5"/>
        <v/>
      </c>
      <c r="AC55" s="209" t="str">
        <f t="shared" si="6"/>
        <v/>
      </c>
      <c r="AD55" s="587"/>
      <c r="AE55" s="210" t="str">
        <f t="shared" si="8"/>
        <v/>
      </c>
      <c r="AF55" s="209" t="str">
        <f t="shared" si="7"/>
        <v/>
      </c>
      <c r="AG55" s="402" t="str">
        <f t="shared" si="9"/>
        <v/>
      </c>
      <c r="AH55" s="211" t="str">
        <f>IFERROR(_xlfn.XLOOKUP(AG55,HELPER!$C$7:$C$47,HELPER!$D$7:$D$47,,1),"")</f>
        <v/>
      </c>
    </row>
    <row r="56" spans="2:34">
      <c r="B56" s="387">
        <v>40</v>
      </c>
      <c r="C56" s="399" t="str">
        <f>IFERROR(IF(OR($B$8="INCORRECT SHEET. Do not use this sheet to input data.",'INPUT DATA'!O50=""),"",'INPUT DATA'!O50),"")</f>
        <v/>
      </c>
      <c r="D56" s="183"/>
      <c r="E56" s="184"/>
      <c r="F56" s="184"/>
      <c r="G56" s="184"/>
      <c r="H56" s="184"/>
      <c r="I56" s="184"/>
      <c r="J56" s="184"/>
      <c r="K56" s="184"/>
      <c r="L56" s="184"/>
      <c r="M56" s="185"/>
      <c r="N56" s="207" t="str">
        <f t="shared" si="2"/>
        <v/>
      </c>
      <c r="O56" s="208" t="str">
        <f t="shared" si="3"/>
        <v/>
      </c>
      <c r="P56" s="209" t="str">
        <f t="shared" si="4"/>
        <v/>
      </c>
      <c r="Q56" s="183"/>
      <c r="R56" s="184"/>
      <c r="S56" s="184"/>
      <c r="T56" s="184"/>
      <c r="U56" s="184"/>
      <c r="V56" s="184"/>
      <c r="W56" s="184"/>
      <c r="X56" s="184"/>
      <c r="Y56" s="184"/>
      <c r="Z56" s="185"/>
      <c r="AA56" s="207" t="str">
        <f t="shared" si="0"/>
        <v/>
      </c>
      <c r="AB56" s="208" t="str">
        <f t="shared" si="5"/>
        <v/>
      </c>
      <c r="AC56" s="209" t="str">
        <f t="shared" si="6"/>
        <v/>
      </c>
      <c r="AD56" s="587"/>
      <c r="AE56" s="210" t="str">
        <f t="shared" si="8"/>
        <v/>
      </c>
      <c r="AF56" s="209" t="str">
        <f t="shared" si="7"/>
        <v/>
      </c>
      <c r="AG56" s="402" t="str">
        <f t="shared" si="9"/>
        <v/>
      </c>
      <c r="AH56" s="211" t="str">
        <f>IFERROR(_xlfn.XLOOKUP(AG56,HELPER!$C$7:$C$47,HELPER!$D$7:$D$47,,1),"")</f>
        <v/>
      </c>
    </row>
    <row r="57" spans="2:34">
      <c r="B57" s="387">
        <v>41</v>
      </c>
      <c r="C57" s="399" t="str">
        <f>IFERROR(IF(OR($B$8="INCORRECT SHEET. Do not use this sheet to input data.",'INPUT DATA'!O51=""),"",'INPUT DATA'!O51),"")</f>
        <v/>
      </c>
      <c r="D57" s="183"/>
      <c r="E57" s="184"/>
      <c r="F57" s="184"/>
      <c r="G57" s="184"/>
      <c r="H57" s="184"/>
      <c r="I57" s="184"/>
      <c r="J57" s="184"/>
      <c r="K57" s="184"/>
      <c r="L57" s="184"/>
      <c r="M57" s="185"/>
      <c r="N57" s="207" t="str">
        <f t="shared" si="2"/>
        <v/>
      </c>
      <c r="O57" s="208" t="str">
        <f t="shared" si="3"/>
        <v/>
      </c>
      <c r="P57" s="209" t="str">
        <f t="shared" si="4"/>
        <v/>
      </c>
      <c r="Q57" s="183"/>
      <c r="R57" s="184"/>
      <c r="S57" s="184"/>
      <c r="T57" s="184"/>
      <c r="U57" s="184"/>
      <c r="V57" s="184"/>
      <c r="W57" s="184"/>
      <c r="X57" s="184"/>
      <c r="Y57" s="184"/>
      <c r="Z57" s="185"/>
      <c r="AA57" s="207" t="str">
        <f t="shared" si="0"/>
        <v/>
      </c>
      <c r="AB57" s="208" t="str">
        <f t="shared" si="5"/>
        <v/>
      </c>
      <c r="AC57" s="209" t="str">
        <f t="shared" si="6"/>
        <v/>
      </c>
      <c r="AD57" s="587"/>
      <c r="AE57" s="210" t="str">
        <f t="shared" si="8"/>
        <v/>
      </c>
      <c r="AF57" s="209" t="str">
        <f>IFERROR(IF(AE57="","",ROUND(AE57*$AF$14,2)),"")</f>
        <v/>
      </c>
      <c r="AG57" s="402" t="str">
        <f t="shared" si="9"/>
        <v/>
      </c>
      <c r="AH57" s="211" t="str">
        <f>IFERROR(_xlfn.XLOOKUP(AG57,HELPER!$C$7:$C$47,HELPER!$D$7:$D$47,,1),"")</f>
        <v/>
      </c>
    </row>
    <row r="58" spans="2:34">
      <c r="B58" s="387">
        <v>42</v>
      </c>
      <c r="C58" s="399" t="str">
        <f>IFERROR(IF(OR($B$8="INCORRECT SHEET. Do not use this sheet to input data.",'INPUT DATA'!O52=""),"",'INPUT DATA'!O52),"")</f>
        <v/>
      </c>
      <c r="D58" s="183"/>
      <c r="E58" s="184"/>
      <c r="F58" s="184"/>
      <c r="G58" s="184"/>
      <c r="H58" s="184"/>
      <c r="I58" s="184"/>
      <c r="J58" s="184"/>
      <c r="K58" s="184"/>
      <c r="L58" s="184"/>
      <c r="M58" s="185"/>
      <c r="N58" s="207" t="str">
        <f t="shared" si="2"/>
        <v/>
      </c>
      <c r="O58" s="208" t="str">
        <f t="shared" si="3"/>
        <v/>
      </c>
      <c r="P58" s="209" t="str">
        <f t="shared" si="4"/>
        <v/>
      </c>
      <c r="Q58" s="183"/>
      <c r="R58" s="184"/>
      <c r="S58" s="184"/>
      <c r="T58" s="184"/>
      <c r="U58" s="184"/>
      <c r="V58" s="184"/>
      <c r="W58" s="184"/>
      <c r="X58" s="184"/>
      <c r="Y58" s="184"/>
      <c r="Z58" s="185"/>
      <c r="AA58" s="207" t="str">
        <f t="shared" si="0"/>
        <v/>
      </c>
      <c r="AB58" s="208" t="str">
        <f t="shared" si="5"/>
        <v/>
      </c>
      <c r="AC58" s="209" t="str">
        <f t="shared" si="6"/>
        <v/>
      </c>
      <c r="AD58" s="587"/>
      <c r="AE58" s="210" t="str">
        <f t="shared" si="8"/>
        <v/>
      </c>
      <c r="AF58" s="209" t="str">
        <f t="shared" si="7"/>
        <v/>
      </c>
      <c r="AG58" s="402" t="str">
        <f t="shared" si="9"/>
        <v/>
      </c>
      <c r="AH58" s="211" t="str">
        <f>IFERROR(_xlfn.XLOOKUP(AG58,HELPER!$C$7:$C$47,HELPER!$D$7:$D$47,,1),"")</f>
        <v/>
      </c>
    </row>
    <row r="59" spans="2:34">
      <c r="B59" s="387">
        <v>43</v>
      </c>
      <c r="C59" s="399" t="str">
        <f>IFERROR(IF(OR($B$8="INCORRECT SHEET. Do not use this sheet to input data.",'INPUT DATA'!O53=""),"",'INPUT DATA'!O53),"")</f>
        <v/>
      </c>
      <c r="D59" s="183"/>
      <c r="E59" s="184"/>
      <c r="F59" s="184"/>
      <c r="G59" s="184"/>
      <c r="H59" s="184"/>
      <c r="I59" s="184"/>
      <c r="J59" s="184"/>
      <c r="K59" s="184"/>
      <c r="L59" s="184"/>
      <c r="M59" s="185"/>
      <c r="N59" s="207" t="str">
        <f t="shared" si="2"/>
        <v/>
      </c>
      <c r="O59" s="208" t="str">
        <f t="shared" si="3"/>
        <v/>
      </c>
      <c r="P59" s="209" t="str">
        <f t="shared" si="4"/>
        <v/>
      </c>
      <c r="Q59" s="183"/>
      <c r="R59" s="184"/>
      <c r="S59" s="184"/>
      <c r="T59" s="184"/>
      <c r="U59" s="184"/>
      <c r="V59" s="184"/>
      <c r="W59" s="184"/>
      <c r="X59" s="184"/>
      <c r="Y59" s="184"/>
      <c r="Z59" s="185"/>
      <c r="AA59" s="207" t="str">
        <f t="shared" si="0"/>
        <v/>
      </c>
      <c r="AB59" s="208" t="str">
        <f t="shared" si="5"/>
        <v/>
      </c>
      <c r="AC59" s="209" t="str">
        <f t="shared" si="6"/>
        <v/>
      </c>
      <c r="AD59" s="587"/>
      <c r="AE59" s="210" t="str">
        <f t="shared" si="8"/>
        <v/>
      </c>
      <c r="AF59" s="209" t="str">
        <f t="shared" si="7"/>
        <v/>
      </c>
      <c r="AG59" s="402" t="str">
        <f t="shared" si="9"/>
        <v/>
      </c>
      <c r="AH59" s="211" t="str">
        <f>IFERROR(_xlfn.XLOOKUP(AG59,HELPER!$C$7:$C$47,HELPER!$D$7:$D$47,,1),"")</f>
        <v/>
      </c>
    </row>
    <row r="60" spans="2:34">
      <c r="B60" s="387">
        <v>44</v>
      </c>
      <c r="C60" s="399" t="str">
        <f>IFERROR(IF(OR($B$8="INCORRECT SHEET. Do not use this sheet to input data.",'INPUT DATA'!O54=""),"",'INPUT DATA'!O54),"")</f>
        <v/>
      </c>
      <c r="D60" s="183"/>
      <c r="E60" s="184"/>
      <c r="F60" s="184"/>
      <c r="G60" s="184"/>
      <c r="H60" s="184"/>
      <c r="I60" s="184"/>
      <c r="J60" s="184"/>
      <c r="K60" s="184"/>
      <c r="L60" s="184"/>
      <c r="M60" s="185"/>
      <c r="N60" s="207" t="str">
        <f t="shared" si="2"/>
        <v/>
      </c>
      <c r="O60" s="208" t="str">
        <f t="shared" si="3"/>
        <v/>
      </c>
      <c r="P60" s="209" t="str">
        <f t="shared" si="4"/>
        <v/>
      </c>
      <c r="Q60" s="183"/>
      <c r="R60" s="184"/>
      <c r="S60" s="184"/>
      <c r="T60" s="184"/>
      <c r="U60" s="184"/>
      <c r="V60" s="184"/>
      <c r="W60" s="184"/>
      <c r="X60" s="184"/>
      <c r="Y60" s="184"/>
      <c r="Z60" s="185"/>
      <c r="AA60" s="207" t="str">
        <f t="shared" si="0"/>
        <v/>
      </c>
      <c r="AB60" s="208" t="str">
        <f t="shared" si="5"/>
        <v/>
      </c>
      <c r="AC60" s="209" t="str">
        <f t="shared" si="6"/>
        <v/>
      </c>
      <c r="AD60" s="587"/>
      <c r="AE60" s="210" t="str">
        <f t="shared" si="8"/>
        <v/>
      </c>
      <c r="AF60" s="209" t="str">
        <f t="shared" si="7"/>
        <v/>
      </c>
      <c r="AG60" s="402" t="str">
        <f t="shared" si="9"/>
        <v/>
      </c>
      <c r="AH60" s="211" t="str">
        <f>IFERROR(_xlfn.XLOOKUP(AG60,HELPER!$C$7:$C$47,HELPER!$D$7:$D$47,,1),"")</f>
        <v/>
      </c>
    </row>
    <row r="61" spans="2:34">
      <c r="B61" s="387">
        <v>45</v>
      </c>
      <c r="C61" s="399" t="str">
        <f>IFERROR(IF(OR($B$8="INCORRECT SHEET. Do not use this sheet to input data.",'INPUT DATA'!O55=""),"",'INPUT DATA'!O55),"")</f>
        <v/>
      </c>
      <c r="D61" s="183"/>
      <c r="E61" s="184"/>
      <c r="F61" s="184"/>
      <c r="G61" s="184"/>
      <c r="H61" s="184"/>
      <c r="I61" s="184"/>
      <c r="J61" s="184"/>
      <c r="K61" s="184"/>
      <c r="L61" s="184"/>
      <c r="M61" s="185"/>
      <c r="N61" s="207" t="str">
        <f t="shared" si="2"/>
        <v/>
      </c>
      <c r="O61" s="208" t="str">
        <f t="shared" si="3"/>
        <v/>
      </c>
      <c r="P61" s="209" t="str">
        <f t="shared" si="4"/>
        <v/>
      </c>
      <c r="Q61" s="183"/>
      <c r="R61" s="184"/>
      <c r="S61" s="184"/>
      <c r="T61" s="184"/>
      <c r="U61" s="184"/>
      <c r="V61" s="184"/>
      <c r="W61" s="184"/>
      <c r="X61" s="184"/>
      <c r="Y61" s="184"/>
      <c r="Z61" s="185"/>
      <c r="AA61" s="207" t="str">
        <f t="shared" si="0"/>
        <v/>
      </c>
      <c r="AB61" s="208" t="str">
        <f t="shared" si="5"/>
        <v/>
      </c>
      <c r="AC61" s="209" t="str">
        <f t="shared" si="6"/>
        <v/>
      </c>
      <c r="AD61" s="587"/>
      <c r="AE61" s="210" t="str">
        <f t="shared" si="8"/>
        <v/>
      </c>
      <c r="AF61" s="209" t="str">
        <f t="shared" si="7"/>
        <v/>
      </c>
      <c r="AG61" s="402" t="str">
        <f t="shared" si="9"/>
        <v/>
      </c>
      <c r="AH61" s="211" t="str">
        <f>IFERROR(_xlfn.XLOOKUP(AG61,HELPER!$C$7:$C$47,HELPER!$D$7:$D$47,,1),"")</f>
        <v/>
      </c>
    </row>
    <row r="62" spans="2:34">
      <c r="B62" s="387">
        <v>46</v>
      </c>
      <c r="C62" s="399" t="str">
        <f>IFERROR(IF(OR($B$8="INCORRECT SHEET. Do not use this sheet to input data.",'INPUT DATA'!O56=""),"",'INPUT DATA'!O56),"")</f>
        <v/>
      </c>
      <c r="D62" s="183"/>
      <c r="E62" s="184"/>
      <c r="F62" s="184"/>
      <c r="G62" s="184"/>
      <c r="H62" s="184"/>
      <c r="I62" s="184"/>
      <c r="J62" s="184"/>
      <c r="K62" s="184"/>
      <c r="L62" s="184"/>
      <c r="M62" s="185"/>
      <c r="N62" s="207" t="str">
        <f t="shared" si="2"/>
        <v/>
      </c>
      <c r="O62" s="208" t="str">
        <f t="shared" si="3"/>
        <v/>
      </c>
      <c r="P62" s="209" t="str">
        <f t="shared" si="4"/>
        <v/>
      </c>
      <c r="Q62" s="183"/>
      <c r="R62" s="184"/>
      <c r="S62" s="184"/>
      <c r="T62" s="184"/>
      <c r="U62" s="184"/>
      <c r="V62" s="184"/>
      <c r="W62" s="184"/>
      <c r="X62" s="184"/>
      <c r="Y62" s="184"/>
      <c r="Z62" s="185"/>
      <c r="AA62" s="207" t="str">
        <f t="shared" si="0"/>
        <v/>
      </c>
      <c r="AB62" s="208" t="str">
        <f t="shared" si="5"/>
        <v/>
      </c>
      <c r="AC62" s="209" t="str">
        <f t="shared" si="6"/>
        <v/>
      </c>
      <c r="AD62" s="587"/>
      <c r="AE62" s="210" t="str">
        <f t="shared" si="8"/>
        <v/>
      </c>
      <c r="AF62" s="209" t="str">
        <f t="shared" si="7"/>
        <v/>
      </c>
      <c r="AG62" s="402" t="str">
        <f t="shared" si="9"/>
        <v/>
      </c>
      <c r="AH62" s="211" t="str">
        <f>IFERROR(_xlfn.XLOOKUP(AG62,HELPER!$C$7:$C$47,HELPER!$D$7:$D$47,,1),"")</f>
        <v/>
      </c>
    </row>
    <row r="63" spans="2:34">
      <c r="B63" s="387">
        <v>47</v>
      </c>
      <c r="C63" s="399" t="str">
        <f>IFERROR(IF(OR($B$8="INCORRECT SHEET. Do not use this sheet to input data.",'INPUT DATA'!O57=""),"",'INPUT DATA'!O57),"")</f>
        <v/>
      </c>
      <c r="D63" s="183"/>
      <c r="E63" s="184"/>
      <c r="F63" s="184"/>
      <c r="G63" s="184"/>
      <c r="H63" s="184"/>
      <c r="I63" s="184"/>
      <c r="J63" s="184"/>
      <c r="K63" s="184"/>
      <c r="L63" s="184"/>
      <c r="M63" s="185"/>
      <c r="N63" s="207" t="str">
        <f t="shared" si="2"/>
        <v/>
      </c>
      <c r="O63" s="208" t="str">
        <f t="shared" si="3"/>
        <v/>
      </c>
      <c r="P63" s="209" t="str">
        <f t="shared" si="4"/>
        <v/>
      </c>
      <c r="Q63" s="183"/>
      <c r="R63" s="184"/>
      <c r="S63" s="184"/>
      <c r="T63" s="184"/>
      <c r="U63" s="184"/>
      <c r="V63" s="184"/>
      <c r="W63" s="184"/>
      <c r="X63" s="184"/>
      <c r="Y63" s="184"/>
      <c r="Z63" s="185"/>
      <c r="AA63" s="207" t="str">
        <f t="shared" si="0"/>
        <v/>
      </c>
      <c r="AB63" s="208" t="str">
        <f t="shared" si="5"/>
        <v/>
      </c>
      <c r="AC63" s="209" t="str">
        <f t="shared" si="6"/>
        <v/>
      </c>
      <c r="AD63" s="587"/>
      <c r="AE63" s="210" t="str">
        <f t="shared" si="8"/>
        <v/>
      </c>
      <c r="AF63" s="209" t="str">
        <f t="shared" si="7"/>
        <v/>
      </c>
      <c r="AG63" s="402" t="str">
        <f t="shared" si="9"/>
        <v/>
      </c>
      <c r="AH63" s="211" t="str">
        <f>IFERROR(_xlfn.XLOOKUP(AG63,HELPER!$C$7:$C$47,HELPER!$D$7:$D$47,,1),"")</f>
        <v/>
      </c>
    </row>
    <row r="64" spans="2:34">
      <c r="B64" s="387">
        <v>48</v>
      </c>
      <c r="C64" s="399" t="str">
        <f>IFERROR(IF(OR($B$8="INCORRECT SHEET. Do not use this sheet to input data.",'INPUT DATA'!O58=""),"",'INPUT DATA'!O58),"")</f>
        <v/>
      </c>
      <c r="D64" s="183"/>
      <c r="E64" s="184"/>
      <c r="F64" s="184"/>
      <c r="G64" s="184"/>
      <c r="H64" s="184"/>
      <c r="I64" s="184"/>
      <c r="J64" s="184"/>
      <c r="K64" s="184"/>
      <c r="L64" s="184"/>
      <c r="M64" s="185"/>
      <c r="N64" s="207" t="str">
        <f t="shared" si="2"/>
        <v/>
      </c>
      <c r="O64" s="208" t="str">
        <f t="shared" si="3"/>
        <v/>
      </c>
      <c r="P64" s="209" t="str">
        <f t="shared" si="4"/>
        <v/>
      </c>
      <c r="Q64" s="183"/>
      <c r="R64" s="184"/>
      <c r="S64" s="184"/>
      <c r="T64" s="184"/>
      <c r="U64" s="184"/>
      <c r="V64" s="184"/>
      <c r="W64" s="184"/>
      <c r="X64" s="184"/>
      <c r="Y64" s="184"/>
      <c r="Z64" s="185"/>
      <c r="AA64" s="207" t="str">
        <f t="shared" si="0"/>
        <v/>
      </c>
      <c r="AB64" s="208" t="str">
        <f t="shared" si="5"/>
        <v/>
      </c>
      <c r="AC64" s="209" t="str">
        <f t="shared" si="6"/>
        <v/>
      </c>
      <c r="AD64" s="587"/>
      <c r="AE64" s="210" t="str">
        <f t="shared" si="8"/>
        <v/>
      </c>
      <c r="AF64" s="209" t="str">
        <f t="shared" si="7"/>
        <v/>
      </c>
      <c r="AG64" s="402" t="str">
        <f t="shared" si="9"/>
        <v/>
      </c>
      <c r="AH64" s="211" t="str">
        <f>IFERROR(_xlfn.XLOOKUP(AG64,HELPER!$C$7:$C$47,HELPER!$D$7:$D$47,,1),"")</f>
        <v/>
      </c>
    </row>
    <row r="65" spans="2:34">
      <c r="B65" s="387">
        <v>49</v>
      </c>
      <c r="C65" s="399" t="str">
        <f>IFERROR(IF(OR($B$8="INCORRECT SHEET. Do not use this sheet to input data.",'INPUT DATA'!O59=""),"",'INPUT DATA'!O59),"")</f>
        <v/>
      </c>
      <c r="D65" s="183"/>
      <c r="E65" s="184"/>
      <c r="F65" s="184"/>
      <c r="G65" s="184"/>
      <c r="H65" s="184"/>
      <c r="I65" s="184"/>
      <c r="J65" s="184"/>
      <c r="K65" s="184"/>
      <c r="L65" s="184"/>
      <c r="M65" s="185"/>
      <c r="N65" s="207" t="str">
        <f t="shared" si="2"/>
        <v/>
      </c>
      <c r="O65" s="208" t="str">
        <f t="shared" si="3"/>
        <v/>
      </c>
      <c r="P65" s="209" t="str">
        <f t="shared" si="4"/>
        <v/>
      </c>
      <c r="Q65" s="183"/>
      <c r="R65" s="184"/>
      <c r="S65" s="184"/>
      <c r="T65" s="184"/>
      <c r="U65" s="184"/>
      <c r="V65" s="184"/>
      <c r="W65" s="184"/>
      <c r="X65" s="184"/>
      <c r="Y65" s="184"/>
      <c r="Z65" s="185"/>
      <c r="AA65" s="207" t="str">
        <f t="shared" si="0"/>
        <v/>
      </c>
      <c r="AB65" s="208" t="str">
        <f t="shared" si="5"/>
        <v/>
      </c>
      <c r="AC65" s="209" t="str">
        <f t="shared" si="6"/>
        <v/>
      </c>
      <c r="AD65" s="587"/>
      <c r="AE65" s="210" t="str">
        <f t="shared" si="8"/>
        <v/>
      </c>
      <c r="AF65" s="209" t="str">
        <f t="shared" si="7"/>
        <v/>
      </c>
      <c r="AG65" s="402" t="str">
        <f t="shared" si="9"/>
        <v/>
      </c>
      <c r="AH65" s="211" t="str">
        <f>IFERROR(_xlfn.XLOOKUP(AG65,HELPER!$C$7:$C$47,HELPER!$D$7:$D$47,,1),"")</f>
        <v/>
      </c>
    </row>
    <row r="66" spans="2:34" ht="17.25" thickBot="1">
      <c r="B66" s="518">
        <v>50</v>
      </c>
      <c r="C66" s="400" t="str">
        <f>IFERROR(IF(OR($B$8="INCORRECT SHEET. Do not use this sheet to input data.",'INPUT DATA'!O60=""),"",'INPUT DATA'!O60),"")</f>
        <v/>
      </c>
      <c r="D66" s="186"/>
      <c r="E66" s="187"/>
      <c r="F66" s="187"/>
      <c r="G66" s="187"/>
      <c r="H66" s="187"/>
      <c r="I66" s="187"/>
      <c r="J66" s="187"/>
      <c r="K66" s="187"/>
      <c r="L66" s="187"/>
      <c r="M66" s="188"/>
      <c r="N66" s="217" t="str">
        <f t="shared" si="2"/>
        <v/>
      </c>
      <c r="O66" s="218" t="str">
        <f t="shared" si="3"/>
        <v/>
      </c>
      <c r="P66" s="219" t="str">
        <f t="shared" si="4"/>
        <v/>
      </c>
      <c r="Q66" s="186"/>
      <c r="R66" s="187"/>
      <c r="S66" s="187"/>
      <c r="T66" s="187"/>
      <c r="U66" s="187"/>
      <c r="V66" s="187"/>
      <c r="W66" s="187"/>
      <c r="X66" s="187"/>
      <c r="Y66" s="187"/>
      <c r="Z66" s="188"/>
      <c r="AA66" s="217" t="str">
        <f t="shared" si="0"/>
        <v/>
      </c>
      <c r="AB66" s="218" t="str">
        <f t="shared" si="5"/>
        <v/>
      </c>
      <c r="AC66" s="219" t="str">
        <f t="shared" si="6"/>
        <v/>
      </c>
      <c r="AD66" s="588"/>
      <c r="AE66" s="210" t="str">
        <f t="shared" si="8"/>
        <v/>
      </c>
      <c r="AF66" s="219" t="str">
        <f t="shared" si="7"/>
        <v/>
      </c>
      <c r="AG66" s="403" t="str">
        <f t="shared" si="9"/>
        <v/>
      </c>
      <c r="AH66" s="14" t="str">
        <f>IFERROR(_xlfn.XLOOKUP(AG66,HELPER!$C$7:$C$47,HELPER!$D$7:$D$47,,1),"")</f>
        <v/>
      </c>
    </row>
    <row r="67" spans="2:34" ht="17.25" thickBot="1">
      <c r="B67" s="359" t="s">
        <v>47</v>
      </c>
      <c r="C67" s="433"/>
      <c r="D67" s="212"/>
      <c r="E67" s="212"/>
      <c r="F67" s="212"/>
      <c r="G67" s="212"/>
      <c r="H67" s="212"/>
      <c r="I67" s="212"/>
      <c r="J67" s="212"/>
      <c r="K67" s="212"/>
      <c r="L67" s="212"/>
      <c r="M67" s="212"/>
      <c r="N67" s="213"/>
      <c r="O67" s="214"/>
      <c r="P67" s="215"/>
      <c r="Q67" s="212"/>
      <c r="R67" s="212"/>
      <c r="S67" s="212"/>
      <c r="T67" s="212"/>
      <c r="U67" s="212"/>
      <c r="V67" s="212"/>
      <c r="W67" s="212"/>
      <c r="X67" s="212"/>
      <c r="Y67" s="212"/>
      <c r="Z67" s="212"/>
      <c r="AA67" s="213"/>
      <c r="AB67" s="214"/>
      <c r="AC67" s="215"/>
      <c r="AD67" s="212"/>
      <c r="AE67" s="592"/>
      <c r="AF67" s="593"/>
      <c r="AG67" s="408"/>
      <c r="AH67" s="216"/>
    </row>
    <row r="68" spans="2:34">
      <c r="B68" s="516">
        <v>1</v>
      </c>
      <c r="C68" s="390" t="str">
        <f>IFERROR(IF(OR($B$8="INCORRECT SHEET. Do not use this sheet to input data.",'INPUT DATA'!S11=""),"",'INPUT DATA'!S11),"")</f>
        <v/>
      </c>
      <c r="D68" s="391"/>
      <c r="E68" s="392"/>
      <c r="F68" s="392"/>
      <c r="G68" s="392"/>
      <c r="H68" s="392"/>
      <c r="I68" s="392"/>
      <c r="J68" s="392"/>
      <c r="K68" s="392"/>
      <c r="L68" s="392"/>
      <c r="M68" s="393"/>
      <c r="N68" s="394" t="str">
        <f>IF(COUNT(D68:M68)=0,"",SUM(D68:M68))</f>
        <v/>
      </c>
      <c r="O68" s="395" t="str">
        <f>IFERROR(IF(N68="","",ROUND(N68/N$14*O$14,2)),"")</f>
        <v/>
      </c>
      <c r="P68" s="396" t="str">
        <f>IFERROR(IF(O68="","",ROUND(O68*P$14,2)),"")</f>
        <v/>
      </c>
      <c r="Q68" s="391"/>
      <c r="R68" s="392"/>
      <c r="S68" s="392"/>
      <c r="T68" s="392"/>
      <c r="U68" s="392"/>
      <c r="V68" s="392"/>
      <c r="W68" s="392"/>
      <c r="X68" s="392"/>
      <c r="Y68" s="392"/>
      <c r="Z68" s="393"/>
      <c r="AA68" s="394" t="str">
        <f>IF(COUNT(Q68:Z68)=0,"",SUM(Q68:Z68))</f>
        <v/>
      </c>
      <c r="AB68" s="395" t="str">
        <f>IFERROR(IF(AA68="","",ROUND(AA68/AA$14*AB$14,2)),"")</f>
        <v/>
      </c>
      <c r="AC68" s="396" t="str">
        <f>IFERROR(IF(AB68="","",ROUND(AB68*AC$14,2)),"")</f>
        <v/>
      </c>
      <c r="AD68" s="586"/>
      <c r="AE68" s="397" t="str">
        <f>IFERROR(IF(AD68="","",ROUND(AD68/$AD$14,2)*100),"")</f>
        <v/>
      </c>
      <c r="AF68" s="396" t="str">
        <f>IFERROR(IF(AE68="","",ROUND(AE68*$AF$14,2)),"")</f>
        <v/>
      </c>
      <c r="AG68" s="401" t="str">
        <f>IF(AND(C68&lt;&gt;"",P68&lt;&gt;"",AC68&lt;&gt;"",$AD$12=0),SUM(P68,AC68),IF(AND(C68&lt;&gt;"",P68&lt;&gt;"",AC68&lt;&gt;"",AF68&lt;&gt;"",$D$12&gt;0,$Q$12&gt;0,$AD$12&gt;0),SUM(P68,AC68,AF68),""))</f>
        <v/>
      </c>
      <c r="AH68" s="398" t="str">
        <f>IFERROR(_xlfn.XLOOKUP(AG68,HELPER!$C$7:$C$47,HELPER!$D$7:$D$47,,1),"")</f>
        <v/>
      </c>
    </row>
    <row r="69" spans="2:34">
      <c r="B69" s="388">
        <v>2</v>
      </c>
      <c r="C69" s="432" t="str">
        <f>IFERROR(IF(OR($B$8="INCORRECT SHEET. Do not use this sheet to input data.",'INPUT DATA'!S12=""),"",'INPUT DATA'!S12),"")</f>
        <v/>
      </c>
      <c r="D69" s="183"/>
      <c r="E69" s="184"/>
      <c r="F69" s="184"/>
      <c r="G69" s="184"/>
      <c r="H69" s="184"/>
      <c r="I69" s="184"/>
      <c r="J69" s="184"/>
      <c r="K69" s="184"/>
      <c r="L69" s="184"/>
      <c r="M69" s="185"/>
      <c r="N69" s="207" t="str">
        <f t="shared" ref="N69:N117" si="10">IF(COUNT(D69:M69)=0,"",SUM(D69:M69))</f>
        <v/>
      </c>
      <c r="O69" s="208" t="str">
        <f t="shared" ref="O69:O117" si="11">IFERROR(IF(N69="","",ROUND(N69/N$14*O$14,2)),"")</f>
        <v/>
      </c>
      <c r="P69" s="209" t="str">
        <f t="shared" ref="P69:P117" si="12">IFERROR(IF(O69="","",ROUND(O69*P$14,2)),"")</f>
        <v/>
      </c>
      <c r="Q69" s="183"/>
      <c r="R69" s="184"/>
      <c r="S69" s="184"/>
      <c r="T69" s="184"/>
      <c r="U69" s="184"/>
      <c r="V69" s="184"/>
      <c r="W69" s="184"/>
      <c r="X69" s="184"/>
      <c r="Y69" s="184"/>
      <c r="Z69" s="185"/>
      <c r="AA69" s="207" t="str">
        <f t="shared" ref="AA69:AA117" si="13">IF(COUNT(Q69:Z69)=0,"",SUM(Q69:Z69))</f>
        <v/>
      </c>
      <c r="AB69" s="208" t="str">
        <f t="shared" ref="AB69:AB117" si="14">IFERROR(IF(AA69="","",ROUND(AA69/AA$14*AB$14,2)),"")</f>
        <v/>
      </c>
      <c r="AC69" s="209" t="str">
        <f t="shared" ref="AC69:AC117" si="15">IFERROR(IF(AB69="","",ROUND(AB69*AC$14,2)),"")</f>
        <v/>
      </c>
      <c r="AD69" s="587"/>
      <c r="AE69" s="210" t="str">
        <f t="shared" ref="AE69:AE116" si="16">IFERROR(IF(AD69="","",ROUND(AD69/$AD$14,2)*100),"")</f>
        <v/>
      </c>
      <c r="AF69" s="209" t="str">
        <f t="shared" ref="AF69:AF107" si="17">IFERROR(IF(AE69="","",ROUND(AE69*$AF$14,2)),"")</f>
        <v/>
      </c>
      <c r="AG69" s="402" t="str">
        <f t="shared" ref="AG69:AG117" si="18">IF(AND(C69&lt;&gt;"",P69&lt;&gt;"",AC69&lt;&gt;"",$AD$12=0),SUM(P69,AC69),IF(AND(C69&lt;&gt;"",P69&lt;&gt;"",AC69&lt;&gt;"",AF69&lt;&gt;"",$D$12&gt;0,$Q$12&gt;0,$AD$12&gt;0),SUM(P69,AC69,AF69),""))</f>
        <v/>
      </c>
      <c r="AH69" s="211" t="str">
        <f>IFERROR(_xlfn.XLOOKUP(AG69,HELPER!$C$7:$C$47,HELPER!$D$7:$D$47,,1),"")</f>
        <v/>
      </c>
    </row>
    <row r="70" spans="2:34">
      <c r="B70" s="388">
        <v>3</v>
      </c>
      <c r="C70" s="432" t="str">
        <f>IFERROR(IF(OR($B$8="INCORRECT SHEET. Do not use this sheet to input data.",'INPUT DATA'!S13=""),"",'INPUT DATA'!S13),"")</f>
        <v/>
      </c>
      <c r="D70" s="183"/>
      <c r="E70" s="184"/>
      <c r="F70" s="184"/>
      <c r="G70" s="184"/>
      <c r="H70" s="184"/>
      <c r="I70" s="184"/>
      <c r="J70" s="184"/>
      <c r="K70" s="184"/>
      <c r="L70" s="184"/>
      <c r="M70" s="185"/>
      <c r="N70" s="207" t="str">
        <f t="shared" si="10"/>
        <v/>
      </c>
      <c r="O70" s="208" t="str">
        <f t="shared" si="11"/>
        <v/>
      </c>
      <c r="P70" s="209" t="str">
        <f t="shared" si="12"/>
        <v/>
      </c>
      <c r="Q70" s="183"/>
      <c r="R70" s="184"/>
      <c r="S70" s="184"/>
      <c r="T70" s="184"/>
      <c r="U70" s="184"/>
      <c r="V70" s="184"/>
      <c r="W70" s="184"/>
      <c r="X70" s="184"/>
      <c r="Y70" s="184"/>
      <c r="Z70" s="185"/>
      <c r="AA70" s="207" t="str">
        <f t="shared" si="13"/>
        <v/>
      </c>
      <c r="AB70" s="208" t="str">
        <f t="shared" si="14"/>
        <v/>
      </c>
      <c r="AC70" s="209" t="str">
        <f t="shared" si="15"/>
        <v/>
      </c>
      <c r="AD70" s="587"/>
      <c r="AE70" s="210" t="str">
        <f t="shared" si="16"/>
        <v/>
      </c>
      <c r="AF70" s="209" t="str">
        <f t="shared" si="17"/>
        <v/>
      </c>
      <c r="AG70" s="402" t="str">
        <f t="shared" si="18"/>
        <v/>
      </c>
      <c r="AH70" s="211" t="str">
        <f>IFERROR(_xlfn.XLOOKUP(AG70,HELPER!$C$7:$C$47,HELPER!$D$7:$D$47,,1),"")</f>
        <v/>
      </c>
    </row>
    <row r="71" spans="2:34">
      <c r="B71" s="388">
        <v>4</v>
      </c>
      <c r="C71" s="432" t="str">
        <f>IFERROR(IF(OR($B$8="INCORRECT SHEET. Do not use this sheet to input data.",'INPUT DATA'!S14=""),"",'INPUT DATA'!S14),"")</f>
        <v/>
      </c>
      <c r="D71" s="183"/>
      <c r="E71" s="184"/>
      <c r="F71" s="184"/>
      <c r="G71" s="184"/>
      <c r="H71" s="184"/>
      <c r="I71" s="184"/>
      <c r="J71" s="184"/>
      <c r="K71" s="184"/>
      <c r="L71" s="184"/>
      <c r="M71" s="185"/>
      <c r="N71" s="207" t="str">
        <f t="shared" si="10"/>
        <v/>
      </c>
      <c r="O71" s="208" t="str">
        <f t="shared" si="11"/>
        <v/>
      </c>
      <c r="P71" s="209" t="str">
        <f t="shared" si="12"/>
        <v/>
      </c>
      <c r="Q71" s="183"/>
      <c r="R71" s="184"/>
      <c r="S71" s="184"/>
      <c r="T71" s="184"/>
      <c r="U71" s="184"/>
      <c r="V71" s="184"/>
      <c r="W71" s="184"/>
      <c r="X71" s="184"/>
      <c r="Y71" s="184"/>
      <c r="Z71" s="185"/>
      <c r="AA71" s="207" t="str">
        <f t="shared" si="13"/>
        <v/>
      </c>
      <c r="AB71" s="208" t="str">
        <f t="shared" si="14"/>
        <v/>
      </c>
      <c r="AC71" s="209" t="str">
        <f t="shared" si="15"/>
        <v/>
      </c>
      <c r="AD71" s="587"/>
      <c r="AE71" s="210" t="str">
        <f t="shared" si="16"/>
        <v/>
      </c>
      <c r="AF71" s="209" t="str">
        <f t="shared" si="17"/>
        <v/>
      </c>
      <c r="AG71" s="402" t="str">
        <f t="shared" si="18"/>
        <v/>
      </c>
      <c r="AH71" s="211" t="str">
        <f>IFERROR(_xlfn.XLOOKUP(AG71,HELPER!$C$7:$C$47,HELPER!$D$7:$D$47,,1),"")</f>
        <v/>
      </c>
    </row>
    <row r="72" spans="2:34">
      <c r="B72" s="388">
        <v>5</v>
      </c>
      <c r="C72" s="432" t="str">
        <f>IFERROR(IF(OR($B$8="INCORRECT SHEET. Do not use this sheet to input data.",'INPUT DATA'!S15=""),"",'INPUT DATA'!S15),"")</f>
        <v/>
      </c>
      <c r="D72" s="183"/>
      <c r="E72" s="184"/>
      <c r="F72" s="184"/>
      <c r="G72" s="184"/>
      <c r="H72" s="184"/>
      <c r="I72" s="184"/>
      <c r="J72" s="184"/>
      <c r="K72" s="184"/>
      <c r="L72" s="184"/>
      <c r="M72" s="185"/>
      <c r="N72" s="207" t="str">
        <f t="shared" si="10"/>
        <v/>
      </c>
      <c r="O72" s="208" t="str">
        <f t="shared" si="11"/>
        <v/>
      </c>
      <c r="P72" s="209" t="str">
        <f t="shared" si="12"/>
        <v/>
      </c>
      <c r="Q72" s="183"/>
      <c r="R72" s="184"/>
      <c r="S72" s="184"/>
      <c r="T72" s="184"/>
      <c r="U72" s="184"/>
      <c r="V72" s="184"/>
      <c r="W72" s="184"/>
      <c r="X72" s="184"/>
      <c r="Y72" s="184"/>
      <c r="Z72" s="185"/>
      <c r="AA72" s="207" t="str">
        <f t="shared" si="13"/>
        <v/>
      </c>
      <c r="AB72" s="208" t="str">
        <f t="shared" si="14"/>
        <v/>
      </c>
      <c r="AC72" s="209" t="str">
        <f t="shared" si="15"/>
        <v/>
      </c>
      <c r="AD72" s="587"/>
      <c r="AE72" s="210" t="str">
        <f t="shared" si="16"/>
        <v/>
      </c>
      <c r="AF72" s="209" t="str">
        <f t="shared" si="17"/>
        <v/>
      </c>
      <c r="AG72" s="402" t="str">
        <f t="shared" si="18"/>
        <v/>
      </c>
      <c r="AH72" s="211" t="str">
        <f>IFERROR(_xlfn.XLOOKUP(AG72,HELPER!$C$7:$C$47,HELPER!$D$7:$D$47,,1),"")</f>
        <v/>
      </c>
    </row>
    <row r="73" spans="2:34">
      <c r="B73" s="388">
        <v>6</v>
      </c>
      <c r="C73" s="432" t="str">
        <f>IFERROR(IF(OR($B$8="INCORRECT SHEET. Do not use this sheet to input data.",'INPUT DATA'!S16=""),"",'INPUT DATA'!S16),"")</f>
        <v/>
      </c>
      <c r="D73" s="183"/>
      <c r="E73" s="184"/>
      <c r="F73" s="184"/>
      <c r="G73" s="184"/>
      <c r="H73" s="184"/>
      <c r="I73" s="184"/>
      <c r="J73" s="184"/>
      <c r="K73" s="184"/>
      <c r="L73" s="184"/>
      <c r="M73" s="185"/>
      <c r="N73" s="207" t="str">
        <f t="shared" si="10"/>
        <v/>
      </c>
      <c r="O73" s="208" t="str">
        <f t="shared" si="11"/>
        <v/>
      </c>
      <c r="P73" s="209" t="str">
        <f t="shared" si="12"/>
        <v/>
      </c>
      <c r="Q73" s="183"/>
      <c r="R73" s="184"/>
      <c r="S73" s="184"/>
      <c r="T73" s="184"/>
      <c r="U73" s="184"/>
      <c r="V73" s="184"/>
      <c r="W73" s="184"/>
      <c r="X73" s="184"/>
      <c r="Y73" s="184"/>
      <c r="Z73" s="185"/>
      <c r="AA73" s="207" t="str">
        <f t="shared" si="13"/>
        <v/>
      </c>
      <c r="AB73" s="208" t="str">
        <f t="shared" si="14"/>
        <v/>
      </c>
      <c r="AC73" s="209" t="str">
        <f t="shared" si="15"/>
        <v/>
      </c>
      <c r="AD73" s="587"/>
      <c r="AE73" s="210" t="str">
        <f t="shared" si="16"/>
        <v/>
      </c>
      <c r="AF73" s="209" t="str">
        <f t="shared" si="17"/>
        <v/>
      </c>
      <c r="AG73" s="402" t="str">
        <f t="shared" si="18"/>
        <v/>
      </c>
      <c r="AH73" s="211" t="str">
        <f>IFERROR(_xlfn.XLOOKUP(AG73,HELPER!$C$7:$C$47,HELPER!$D$7:$D$47,,1),"")</f>
        <v/>
      </c>
    </row>
    <row r="74" spans="2:34">
      <c r="B74" s="388">
        <v>7</v>
      </c>
      <c r="C74" s="432" t="str">
        <f>IFERROR(IF(OR($B$8="INCORRECT SHEET. Do not use this sheet to input data.",'INPUT DATA'!S17=""),"",'INPUT DATA'!S17),"")</f>
        <v/>
      </c>
      <c r="D74" s="183"/>
      <c r="E74" s="184"/>
      <c r="F74" s="184"/>
      <c r="G74" s="184"/>
      <c r="H74" s="184"/>
      <c r="I74" s="184"/>
      <c r="J74" s="184"/>
      <c r="K74" s="184"/>
      <c r="L74" s="184"/>
      <c r="M74" s="185"/>
      <c r="N74" s="207" t="str">
        <f t="shared" si="10"/>
        <v/>
      </c>
      <c r="O74" s="208" t="str">
        <f t="shared" si="11"/>
        <v/>
      </c>
      <c r="P74" s="209" t="str">
        <f t="shared" si="12"/>
        <v/>
      </c>
      <c r="Q74" s="183"/>
      <c r="R74" s="184"/>
      <c r="S74" s="184"/>
      <c r="T74" s="184"/>
      <c r="U74" s="184"/>
      <c r="V74" s="184"/>
      <c r="W74" s="184"/>
      <c r="X74" s="184"/>
      <c r="Y74" s="184"/>
      <c r="Z74" s="185"/>
      <c r="AA74" s="207" t="str">
        <f t="shared" si="13"/>
        <v/>
      </c>
      <c r="AB74" s="208" t="str">
        <f t="shared" si="14"/>
        <v/>
      </c>
      <c r="AC74" s="209" t="str">
        <f t="shared" si="15"/>
        <v/>
      </c>
      <c r="AD74" s="587"/>
      <c r="AE74" s="210" t="str">
        <f t="shared" si="16"/>
        <v/>
      </c>
      <c r="AF74" s="209" t="str">
        <f t="shared" si="17"/>
        <v/>
      </c>
      <c r="AG74" s="402" t="str">
        <f t="shared" si="18"/>
        <v/>
      </c>
      <c r="AH74" s="211" t="str">
        <f>IFERROR(_xlfn.XLOOKUP(AG74,HELPER!$C$7:$C$47,HELPER!$D$7:$D$47,,1),"")</f>
        <v/>
      </c>
    </row>
    <row r="75" spans="2:34">
      <c r="B75" s="388">
        <v>8</v>
      </c>
      <c r="C75" s="432" t="str">
        <f>IFERROR(IF(OR($B$8="INCORRECT SHEET. Do not use this sheet to input data.",'INPUT DATA'!S18=""),"",'INPUT DATA'!S18),"")</f>
        <v/>
      </c>
      <c r="D75" s="183"/>
      <c r="E75" s="184"/>
      <c r="F75" s="184"/>
      <c r="G75" s="184"/>
      <c r="H75" s="184"/>
      <c r="I75" s="184"/>
      <c r="J75" s="184"/>
      <c r="K75" s="184"/>
      <c r="L75" s="184"/>
      <c r="M75" s="185"/>
      <c r="N75" s="207" t="str">
        <f t="shared" si="10"/>
        <v/>
      </c>
      <c r="O75" s="208" t="str">
        <f t="shared" si="11"/>
        <v/>
      </c>
      <c r="P75" s="209" t="str">
        <f t="shared" si="12"/>
        <v/>
      </c>
      <c r="Q75" s="183"/>
      <c r="R75" s="184"/>
      <c r="S75" s="184"/>
      <c r="T75" s="184"/>
      <c r="U75" s="184"/>
      <c r="V75" s="184"/>
      <c r="W75" s="184"/>
      <c r="X75" s="184"/>
      <c r="Y75" s="184"/>
      <c r="Z75" s="185"/>
      <c r="AA75" s="207" t="str">
        <f t="shared" si="13"/>
        <v/>
      </c>
      <c r="AB75" s="208" t="str">
        <f t="shared" si="14"/>
        <v/>
      </c>
      <c r="AC75" s="209" t="str">
        <f t="shared" si="15"/>
        <v/>
      </c>
      <c r="AD75" s="587"/>
      <c r="AE75" s="210" t="str">
        <f t="shared" si="16"/>
        <v/>
      </c>
      <c r="AF75" s="209" t="str">
        <f t="shared" si="17"/>
        <v/>
      </c>
      <c r="AG75" s="402" t="str">
        <f t="shared" si="18"/>
        <v/>
      </c>
      <c r="AH75" s="211" t="str">
        <f>IFERROR(_xlfn.XLOOKUP(AG75,HELPER!$C$7:$C$47,HELPER!$D$7:$D$47,,1),"")</f>
        <v/>
      </c>
    </row>
    <row r="76" spans="2:34">
      <c r="B76" s="388">
        <v>9</v>
      </c>
      <c r="C76" s="432" t="str">
        <f>IFERROR(IF(OR($B$8="INCORRECT SHEET. Do not use this sheet to input data.",'INPUT DATA'!S19=""),"",'INPUT DATA'!S19),"")</f>
        <v/>
      </c>
      <c r="D76" s="183"/>
      <c r="E76" s="184"/>
      <c r="F76" s="184"/>
      <c r="G76" s="184"/>
      <c r="H76" s="184"/>
      <c r="I76" s="184"/>
      <c r="J76" s="184"/>
      <c r="K76" s="184"/>
      <c r="L76" s="184"/>
      <c r="M76" s="185"/>
      <c r="N76" s="207" t="str">
        <f t="shared" si="10"/>
        <v/>
      </c>
      <c r="O76" s="208" t="str">
        <f t="shared" si="11"/>
        <v/>
      </c>
      <c r="P76" s="209" t="str">
        <f t="shared" si="12"/>
        <v/>
      </c>
      <c r="Q76" s="183"/>
      <c r="R76" s="184"/>
      <c r="S76" s="184"/>
      <c r="T76" s="184"/>
      <c r="U76" s="184"/>
      <c r="V76" s="184"/>
      <c r="W76" s="184"/>
      <c r="X76" s="184"/>
      <c r="Y76" s="184"/>
      <c r="Z76" s="185"/>
      <c r="AA76" s="207" t="str">
        <f t="shared" si="13"/>
        <v/>
      </c>
      <c r="AB76" s="208" t="str">
        <f t="shared" si="14"/>
        <v/>
      </c>
      <c r="AC76" s="209" t="str">
        <f t="shared" si="15"/>
        <v/>
      </c>
      <c r="AD76" s="587"/>
      <c r="AE76" s="210" t="str">
        <f t="shared" si="16"/>
        <v/>
      </c>
      <c r="AF76" s="209" t="str">
        <f t="shared" si="17"/>
        <v/>
      </c>
      <c r="AG76" s="402" t="str">
        <f t="shared" si="18"/>
        <v/>
      </c>
      <c r="AH76" s="211" t="str">
        <f>IFERROR(_xlfn.XLOOKUP(AG76,HELPER!$C$7:$C$47,HELPER!$D$7:$D$47,,1),"")</f>
        <v/>
      </c>
    </row>
    <row r="77" spans="2:34">
      <c r="B77" s="388">
        <v>10</v>
      </c>
      <c r="C77" s="432" t="str">
        <f>IFERROR(IF(OR($B$8="INCORRECT SHEET. Do not use this sheet to input data.",'INPUT DATA'!S20=""),"",'INPUT DATA'!S20),"")</f>
        <v/>
      </c>
      <c r="D77" s="183"/>
      <c r="E77" s="184"/>
      <c r="F77" s="184"/>
      <c r="G77" s="184"/>
      <c r="H77" s="184"/>
      <c r="I77" s="184"/>
      <c r="J77" s="184"/>
      <c r="K77" s="184"/>
      <c r="L77" s="184"/>
      <c r="M77" s="185"/>
      <c r="N77" s="207" t="str">
        <f t="shared" si="10"/>
        <v/>
      </c>
      <c r="O77" s="208" t="str">
        <f t="shared" si="11"/>
        <v/>
      </c>
      <c r="P77" s="209" t="str">
        <f t="shared" si="12"/>
        <v/>
      </c>
      <c r="Q77" s="183"/>
      <c r="R77" s="184"/>
      <c r="S77" s="184"/>
      <c r="T77" s="184"/>
      <c r="U77" s="184"/>
      <c r="V77" s="184"/>
      <c r="W77" s="184"/>
      <c r="X77" s="184"/>
      <c r="Y77" s="184"/>
      <c r="Z77" s="185"/>
      <c r="AA77" s="207" t="str">
        <f t="shared" si="13"/>
        <v/>
      </c>
      <c r="AB77" s="208" t="str">
        <f t="shared" si="14"/>
        <v/>
      </c>
      <c r="AC77" s="209" t="str">
        <f t="shared" si="15"/>
        <v/>
      </c>
      <c r="AD77" s="587"/>
      <c r="AE77" s="210" t="str">
        <f t="shared" si="16"/>
        <v/>
      </c>
      <c r="AF77" s="209" t="str">
        <f t="shared" si="17"/>
        <v/>
      </c>
      <c r="AG77" s="402" t="str">
        <f t="shared" si="18"/>
        <v/>
      </c>
      <c r="AH77" s="211" t="str">
        <f>IFERROR(_xlfn.XLOOKUP(AG77,HELPER!$C$7:$C$47,HELPER!$D$7:$D$47,,1),"")</f>
        <v/>
      </c>
    </row>
    <row r="78" spans="2:34">
      <c r="B78" s="388">
        <v>11</v>
      </c>
      <c r="C78" s="432" t="str">
        <f>IFERROR(IF(OR($B$8="INCORRECT SHEET. Do not use this sheet to input data.",'INPUT DATA'!S21=""),"",'INPUT DATA'!S21),"")</f>
        <v/>
      </c>
      <c r="D78" s="183"/>
      <c r="E78" s="184"/>
      <c r="F78" s="184"/>
      <c r="G78" s="184"/>
      <c r="H78" s="184"/>
      <c r="I78" s="184"/>
      <c r="J78" s="184"/>
      <c r="K78" s="184"/>
      <c r="L78" s="184"/>
      <c r="M78" s="185"/>
      <c r="N78" s="207" t="str">
        <f t="shared" si="10"/>
        <v/>
      </c>
      <c r="O78" s="208" t="str">
        <f t="shared" si="11"/>
        <v/>
      </c>
      <c r="P78" s="209" t="str">
        <f t="shared" si="12"/>
        <v/>
      </c>
      <c r="Q78" s="183"/>
      <c r="R78" s="184"/>
      <c r="S78" s="184"/>
      <c r="T78" s="184"/>
      <c r="U78" s="184"/>
      <c r="V78" s="184"/>
      <c r="W78" s="184"/>
      <c r="X78" s="184"/>
      <c r="Y78" s="184"/>
      <c r="Z78" s="185"/>
      <c r="AA78" s="207" t="str">
        <f t="shared" si="13"/>
        <v/>
      </c>
      <c r="AB78" s="208" t="str">
        <f t="shared" si="14"/>
        <v/>
      </c>
      <c r="AC78" s="209" t="str">
        <f t="shared" si="15"/>
        <v/>
      </c>
      <c r="AD78" s="587"/>
      <c r="AE78" s="210" t="str">
        <f t="shared" si="16"/>
        <v/>
      </c>
      <c r="AF78" s="209" t="str">
        <f t="shared" si="17"/>
        <v/>
      </c>
      <c r="AG78" s="402" t="str">
        <f t="shared" si="18"/>
        <v/>
      </c>
      <c r="AH78" s="211" t="str">
        <f>IFERROR(_xlfn.XLOOKUP(AG78,HELPER!$C$7:$C$47,HELPER!$D$7:$D$47,,1),"")</f>
        <v/>
      </c>
    </row>
    <row r="79" spans="2:34">
      <c r="B79" s="388">
        <v>12</v>
      </c>
      <c r="C79" s="432" t="str">
        <f>IFERROR(IF(OR($B$8="INCORRECT SHEET. Do not use this sheet to input data.",'INPUT DATA'!S22=""),"",'INPUT DATA'!S22),"")</f>
        <v/>
      </c>
      <c r="D79" s="183"/>
      <c r="E79" s="184"/>
      <c r="F79" s="184"/>
      <c r="G79" s="184"/>
      <c r="H79" s="184"/>
      <c r="I79" s="184"/>
      <c r="J79" s="184"/>
      <c r="K79" s="184"/>
      <c r="L79" s="184"/>
      <c r="M79" s="185"/>
      <c r="N79" s="207" t="str">
        <f t="shared" si="10"/>
        <v/>
      </c>
      <c r="O79" s="208" t="str">
        <f t="shared" si="11"/>
        <v/>
      </c>
      <c r="P79" s="209" t="str">
        <f t="shared" si="12"/>
        <v/>
      </c>
      <c r="Q79" s="183"/>
      <c r="R79" s="184"/>
      <c r="S79" s="184"/>
      <c r="T79" s="184"/>
      <c r="U79" s="184"/>
      <c r="V79" s="184"/>
      <c r="W79" s="184"/>
      <c r="X79" s="184"/>
      <c r="Y79" s="184"/>
      <c r="Z79" s="185"/>
      <c r="AA79" s="207" t="str">
        <f t="shared" si="13"/>
        <v/>
      </c>
      <c r="AB79" s="208" t="str">
        <f t="shared" si="14"/>
        <v/>
      </c>
      <c r="AC79" s="209" t="str">
        <f t="shared" si="15"/>
        <v/>
      </c>
      <c r="AD79" s="587"/>
      <c r="AE79" s="210" t="str">
        <f t="shared" si="16"/>
        <v/>
      </c>
      <c r="AF79" s="209" t="str">
        <f t="shared" si="17"/>
        <v/>
      </c>
      <c r="AG79" s="402" t="str">
        <f t="shared" si="18"/>
        <v/>
      </c>
      <c r="AH79" s="211" t="str">
        <f>IFERROR(_xlfn.XLOOKUP(AG79,HELPER!$C$7:$C$47,HELPER!$D$7:$D$47,,1),"")</f>
        <v/>
      </c>
    </row>
    <row r="80" spans="2:34">
      <c r="B80" s="388">
        <v>13</v>
      </c>
      <c r="C80" s="432" t="str">
        <f>IFERROR(IF(OR($B$8="INCORRECT SHEET. Do not use this sheet to input data.",'INPUT DATA'!S23=""),"",'INPUT DATA'!S23),"")</f>
        <v/>
      </c>
      <c r="D80" s="183"/>
      <c r="E80" s="184"/>
      <c r="F80" s="184"/>
      <c r="G80" s="184"/>
      <c r="H80" s="184"/>
      <c r="I80" s="184"/>
      <c r="J80" s="184"/>
      <c r="K80" s="184"/>
      <c r="L80" s="184"/>
      <c r="M80" s="185"/>
      <c r="N80" s="207" t="str">
        <f t="shared" si="10"/>
        <v/>
      </c>
      <c r="O80" s="208" t="str">
        <f t="shared" si="11"/>
        <v/>
      </c>
      <c r="P80" s="209" t="str">
        <f t="shared" si="12"/>
        <v/>
      </c>
      <c r="Q80" s="183"/>
      <c r="R80" s="184"/>
      <c r="S80" s="184"/>
      <c r="T80" s="184"/>
      <c r="U80" s="184"/>
      <c r="V80" s="184"/>
      <c r="W80" s="184"/>
      <c r="X80" s="184"/>
      <c r="Y80" s="184"/>
      <c r="Z80" s="185"/>
      <c r="AA80" s="207" t="str">
        <f t="shared" si="13"/>
        <v/>
      </c>
      <c r="AB80" s="208" t="str">
        <f t="shared" si="14"/>
        <v/>
      </c>
      <c r="AC80" s="209" t="str">
        <f t="shared" si="15"/>
        <v/>
      </c>
      <c r="AD80" s="587"/>
      <c r="AE80" s="210" t="str">
        <f t="shared" si="16"/>
        <v/>
      </c>
      <c r="AF80" s="209" t="str">
        <f t="shared" si="17"/>
        <v/>
      </c>
      <c r="AG80" s="402" t="str">
        <f t="shared" si="18"/>
        <v/>
      </c>
      <c r="AH80" s="211" t="str">
        <f>IFERROR(_xlfn.XLOOKUP(AG80,HELPER!$C$7:$C$47,HELPER!$D$7:$D$47,,1),"")</f>
        <v/>
      </c>
    </row>
    <row r="81" spans="2:34">
      <c r="B81" s="388">
        <v>14</v>
      </c>
      <c r="C81" s="432" t="str">
        <f>IFERROR(IF(OR($B$8="INCORRECT SHEET. Do not use this sheet to input data.",'INPUT DATA'!S24=""),"",'INPUT DATA'!S24),"")</f>
        <v/>
      </c>
      <c r="D81" s="183"/>
      <c r="E81" s="184"/>
      <c r="F81" s="184"/>
      <c r="G81" s="184"/>
      <c r="H81" s="184"/>
      <c r="I81" s="184"/>
      <c r="J81" s="184"/>
      <c r="K81" s="184"/>
      <c r="L81" s="184"/>
      <c r="M81" s="185"/>
      <c r="N81" s="207" t="str">
        <f t="shared" si="10"/>
        <v/>
      </c>
      <c r="O81" s="208" t="str">
        <f t="shared" si="11"/>
        <v/>
      </c>
      <c r="P81" s="209" t="str">
        <f t="shared" si="12"/>
        <v/>
      </c>
      <c r="Q81" s="183"/>
      <c r="R81" s="184"/>
      <c r="S81" s="184"/>
      <c r="T81" s="184"/>
      <c r="U81" s="184"/>
      <c r="V81" s="184"/>
      <c r="W81" s="184"/>
      <c r="X81" s="184"/>
      <c r="Y81" s="184"/>
      <c r="Z81" s="185"/>
      <c r="AA81" s="207" t="str">
        <f t="shared" si="13"/>
        <v/>
      </c>
      <c r="AB81" s="208" t="str">
        <f t="shared" si="14"/>
        <v/>
      </c>
      <c r="AC81" s="209" t="str">
        <f t="shared" si="15"/>
        <v/>
      </c>
      <c r="AD81" s="587"/>
      <c r="AE81" s="210" t="str">
        <f t="shared" si="16"/>
        <v/>
      </c>
      <c r="AF81" s="209" t="str">
        <f t="shared" si="17"/>
        <v/>
      </c>
      <c r="AG81" s="402" t="str">
        <f t="shared" si="18"/>
        <v/>
      </c>
      <c r="AH81" s="211" t="str">
        <f>IFERROR(_xlfn.XLOOKUP(AG81,HELPER!$C$7:$C$47,HELPER!$D$7:$D$47,,1),"")</f>
        <v/>
      </c>
    </row>
    <row r="82" spans="2:34">
      <c r="B82" s="388">
        <v>15</v>
      </c>
      <c r="C82" s="432" t="str">
        <f>IFERROR(IF(OR($B$8="INCORRECT SHEET. Do not use this sheet to input data.",'INPUT DATA'!S25=""),"",'INPUT DATA'!S25),"")</f>
        <v/>
      </c>
      <c r="D82" s="183"/>
      <c r="E82" s="184"/>
      <c r="F82" s="184"/>
      <c r="G82" s="184"/>
      <c r="H82" s="184"/>
      <c r="I82" s="184"/>
      <c r="J82" s="184"/>
      <c r="K82" s="184"/>
      <c r="L82" s="184"/>
      <c r="M82" s="185"/>
      <c r="N82" s="207" t="str">
        <f t="shared" si="10"/>
        <v/>
      </c>
      <c r="O82" s="208" t="str">
        <f t="shared" si="11"/>
        <v/>
      </c>
      <c r="P82" s="209" t="str">
        <f t="shared" si="12"/>
        <v/>
      </c>
      <c r="Q82" s="183"/>
      <c r="R82" s="184"/>
      <c r="S82" s="184"/>
      <c r="T82" s="184"/>
      <c r="U82" s="184"/>
      <c r="V82" s="184"/>
      <c r="W82" s="184"/>
      <c r="X82" s="184"/>
      <c r="Y82" s="184"/>
      <c r="Z82" s="185"/>
      <c r="AA82" s="207" t="str">
        <f t="shared" si="13"/>
        <v/>
      </c>
      <c r="AB82" s="208" t="str">
        <f t="shared" si="14"/>
        <v/>
      </c>
      <c r="AC82" s="209" t="str">
        <f t="shared" si="15"/>
        <v/>
      </c>
      <c r="AD82" s="587"/>
      <c r="AE82" s="210" t="str">
        <f t="shared" si="16"/>
        <v/>
      </c>
      <c r="AF82" s="209" t="str">
        <f t="shared" si="17"/>
        <v/>
      </c>
      <c r="AG82" s="402" t="str">
        <f t="shared" si="18"/>
        <v/>
      </c>
      <c r="AH82" s="211" t="str">
        <f>IFERROR(_xlfn.XLOOKUP(AG82,HELPER!$C$7:$C$47,HELPER!$D$7:$D$47,,1),"")</f>
        <v/>
      </c>
    </row>
    <row r="83" spans="2:34">
      <c r="B83" s="388">
        <v>16</v>
      </c>
      <c r="C83" s="432" t="str">
        <f>IFERROR(IF(OR($B$8="INCORRECT SHEET. Do not use this sheet to input data.",'INPUT DATA'!S26=""),"",'INPUT DATA'!S26),"")</f>
        <v/>
      </c>
      <c r="D83" s="183"/>
      <c r="E83" s="184"/>
      <c r="F83" s="184"/>
      <c r="G83" s="184"/>
      <c r="H83" s="184"/>
      <c r="I83" s="184"/>
      <c r="J83" s="184"/>
      <c r="K83" s="184"/>
      <c r="L83" s="184"/>
      <c r="M83" s="185"/>
      <c r="N83" s="207" t="str">
        <f t="shared" si="10"/>
        <v/>
      </c>
      <c r="O83" s="208" t="str">
        <f t="shared" si="11"/>
        <v/>
      </c>
      <c r="P83" s="209" t="str">
        <f t="shared" si="12"/>
        <v/>
      </c>
      <c r="Q83" s="183"/>
      <c r="R83" s="184"/>
      <c r="S83" s="184"/>
      <c r="T83" s="184"/>
      <c r="U83" s="184"/>
      <c r="V83" s="184"/>
      <c r="W83" s="184"/>
      <c r="X83" s="184"/>
      <c r="Y83" s="184"/>
      <c r="Z83" s="185"/>
      <c r="AA83" s="207" t="str">
        <f t="shared" si="13"/>
        <v/>
      </c>
      <c r="AB83" s="208" t="str">
        <f t="shared" si="14"/>
        <v/>
      </c>
      <c r="AC83" s="209" t="str">
        <f t="shared" si="15"/>
        <v/>
      </c>
      <c r="AD83" s="587"/>
      <c r="AE83" s="210" t="str">
        <f t="shared" si="16"/>
        <v/>
      </c>
      <c r="AF83" s="209" t="str">
        <f t="shared" si="17"/>
        <v/>
      </c>
      <c r="AG83" s="402" t="str">
        <f t="shared" si="18"/>
        <v/>
      </c>
      <c r="AH83" s="211" t="str">
        <f>IFERROR(_xlfn.XLOOKUP(AG83,HELPER!$C$7:$C$47,HELPER!$D$7:$D$47,,1),"")</f>
        <v/>
      </c>
    </row>
    <row r="84" spans="2:34">
      <c r="B84" s="388">
        <v>17</v>
      </c>
      <c r="C84" s="432" t="str">
        <f>IFERROR(IF(OR($B$8="INCORRECT SHEET. Do not use this sheet to input data.",'INPUT DATA'!S27=""),"",'INPUT DATA'!S27),"")</f>
        <v/>
      </c>
      <c r="D84" s="183"/>
      <c r="E84" s="184"/>
      <c r="F84" s="184"/>
      <c r="G84" s="184"/>
      <c r="H84" s="184"/>
      <c r="I84" s="184"/>
      <c r="J84" s="184"/>
      <c r="K84" s="184"/>
      <c r="L84" s="184"/>
      <c r="M84" s="185"/>
      <c r="N84" s="207" t="str">
        <f t="shared" si="10"/>
        <v/>
      </c>
      <c r="O84" s="208" t="str">
        <f t="shared" si="11"/>
        <v/>
      </c>
      <c r="P84" s="209" t="str">
        <f t="shared" si="12"/>
        <v/>
      </c>
      <c r="Q84" s="183"/>
      <c r="R84" s="184"/>
      <c r="S84" s="184"/>
      <c r="T84" s="184"/>
      <c r="U84" s="184"/>
      <c r="V84" s="184"/>
      <c r="W84" s="184"/>
      <c r="X84" s="184"/>
      <c r="Y84" s="184"/>
      <c r="Z84" s="185"/>
      <c r="AA84" s="207" t="str">
        <f t="shared" si="13"/>
        <v/>
      </c>
      <c r="AB84" s="208" t="str">
        <f t="shared" si="14"/>
        <v/>
      </c>
      <c r="AC84" s="209" t="str">
        <f t="shared" si="15"/>
        <v/>
      </c>
      <c r="AD84" s="587"/>
      <c r="AE84" s="210" t="str">
        <f t="shared" si="16"/>
        <v/>
      </c>
      <c r="AF84" s="209" t="str">
        <f t="shared" si="17"/>
        <v/>
      </c>
      <c r="AG84" s="402" t="str">
        <f t="shared" si="18"/>
        <v/>
      </c>
      <c r="AH84" s="211" t="str">
        <f>IFERROR(_xlfn.XLOOKUP(AG84,HELPER!$C$7:$C$47,HELPER!$D$7:$D$47,,1),"")</f>
        <v/>
      </c>
    </row>
    <row r="85" spans="2:34">
      <c r="B85" s="388">
        <v>18</v>
      </c>
      <c r="C85" s="432" t="str">
        <f>IFERROR(IF(OR($B$8="INCORRECT SHEET. Do not use this sheet to input data.",'INPUT DATA'!S28=""),"",'INPUT DATA'!S28),"")</f>
        <v/>
      </c>
      <c r="D85" s="183"/>
      <c r="E85" s="184"/>
      <c r="F85" s="184"/>
      <c r="G85" s="184"/>
      <c r="H85" s="184"/>
      <c r="I85" s="184"/>
      <c r="J85" s="184"/>
      <c r="K85" s="184"/>
      <c r="L85" s="184"/>
      <c r="M85" s="185"/>
      <c r="N85" s="207" t="str">
        <f t="shared" si="10"/>
        <v/>
      </c>
      <c r="O85" s="208" t="str">
        <f t="shared" si="11"/>
        <v/>
      </c>
      <c r="P85" s="209" t="str">
        <f t="shared" si="12"/>
        <v/>
      </c>
      <c r="Q85" s="183"/>
      <c r="R85" s="184"/>
      <c r="S85" s="184"/>
      <c r="T85" s="184"/>
      <c r="U85" s="184"/>
      <c r="V85" s="184"/>
      <c r="W85" s="184"/>
      <c r="X85" s="184"/>
      <c r="Y85" s="184"/>
      <c r="Z85" s="185"/>
      <c r="AA85" s="207" t="str">
        <f t="shared" si="13"/>
        <v/>
      </c>
      <c r="AB85" s="208" t="str">
        <f t="shared" si="14"/>
        <v/>
      </c>
      <c r="AC85" s="209" t="str">
        <f t="shared" si="15"/>
        <v/>
      </c>
      <c r="AD85" s="587"/>
      <c r="AE85" s="210" t="str">
        <f t="shared" si="16"/>
        <v/>
      </c>
      <c r="AF85" s="209" t="str">
        <f t="shared" si="17"/>
        <v/>
      </c>
      <c r="AG85" s="402" t="str">
        <f t="shared" si="18"/>
        <v/>
      </c>
      <c r="AH85" s="211" t="str">
        <f>IFERROR(_xlfn.XLOOKUP(AG85,HELPER!$C$7:$C$47,HELPER!$D$7:$D$47,,1),"")</f>
        <v/>
      </c>
    </row>
    <row r="86" spans="2:34">
      <c r="B86" s="388">
        <v>19</v>
      </c>
      <c r="C86" s="432" t="str">
        <f>IFERROR(IF(OR($B$8="INCORRECT SHEET. Do not use this sheet to input data.",'INPUT DATA'!S29=""),"",'INPUT DATA'!S29),"")</f>
        <v/>
      </c>
      <c r="D86" s="183"/>
      <c r="E86" s="184"/>
      <c r="F86" s="184"/>
      <c r="G86" s="184"/>
      <c r="H86" s="184"/>
      <c r="I86" s="184"/>
      <c r="J86" s="184"/>
      <c r="K86" s="184"/>
      <c r="L86" s="184"/>
      <c r="M86" s="185"/>
      <c r="N86" s="207" t="str">
        <f t="shared" si="10"/>
        <v/>
      </c>
      <c r="O86" s="208" t="str">
        <f t="shared" si="11"/>
        <v/>
      </c>
      <c r="P86" s="209" t="str">
        <f t="shared" si="12"/>
        <v/>
      </c>
      <c r="Q86" s="183"/>
      <c r="R86" s="184"/>
      <c r="S86" s="184"/>
      <c r="T86" s="184"/>
      <c r="U86" s="184"/>
      <c r="V86" s="184"/>
      <c r="W86" s="184"/>
      <c r="X86" s="184"/>
      <c r="Y86" s="184"/>
      <c r="Z86" s="185"/>
      <c r="AA86" s="207" t="str">
        <f t="shared" si="13"/>
        <v/>
      </c>
      <c r="AB86" s="208" t="str">
        <f t="shared" si="14"/>
        <v/>
      </c>
      <c r="AC86" s="209" t="str">
        <f t="shared" si="15"/>
        <v/>
      </c>
      <c r="AD86" s="587"/>
      <c r="AE86" s="210" t="str">
        <f t="shared" si="16"/>
        <v/>
      </c>
      <c r="AF86" s="209" t="str">
        <f t="shared" si="17"/>
        <v/>
      </c>
      <c r="AG86" s="402" t="str">
        <f t="shared" si="18"/>
        <v/>
      </c>
      <c r="AH86" s="211" t="str">
        <f>IFERROR(_xlfn.XLOOKUP(AG86,HELPER!$C$7:$C$47,HELPER!$D$7:$D$47,,1),"")</f>
        <v/>
      </c>
    </row>
    <row r="87" spans="2:34">
      <c r="B87" s="388">
        <v>20</v>
      </c>
      <c r="C87" s="432" t="str">
        <f>IFERROR(IF(OR($B$8="INCORRECT SHEET. Do not use this sheet to input data.",'INPUT DATA'!S30=""),"",'INPUT DATA'!S30),"")</f>
        <v/>
      </c>
      <c r="D87" s="183"/>
      <c r="E87" s="184"/>
      <c r="F87" s="184"/>
      <c r="G87" s="184"/>
      <c r="H87" s="184"/>
      <c r="I87" s="184"/>
      <c r="J87" s="184"/>
      <c r="K87" s="184"/>
      <c r="L87" s="184"/>
      <c r="M87" s="185"/>
      <c r="N87" s="207" t="str">
        <f t="shared" si="10"/>
        <v/>
      </c>
      <c r="O87" s="208" t="str">
        <f t="shared" si="11"/>
        <v/>
      </c>
      <c r="P87" s="209" t="str">
        <f t="shared" si="12"/>
        <v/>
      </c>
      <c r="Q87" s="183"/>
      <c r="R87" s="184"/>
      <c r="S87" s="184"/>
      <c r="T87" s="184"/>
      <c r="U87" s="184"/>
      <c r="V87" s="184"/>
      <c r="W87" s="184"/>
      <c r="X87" s="184"/>
      <c r="Y87" s="184"/>
      <c r="Z87" s="185"/>
      <c r="AA87" s="207" t="str">
        <f t="shared" si="13"/>
        <v/>
      </c>
      <c r="AB87" s="208" t="str">
        <f t="shared" si="14"/>
        <v/>
      </c>
      <c r="AC87" s="209" t="str">
        <f t="shared" si="15"/>
        <v/>
      </c>
      <c r="AD87" s="587"/>
      <c r="AE87" s="210" t="str">
        <f t="shared" si="16"/>
        <v/>
      </c>
      <c r="AF87" s="209" t="str">
        <f t="shared" si="17"/>
        <v/>
      </c>
      <c r="AG87" s="402" t="str">
        <f t="shared" si="18"/>
        <v/>
      </c>
      <c r="AH87" s="211" t="str">
        <f>IFERROR(_xlfn.XLOOKUP(AG87,HELPER!$C$7:$C$47,HELPER!$D$7:$D$47,,1),"")</f>
        <v/>
      </c>
    </row>
    <row r="88" spans="2:34">
      <c r="B88" s="388">
        <v>21</v>
      </c>
      <c r="C88" s="432" t="str">
        <f>IFERROR(IF(OR($B$8="INCORRECT SHEET. Do not use this sheet to input data.",'INPUT DATA'!S31=""),"",'INPUT DATA'!S31),"")</f>
        <v/>
      </c>
      <c r="D88" s="183"/>
      <c r="E88" s="184"/>
      <c r="F88" s="184"/>
      <c r="G88" s="184"/>
      <c r="H88" s="184"/>
      <c r="I88" s="184"/>
      <c r="J88" s="184"/>
      <c r="K88" s="184"/>
      <c r="L88" s="184"/>
      <c r="M88" s="185"/>
      <c r="N88" s="207" t="str">
        <f t="shared" si="10"/>
        <v/>
      </c>
      <c r="O88" s="208" t="str">
        <f t="shared" si="11"/>
        <v/>
      </c>
      <c r="P88" s="209" t="str">
        <f t="shared" si="12"/>
        <v/>
      </c>
      <c r="Q88" s="183"/>
      <c r="R88" s="184"/>
      <c r="S88" s="184"/>
      <c r="T88" s="184"/>
      <c r="U88" s="184"/>
      <c r="V88" s="184"/>
      <c r="W88" s="184"/>
      <c r="X88" s="184"/>
      <c r="Y88" s="184"/>
      <c r="Z88" s="185"/>
      <c r="AA88" s="207" t="str">
        <f t="shared" si="13"/>
        <v/>
      </c>
      <c r="AB88" s="208" t="str">
        <f t="shared" si="14"/>
        <v/>
      </c>
      <c r="AC88" s="209" t="str">
        <f t="shared" si="15"/>
        <v/>
      </c>
      <c r="AD88" s="587"/>
      <c r="AE88" s="210" t="str">
        <f t="shared" si="16"/>
        <v/>
      </c>
      <c r="AF88" s="209" t="str">
        <f t="shared" si="17"/>
        <v/>
      </c>
      <c r="AG88" s="402" t="str">
        <f t="shared" si="18"/>
        <v/>
      </c>
      <c r="AH88" s="211" t="str">
        <f>IFERROR(_xlfn.XLOOKUP(AG88,HELPER!$C$7:$C$47,HELPER!$D$7:$D$47,,1),"")</f>
        <v/>
      </c>
    </row>
    <row r="89" spans="2:34">
      <c r="B89" s="388">
        <v>22</v>
      </c>
      <c r="C89" s="432" t="str">
        <f>IFERROR(IF(OR($B$8="INCORRECT SHEET. Do not use this sheet to input data.",'INPUT DATA'!S32=""),"",'INPUT DATA'!S32),"")</f>
        <v/>
      </c>
      <c r="D89" s="183"/>
      <c r="E89" s="184"/>
      <c r="F89" s="184"/>
      <c r="G89" s="184"/>
      <c r="H89" s="184"/>
      <c r="I89" s="184"/>
      <c r="J89" s="184"/>
      <c r="K89" s="184"/>
      <c r="L89" s="184"/>
      <c r="M89" s="185"/>
      <c r="N89" s="207" t="str">
        <f t="shared" si="10"/>
        <v/>
      </c>
      <c r="O89" s="208" t="str">
        <f t="shared" si="11"/>
        <v/>
      </c>
      <c r="P89" s="209" t="str">
        <f t="shared" si="12"/>
        <v/>
      </c>
      <c r="Q89" s="183"/>
      <c r="R89" s="184"/>
      <c r="S89" s="184"/>
      <c r="T89" s="184"/>
      <c r="U89" s="184"/>
      <c r="V89" s="184"/>
      <c r="W89" s="184"/>
      <c r="X89" s="184"/>
      <c r="Y89" s="184"/>
      <c r="Z89" s="185"/>
      <c r="AA89" s="207" t="str">
        <f t="shared" si="13"/>
        <v/>
      </c>
      <c r="AB89" s="208" t="str">
        <f t="shared" si="14"/>
        <v/>
      </c>
      <c r="AC89" s="209" t="str">
        <f t="shared" si="15"/>
        <v/>
      </c>
      <c r="AD89" s="587"/>
      <c r="AE89" s="210" t="str">
        <f t="shared" si="16"/>
        <v/>
      </c>
      <c r="AF89" s="209" t="str">
        <f t="shared" si="17"/>
        <v/>
      </c>
      <c r="AG89" s="402" t="str">
        <f t="shared" si="18"/>
        <v/>
      </c>
      <c r="AH89" s="211" t="str">
        <f>IFERROR(_xlfn.XLOOKUP(AG89,HELPER!$C$7:$C$47,HELPER!$D$7:$D$47,,1),"")</f>
        <v/>
      </c>
    </row>
    <row r="90" spans="2:34">
      <c r="B90" s="388">
        <v>23</v>
      </c>
      <c r="C90" s="432" t="str">
        <f>IFERROR(IF(OR($B$8="INCORRECT SHEET. Do not use this sheet to input data.",'INPUT DATA'!S33=""),"",'INPUT DATA'!S33),"")</f>
        <v/>
      </c>
      <c r="D90" s="183"/>
      <c r="E90" s="184"/>
      <c r="F90" s="184"/>
      <c r="G90" s="184"/>
      <c r="H90" s="184"/>
      <c r="I90" s="184"/>
      <c r="J90" s="184"/>
      <c r="K90" s="184"/>
      <c r="L90" s="184"/>
      <c r="M90" s="185"/>
      <c r="N90" s="207" t="str">
        <f t="shared" si="10"/>
        <v/>
      </c>
      <c r="O90" s="208" t="str">
        <f t="shared" si="11"/>
        <v/>
      </c>
      <c r="P90" s="209" t="str">
        <f t="shared" si="12"/>
        <v/>
      </c>
      <c r="Q90" s="183"/>
      <c r="R90" s="184"/>
      <c r="S90" s="184"/>
      <c r="T90" s="184"/>
      <c r="U90" s="184"/>
      <c r="V90" s="184"/>
      <c r="W90" s="184"/>
      <c r="X90" s="184"/>
      <c r="Y90" s="184"/>
      <c r="Z90" s="185"/>
      <c r="AA90" s="207" t="str">
        <f t="shared" si="13"/>
        <v/>
      </c>
      <c r="AB90" s="208" t="str">
        <f t="shared" si="14"/>
        <v/>
      </c>
      <c r="AC90" s="209" t="str">
        <f t="shared" si="15"/>
        <v/>
      </c>
      <c r="AD90" s="587"/>
      <c r="AE90" s="210" t="str">
        <f t="shared" si="16"/>
        <v/>
      </c>
      <c r="AF90" s="209" t="str">
        <f t="shared" si="17"/>
        <v/>
      </c>
      <c r="AG90" s="402" t="str">
        <f t="shared" si="18"/>
        <v/>
      </c>
      <c r="AH90" s="211" t="str">
        <f>IFERROR(_xlfn.XLOOKUP(AG90,HELPER!$C$7:$C$47,HELPER!$D$7:$D$47,,1),"")</f>
        <v/>
      </c>
    </row>
    <row r="91" spans="2:34">
      <c r="B91" s="388">
        <v>24</v>
      </c>
      <c r="C91" s="432" t="str">
        <f>IFERROR(IF(OR($B$8="INCORRECT SHEET. Do not use this sheet to input data.",'INPUT DATA'!S34=""),"",'INPUT DATA'!S34),"")</f>
        <v/>
      </c>
      <c r="D91" s="183"/>
      <c r="E91" s="184"/>
      <c r="F91" s="184"/>
      <c r="G91" s="184"/>
      <c r="H91" s="184"/>
      <c r="I91" s="184"/>
      <c r="J91" s="184"/>
      <c r="K91" s="184"/>
      <c r="L91" s="184"/>
      <c r="M91" s="185"/>
      <c r="N91" s="207" t="str">
        <f t="shared" si="10"/>
        <v/>
      </c>
      <c r="O91" s="208" t="str">
        <f t="shared" si="11"/>
        <v/>
      </c>
      <c r="P91" s="209" t="str">
        <f t="shared" si="12"/>
        <v/>
      </c>
      <c r="Q91" s="183"/>
      <c r="R91" s="184"/>
      <c r="S91" s="184"/>
      <c r="T91" s="184"/>
      <c r="U91" s="184"/>
      <c r="V91" s="184"/>
      <c r="W91" s="184"/>
      <c r="X91" s="184"/>
      <c r="Y91" s="184"/>
      <c r="Z91" s="185"/>
      <c r="AA91" s="207" t="str">
        <f t="shared" si="13"/>
        <v/>
      </c>
      <c r="AB91" s="208" t="str">
        <f t="shared" si="14"/>
        <v/>
      </c>
      <c r="AC91" s="209" t="str">
        <f t="shared" si="15"/>
        <v/>
      </c>
      <c r="AD91" s="587"/>
      <c r="AE91" s="210" t="str">
        <f t="shared" si="16"/>
        <v/>
      </c>
      <c r="AF91" s="209" t="str">
        <f t="shared" si="17"/>
        <v/>
      </c>
      <c r="AG91" s="402" t="str">
        <f t="shared" si="18"/>
        <v/>
      </c>
      <c r="AH91" s="211" t="str">
        <f>IFERROR(_xlfn.XLOOKUP(AG91,HELPER!$C$7:$C$47,HELPER!$D$7:$D$47,,1),"")</f>
        <v/>
      </c>
    </row>
    <row r="92" spans="2:34">
      <c r="B92" s="388">
        <v>25</v>
      </c>
      <c r="C92" s="432" t="str">
        <f>IFERROR(IF(OR($B$8="INCORRECT SHEET. Do not use this sheet to input data.",'INPUT DATA'!S35=""),"",'INPUT DATA'!S35),"")</f>
        <v/>
      </c>
      <c r="D92" s="183"/>
      <c r="E92" s="184"/>
      <c r="F92" s="184"/>
      <c r="G92" s="184"/>
      <c r="H92" s="184"/>
      <c r="I92" s="184"/>
      <c r="J92" s="184"/>
      <c r="K92" s="184"/>
      <c r="L92" s="184"/>
      <c r="M92" s="185"/>
      <c r="N92" s="207" t="str">
        <f t="shared" si="10"/>
        <v/>
      </c>
      <c r="O92" s="208" t="str">
        <f t="shared" si="11"/>
        <v/>
      </c>
      <c r="P92" s="209" t="str">
        <f t="shared" si="12"/>
        <v/>
      </c>
      <c r="Q92" s="183"/>
      <c r="R92" s="184"/>
      <c r="S92" s="184"/>
      <c r="T92" s="184"/>
      <c r="U92" s="184"/>
      <c r="V92" s="184"/>
      <c r="W92" s="184"/>
      <c r="X92" s="184"/>
      <c r="Y92" s="184"/>
      <c r="Z92" s="185"/>
      <c r="AA92" s="207" t="str">
        <f t="shared" si="13"/>
        <v/>
      </c>
      <c r="AB92" s="208" t="str">
        <f t="shared" si="14"/>
        <v/>
      </c>
      <c r="AC92" s="209" t="str">
        <f t="shared" si="15"/>
        <v/>
      </c>
      <c r="AD92" s="587"/>
      <c r="AE92" s="210" t="str">
        <f t="shared" si="16"/>
        <v/>
      </c>
      <c r="AF92" s="209" t="str">
        <f t="shared" si="17"/>
        <v/>
      </c>
      <c r="AG92" s="402" t="str">
        <f t="shared" si="18"/>
        <v/>
      </c>
      <c r="AH92" s="211" t="str">
        <f>IFERROR(_xlfn.XLOOKUP(AG92,HELPER!$C$7:$C$47,HELPER!$D$7:$D$47,,1),"")</f>
        <v/>
      </c>
    </row>
    <row r="93" spans="2:34">
      <c r="B93" s="388">
        <v>26</v>
      </c>
      <c r="C93" s="432" t="str">
        <f>IFERROR(IF(OR($B$8="INCORRECT SHEET. Do not use this sheet to input data.",'INPUT DATA'!S36=""),"",'INPUT DATA'!S36),"")</f>
        <v/>
      </c>
      <c r="D93" s="183"/>
      <c r="E93" s="184"/>
      <c r="F93" s="184"/>
      <c r="G93" s="184"/>
      <c r="H93" s="184"/>
      <c r="I93" s="184"/>
      <c r="J93" s="184"/>
      <c r="K93" s="184"/>
      <c r="L93" s="184"/>
      <c r="M93" s="185"/>
      <c r="N93" s="207" t="str">
        <f t="shared" si="10"/>
        <v/>
      </c>
      <c r="O93" s="208" t="str">
        <f t="shared" si="11"/>
        <v/>
      </c>
      <c r="P93" s="209" t="str">
        <f t="shared" si="12"/>
        <v/>
      </c>
      <c r="Q93" s="183"/>
      <c r="R93" s="184"/>
      <c r="S93" s="184"/>
      <c r="T93" s="184"/>
      <c r="U93" s="184"/>
      <c r="V93" s="184"/>
      <c r="W93" s="184"/>
      <c r="X93" s="184"/>
      <c r="Y93" s="184"/>
      <c r="Z93" s="185"/>
      <c r="AA93" s="207" t="str">
        <f t="shared" si="13"/>
        <v/>
      </c>
      <c r="AB93" s="208" t="str">
        <f t="shared" si="14"/>
        <v/>
      </c>
      <c r="AC93" s="209" t="str">
        <f t="shared" si="15"/>
        <v/>
      </c>
      <c r="AD93" s="587"/>
      <c r="AE93" s="210" t="str">
        <f t="shared" si="16"/>
        <v/>
      </c>
      <c r="AF93" s="209" t="str">
        <f t="shared" si="17"/>
        <v/>
      </c>
      <c r="AG93" s="402" t="str">
        <f t="shared" si="18"/>
        <v/>
      </c>
      <c r="AH93" s="211" t="str">
        <f>IFERROR(_xlfn.XLOOKUP(AG93,HELPER!$C$7:$C$47,HELPER!$D$7:$D$47,,1),"")</f>
        <v/>
      </c>
    </row>
    <row r="94" spans="2:34">
      <c r="B94" s="388">
        <v>27</v>
      </c>
      <c r="C94" s="432" t="str">
        <f>IFERROR(IF(OR($B$8="INCORRECT SHEET. Do not use this sheet to input data.",'INPUT DATA'!S37=""),"",'INPUT DATA'!S37),"")</f>
        <v/>
      </c>
      <c r="D94" s="183"/>
      <c r="E94" s="184"/>
      <c r="F94" s="184"/>
      <c r="G94" s="184"/>
      <c r="H94" s="184"/>
      <c r="I94" s="184"/>
      <c r="J94" s="184"/>
      <c r="K94" s="184"/>
      <c r="L94" s="184"/>
      <c r="M94" s="185"/>
      <c r="N94" s="207" t="str">
        <f t="shared" si="10"/>
        <v/>
      </c>
      <c r="O94" s="208" t="str">
        <f t="shared" si="11"/>
        <v/>
      </c>
      <c r="P94" s="209" t="str">
        <f t="shared" si="12"/>
        <v/>
      </c>
      <c r="Q94" s="183"/>
      <c r="R94" s="184"/>
      <c r="S94" s="184"/>
      <c r="T94" s="184"/>
      <c r="U94" s="184"/>
      <c r="V94" s="184"/>
      <c r="W94" s="184"/>
      <c r="X94" s="184"/>
      <c r="Y94" s="184"/>
      <c r="Z94" s="185"/>
      <c r="AA94" s="207" t="str">
        <f t="shared" si="13"/>
        <v/>
      </c>
      <c r="AB94" s="208" t="str">
        <f t="shared" si="14"/>
        <v/>
      </c>
      <c r="AC94" s="209" t="str">
        <f t="shared" si="15"/>
        <v/>
      </c>
      <c r="AD94" s="587"/>
      <c r="AE94" s="210" t="str">
        <f t="shared" si="16"/>
        <v/>
      </c>
      <c r="AF94" s="209" t="str">
        <f t="shared" si="17"/>
        <v/>
      </c>
      <c r="AG94" s="402" t="str">
        <f t="shared" si="18"/>
        <v/>
      </c>
      <c r="AH94" s="211" t="str">
        <f>IFERROR(_xlfn.XLOOKUP(AG94,HELPER!$C$7:$C$47,HELPER!$D$7:$D$47,,1),"")</f>
        <v/>
      </c>
    </row>
    <row r="95" spans="2:34">
      <c r="B95" s="388">
        <v>28</v>
      </c>
      <c r="C95" s="432" t="str">
        <f>IFERROR(IF(OR($B$8="INCORRECT SHEET. Do not use this sheet to input data.",'INPUT DATA'!S38=""),"",'INPUT DATA'!S38),"")</f>
        <v/>
      </c>
      <c r="D95" s="183"/>
      <c r="E95" s="184"/>
      <c r="F95" s="184"/>
      <c r="G95" s="184"/>
      <c r="H95" s="184"/>
      <c r="I95" s="184"/>
      <c r="J95" s="184"/>
      <c r="K95" s="184"/>
      <c r="L95" s="184"/>
      <c r="M95" s="185"/>
      <c r="N95" s="207" t="str">
        <f t="shared" si="10"/>
        <v/>
      </c>
      <c r="O95" s="208" t="str">
        <f t="shared" si="11"/>
        <v/>
      </c>
      <c r="P95" s="209" t="str">
        <f t="shared" si="12"/>
        <v/>
      </c>
      <c r="Q95" s="183"/>
      <c r="R95" s="184"/>
      <c r="S95" s="184"/>
      <c r="T95" s="184"/>
      <c r="U95" s="184"/>
      <c r="V95" s="184"/>
      <c r="W95" s="184"/>
      <c r="X95" s="184"/>
      <c r="Y95" s="184"/>
      <c r="Z95" s="185"/>
      <c r="AA95" s="207" t="str">
        <f t="shared" si="13"/>
        <v/>
      </c>
      <c r="AB95" s="208" t="str">
        <f t="shared" si="14"/>
        <v/>
      </c>
      <c r="AC95" s="209" t="str">
        <f t="shared" si="15"/>
        <v/>
      </c>
      <c r="AD95" s="587"/>
      <c r="AE95" s="210" t="str">
        <f t="shared" si="16"/>
        <v/>
      </c>
      <c r="AF95" s="209" t="str">
        <f t="shared" si="17"/>
        <v/>
      </c>
      <c r="AG95" s="402" t="str">
        <f t="shared" si="18"/>
        <v/>
      </c>
      <c r="AH95" s="211" t="str">
        <f>IFERROR(_xlfn.XLOOKUP(AG95,HELPER!$C$7:$C$47,HELPER!$D$7:$D$47,,1),"")</f>
        <v/>
      </c>
    </row>
    <row r="96" spans="2:34">
      <c r="B96" s="388">
        <v>29</v>
      </c>
      <c r="C96" s="432" t="str">
        <f>IFERROR(IF(OR($B$8="INCORRECT SHEET. Do not use this sheet to input data.",'INPUT DATA'!S39=""),"",'INPUT DATA'!S39),"")</f>
        <v/>
      </c>
      <c r="D96" s="183"/>
      <c r="E96" s="184"/>
      <c r="F96" s="184"/>
      <c r="G96" s="184"/>
      <c r="H96" s="184"/>
      <c r="I96" s="184"/>
      <c r="J96" s="184"/>
      <c r="K96" s="184"/>
      <c r="L96" s="184"/>
      <c r="M96" s="185"/>
      <c r="N96" s="207" t="str">
        <f t="shared" si="10"/>
        <v/>
      </c>
      <c r="O96" s="208" t="str">
        <f t="shared" si="11"/>
        <v/>
      </c>
      <c r="P96" s="209" t="str">
        <f t="shared" si="12"/>
        <v/>
      </c>
      <c r="Q96" s="183"/>
      <c r="R96" s="184"/>
      <c r="S96" s="184"/>
      <c r="T96" s="184"/>
      <c r="U96" s="184"/>
      <c r="V96" s="184"/>
      <c r="W96" s="184"/>
      <c r="X96" s="184"/>
      <c r="Y96" s="184"/>
      <c r="Z96" s="185"/>
      <c r="AA96" s="207" t="str">
        <f t="shared" si="13"/>
        <v/>
      </c>
      <c r="AB96" s="208" t="str">
        <f t="shared" si="14"/>
        <v/>
      </c>
      <c r="AC96" s="209" t="str">
        <f t="shared" si="15"/>
        <v/>
      </c>
      <c r="AD96" s="587"/>
      <c r="AE96" s="210" t="str">
        <f t="shared" si="16"/>
        <v/>
      </c>
      <c r="AF96" s="209" t="str">
        <f t="shared" si="17"/>
        <v/>
      </c>
      <c r="AG96" s="402" t="str">
        <f t="shared" si="18"/>
        <v/>
      </c>
      <c r="AH96" s="211" t="str">
        <f>IFERROR(_xlfn.XLOOKUP(AG96,HELPER!$C$7:$C$47,HELPER!$D$7:$D$47,,1),"")</f>
        <v/>
      </c>
    </row>
    <row r="97" spans="2:34">
      <c r="B97" s="388">
        <v>30</v>
      </c>
      <c r="C97" s="432" t="str">
        <f>IFERROR(IF(OR($B$8="INCORRECT SHEET. Do not use this sheet to input data.",'INPUT DATA'!S40=""),"",'INPUT DATA'!S40),"")</f>
        <v/>
      </c>
      <c r="D97" s="183"/>
      <c r="E97" s="184"/>
      <c r="F97" s="184"/>
      <c r="G97" s="184"/>
      <c r="H97" s="184"/>
      <c r="I97" s="184"/>
      <c r="J97" s="184"/>
      <c r="K97" s="184"/>
      <c r="L97" s="184"/>
      <c r="M97" s="185"/>
      <c r="N97" s="207" t="str">
        <f t="shared" si="10"/>
        <v/>
      </c>
      <c r="O97" s="208" t="str">
        <f t="shared" si="11"/>
        <v/>
      </c>
      <c r="P97" s="209" t="str">
        <f t="shared" si="12"/>
        <v/>
      </c>
      <c r="Q97" s="183"/>
      <c r="R97" s="184"/>
      <c r="S97" s="184"/>
      <c r="T97" s="184"/>
      <c r="U97" s="184"/>
      <c r="V97" s="184"/>
      <c r="W97" s="184"/>
      <c r="X97" s="184"/>
      <c r="Y97" s="184"/>
      <c r="Z97" s="185"/>
      <c r="AA97" s="207" t="str">
        <f t="shared" si="13"/>
        <v/>
      </c>
      <c r="AB97" s="208" t="str">
        <f t="shared" si="14"/>
        <v/>
      </c>
      <c r="AC97" s="209" t="str">
        <f t="shared" si="15"/>
        <v/>
      </c>
      <c r="AD97" s="587"/>
      <c r="AE97" s="210" t="str">
        <f t="shared" si="16"/>
        <v/>
      </c>
      <c r="AF97" s="209" t="str">
        <f t="shared" si="17"/>
        <v/>
      </c>
      <c r="AG97" s="402" t="str">
        <f t="shared" si="18"/>
        <v/>
      </c>
      <c r="AH97" s="211" t="str">
        <f>IFERROR(_xlfn.XLOOKUP(AG97,HELPER!$C$7:$C$47,HELPER!$D$7:$D$47,,1),"")</f>
        <v/>
      </c>
    </row>
    <row r="98" spans="2:34">
      <c r="B98" s="388">
        <v>31</v>
      </c>
      <c r="C98" s="432" t="str">
        <f>IFERROR(IF(OR($B$8="INCORRECT SHEET. Do not use this sheet to input data.",'INPUT DATA'!S41=""),"",'INPUT DATA'!S41),"")</f>
        <v/>
      </c>
      <c r="D98" s="183"/>
      <c r="E98" s="184"/>
      <c r="F98" s="184"/>
      <c r="G98" s="184"/>
      <c r="H98" s="184"/>
      <c r="I98" s="184"/>
      <c r="J98" s="184"/>
      <c r="K98" s="184"/>
      <c r="L98" s="184"/>
      <c r="M98" s="185"/>
      <c r="N98" s="207" t="str">
        <f t="shared" si="10"/>
        <v/>
      </c>
      <c r="O98" s="208" t="str">
        <f t="shared" si="11"/>
        <v/>
      </c>
      <c r="P98" s="209" t="str">
        <f t="shared" si="12"/>
        <v/>
      </c>
      <c r="Q98" s="183"/>
      <c r="R98" s="184"/>
      <c r="S98" s="184"/>
      <c r="T98" s="184"/>
      <c r="U98" s="184"/>
      <c r="V98" s="184"/>
      <c r="W98" s="184"/>
      <c r="X98" s="184"/>
      <c r="Y98" s="184"/>
      <c r="Z98" s="185"/>
      <c r="AA98" s="207" t="str">
        <f t="shared" si="13"/>
        <v/>
      </c>
      <c r="AB98" s="208" t="str">
        <f t="shared" si="14"/>
        <v/>
      </c>
      <c r="AC98" s="209" t="str">
        <f t="shared" si="15"/>
        <v/>
      </c>
      <c r="AD98" s="587"/>
      <c r="AE98" s="210" t="str">
        <f t="shared" si="16"/>
        <v/>
      </c>
      <c r="AF98" s="209" t="str">
        <f t="shared" si="17"/>
        <v/>
      </c>
      <c r="AG98" s="402" t="str">
        <f t="shared" si="18"/>
        <v/>
      </c>
      <c r="AH98" s="211" t="str">
        <f>IFERROR(_xlfn.XLOOKUP(AG98,HELPER!$C$7:$C$47,HELPER!$D$7:$D$47,,1),"")</f>
        <v/>
      </c>
    </row>
    <row r="99" spans="2:34">
      <c r="B99" s="388">
        <v>32</v>
      </c>
      <c r="C99" s="432" t="str">
        <f>IFERROR(IF(OR($B$8="INCORRECT SHEET. Do not use this sheet to input data.",'INPUT DATA'!S42=""),"",'INPUT DATA'!S42),"")</f>
        <v/>
      </c>
      <c r="D99" s="183"/>
      <c r="E99" s="184"/>
      <c r="F99" s="184"/>
      <c r="G99" s="184"/>
      <c r="H99" s="184"/>
      <c r="I99" s="184"/>
      <c r="J99" s="184"/>
      <c r="K99" s="184"/>
      <c r="L99" s="184"/>
      <c r="M99" s="185"/>
      <c r="N99" s="207" t="str">
        <f t="shared" si="10"/>
        <v/>
      </c>
      <c r="O99" s="208" t="str">
        <f t="shared" si="11"/>
        <v/>
      </c>
      <c r="P99" s="209" t="str">
        <f t="shared" si="12"/>
        <v/>
      </c>
      <c r="Q99" s="183"/>
      <c r="R99" s="184"/>
      <c r="S99" s="184"/>
      <c r="T99" s="184"/>
      <c r="U99" s="184"/>
      <c r="V99" s="184"/>
      <c r="W99" s="184"/>
      <c r="X99" s="184"/>
      <c r="Y99" s="184"/>
      <c r="Z99" s="185"/>
      <c r="AA99" s="207" t="str">
        <f t="shared" si="13"/>
        <v/>
      </c>
      <c r="AB99" s="208" t="str">
        <f t="shared" si="14"/>
        <v/>
      </c>
      <c r="AC99" s="209" t="str">
        <f t="shared" si="15"/>
        <v/>
      </c>
      <c r="AD99" s="587"/>
      <c r="AE99" s="210" t="str">
        <f t="shared" si="16"/>
        <v/>
      </c>
      <c r="AF99" s="209" t="str">
        <f t="shared" si="17"/>
        <v/>
      </c>
      <c r="AG99" s="402" t="str">
        <f t="shared" si="18"/>
        <v/>
      </c>
      <c r="AH99" s="211" t="str">
        <f>IFERROR(_xlfn.XLOOKUP(AG99,HELPER!$C$7:$C$47,HELPER!$D$7:$D$47,,1),"")</f>
        <v/>
      </c>
    </row>
    <row r="100" spans="2:34">
      <c r="B100" s="388">
        <v>33</v>
      </c>
      <c r="C100" s="432" t="str">
        <f>IFERROR(IF(OR($B$8="INCORRECT SHEET. Do not use this sheet to input data.",'INPUT DATA'!S43=""),"",'INPUT DATA'!S43),"")</f>
        <v/>
      </c>
      <c r="D100" s="183"/>
      <c r="E100" s="184"/>
      <c r="F100" s="184"/>
      <c r="G100" s="184"/>
      <c r="H100" s="184"/>
      <c r="I100" s="184"/>
      <c r="J100" s="184"/>
      <c r="K100" s="184"/>
      <c r="L100" s="184"/>
      <c r="M100" s="185"/>
      <c r="N100" s="207" t="str">
        <f t="shared" si="10"/>
        <v/>
      </c>
      <c r="O100" s="208" t="str">
        <f t="shared" si="11"/>
        <v/>
      </c>
      <c r="P100" s="209" t="str">
        <f t="shared" si="12"/>
        <v/>
      </c>
      <c r="Q100" s="183"/>
      <c r="R100" s="184"/>
      <c r="S100" s="184"/>
      <c r="T100" s="184"/>
      <c r="U100" s="184"/>
      <c r="V100" s="184"/>
      <c r="W100" s="184"/>
      <c r="X100" s="184"/>
      <c r="Y100" s="184"/>
      <c r="Z100" s="185"/>
      <c r="AA100" s="207" t="str">
        <f t="shared" si="13"/>
        <v/>
      </c>
      <c r="AB100" s="208" t="str">
        <f t="shared" si="14"/>
        <v/>
      </c>
      <c r="AC100" s="209" t="str">
        <f t="shared" si="15"/>
        <v/>
      </c>
      <c r="AD100" s="587"/>
      <c r="AE100" s="210" t="str">
        <f t="shared" si="16"/>
        <v/>
      </c>
      <c r="AF100" s="209" t="str">
        <f t="shared" si="17"/>
        <v/>
      </c>
      <c r="AG100" s="402" t="str">
        <f t="shared" si="18"/>
        <v/>
      </c>
      <c r="AH100" s="211" t="str">
        <f>IFERROR(_xlfn.XLOOKUP(AG100,HELPER!$C$7:$C$47,HELPER!$D$7:$D$47,,1),"")</f>
        <v/>
      </c>
    </row>
    <row r="101" spans="2:34">
      <c r="B101" s="388">
        <v>34</v>
      </c>
      <c r="C101" s="432" t="str">
        <f>IFERROR(IF(OR($B$8="INCORRECT SHEET. Do not use this sheet to input data.",'INPUT DATA'!S44=""),"",'INPUT DATA'!S44),"")</f>
        <v/>
      </c>
      <c r="D101" s="183"/>
      <c r="E101" s="184"/>
      <c r="F101" s="184"/>
      <c r="G101" s="184"/>
      <c r="H101" s="184"/>
      <c r="I101" s="184"/>
      <c r="J101" s="184"/>
      <c r="K101" s="184"/>
      <c r="L101" s="184"/>
      <c r="M101" s="185"/>
      <c r="N101" s="207" t="str">
        <f t="shared" si="10"/>
        <v/>
      </c>
      <c r="O101" s="208" t="str">
        <f t="shared" si="11"/>
        <v/>
      </c>
      <c r="P101" s="209" t="str">
        <f t="shared" si="12"/>
        <v/>
      </c>
      <c r="Q101" s="183"/>
      <c r="R101" s="184"/>
      <c r="S101" s="184"/>
      <c r="T101" s="184"/>
      <c r="U101" s="184"/>
      <c r="V101" s="184"/>
      <c r="W101" s="184"/>
      <c r="X101" s="184"/>
      <c r="Y101" s="184"/>
      <c r="Z101" s="185"/>
      <c r="AA101" s="207" t="str">
        <f t="shared" si="13"/>
        <v/>
      </c>
      <c r="AB101" s="208" t="str">
        <f t="shared" si="14"/>
        <v/>
      </c>
      <c r="AC101" s="209" t="str">
        <f t="shared" si="15"/>
        <v/>
      </c>
      <c r="AD101" s="587"/>
      <c r="AE101" s="210" t="str">
        <f t="shared" si="16"/>
        <v/>
      </c>
      <c r="AF101" s="209" t="str">
        <f t="shared" si="17"/>
        <v/>
      </c>
      <c r="AG101" s="402" t="str">
        <f t="shared" si="18"/>
        <v/>
      </c>
      <c r="AH101" s="211" t="str">
        <f>IFERROR(_xlfn.XLOOKUP(AG101,HELPER!$C$7:$C$47,HELPER!$D$7:$D$47,,1),"")</f>
        <v/>
      </c>
    </row>
    <row r="102" spans="2:34">
      <c r="B102" s="388">
        <v>35</v>
      </c>
      <c r="C102" s="432" t="str">
        <f>IFERROR(IF(OR($B$8="INCORRECT SHEET. Do not use this sheet to input data.",'INPUT DATA'!S45=""),"",'INPUT DATA'!S45),"")</f>
        <v/>
      </c>
      <c r="D102" s="183"/>
      <c r="E102" s="184"/>
      <c r="F102" s="184"/>
      <c r="G102" s="184"/>
      <c r="H102" s="184"/>
      <c r="I102" s="184"/>
      <c r="J102" s="184"/>
      <c r="K102" s="184"/>
      <c r="L102" s="184"/>
      <c r="M102" s="185"/>
      <c r="N102" s="207" t="str">
        <f t="shared" si="10"/>
        <v/>
      </c>
      <c r="O102" s="208" t="str">
        <f t="shared" si="11"/>
        <v/>
      </c>
      <c r="P102" s="209" t="str">
        <f t="shared" si="12"/>
        <v/>
      </c>
      <c r="Q102" s="183"/>
      <c r="R102" s="184"/>
      <c r="S102" s="184"/>
      <c r="T102" s="184"/>
      <c r="U102" s="184"/>
      <c r="V102" s="184"/>
      <c r="W102" s="184"/>
      <c r="X102" s="184"/>
      <c r="Y102" s="184"/>
      <c r="Z102" s="185"/>
      <c r="AA102" s="207" t="str">
        <f t="shared" si="13"/>
        <v/>
      </c>
      <c r="AB102" s="208" t="str">
        <f t="shared" si="14"/>
        <v/>
      </c>
      <c r="AC102" s="209" t="str">
        <f t="shared" si="15"/>
        <v/>
      </c>
      <c r="AD102" s="587"/>
      <c r="AE102" s="210" t="str">
        <f t="shared" si="16"/>
        <v/>
      </c>
      <c r="AF102" s="209" t="str">
        <f t="shared" si="17"/>
        <v/>
      </c>
      <c r="AG102" s="402" t="str">
        <f t="shared" si="18"/>
        <v/>
      </c>
      <c r="AH102" s="211" t="str">
        <f>IFERROR(_xlfn.XLOOKUP(AG102,HELPER!$C$7:$C$47,HELPER!$D$7:$D$47,,1),"")</f>
        <v/>
      </c>
    </row>
    <row r="103" spans="2:34">
      <c r="B103" s="388">
        <v>36</v>
      </c>
      <c r="C103" s="432" t="str">
        <f>IFERROR(IF(OR($B$8="INCORRECT SHEET. Do not use this sheet to input data.",'INPUT DATA'!S46=""),"",'INPUT DATA'!S46),"")</f>
        <v/>
      </c>
      <c r="D103" s="183"/>
      <c r="E103" s="184"/>
      <c r="F103" s="184"/>
      <c r="G103" s="184"/>
      <c r="H103" s="184"/>
      <c r="I103" s="184"/>
      <c r="J103" s="184"/>
      <c r="K103" s="184"/>
      <c r="L103" s="184"/>
      <c r="M103" s="185"/>
      <c r="N103" s="207" t="str">
        <f t="shared" si="10"/>
        <v/>
      </c>
      <c r="O103" s="208" t="str">
        <f t="shared" si="11"/>
        <v/>
      </c>
      <c r="P103" s="209" t="str">
        <f t="shared" si="12"/>
        <v/>
      </c>
      <c r="Q103" s="183"/>
      <c r="R103" s="184"/>
      <c r="S103" s="184"/>
      <c r="T103" s="184"/>
      <c r="U103" s="184"/>
      <c r="V103" s="184"/>
      <c r="W103" s="184"/>
      <c r="X103" s="184"/>
      <c r="Y103" s="184"/>
      <c r="Z103" s="185"/>
      <c r="AA103" s="207" t="str">
        <f t="shared" si="13"/>
        <v/>
      </c>
      <c r="AB103" s="208" t="str">
        <f t="shared" si="14"/>
        <v/>
      </c>
      <c r="AC103" s="209" t="str">
        <f t="shared" si="15"/>
        <v/>
      </c>
      <c r="AD103" s="587"/>
      <c r="AE103" s="210" t="str">
        <f t="shared" si="16"/>
        <v/>
      </c>
      <c r="AF103" s="209" t="str">
        <f t="shared" si="17"/>
        <v/>
      </c>
      <c r="AG103" s="402" t="str">
        <f t="shared" si="18"/>
        <v/>
      </c>
      <c r="AH103" s="211" t="str">
        <f>IFERROR(_xlfn.XLOOKUP(AG103,HELPER!$C$7:$C$47,HELPER!$D$7:$D$47,,1),"")</f>
        <v/>
      </c>
    </row>
    <row r="104" spans="2:34">
      <c r="B104" s="388">
        <v>37</v>
      </c>
      <c r="C104" s="432" t="str">
        <f>IFERROR(IF(OR($B$8="INCORRECT SHEET. Do not use this sheet to input data.",'INPUT DATA'!S47=""),"",'INPUT DATA'!S47),"")</f>
        <v/>
      </c>
      <c r="D104" s="183"/>
      <c r="E104" s="184"/>
      <c r="F104" s="184"/>
      <c r="G104" s="184"/>
      <c r="H104" s="184"/>
      <c r="I104" s="184"/>
      <c r="J104" s="184"/>
      <c r="K104" s="184"/>
      <c r="L104" s="184"/>
      <c r="M104" s="185"/>
      <c r="N104" s="207" t="str">
        <f t="shared" si="10"/>
        <v/>
      </c>
      <c r="O104" s="208" t="str">
        <f t="shared" si="11"/>
        <v/>
      </c>
      <c r="P104" s="209" t="str">
        <f t="shared" si="12"/>
        <v/>
      </c>
      <c r="Q104" s="183"/>
      <c r="R104" s="184"/>
      <c r="S104" s="184"/>
      <c r="T104" s="184"/>
      <c r="U104" s="184"/>
      <c r="V104" s="184"/>
      <c r="W104" s="184"/>
      <c r="X104" s="184"/>
      <c r="Y104" s="184"/>
      <c r="Z104" s="185"/>
      <c r="AA104" s="207" t="str">
        <f t="shared" si="13"/>
        <v/>
      </c>
      <c r="AB104" s="208" t="str">
        <f t="shared" si="14"/>
        <v/>
      </c>
      <c r="AC104" s="209" t="str">
        <f t="shared" si="15"/>
        <v/>
      </c>
      <c r="AD104" s="587"/>
      <c r="AE104" s="210" t="str">
        <f t="shared" si="16"/>
        <v/>
      </c>
      <c r="AF104" s="209" t="str">
        <f t="shared" si="17"/>
        <v/>
      </c>
      <c r="AG104" s="402" t="str">
        <f t="shared" si="18"/>
        <v/>
      </c>
      <c r="AH104" s="211" t="str">
        <f>IFERROR(_xlfn.XLOOKUP(AG104,HELPER!$C$7:$C$47,HELPER!$D$7:$D$47,,1),"")</f>
        <v/>
      </c>
    </row>
    <row r="105" spans="2:34">
      <c r="B105" s="388">
        <v>38</v>
      </c>
      <c r="C105" s="432" t="str">
        <f>IFERROR(IF(OR($B$8="INCORRECT SHEET. Do not use this sheet to input data.",'INPUT DATA'!S48=""),"",'INPUT DATA'!S48),"")</f>
        <v/>
      </c>
      <c r="D105" s="183"/>
      <c r="E105" s="184"/>
      <c r="F105" s="184"/>
      <c r="G105" s="184"/>
      <c r="H105" s="184"/>
      <c r="I105" s="184"/>
      <c r="J105" s="184"/>
      <c r="K105" s="184"/>
      <c r="L105" s="184"/>
      <c r="M105" s="185"/>
      <c r="N105" s="207" t="str">
        <f t="shared" si="10"/>
        <v/>
      </c>
      <c r="O105" s="208" t="str">
        <f t="shared" si="11"/>
        <v/>
      </c>
      <c r="P105" s="209" t="str">
        <f t="shared" si="12"/>
        <v/>
      </c>
      <c r="Q105" s="183"/>
      <c r="R105" s="184"/>
      <c r="S105" s="184"/>
      <c r="T105" s="184"/>
      <c r="U105" s="184"/>
      <c r="V105" s="184"/>
      <c r="W105" s="184"/>
      <c r="X105" s="184"/>
      <c r="Y105" s="184"/>
      <c r="Z105" s="185"/>
      <c r="AA105" s="207" t="str">
        <f t="shared" si="13"/>
        <v/>
      </c>
      <c r="AB105" s="208" t="str">
        <f t="shared" si="14"/>
        <v/>
      </c>
      <c r="AC105" s="209" t="str">
        <f t="shared" si="15"/>
        <v/>
      </c>
      <c r="AD105" s="587"/>
      <c r="AE105" s="210" t="str">
        <f t="shared" si="16"/>
        <v/>
      </c>
      <c r="AF105" s="209" t="str">
        <f t="shared" si="17"/>
        <v/>
      </c>
      <c r="AG105" s="402" t="str">
        <f t="shared" si="18"/>
        <v/>
      </c>
      <c r="AH105" s="211" t="str">
        <f>IFERROR(_xlfn.XLOOKUP(AG105,HELPER!$C$7:$C$47,HELPER!$D$7:$D$47,,1),"")</f>
        <v/>
      </c>
    </row>
    <row r="106" spans="2:34">
      <c r="B106" s="388">
        <v>39</v>
      </c>
      <c r="C106" s="432" t="str">
        <f>IFERROR(IF(OR($B$8="INCORRECT SHEET. Do not use this sheet to input data.",'INPUT DATA'!S49=""),"",'INPUT DATA'!S49),"")</f>
        <v/>
      </c>
      <c r="D106" s="183"/>
      <c r="E106" s="184"/>
      <c r="F106" s="184"/>
      <c r="G106" s="184"/>
      <c r="H106" s="184"/>
      <c r="I106" s="184"/>
      <c r="J106" s="184"/>
      <c r="K106" s="184"/>
      <c r="L106" s="184"/>
      <c r="M106" s="185"/>
      <c r="N106" s="207" t="str">
        <f t="shared" si="10"/>
        <v/>
      </c>
      <c r="O106" s="208" t="str">
        <f t="shared" si="11"/>
        <v/>
      </c>
      <c r="P106" s="209" t="str">
        <f t="shared" si="12"/>
        <v/>
      </c>
      <c r="Q106" s="183"/>
      <c r="R106" s="184"/>
      <c r="S106" s="184"/>
      <c r="T106" s="184"/>
      <c r="U106" s="184"/>
      <c r="V106" s="184"/>
      <c r="W106" s="184"/>
      <c r="X106" s="184"/>
      <c r="Y106" s="184"/>
      <c r="Z106" s="185"/>
      <c r="AA106" s="207" t="str">
        <f t="shared" si="13"/>
        <v/>
      </c>
      <c r="AB106" s="208" t="str">
        <f t="shared" si="14"/>
        <v/>
      </c>
      <c r="AC106" s="209" t="str">
        <f t="shared" si="15"/>
        <v/>
      </c>
      <c r="AD106" s="587"/>
      <c r="AE106" s="210" t="str">
        <f t="shared" si="16"/>
        <v/>
      </c>
      <c r="AF106" s="209" t="str">
        <f t="shared" si="17"/>
        <v/>
      </c>
      <c r="AG106" s="402" t="str">
        <f t="shared" si="18"/>
        <v/>
      </c>
      <c r="AH106" s="211" t="str">
        <f>IFERROR(_xlfn.XLOOKUP(AG106,HELPER!$C$7:$C$47,HELPER!$D$7:$D$47,,1),"")</f>
        <v/>
      </c>
    </row>
    <row r="107" spans="2:34">
      <c r="B107" s="388">
        <v>40</v>
      </c>
      <c r="C107" s="432" t="str">
        <f>IFERROR(IF(OR($B$8="INCORRECT SHEET. Do not use this sheet to input data.",'INPUT DATA'!S50=""),"",'INPUT DATA'!S50),"")</f>
        <v/>
      </c>
      <c r="D107" s="183"/>
      <c r="E107" s="184"/>
      <c r="F107" s="184"/>
      <c r="G107" s="184"/>
      <c r="H107" s="184"/>
      <c r="I107" s="184"/>
      <c r="J107" s="184"/>
      <c r="K107" s="184"/>
      <c r="L107" s="184"/>
      <c r="M107" s="185"/>
      <c r="N107" s="207" t="str">
        <f t="shared" si="10"/>
        <v/>
      </c>
      <c r="O107" s="208" t="str">
        <f t="shared" si="11"/>
        <v/>
      </c>
      <c r="P107" s="209" t="str">
        <f t="shared" si="12"/>
        <v/>
      </c>
      <c r="Q107" s="183"/>
      <c r="R107" s="184"/>
      <c r="S107" s="184"/>
      <c r="T107" s="184"/>
      <c r="U107" s="184"/>
      <c r="V107" s="184"/>
      <c r="W107" s="184"/>
      <c r="X107" s="184"/>
      <c r="Y107" s="184"/>
      <c r="Z107" s="185"/>
      <c r="AA107" s="207" t="str">
        <f t="shared" si="13"/>
        <v/>
      </c>
      <c r="AB107" s="208" t="str">
        <f t="shared" si="14"/>
        <v/>
      </c>
      <c r="AC107" s="209" t="str">
        <f t="shared" si="15"/>
        <v/>
      </c>
      <c r="AD107" s="587"/>
      <c r="AE107" s="210" t="str">
        <f t="shared" si="16"/>
        <v/>
      </c>
      <c r="AF107" s="209" t="str">
        <f t="shared" si="17"/>
        <v/>
      </c>
      <c r="AG107" s="402" t="str">
        <f t="shared" si="18"/>
        <v/>
      </c>
      <c r="AH107" s="211" t="str">
        <f>IFERROR(_xlfn.XLOOKUP(AG107,HELPER!$C$7:$C$47,HELPER!$D$7:$D$47,,1),"")</f>
        <v/>
      </c>
    </row>
    <row r="108" spans="2:34">
      <c r="B108" s="388">
        <v>41</v>
      </c>
      <c r="C108" s="432" t="str">
        <f>IFERROR(IF(OR($B$8="INCORRECT SHEET. Do not use this sheet to input data.",'INPUT DATA'!S51=""),"",'INPUT DATA'!S51),"")</f>
        <v/>
      </c>
      <c r="D108" s="183"/>
      <c r="E108" s="184"/>
      <c r="F108" s="184"/>
      <c r="G108" s="184"/>
      <c r="H108" s="184"/>
      <c r="I108" s="184"/>
      <c r="J108" s="184"/>
      <c r="K108" s="184"/>
      <c r="L108" s="184"/>
      <c r="M108" s="185"/>
      <c r="N108" s="207" t="str">
        <f t="shared" si="10"/>
        <v/>
      </c>
      <c r="O108" s="208" t="str">
        <f t="shared" si="11"/>
        <v/>
      </c>
      <c r="P108" s="209" t="str">
        <f t="shared" si="12"/>
        <v/>
      </c>
      <c r="Q108" s="183"/>
      <c r="R108" s="184"/>
      <c r="S108" s="184"/>
      <c r="T108" s="184"/>
      <c r="U108" s="184"/>
      <c r="V108" s="184"/>
      <c r="W108" s="184"/>
      <c r="X108" s="184"/>
      <c r="Y108" s="184"/>
      <c r="Z108" s="185"/>
      <c r="AA108" s="207" t="str">
        <f t="shared" si="13"/>
        <v/>
      </c>
      <c r="AB108" s="208" t="str">
        <f t="shared" si="14"/>
        <v/>
      </c>
      <c r="AC108" s="209" t="str">
        <f t="shared" si="15"/>
        <v/>
      </c>
      <c r="AD108" s="587"/>
      <c r="AE108" s="210" t="str">
        <f t="shared" si="16"/>
        <v/>
      </c>
      <c r="AF108" s="209" t="str">
        <f>IFERROR(IF(AE108="","",ROUND(AE108*$AF$14,2)),"")</f>
        <v/>
      </c>
      <c r="AG108" s="402" t="str">
        <f t="shared" si="18"/>
        <v/>
      </c>
      <c r="AH108" s="211" t="str">
        <f>IFERROR(_xlfn.XLOOKUP(AG108,HELPER!$C$7:$C$47,HELPER!$D$7:$D$47,,1),"")</f>
        <v/>
      </c>
    </row>
    <row r="109" spans="2:34">
      <c r="B109" s="388">
        <v>42</v>
      </c>
      <c r="C109" s="432" t="str">
        <f>IFERROR(IF(OR($B$8="INCORRECT SHEET. Do not use this sheet to input data.",'INPUT DATA'!S52=""),"",'INPUT DATA'!S52),"")</f>
        <v/>
      </c>
      <c r="D109" s="183"/>
      <c r="E109" s="184"/>
      <c r="F109" s="184"/>
      <c r="G109" s="184"/>
      <c r="H109" s="184"/>
      <c r="I109" s="184"/>
      <c r="J109" s="184"/>
      <c r="K109" s="184"/>
      <c r="L109" s="184"/>
      <c r="M109" s="185"/>
      <c r="N109" s="207" t="str">
        <f t="shared" si="10"/>
        <v/>
      </c>
      <c r="O109" s="208" t="str">
        <f t="shared" si="11"/>
        <v/>
      </c>
      <c r="P109" s="209" t="str">
        <f t="shared" si="12"/>
        <v/>
      </c>
      <c r="Q109" s="183"/>
      <c r="R109" s="184"/>
      <c r="S109" s="184"/>
      <c r="T109" s="184"/>
      <c r="U109" s="184"/>
      <c r="V109" s="184"/>
      <c r="W109" s="184"/>
      <c r="X109" s="184"/>
      <c r="Y109" s="184"/>
      <c r="Z109" s="185"/>
      <c r="AA109" s="207" t="str">
        <f t="shared" si="13"/>
        <v/>
      </c>
      <c r="AB109" s="208" t="str">
        <f t="shared" si="14"/>
        <v/>
      </c>
      <c r="AC109" s="209" t="str">
        <f t="shared" si="15"/>
        <v/>
      </c>
      <c r="AD109" s="587"/>
      <c r="AE109" s="210" t="str">
        <f t="shared" si="16"/>
        <v/>
      </c>
      <c r="AF109" s="209" t="str">
        <f t="shared" ref="AF109:AF117" si="19">IFERROR(IF(AE109="","",ROUND(AE109*$AF$14,2)),"")</f>
        <v/>
      </c>
      <c r="AG109" s="402" t="str">
        <f t="shared" si="18"/>
        <v/>
      </c>
      <c r="AH109" s="211" t="str">
        <f>IFERROR(_xlfn.XLOOKUP(AG109,HELPER!$C$7:$C$47,HELPER!$D$7:$D$47,,1),"")</f>
        <v/>
      </c>
    </row>
    <row r="110" spans="2:34">
      <c r="B110" s="388">
        <v>43</v>
      </c>
      <c r="C110" s="432" t="str">
        <f>IFERROR(IF(OR($B$8="INCORRECT SHEET. Do not use this sheet to input data.",'INPUT DATA'!S53=""),"",'INPUT DATA'!S53),"")</f>
        <v/>
      </c>
      <c r="D110" s="183"/>
      <c r="E110" s="184"/>
      <c r="F110" s="184"/>
      <c r="G110" s="184"/>
      <c r="H110" s="184"/>
      <c r="I110" s="184"/>
      <c r="J110" s="184"/>
      <c r="K110" s="184"/>
      <c r="L110" s="184"/>
      <c r="M110" s="185"/>
      <c r="N110" s="207" t="str">
        <f t="shared" si="10"/>
        <v/>
      </c>
      <c r="O110" s="208" t="str">
        <f t="shared" si="11"/>
        <v/>
      </c>
      <c r="P110" s="209" t="str">
        <f t="shared" si="12"/>
        <v/>
      </c>
      <c r="Q110" s="183"/>
      <c r="R110" s="184"/>
      <c r="S110" s="184"/>
      <c r="T110" s="184"/>
      <c r="U110" s="184"/>
      <c r="V110" s="184"/>
      <c r="W110" s="184"/>
      <c r="X110" s="184"/>
      <c r="Y110" s="184"/>
      <c r="Z110" s="185"/>
      <c r="AA110" s="207" t="str">
        <f t="shared" si="13"/>
        <v/>
      </c>
      <c r="AB110" s="208" t="str">
        <f t="shared" si="14"/>
        <v/>
      </c>
      <c r="AC110" s="209" t="str">
        <f t="shared" si="15"/>
        <v/>
      </c>
      <c r="AD110" s="587"/>
      <c r="AE110" s="210" t="str">
        <f t="shared" si="16"/>
        <v/>
      </c>
      <c r="AF110" s="209" t="str">
        <f t="shared" si="19"/>
        <v/>
      </c>
      <c r="AG110" s="402" t="str">
        <f t="shared" si="18"/>
        <v/>
      </c>
      <c r="AH110" s="211" t="str">
        <f>IFERROR(_xlfn.XLOOKUP(AG110,HELPER!$C$7:$C$47,HELPER!$D$7:$D$47,,1),"")</f>
        <v/>
      </c>
    </row>
    <row r="111" spans="2:34">
      <c r="B111" s="388">
        <v>44</v>
      </c>
      <c r="C111" s="432" t="str">
        <f>IFERROR(IF(OR($B$8="INCORRECT SHEET. Do not use this sheet to input data.",'INPUT DATA'!S54=""),"",'INPUT DATA'!S54),"")</f>
        <v/>
      </c>
      <c r="D111" s="183"/>
      <c r="E111" s="184"/>
      <c r="F111" s="184"/>
      <c r="G111" s="184"/>
      <c r="H111" s="184"/>
      <c r="I111" s="184"/>
      <c r="J111" s="184"/>
      <c r="K111" s="184"/>
      <c r="L111" s="184"/>
      <c r="M111" s="185"/>
      <c r="N111" s="207" t="str">
        <f t="shared" si="10"/>
        <v/>
      </c>
      <c r="O111" s="208" t="str">
        <f t="shared" si="11"/>
        <v/>
      </c>
      <c r="P111" s="209" t="str">
        <f t="shared" si="12"/>
        <v/>
      </c>
      <c r="Q111" s="183"/>
      <c r="R111" s="184"/>
      <c r="S111" s="184"/>
      <c r="T111" s="184"/>
      <c r="U111" s="184"/>
      <c r="V111" s="184"/>
      <c r="W111" s="184"/>
      <c r="X111" s="184"/>
      <c r="Y111" s="184"/>
      <c r="Z111" s="185"/>
      <c r="AA111" s="207" t="str">
        <f t="shared" si="13"/>
        <v/>
      </c>
      <c r="AB111" s="208" t="str">
        <f t="shared" si="14"/>
        <v/>
      </c>
      <c r="AC111" s="209" t="str">
        <f t="shared" si="15"/>
        <v/>
      </c>
      <c r="AD111" s="587"/>
      <c r="AE111" s="210" t="str">
        <f t="shared" si="16"/>
        <v/>
      </c>
      <c r="AF111" s="209" t="str">
        <f t="shared" si="19"/>
        <v/>
      </c>
      <c r="AG111" s="402" t="str">
        <f t="shared" si="18"/>
        <v/>
      </c>
      <c r="AH111" s="211" t="str">
        <f>IFERROR(_xlfn.XLOOKUP(AG111,HELPER!$C$7:$C$47,HELPER!$D$7:$D$47,,1),"")</f>
        <v/>
      </c>
    </row>
    <row r="112" spans="2:34">
      <c r="B112" s="388">
        <v>45</v>
      </c>
      <c r="C112" s="432" t="str">
        <f>IFERROR(IF(OR($B$8="INCORRECT SHEET. Do not use this sheet to input data.",'INPUT DATA'!S55=""),"",'INPUT DATA'!S55),"")</f>
        <v/>
      </c>
      <c r="D112" s="183"/>
      <c r="E112" s="184"/>
      <c r="F112" s="184"/>
      <c r="G112" s="184"/>
      <c r="H112" s="184"/>
      <c r="I112" s="184"/>
      <c r="J112" s="184"/>
      <c r="K112" s="184"/>
      <c r="L112" s="184"/>
      <c r="M112" s="185"/>
      <c r="N112" s="207" t="str">
        <f t="shared" si="10"/>
        <v/>
      </c>
      <c r="O112" s="208" t="str">
        <f t="shared" si="11"/>
        <v/>
      </c>
      <c r="P112" s="209" t="str">
        <f t="shared" si="12"/>
        <v/>
      </c>
      <c r="Q112" s="183"/>
      <c r="R112" s="184"/>
      <c r="S112" s="184"/>
      <c r="T112" s="184"/>
      <c r="U112" s="184"/>
      <c r="V112" s="184"/>
      <c r="W112" s="184"/>
      <c r="X112" s="184"/>
      <c r="Y112" s="184"/>
      <c r="Z112" s="185"/>
      <c r="AA112" s="207" t="str">
        <f t="shared" si="13"/>
        <v/>
      </c>
      <c r="AB112" s="208" t="str">
        <f t="shared" si="14"/>
        <v/>
      </c>
      <c r="AC112" s="209" t="str">
        <f t="shared" si="15"/>
        <v/>
      </c>
      <c r="AD112" s="587"/>
      <c r="AE112" s="210" t="str">
        <f t="shared" si="16"/>
        <v/>
      </c>
      <c r="AF112" s="209" t="str">
        <f t="shared" si="19"/>
        <v/>
      </c>
      <c r="AG112" s="402" t="str">
        <f t="shared" si="18"/>
        <v/>
      </c>
      <c r="AH112" s="211" t="str">
        <f>IFERROR(_xlfn.XLOOKUP(AG112,HELPER!$C$7:$C$47,HELPER!$D$7:$D$47,,1),"")</f>
        <v/>
      </c>
    </row>
    <row r="113" spans="2:35">
      <c r="B113" s="388">
        <v>46</v>
      </c>
      <c r="C113" s="432" t="str">
        <f>IFERROR(IF(OR($B$8="INCORRECT SHEET. Do not use this sheet to input data.",'INPUT DATA'!S56=""),"",'INPUT DATA'!S56),"")</f>
        <v/>
      </c>
      <c r="D113" s="183"/>
      <c r="E113" s="184"/>
      <c r="F113" s="184"/>
      <c r="G113" s="184"/>
      <c r="H113" s="184"/>
      <c r="I113" s="184"/>
      <c r="J113" s="184"/>
      <c r="K113" s="184"/>
      <c r="L113" s="184"/>
      <c r="M113" s="185"/>
      <c r="N113" s="207" t="str">
        <f t="shared" si="10"/>
        <v/>
      </c>
      <c r="O113" s="208" t="str">
        <f t="shared" si="11"/>
        <v/>
      </c>
      <c r="P113" s="209" t="str">
        <f t="shared" si="12"/>
        <v/>
      </c>
      <c r="Q113" s="183"/>
      <c r="R113" s="184"/>
      <c r="S113" s="184"/>
      <c r="T113" s="184"/>
      <c r="U113" s="184"/>
      <c r="V113" s="184"/>
      <c r="W113" s="184"/>
      <c r="X113" s="184"/>
      <c r="Y113" s="184"/>
      <c r="Z113" s="185"/>
      <c r="AA113" s="207" t="str">
        <f t="shared" si="13"/>
        <v/>
      </c>
      <c r="AB113" s="208" t="str">
        <f t="shared" si="14"/>
        <v/>
      </c>
      <c r="AC113" s="209" t="str">
        <f t="shared" si="15"/>
        <v/>
      </c>
      <c r="AD113" s="587"/>
      <c r="AE113" s="210" t="str">
        <f t="shared" si="16"/>
        <v/>
      </c>
      <c r="AF113" s="209" t="str">
        <f t="shared" si="19"/>
        <v/>
      </c>
      <c r="AG113" s="402" t="str">
        <f t="shared" si="18"/>
        <v/>
      </c>
      <c r="AH113" s="211" t="str">
        <f>IFERROR(_xlfn.XLOOKUP(AG113,HELPER!$C$7:$C$47,HELPER!$D$7:$D$47,,1),"")</f>
        <v/>
      </c>
    </row>
    <row r="114" spans="2:35">
      <c r="B114" s="388">
        <v>47</v>
      </c>
      <c r="C114" s="432" t="str">
        <f>IFERROR(IF(OR($B$8="INCORRECT SHEET. Do not use this sheet to input data.",'INPUT DATA'!S57=""),"",'INPUT DATA'!S57),"")</f>
        <v/>
      </c>
      <c r="D114" s="183"/>
      <c r="E114" s="184"/>
      <c r="F114" s="184"/>
      <c r="G114" s="184"/>
      <c r="H114" s="184"/>
      <c r="I114" s="184"/>
      <c r="J114" s="184"/>
      <c r="K114" s="184"/>
      <c r="L114" s="184"/>
      <c r="M114" s="185"/>
      <c r="N114" s="207" t="str">
        <f t="shared" si="10"/>
        <v/>
      </c>
      <c r="O114" s="208" t="str">
        <f t="shared" si="11"/>
        <v/>
      </c>
      <c r="P114" s="209" t="str">
        <f t="shared" si="12"/>
        <v/>
      </c>
      <c r="Q114" s="183"/>
      <c r="R114" s="184"/>
      <c r="S114" s="184"/>
      <c r="T114" s="184"/>
      <c r="U114" s="184"/>
      <c r="V114" s="184"/>
      <c r="W114" s="184"/>
      <c r="X114" s="184"/>
      <c r="Y114" s="184"/>
      <c r="Z114" s="185"/>
      <c r="AA114" s="207" t="str">
        <f t="shared" si="13"/>
        <v/>
      </c>
      <c r="AB114" s="208" t="str">
        <f t="shared" si="14"/>
        <v/>
      </c>
      <c r="AC114" s="209" t="str">
        <f t="shared" si="15"/>
        <v/>
      </c>
      <c r="AD114" s="587"/>
      <c r="AE114" s="210" t="str">
        <f t="shared" si="16"/>
        <v/>
      </c>
      <c r="AF114" s="209" t="str">
        <f t="shared" si="19"/>
        <v/>
      </c>
      <c r="AG114" s="402" t="str">
        <f t="shared" si="18"/>
        <v/>
      </c>
      <c r="AH114" s="211" t="str">
        <f>IFERROR(_xlfn.XLOOKUP(AG114,HELPER!$C$7:$C$47,HELPER!$D$7:$D$47,,1),"")</f>
        <v/>
      </c>
    </row>
    <row r="115" spans="2:35">
      <c r="B115" s="388">
        <v>48</v>
      </c>
      <c r="C115" s="432" t="str">
        <f>IFERROR(IF(OR($B$8="INCORRECT SHEET. Do not use this sheet to input data.",'INPUT DATA'!S58=""),"",'INPUT DATA'!S58),"")</f>
        <v/>
      </c>
      <c r="D115" s="183"/>
      <c r="E115" s="184"/>
      <c r="F115" s="184"/>
      <c r="G115" s="184"/>
      <c r="H115" s="184"/>
      <c r="I115" s="184"/>
      <c r="J115" s="184"/>
      <c r="K115" s="184"/>
      <c r="L115" s="184"/>
      <c r="M115" s="185"/>
      <c r="N115" s="207" t="str">
        <f t="shared" si="10"/>
        <v/>
      </c>
      <c r="O115" s="208" t="str">
        <f t="shared" si="11"/>
        <v/>
      </c>
      <c r="P115" s="209" t="str">
        <f t="shared" si="12"/>
        <v/>
      </c>
      <c r="Q115" s="183"/>
      <c r="R115" s="184"/>
      <c r="S115" s="184"/>
      <c r="T115" s="184"/>
      <c r="U115" s="184"/>
      <c r="V115" s="184"/>
      <c r="W115" s="184"/>
      <c r="X115" s="184"/>
      <c r="Y115" s="184"/>
      <c r="Z115" s="185"/>
      <c r="AA115" s="207" t="str">
        <f t="shared" si="13"/>
        <v/>
      </c>
      <c r="AB115" s="208" t="str">
        <f t="shared" si="14"/>
        <v/>
      </c>
      <c r="AC115" s="209" t="str">
        <f t="shared" si="15"/>
        <v/>
      </c>
      <c r="AD115" s="587"/>
      <c r="AE115" s="210" t="str">
        <f t="shared" si="16"/>
        <v/>
      </c>
      <c r="AF115" s="209" t="str">
        <f t="shared" si="19"/>
        <v/>
      </c>
      <c r="AG115" s="402" t="str">
        <f t="shared" si="18"/>
        <v/>
      </c>
      <c r="AH115" s="211" t="str">
        <f>IFERROR(_xlfn.XLOOKUP(AG115,HELPER!$C$7:$C$47,HELPER!$D$7:$D$47,,1),"")</f>
        <v/>
      </c>
    </row>
    <row r="116" spans="2:35">
      <c r="B116" s="388">
        <v>49</v>
      </c>
      <c r="C116" s="432" t="str">
        <f>IFERROR(IF(OR($B$8="INCORRECT SHEET. Do not use this sheet to input data.",'INPUT DATA'!S59=""),"",'INPUT DATA'!S59),"")</f>
        <v/>
      </c>
      <c r="D116" s="183"/>
      <c r="E116" s="184"/>
      <c r="F116" s="184"/>
      <c r="G116" s="184"/>
      <c r="H116" s="184"/>
      <c r="I116" s="184"/>
      <c r="J116" s="184"/>
      <c r="K116" s="184"/>
      <c r="L116" s="184"/>
      <c r="M116" s="185"/>
      <c r="N116" s="207" t="str">
        <f t="shared" si="10"/>
        <v/>
      </c>
      <c r="O116" s="208" t="str">
        <f t="shared" si="11"/>
        <v/>
      </c>
      <c r="P116" s="209" t="str">
        <f t="shared" si="12"/>
        <v/>
      </c>
      <c r="Q116" s="183"/>
      <c r="R116" s="184"/>
      <c r="S116" s="184"/>
      <c r="T116" s="184"/>
      <c r="U116" s="184"/>
      <c r="V116" s="184"/>
      <c r="W116" s="184"/>
      <c r="X116" s="184"/>
      <c r="Y116" s="184"/>
      <c r="Z116" s="185"/>
      <c r="AA116" s="207" t="str">
        <f t="shared" si="13"/>
        <v/>
      </c>
      <c r="AB116" s="208" t="str">
        <f t="shared" si="14"/>
        <v/>
      </c>
      <c r="AC116" s="209" t="str">
        <f t="shared" si="15"/>
        <v/>
      </c>
      <c r="AD116" s="587"/>
      <c r="AE116" s="210" t="str">
        <f t="shared" si="16"/>
        <v/>
      </c>
      <c r="AF116" s="209" t="str">
        <f t="shared" si="19"/>
        <v/>
      </c>
      <c r="AG116" s="402" t="str">
        <f t="shared" si="18"/>
        <v/>
      </c>
      <c r="AH116" s="211" t="str">
        <f>IFERROR(_xlfn.XLOOKUP(AG116,HELPER!$C$7:$C$47,HELPER!$D$7:$D$47,,1),"")</f>
        <v/>
      </c>
    </row>
    <row r="117" spans="2:35" ht="17.25" thickBot="1">
      <c r="B117" s="389">
        <v>50</v>
      </c>
      <c r="C117" s="515" t="str">
        <f>IFERROR(IF(OR($B$8="INCORRECT SHEET. Do not use this sheet to input data.",'INPUT DATA'!S60=""),"",'INPUT DATA'!S60),"")</f>
        <v/>
      </c>
      <c r="D117" s="186"/>
      <c r="E117" s="187"/>
      <c r="F117" s="187"/>
      <c r="G117" s="187"/>
      <c r="H117" s="187"/>
      <c r="I117" s="187"/>
      <c r="J117" s="187"/>
      <c r="K117" s="187"/>
      <c r="L117" s="187"/>
      <c r="M117" s="188"/>
      <c r="N117" s="217" t="str">
        <f t="shared" si="10"/>
        <v/>
      </c>
      <c r="O117" s="218" t="str">
        <f t="shared" si="11"/>
        <v/>
      </c>
      <c r="P117" s="219" t="str">
        <f t="shared" si="12"/>
        <v/>
      </c>
      <c r="Q117" s="186"/>
      <c r="R117" s="187"/>
      <c r="S117" s="187"/>
      <c r="T117" s="187"/>
      <c r="U117" s="187"/>
      <c r="V117" s="187"/>
      <c r="W117" s="187"/>
      <c r="X117" s="187"/>
      <c r="Y117" s="187"/>
      <c r="Z117" s="188"/>
      <c r="AA117" s="217" t="str">
        <f t="shared" si="13"/>
        <v/>
      </c>
      <c r="AB117" s="218" t="str">
        <f t="shared" si="14"/>
        <v/>
      </c>
      <c r="AC117" s="219" t="str">
        <f t="shared" si="15"/>
        <v/>
      </c>
      <c r="AD117" s="588"/>
      <c r="AE117" s="220" t="str">
        <f>IFERROR(IF(AD117="","",ROUND(AD117/$AD$14,2)*100),"")</f>
        <v/>
      </c>
      <c r="AF117" s="219" t="str">
        <f t="shared" si="19"/>
        <v/>
      </c>
      <c r="AG117" s="403" t="str">
        <f t="shared" si="18"/>
        <v/>
      </c>
      <c r="AH117" s="14" t="str">
        <f>IFERROR(_xlfn.XLOOKUP(AG117,HELPER!$C$7:$C$47,HELPER!$D$7:$D$47,,1),"")</f>
        <v/>
      </c>
    </row>
    <row r="118" spans="2:35">
      <c r="B118" s="45" t="s">
        <v>154</v>
      </c>
      <c r="C118" s="45"/>
      <c r="D118" s="45"/>
      <c r="E118" s="45" t="s">
        <v>154</v>
      </c>
      <c r="F118" s="45" t="s">
        <v>154</v>
      </c>
      <c r="G118" s="45" t="s">
        <v>154</v>
      </c>
      <c r="H118" s="45" t="s">
        <v>154</v>
      </c>
      <c r="I118" s="45" t="s">
        <v>154</v>
      </c>
      <c r="J118" s="45" t="s">
        <v>154</v>
      </c>
      <c r="K118" s="45" t="s">
        <v>154</v>
      </c>
      <c r="L118" s="45" t="s">
        <v>154</v>
      </c>
      <c r="M118" s="45" t="s">
        <v>154</v>
      </c>
      <c r="N118" s="45" t="s">
        <v>154</v>
      </c>
      <c r="O118" s="45" t="s">
        <v>154</v>
      </c>
      <c r="P118" s="45" t="s">
        <v>154</v>
      </c>
      <c r="Q118" s="45"/>
      <c r="R118" s="45" t="s">
        <v>154</v>
      </c>
      <c r="S118" s="45" t="s">
        <v>154</v>
      </c>
      <c r="T118" s="45" t="s">
        <v>154</v>
      </c>
      <c r="U118" s="45" t="s">
        <v>154</v>
      </c>
      <c r="V118" s="45" t="s">
        <v>154</v>
      </c>
      <c r="W118" s="45" t="s">
        <v>154</v>
      </c>
      <c r="X118" s="45" t="s">
        <v>154</v>
      </c>
      <c r="Y118" s="45" t="s">
        <v>154</v>
      </c>
      <c r="Z118" s="45" t="s">
        <v>154</v>
      </c>
      <c r="AA118" s="45" t="s">
        <v>154</v>
      </c>
      <c r="AB118" s="45" t="s">
        <v>154</v>
      </c>
      <c r="AC118" s="45" t="s">
        <v>154</v>
      </c>
      <c r="AD118" s="45"/>
      <c r="AE118" s="45"/>
      <c r="AF118" s="45" t="s">
        <v>154</v>
      </c>
      <c r="AG118" s="45" t="s">
        <v>154</v>
      </c>
      <c r="AH118" s="45" t="s">
        <v>154</v>
      </c>
      <c r="AI118" s="45" t="s">
        <v>154</v>
      </c>
    </row>
    <row r="119" spans="2:35"/>
    <row r="120" spans="2:35"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row>
  </sheetData>
  <sheetProtection algorithmName="SHA-512" hashValue="9JOew2jR9iPSU8k9AZLOYuG7/dMK6jp5UkVGowT4g47uySAQo1L6m8EtaN8k0eik4HbCn+Vs4kHXLGDkbALXAw==" saltValue="IEyXIJt4OelcIUcReYxU8Q==" spinCount="100000" sheet="1" objects="1" scenarios="1" formatCells="0" formatColumns="0" formatRows="0" autoFilter="0"/>
  <autoFilter ref="C15:C118" xr:uid="{8A1226F9-1F1C-4E6A-ADB2-85745A735187}"/>
  <mergeCells count="25">
    <mergeCell ref="B14:C14"/>
    <mergeCell ref="D11:P11"/>
    <mergeCell ref="Q11:AC11"/>
    <mergeCell ref="AD11:AF11"/>
    <mergeCell ref="AG11:AG14"/>
    <mergeCell ref="B9:C13"/>
    <mergeCell ref="AH11:AH14"/>
    <mergeCell ref="D12:P12"/>
    <mergeCell ref="Q12:AC12"/>
    <mergeCell ref="AD12:AF12"/>
    <mergeCell ref="Q9:T9"/>
    <mergeCell ref="U9:AH9"/>
    <mergeCell ref="D10:G10"/>
    <mergeCell ref="H10:P10"/>
    <mergeCell ref="Q10:T10"/>
    <mergeCell ref="U10:AH10"/>
    <mergeCell ref="D9:G9"/>
    <mergeCell ref="H9:I9"/>
    <mergeCell ref="J9:M9"/>
    <mergeCell ref="N9:P9"/>
    <mergeCell ref="H6:M6"/>
    <mergeCell ref="P6:T6"/>
    <mergeCell ref="AA6:AC6"/>
    <mergeCell ref="H7:T7"/>
    <mergeCell ref="AA7:AC7"/>
  </mergeCells>
  <conditionalFormatting sqref="B8:AH8">
    <cfRule type="expression" dxfId="38" priority="35">
      <formula>$B$8="INCORRECT SHEET. Do not use this sheet to input data."</formula>
    </cfRule>
  </conditionalFormatting>
  <conditionalFormatting sqref="B11:AH14 B9:AH9 B10:U10">
    <cfRule type="expression" dxfId="37" priority="34">
      <formula>$B$8="INCORRECT SHEET. Do not use this sheet to input data."</formula>
    </cfRule>
  </conditionalFormatting>
  <conditionalFormatting sqref="C17:C66 AH17:AH66">
    <cfRule type="expression" dxfId="36" priority="12">
      <formula>$AH17&lt;75</formula>
    </cfRule>
  </conditionalFormatting>
  <conditionalFormatting sqref="C68:C117">
    <cfRule type="expression" dxfId="35" priority="8">
      <formula>$AH68&lt;75</formula>
    </cfRule>
  </conditionalFormatting>
  <conditionalFormatting sqref="D17:M66 D68:M117">
    <cfRule type="expression" dxfId="34" priority="15">
      <formula>D$14=""</formula>
    </cfRule>
  </conditionalFormatting>
  <conditionalFormatting sqref="N17:P66 N68:P117">
    <cfRule type="expression" dxfId="33" priority="13">
      <formula>$O17&lt;70</formula>
    </cfRule>
  </conditionalFormatting>
  <conditionalFormatting sqref="O17:O66 O68:O117">
    <cfRule type="expression" dxfId="32" priority="11">
      <formula>$O17&lt;70</formula>
    </cfRule>
  </conditionalFormatting>
  <conditionalFormatting sqref="Q17:Z66 AD17:AD66 Q68:Z117 AD68:AD117">
    <cfRule type="expression" dxfId="31" priority="14">
      <formula>Q$14=""</formula>
    </cfRule>
  </conditionalFormatting>
  <conditionalFormatting sqref="AA17:AC66 AA68:AC117">
    <cfRule type="expression" dxfId="30" priority="10">
      <formula>$AB17&lt;70</formula>
    </cfRule>
  </conditionalFormatting>
  <conditionalFormatting sqref="AB17:AB66 AB68:AB117">
    <cfRule type="expression" dxfId="29" priority="9">
      <formula>$AB17&lt;70</formula>
    </cfRule>
  </conditionalFormatting>
  <conditionalFormatting sqref="AD13">
    <cfRule type="expression" dxfId="28" priority="45">
      <formula>#REF!&lt;&gt;""</formula>
    </cfRule>
  </conditionalFormatting>
  <conditionalFormatting sqref="AD13:AD14">
    <cfRule type="expression" dxfId="27" priority="39">
      <formula>$AD$14=0</formula>
    </cfRule>
    <cfRule type="expression" dxfId="26" priority="44">
      <formula>#REF!=""</formula>
    </cfRule>
  </conditionalFormatting>
  <conditionalFormatting sqref="AD11:AF14">
    <cfRule type="expression" dxfId="25" priority="32">
      <formula>$AD$12=0</formula>
    </cfRule>
  </conditionalFormatting>
  <conditionalFormatting sqref="AE17:AE66">
    <cfRule type="expression" dxfId="24" priority="6">
      <formula>$AE17&lt;70</formula>
    </cfRule>
  </conditionalFormatting>
  <conditionalFormatting sqref="AE68:AE117">
    <cfRule type="expression" dxfId="23" priority="1">
      <formula>$AE68&lt;70</formula>
    </cfRule>
  </conditionalFormatting>
  <conditionalFormatting sqref="AE17:AF66">
    <cfRule type="expression" dxfId="22" priority="7">
      <formula>$AE17&lt;70</formula>
    </cfRule>
  </conditionalFormatting>
  <conditionalFormatting sqref="AE68:AF117">
    <cfRule type="expression" dxfId="21" priority="2">
      <formula>$AE68&lt;70</formula>
    </cfRule>
  </conditionalFormatting>
  <conditionalFormatting sqref="AH68:AH117">
    <cfRule type="expression" dxfId="20" priority="5">
      <formula>$AH68&lt;75</formula>
    </cfRule>
  </conditionalFormatting>
  <dataValidations count="1">
    <dataValidation type="list" allowBlank="1" showInputMessage="1" showErrorMessage="1" sqref="Q17:Z117 D17:M117 AD17:AD117" xr:uid="{B2288170-C26D-4086-9D9D-CA443C0BAD30}">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DD26-4A5A-4DD5-9D23-2A9CC273FE31}">
  <sheetPr>
    <tabColor theme="5"/>
  </sheetPr>
  <dimension ref="A1:AS120"/>
  <sheetViews>
    <sheetView showGridLines="0" zoomScale="85" zoomScaleNormal="87" workbookViewId="0">
      <pane ySplit="15" topLeftCell="A16" activePane="bottomLeft" state="frozen"/>
      <selection pane="bottomLeft"/>
    </sheetView>
  </sheetViews>
  <sheetFormatPr defaultColWidth="0" defaultRowHeight="16.5"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6.7109375" style="2" customWidth="1"/>
    <col min="33" max="34" width="8.7109375" style="2" customWidth="1"/>
    <col min="35" max="35" width="3.7109375" style="2" customWidth="1"/>
    <col min="36" max="45" width="3.7109375" style="2" hidden="1" customWidth="1"/>
    <col min="46" max="16384" width="9.140625" style="2" hidden="1"/>
  </cols>
  <sheetData>
    <row r="1" spans="2:34"/>
    <row r="2" spans="2:34" ht="27">
      <c r="B2" s="189" t="s">
        <v>144</v>
      </c>
      <c r="C2" s="10"/>
      <c r="D2" s="10"/>
      <c r="E2" s="10"/>
      <c r="F2" s="10"/>
      <c r="G2" s="10"/>
      <c r="H2" s="10"/>
      <c r="I2" s="10"/>
      <c r="J2" s="10"/>
      <c r="K2" s="10"/>
      <c r="L2" s="10"/>
      <c r="M2" s="10"/>
      <c r="N2" s="10"/>
      <c r="O2" s="10"/>
      <c r="P2" s="10"/>
      <c r="Q2" s="10"/>
      <c r="R2" s="10"/>
      <c r="S2" s="10"/>
      <c r="T2" s="10"/>
      <c r="U2" s="10"/>
      <c r="V2" s="10"/>
      <c r="W2" s="10"/>
      <c r="X2" s="10"/>
      <c r="Y2" s="10"/>
      <c r="Z2" s="10"/>
      <c r="AA2" s="10"/>
      <c r="AB2" s="10"/>
      <c r="AC2" s="190"/>
      <c r="AD2" s="10"/>
      <c r="AE2" s="10"/>
      <c r="AF2" s="10"/>
      <c r="AG2" s="10"/>
      <c r="AH2" s="10"/>
    </row>
    <row r="3" spans="2:34">
      <c r="B3" s="191" t="s">
        <v>145</v>
      </c>
      <c r="C3" s="10"/>
      <c r="D3" s="10"/>
      <c r="E3" s="10"/>
      <c r="F3" s="10"/>
      <c r="G3" s="10"/>
      <c r="H3" s="10"/>
      <c r="I3" s="10"/>
      <c r="J3" s="10"/>
      <c r="K3" s="10"/>
      <c r="L3" s="10"/>
      <c r="M3" s="10"/>
      <c r="N3" s="10"/>
      <c r="O3" s="10"/>
      <c r="P3" s="10"/>
      <c r="Q3" s="10"/>
      <c r="R3" s="10"/>
      <c r="S3" s="10"/>
      <c r="T3" s="10"/>
      <c r="U3" s="10"/>
      <c r="V3" s="10"/>
      <c r="W3" s="10"/>
      <c r="X3" s="10"/>
      <c r="Y3" s="10"/>
      <c r="Z3" s="10"/>
      <c r="AA3" s="10"/>
      <c r="AB3" s="10"/>
      <c r="AC3" s="190"/>
      <c r="AD3" s="10"/>
      <c r="AE3" s="10"/>
      <c r="AF3" s="10"/>
      <c r="AG3" s="10"/>
      <c r="AH3" s="10"/>
    </row>
    <row r="4" spans="2:34"/>
    <row r="5" spans="2:34"/>
    <row r="6" spans="2:34">
      <c r="G6" s="46" t="s">
        <v>7</v>
      </c>
      <c r="H6" s="806" t="str">
        <f>UPPER('INPUT DATA'!F10)</f>
        <v xml:space="preserve">CAR </v>
      </c>
      <c r="I6" s="806"/>
      <c r="J6" s="806"/>
      <c r="K6" s="806"/>
      <c r="L6" s="806"/>
      <c r="M6" s="806"/>
      <c r="O6" s="46" t="s">
        <v>10</v>
      </c>
      <c r="P6" s="806" t="str">
        <f>UPPER('INPUT DATA'!F11)</f>
        <v/>
      </c>
      <c r="Q6" s="806"/>
      <c r="R6" s="806"/>
      <c r="S6" s="806"/>
      <c r="T6" s="806"/>
      <c r="Z6" s="46" t="s">
        <v>12</v>
      </c>
      <c r="AA6" s="806" t="str">
        <f>IF('INPUT DATA'!F13="","",'INPUT DATA'!F13)</f>
        <v/>
      </c>
      <c r="AB6" s="806"/>
      <c r="AC6" s="806"/>
    </row>
    <row r="7" spans="2:34">
      <c r="G7" s="46" t="s">
        <v>14</v>
      </c>
      <c r="H7" s="807" t="str">
        <f>UPPER('INPUT DATA'!F14)</f>
        <v/>
      </c>
      <c r="I7" s="808"/>
      <c r="J7" s="808"/>
      <c r="K7" s="808"/>
      <c r="L7" s="808"/>
      <c r="M7" s="808"/>
      <c r="N7" s="808"/>
      <c r="O7" s="808"/>
      <c r="P7" s="808"/>
      <c r="Q7" s="808"/>
      <c r="R7" s="808"/>
      <c r="S7" s="808"/>
      <c r="T7" s="809"/>
      <c r="Z7" s="46" t="s">
        <v>16</v>
      </c>
      <c r="AA7" s="806" t="str">
        <f>'INPUT DATA'!F16&amp;"    "&amp;'INPUT DATA'!G16</f>
        <v>2026    –    2027</v>
      </c>
      <c r="AB7" s="806"/>
      <c r="AC7" s="806"/>
    </row>
    <row r="8" spans="2:34" ht="17.25" thickBot="1">
      <c r="B8" s="269" t="str">
        <f>IF(OR(HELPER!G23="3RD",HELPER!G23="2ND &amp; 3RD",HELPER!G23="1ST, 2ND, 3RD"),"","INCORRECT SHEET. Do not use this sheet to input data.")</f>
        <v>INCORRECT SHEET. Do not use this sheet to input data.</v>
      </c>
      <c r="C8" s="45"/>
    </row>
    <row r="9" spans="2:34" ht="20.25">
      <c r="B9" s="846" t="s">
        <v>156</v>
      </c>
      <c r="C9" s="847"/>
      <c r="D9" s="841" t="s">
        <v>23</v>
      </c>
      <c r="E9" s="842"/>
      <c r="F9" s="842"/>
      <c r="G9" s="842"/>
      <c r="H9" s="810" t="str">
        <f>IFERROR(IF(B8&lt;&gt;"INCORRECT SHEET. Do not use this sheet to input data.",'INPUT DATA'!F24,""),"")</f>
        <v/>
      </c>
      <c r="I9" s="810"/>
      <c r="J9" s="843" t="s">
        <v>146</v>
      </c>
      <c r="K9" s="844"/>
      <c r="L9" s="844"/>
      <c r="M9" s="845"/>
      <c r="N9" s="814" t="str">
        <f>IFERROR(IF(B8&lt;&gt;"INCORRECT SHEET. Do not use this sheet to input data.",UPPER('INPUT DATA'!F25),""),"")</f>
        <v/>
      </c>
      <c r="O9" s="815"/>
      <c r="P9" s="816"/>
      <c r="Q9" s="823" t="s">
        <v>37</v>
      </c>
      <c r="R9" s="823"/>
      <c r="S9" s="823"/>
      <c r="T9" s="823"/>
      <c r="U9" s="811" t="str">
        <f>IFERROR(IF(B8&lt;&gt;"INCORRECT SHEET. Do not use this sheet to input data.",UPPER(HELPER!G10),""),"")</f>
        <v/>
      </c>
      <c r="V9" s="812"/>
      <c r="W9" s="812"/>
      <c r="X9" s="812"/>
      <c r="Y9" s="812"/>
      <c r="Z9" s="812"/>
      <c r="AA9" s="812"/>
      <c r="AB9" s="812"/>
      <c r="AC9" s="812"/>
      <c r="AD9" s="812"/>
      <c r="AE9" s="812"/>
      <c r="AF9" s="812"/>
      <c r="AG9" s="812"/>
      <c r="AH9" s="813"/>
    </row>
    <row r="10" spans="2:34" ht="15" customHeight="1" thickBot="1">
      <c r="B10" s="848"/>
      <c r="C10" s="849"/>
      <c r="D10" s="840" t="s">
        <v>21</v>
      </c>
      <c r="E10" s="824"/>
      <c r="F10" s="824"/>
      <c r="G10" s="824"/>
      <c r="H10" s="825" t="str">
        <f>IFERROR(IF(B8&lt;&gt;"INCORRECT SHEET. Do not use this sheet to input data.",UPPER('INPUT DATA'!F22),""),"")</f>
        <v/>
      </c>
      <c r="I10" s="826"/>
      <c r="J10" s="826"/>
      <c r="K10" s="826"/>
      <c r="L10" s="826"/>
      <c r="M10" s="826"/>
      <c r="N10" s="826"/>
      <c r="O10" s="826"/>
      <c r="P10" s="827"/>
      <c r="Q10" s="824" t="s">
        <v>147</v>
      </c>
      <c r="R10" s="824"/>
      <c r="S10" s="824"/>
      <c r="T10" s="824"/>
      <c r="U10" s="825" t="str">
        <f>IFERROR(IF(B8&lt;&gt;"INCORRECT SHEET. Do not use this sheet to input data.",UPPER(HELPER!G9),""),"")</f>
        <v/>
      </c>
      <c r="V10" s="826"/>
      <c r="W10" s="826"/>
      <c r="X10" s="826"/>
      <c r="Y10" s="826"/>
      <c r="Z10" s="826"/>
      <c r="AA10" s="826"/>
      <c r="AB10" s="826"/>
      <c r="AC10" s="826"/>
      <c r="AD10" s="826"/>
      <c r="AE10" s="826"/>
      <c r="AF10" s="826"/>
      <c r="AG10" s="826"/>
      <c r="AH10" s="828"/>
    </row>
    <row r="11" spans="2:34" ht="20.25">
      <c r="B11" s="848"/>
      <c r="C11" s="849"/>
      <c r="D11" s="817" t="s">
        <v>148</v>
      </c>
      <c r="E11" s="818"/>
      <c r="F11" s="818"/>
      <c r="G11" s="818"/>
      <c r="H11" s="818"/>
      <c r="I11" s="818"/>
      <c r="J11" s="818"/>
      <c r="K11" s="818"/>
      <c r="L11" s="818"/>
      <c r="M11" s="818"/>
      <c r="N11" s="818"/>
      <c r="O11" s="818"/>
      <c r="P11" s="833"/>
      <c r="Q11" s="817" t="s">
        <v>149</v>
      </c>
      <c r="R11" s="818"/>
      <c r="S11" s="818"/>
      <c r="T11" s="818"/>
      <c r="U11" s="818"/>
      <c r="V11" s="818"/>
      <c r="W11" s="818"/>
      <c r="X11" s="818"/>
      <c r="Y11" s="818"/>
      <c r="Z11" s="818"/>
      <c r="AA11" s="818"/>
      <c r="AB11" s="818"/>
      <c r="AC11" s="833"/>
      <c r="AD11" s="817" t="s">
        <v>150</v>
      </c>
      <c r="AE11" s="818"/>
      <c r="AF11" s="819"/>
      <c r="AG11" s="829" t="s">
        <v>151</v>
      </c>
      <c r="AH11" s="831" t="s">
        <v>152</v>
      </c>
    </row>
    <row r="12" spans="2:34" ht="21" thickBot="1">
      <c r="B12" s="848"/>
      <c r="C12" s="849"/>
      <c r="D12" s="834" t="str">
        <f>IF($U$9&lt;&gt;"",IFERROR(_xlfn.IFNA(HELPER!G13/100,""),""),"")</f>
        <v/>
      </c>
      <c r="E12" s="835"/>
      <c r="F12" s="835"/>
      <c r="G12" s="835"/>
      <c r="H12" s="835"/>
      <c r="I12" s="835"/>
      <c r="J12" s="835"/>
      <c r="K12" s="835"/>
      <c r="L12" s="835"/>
      <c r="M12" s="835"/>
      <c r="N12" s="835"/>
      <c r="O12" s="835"/>
      <c r="P12" s="836"/>
      <c r="Q12" s="820" t="str">
        <f>IF($U$9&lt;&gt;"",IFERROR(_xlfn.IFNA(HELPER!G14/100,""),""),"")</f>
        <v/>
      </c>
      <c r="R12" s="821"/>
      <c r="S12" s="821"/>
      <c r="T12" s="821"/>
      <c r="U12" s="821"/>
      <c r="V12" s="821"/>
      <c r="W12" s="821"/>
      <c r="X12" s="821"/>
      <c r="Y12" s="821"/>
      <c r="Z12" s="821"/>
      <c r="AA12" s="821"/>
      <c r="AB12" s="821"/>
      <c r="AC12" s="837"/>
      <c r="AD12" s="820" t="str">
        <f>IF($U$9&lt;&gt;"",IFERROR(_xlfn.IFNA(HELPER!G15/100,""),""),"")</f>
        <v/>
      </c>
      <c r="AE12" s="821"/>
      <c r="AF12" s="822"/>
      <c r="AG12" s="830"/>
      <c r="AH12" s="832"/>
    </row>
    <row r="13" spans="2:34" ht="17.25" thickBot="1">
      <c r="B13" s="848"/>
      <c r="C13" s="849"/>
      <c r="D13" s="195">
        <v>1</v>
      </c>
      <c r="E13" s="503">
        <v>2</v>
      </c>
      <c r="F13" s="503">
        <v>3</v>
      </c>
      <c r="G13" s="503">
        <v>4</v>
      </c>
      <c r="H13" s="503">
        <v>5</v>
      </c>
      <c r="I13" s="503">
        <v>6</v>
      </c>
      <c r="J13" s="503">
        <v>7</v>
      </c>
      <c r="K13" s="503">
        <v>8</v>
      </c>
      <c r="L13" s="503">
        <v>9</v>
      </c>
      <c r="M13" s="504">
        <v>10</v>
      </c>
      <c r="N13" s="192" t="s">
        <v>153</v>
      </c>
      <c r="O13" s="193" t="s">
        <v>96</v>
      </c>
      <c r="P13" s="194" t="s">
        <v>94</v>
      </c>
      <c r="Q13" s="195">
        <v>1</v>
      </c>
      <c r="R13" s="503">
        <v>2</v>
      </c>
      <c r="S13" s="503">
        <v>3</v>
      </c>
      <c r="T13" s="503">
        <v>4</v>
      </c>
      <c r="U13" s="503">
        <v>5</v>
      </c>
      <c r="V13" s="503">
        <v>6</v>
      </c>
      <c r="W13" s="503">
        <v>7</v>
      </c>
      <c r="X13" s="503">
        <v>8</v>
      </c>
      <c r="Y13" s="503">
        <v>9</v>
      </c>
      <c r="Z13" s="504">
        <v>10</v>
      </c>
      <c r="AA13" s="192" t="s">
        <v>153</v>
      </c>
      <c r="AB13" s="193" t="s">
        <v>96</v>
      </c>
      <c r="AC13" s="194" t="s">
        <v>94</v>
      </c>
      <c r="AD13" s="195" t="s">
        <v>88</v>
      </c>
      <c r="AE13" s="192" t="s">
        <v>96</v>
      </c>
      <c r="AF13" s="404" t="s">
        <v>94</v>
      </c>
      <c r="AG13" s="830"/>
      <c r="AH13" s="832"/>
    </row>
    <row r="14" spans="2:34">
      <c r="B14" s="838" t="s">
        <v>71</v>
      </c>
      <c r="C14" s="839"/>
      <c r="D14" s="179"/>
      <c r="E14" s="180"/>
      <c r="F14" s="181"/>
      <c r="G14" s="180"/>
      <c r="H14" s="180"/>
      <c r="I14" s="180"/>
      <c r="J14" s="180"/>
      <c r="K14" s="180"/>
      <c r="L14" s="180"/>
      <c r="M14" s="182"/>
      <c r="N14" s="196">
        <f>SUM(D14:M14)</f>
        <v>0</v>
      </c>
      <c r="O14" s="197">
        <v>100</v>
      </c>
      <c r="P14" s="198" t="str">
        <f>D12</f>
        <v/>
      </c>
      <c r="Q14" s="179"/>
      <c r="R14" s="180"/>
      <c r="S14" s="180"/>
      <c r="T14" s="180"/>
      <c r="U14" s="180"/>
      <c r="V14" s="180"/>
      <c r="W14" s="180"/>
      <c r="X14" s="180"/>
      <c r="Y14" s="180"/>
      <c r="Z14" s="182"/>
      <c r="AA14" s="196">
        <f>SUM(Q14:Z14)</f>
        <v>0</v>
      </c>
      <c r="AB14" s="197">
        <v>100</v>
      </c>
      <c r="AC14" s="198" t="str">
        <f>Q12</f>
        <v/>
      </c>
      <c r="AD14" s="179"/>
      <c r="AE14" s="196">
        <f>IF(AD12=0,"",100)</f>
        <v>100</v>
      </c>
      <c r="AF14" s="405" t="str">
        <f>AD12</f>
        <v/>
      </c>
      <c r="AG14" s="830"/>
      <c r="AH14" s="832"/>
    </row>
    <row r="15" spans="2:34" ht="18">
      <c r="B15" s="199" t="s">
        <v>44</v>
      </c>
      <c r="C15" s="200"/>
      <c r="D15" s="201"/>
      <c r="E15" s="202"/>
      <c r="F15" s="202"/>
      <c r="G15" s="202"/>
      <c r="H15" s="202"/>
      <c r="I15" s="202"/>
      <c r="J15" s="202"/>
      <c r="K15" s="202"/>
      <c r="L15" s="202"/>
      <c r="M15" s="203"/>
      <c r="N15" s="201"/>
      <c r="O15" s="202"/>
      <c r="P15" s="204"/>
      <c r="Q15" s="201"/>
      <c r="R15" s="202"/>
      <c r="S15" s="202"/>
      <c r="T15" s="202"/>
      <c r="U15" s="202"/>
      <c r="V15" s="202"/>
      <c r="W15" s="202"/>
      <c r="X15" s="202"/>
      <c r="Y15" s="202"/>
      <c r="Z15" s="203"/>
      <c r="AA15" s="201"/>
      <c r="AB15" s="202"/>
      <c r="AC15" s="204"/>
      <c r="AD15" s="201"/>
      <c r="AE15" s="201"/>
      <c r="AF15" s="406"/>
      <c r="AG15" s="201"/>
      <c r="AH15" s="204"/>
    </row>
    <row r="16" spans="2:34" ht="17.25" thickBot="1">
      <c r="B16" s="205" t="s">
        <v>46</v>
      </c>
      <c r="C16" s="513"/>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90"/>
      <c r="AF16" s="591"/>
      <c r="AG16" s="407"/>
      <c r="AH16" s="206"/>
    </row>
    <row r="17" spans="2:34">
      <c r="B17" s="517">
        <v>1</v>
      </c>
      <c r="C17" s="390" t="str">
        <f>IFERROR(IF(OR($B$8="INCORRECT SHEET. Do not use this sheet to input data.",'INPUT DATA'!O11=""),"",'INPUT DATA'!O11),"")</f>
        <v/>
      </c>
      <c r="D17" s="391"/>
      <c r="E17" s="392"/>
      <c r="F17" s="392"/>
      <c r="G17" s="392"/>
      <c r="H17" s="392"/>
      <c r="I17" s="392"/>
      <c r="J17" s="392"/>
      <c r="K17" s="392"/>
      <c r="L17" s="392"/>
      <c r="M17" s="393"/>
      <c r="N17" s="394" t="str">
        <f>IF(COUNT(D17:M17)=0,"",SUM(D17:M17))</f>
        <v/>
      </c>
      <c r="O17" s="395" t="str">
        <f>IFERROR(IF(N17="","",ROUND(N17/N$14*O$14,2)),"")</f>
        <v/>
      </c>
      <c r="P17" s="396" t="str">
        <f>IFERROR(IF(O17="","",ROUND(O17*P$14,2)),"")</f>
        <v/>
      </c>
      <c r="Q17" s="391"/>
      <c r="R17" s="392"/>
      <c r="S17" s="392"/>
      <c r="T17" s="392"/>
      <c r="U17" s="392"/>
      <c r="V17" s="392"/>
      <c r="W17" s="392"/>
      <c r="X17" s="392"/>
      <c r="Y17" s="392"/>
      <c r="Z17" s="393"/>
      <c r="AA17" s="207" t="str">
        <f t="shared" ref="AA17:AA66" si="0">IF(COUNT(Q17:Z17)=0,"",SUM(Q17:Z17))</f>
        <v/>
      </c>
      <c r="AB17" s="395" t="str">
        <f>IFERROR(IF(AA17="","",ROUND(AA17/AA$14*AB$14,2)),"")</f>
        <v/>
      </c>
      <c r="AC17" s="396" t="str">
        <f>IFERROR(IF(AB17="","",ROUND(AB17*AC$14,2)),"")</f>
        <v/>
      </c>
      <c r="AD17" s="586"/>
      <c r="AE17" s="397" t="str">
        <f>IFERROR(IF(AD17="","",ROUND(AD17/$AD$14,2)*100),"")</f>
        <v/>
      </c>
      <c r="AF17" s="396" t="str">
        <f>IFERROR(IF(AE17="","",ROUND(AE17*$AF$14,2)),"")</f>
        <v/>
      </c>
      <c r="AG17" s="401" t="str">
        <f t="shared" ref="AG17:AG48" si="1">IF(AND(C17&lt;&gt;"",P17&lt;&gt;"",AC17&lt;&gt;"",$AD$12=0),SUM(P17,AC17),IF(AND(C17&lt;&gt;"",P17&lt;&gt;"",AC17&lt;&gt;"",AF17&lt;&gt;"",$D$12&gt;0,$Q$12&gt;0,$AD$12&gt;0),SUM(P17,AC17,AF17),""))</f>
        <v/>
      </c>
      <c r="AH17" s="398" t="str">
        <f>IFERROR(_xlfn.XLOOKUP(AG17,HELPER!$C$7:$C$47,HELPER!$D$7:$D$47,,1),"")</f>
        <v/>
      </c>
    </row>
    <row r="18" spans="2:34">
      <c r="B18" s="387">
        <v>2</v>
      </c>
      <c r="C18" s="399" t="str">
        <f>IFERROR(IF(OR($B$8="INCORRECT SHEET. Do not use this sheet to input data.",'INPUT DATA'!O12=""),"",'INPUT DATA'!O12),"")</f>
        <v/>
      </c>
      <c r="D18" s="183"/>
      <c r="E18" s="184"/>
      <c r="F18" s="184"/>
      <c r="G18" s="184"/>
      <c r="H18" s="184"/>
      <c r="I18" s="184"/>
      <c r="J18" s="184"/>
      <c r="K18" s="184"/>
      <c r="L18" s="184"/>
      <c r="M18" s="185"/>
      <c r="N18" s="207" t="str">
        <f t="shared" ref="N18:N66" si="2">IF(COUNT(D18:M18)=0,"",SUM(D18:M18))</f>
        <v/>
      </c>
      <c r="O18" s="208" t="str">
        <f t="shared" ref="O18:O66" si="3">IFERROR(IF(N18="","",ROUND(N18/N$14*O$14,2)),"")</f>
        <v/>
      </c>
      <c r="P18" s="209" t="str">
        <f t="shared" ref="P18:P66" si="4">IFERROR(IF(O18="","",ROUND(O18*P$14,2)),"")</f>
        <v/>
      </c>
      <c r="Q18" s="183"/>
      <c r="R18" s="184"/>
      <c r="S18" s="184"/>
      <c r="T18" s="184"/>
      <c r="U18" s="184"/>
      <c r="V18" s="184"/>
      <c r="W18" s="184"/>
      <c r="X18" s="184"/>
      <c r="Y18" s="184"/>
      <c r="Z18" s="185"/>
      <c r="AA18" s="207" t="str">
        <f t="shared" si="0"/>
        <v/>
      </c>
      <c r="AB18" s="208" t="str">
        <f t="shared" ref="AB18:AB66" si="5">IFERROR(IF(AA18="","",ROUND(AA18/AA$14*AB$14,2)),"")</f>
        <v/>
      </c>
      <c r="AC18" s="209" t="str">
        <f t="shared" ref="AC18:AC66" si="6">IFERROR(IF(AB18="","",ROUND(AB18*AC$14,2)),"")</f>
        <v/>
      </c>
      <c r="AD18" s="587"/>
      <c r="AE18" s="210" t="str">
        <f>IFERROR(IF(AD18="","",ROUND(AD18/$AD$14,2)*100),"")</f>
        <v/>
      </c>
      <c r="AF18" s="209" t="str">
        <f t="shared" ref="AF18:AF66" si="7">IFERROR(IF(AE18="","",ROUND(AE18*$AF$14,2)),"")</f>
        <v/>
      </c>
      <c r="AG18" s="402" t="str">
        <f t="shared" si="1"/>
        <v/>
      </c>
      <c r="AH18" s="211" t="str">
        <f>IFERROR(_xlfn.XLOOKUP(AG18,HELPER!$C$7:$C$47,HELPER!$D$7:$D$47,,1),"")</f>
        <v/>
      </c>
    </row>
    <row r="19" spans="2:34">
      <c r="B19" s="387">
        <v>3</v>
      </c>
      <c r="C19" s="399" t="str">
        <f>IFERROR(IF(OR($B$8="INCORRECT SHEET. Do not use this sheet to input data.",'INPUT DATA'!O13=""),"",'INPUT DATA'!O13),"")</f>
        <v/>
      </c>
      <c r="D19" s="183"/>
      <c r="E19" s="184"/>
      <c r="F19" s="184"/>
      <c r="G19" s="184"/>
      <c r="H19" s="184"/>
      <c r="I19" s="184"/>
      <c r="J19" s="184"/>
      <c r="K19" s="184"/>
      <c r="L19" s="184"/>
      <c r="M19" s="185"/>
      <c r="N19" s="207" t="str">
        <f t="shared" si="2"/>
        <v/>
      </c>
      <c r="O19" s="208" t="str">
        <f t="shared" si="3"/>
        <v/>
      </c>
      <c r="P19" s="209" t="str">
        <f t="shared" si="4"/>
        <v/>
      </c>
      <c r="Q19" s="183"/>
      <c r="R19" s="184"/>
      <c r="S19" s="184"/>
      <c r="T19" s="184"/>
      <c r="U19" s="184"/>
      <c r="V19" s="184"/>
      <c r="W19" s="184"/>
      <c r="X19" s="184"/>
      <c r="Y19" s="184"/>
      <c r="Z19" s="185"/>
      <c r="AA19" s="207" t="str">
        <f t="shared" si="0"/>
        <v/>
      </c>
      <c r="AB19" s="208" t="str">
        <f t="shared" si="5"/>
        <v/>
      </c>
      <c r="AC19" s="209" t="str">
        <f t="shared" si="6"/>
        <v/>
      </c>
      <c r="AD19" s="587"/>
      <c r="AE19" s="210" t="str">
        <f t="shared" ref="AE19:AE66" si="8">IFERROR(IF(AD19="","",ROUND(AD19/$AD$14,2)*100),"")</f>
        <v/>
      </c>
      <c r="AF19" s="209" t="str">
        <f t="shared" si="7"/>
        <v/>
      </c>
      <c r="AG19" s="402" t="str">
        <f t="shared" si="1"/>
        <v/>
      </c>
      <c r="AH19" s="211" t="str">
        <f>IFERROR(_xlfn.XLOOKUP(AG19,HELPER!$C$7:$C$47,HELPER!$D$7:$D$47,,1),"")</f>
        <v/>
      </c>
    </row>
    <row r="20" spans="2:34">
      <c r="B20" s="387">
        <v>4</v>
      </c>
      <c r="C20" s="399" t="str">
        <f>IFERROR(IF(OR($B$8="INCORRECT SHEET. Do not use this sheet to input data.",'INPUT DATA'!O14=""),"",'INPUT DATA'!O14),"")</f>
        <v/>
      </c>
      <c r="D20" s="183"/>
      <c r="E20" s="184"/>
      <c r="F20" s="184"/>
      <c r="G20" s="184"/>
      <c r="H20" s="184"/>
      <c r="I20" s="184"/>
      <c r="J20" s="184"/>
      <c r="K20" s="184"/>
      <c r="L20" s="184"/>
      <c r="M20" s="185"/>
      <c r="N20" s="207" t="str">
        <f t="shared" si="2"/>
        <v/>
      </c>
      <c r="O20" s="208" t="str">
        <f t="shared" si="3"/>
        <v/>
      </c>
      <c r="P20" s="209" t="str">
        <f t="shared" si="4"/>
        <v/>
      </c>
      <c r="Q20" s="183"/>
      <c r="R20" s="184"/>
      <c r="S20" s="184"/>
      <c r="T20" s="184"/>
      <c r="U20" s="184"/>
      <c r="V20" s="184"/>
      <c r="W20" s="184"/>
      <c r="X20" s="184"/>
      <c r="Y20" s="184"/>
      <c r="Z20" s="185"/>
      <c r="AA20" s="207" t="str">
        <f t="shared" si="0"/>
        <v/>
      </c>
      <c r="AB20" s="208" t="str">
        <f t="shared" si="5"/>
        <v/>
      </c>
      <c r="AC20" s="209" t="str">
        <f t="shared" si="6"/>
        <v/>
      </c>
      <c r="AD20" s="587"/>
      <c r="AE20" s="210" t="str">
        <f t="shared" si="8"/>
        <v/>
      </c>
      <c r="AF20" s="209" t="str">
        <f t="shared" si="7"/>
        <v/>
      </c>
      <c r="AG20" s="402" t="str">
        <f t="shared" si="1"/>
        <v/>
      </c>
      <c r="AH20" s="211" t="str">
        <f>IFERROR(_xlfn.XLOOKUP(AG20,HELPER!$C$7:$C$47,HELPER!$D$7:$D$47,,1),"")</f>
        <v/>
      </c>
    </row>
    <row r="21" spans="2:34">
      <c r="B21" s="387">
        <v>5</v>
      </c>
      <c r="C21" s="399" t="str">
        <f>IFERROR(IF(OR($B$8="INCORRECT SHEET. Do not use this sheet to input data.",'INPUT DATA'!O15=""),"",'INPUT DATA'!O15),"")</f>
        <v/>
      </c>
      <c r="D21" s="183"/>
      <c r="E21" s="184"/>
      <c r="F21" s="184"/>
      <c r="G21" s="184"/>
      <c r="H21" s="184"/>
      <c r="I21" s="184"/>
      <c r="J21" s="184"/>
      <c r="K21" s="184"/>
      <c r="L21" s="184"/>
      <c r="M21" s="185"/>
      <c r="N21" s="207" t="str">
        <f t="shared" si="2"/>
        <v/>
      </c>
      <c r="O21" s="208" t="str">
        <f t="shared" si="3"/>
        <v/>
      </c>
      <c r="P21" s="209" t="str">
        <f t="shared" si="4"/>
        <v/>
      </c>
      <c r="Q21" s="183"/>
      <c r="R21" s="184"/>
      <c r="S21" s="184"/>
      <c r="T21" s="184"/>
      <c r="U21" s="184"/>
      <c r="V21" s="184"/>
      <c r="W21" s="184"/>
      <c r="X21" s="184"/>
      <c r="Y21" s="184"/>
      <c r="Z21" s="185"/>
      <c r="AA21" s="207" t="str">
        <f t="shared" si="0"/>
        <v/>
      </c>
      <c r="AB21" s="208" t="str">
        <f t="shared" si="5"/>
        <v/>
      </c>
      <c r="AC21" s="209" t="str">
        <f t="shared" si="6"/>
        <v/>
      </c>
      <c r="AD21" s="587"/>
      <c r="AE21" s="210" t="str">
        <f t="shared" si="8"/>
        <v/>
      </c>
      <c r="AF21" s="209" t="str">
        <f t="shared" si="7"/>
        <v/>
      </c>
      <c r="AG21" s="402" t="str">
        <f t="shared" si="1"/>
        <v/>
      </c>
      <c r="AH21" s="211" t="str">
        <f>IFERROR(_xlfn.XLOOKUP(AG21,HELPER!$C$7:$C$47,HELPER!$D$7:$D$47,,1),"")</f>
        <v/>
      </c>
    </row>
    <row r="22" spans="2:34">
      <c r="B22" s="387">
        <v>6</v>
      </c>
      <c r="C22" s="399" t="str">
        <f>IFERROR(IF(OR($B$8="INCORRECT SHEET. Do not use this sheet to input data.",'INPUT DATA'!O16=""),"",'INPUT DATA'!O16),"")</f>
        <v/>
      </c>
      <c r="D22" s="183"/>
      <c r="E22" s="184"/>
      <c r="F22" s="184"/>
      <c r="G22" s="184"/>
      <c r="H22" s="184"/>
      <c r="I22" s="184"/>
      <c r="J22" s="184"/>
      <c r="K22" s="184"/>
      <c r="L22" s="184"/>
      <c r="M22" s="185"/>
      <c r="N22" s="207" t="str">
        <f t="shared" si="2"/>
        <v/>
      </c>
      <c r="O22" s="208" t="str">
        <f t="shared" si="3"/>
        <v/>
      </c>
      <c r="P22" s="209" t="str">
        <f t="shared" si="4"/>
        <v/>
      </c>
      <c r="Q22" s="183"/>
      <c r="R22" s="184"/>
      <c r="S22" s="184"/>
      <c r="T22" s="184"/>
      <c r="U22" s="184"/>
      <c r="V22" s="184"/>
      <c r="W22" s="184"/>
      <c r="X22" s="184"/>
      <c r="Y22" s="184"/>
      <c r="Z22" s="185"/>
      <c r="AA22" s="207" t="str">
        <f t="shared" si="0"/>
        <v/>
      </c>
      <c r="AB22" s="208" t="str">
        <f t="shared" si="5"/>
        <v/>
      </c>
      <c r="AC22" s="209" t="str">
        <f t="shared" si="6"/>
        <v/>
      </c>
      <c r="AD22" s="587"/>
      <c r="AE22" s="210" t="str">
        <f t="shared" si="8"/>
        <v/>
      </c>
      <c r="AF22" s="209" t="str">
        <f t="shared" si="7"/>
        <v/>
      </c>
      <c r="AG22" s="402" t="str">
        <f t="shared" si="1"/>
        <v/>
      </c>
      <c r="AH22" s="211" t="str">
        <f>IFERROR(_xlfn.XLOOKUP(AG22,HELPER!$C$7:$C$47,HELPER!$D$7:$D$47,,1),"")</f>
        <v/>
      </c>
    </row>
    <row r="23" spans="2:34">
      <c r="B23" s="387">
        <v>7</v>
      </c>
      <c r="C23" s="399" t="str">
        <f>IFERROR(IF(OR($B$8="INCORRECT SHEET. Do not use this sheet to input data.",'INPUT DATA'!O17=""),"",'INPUT DATA'!O17),"")</f>
        <v/>
      </c>
      <c r="D23" s="183"/>
      <c r="E23" s="184"/>
      <c r="F23" s="184"/>
      <c r="G23" s="184"/>
      <c r="H23" s="184"/>
      <c r="I23" s="184"/>
      <c r="J23" s="184"/>
      <c r="K23" s="184"/>
      <c r="L23" s="184"/>
      <c r="M23" s="185"/>
      <c r="N23" s="207" t="str">
        <f t="shared" si="2"/>
        <v/>
      </c>
      <c r="O23" s="208" t="str">
        <f t="shared" si="3"/>
        <v/>
      </c>
      <c r="P23" s="209" t="str">
        <f t="shared" si="4"/>
        <v/>
      </c>
      <c r="Q23" s="183"/>
      <c r="R23" s="184"/>
      <c r="S23" s="184"/>
      <c r="T23" s="184"/>
      <c r="U23" s="184"/>
      <c r="V23" s="184"/>
      <c r="W23" s="184"/>
      <c r="X23" s="184"/>
      <c r="Y23" s="184"/>
      <c r="Z23" s="185"/>
      <c r="AA23" s="207" t="str">
        <f t="shared" si="0"/>
        <v/>
      </c>
      <c r="AB23" s="208" t="str">
        <f t="shared" si="5"/>
        <v/>
      </c>
      <c r="AC23" s="209" t="str">
        <f t="shared" si="6"/>
        <v/>
      </c>
      <c r="AD23" s="587"/>
      <c r="AE23" s="210" t="str">
        <f t="shared" si="8"/>
        <v/>
      </c>
      <c r="AF23" s="209" t="str">
        <f t="shared" si="7"/>
        <v/>
      </c>
      <c r="AG23" s="402" t="str">
        <f t="shared" si="1"/>
        <v/>
      </c>
      <c r="AH23" s="211" t="str">
        <f>IFERROR(_xlfn.XLOOKUP(AG23,HELPER!$C$7:$C$47,HELPER!$D$7:$D$47,,1),"")</f>
        <v/>
      </c>
    </row>
    <row r="24" spans="2:34">
      <c r="B24" s="387">
        <v>8</v>
      </c>
      <c r="C24" s="399" t="str">
        <f>IFERROR(IF(OR($B$8="INCORRECT SHEET. Do not use this sheet to input data.",'INPUT DATA'!O18=""),"",'INPUT DATA'!O18),"")</f>
        <v/>
      </c>
      <c r="D24" s="183"/>
      <c r="E24" s="184"/>
      <c r="F24" s="184"/>
      <c r="G24" s="184"/>
      <c r="H24" s="184"/>
      <c r="I24" s="184"/>
      <c r="J24" s="184"/>
      <c r="K24" s="184"/>
      <c r="L24" s="184"/>
      <c r="M24" s="185"/>
      <c r="N24" s="207" t="str">
        <f t="shared" si="2"/>
        <v/>
      </c>
      <c r="O24" s="208" t="str">
        <f t="shared" si="3"/>
        <v/>
      </c>
      <c r="P24" s="209" t="str">
        <f t="shared" si="4"/>
        <v/>
      </c>
      <c r="Q24" s="183"/>
      <c r="R24" s="184"/>
      <c r="S24" s="184"/>
      <c r="T24" s="184"/>
      <c r="U24" s="184"/>
      <c r="V24" s="184"/>
      <c r="W24" s="184"/>
      <c r="X24" s="184"/>
      <c r="Y24" s="184"/>
      <c r="Z24" s="185"/>
      <c r="AA24" s="207" t="str">
        <f t="shared" si="0"/>
        <v/>
      </c>
      <c r="AB24" s="208" t="str">
        <f t="shared" si="5"/>
        <v/>
      </c>
      <c r="AC24" s="209" t="str">
        <f t="shared" si="6"/>
        <v/>
      </c>
      <c r="AD24" s="587"/>
      <c r="AE24" s="210" t="str">
        <f t="shared" si="8"/>
        <v/>
      </c>
      <c r="AF24" s="209" t="str">
        <f t="shared" si="7"/>
        <v/>
      </c>
      <c r="AG24" s="402" t="str">
        <f t="shared" si="1"/>
        <v/>
      </c>
      <c r="AH24" s="211" t="str">
        <f>IFERROR(_xlfn.XLOOKUP(AG24,HELPER!$C$7:$C$47,HELPER!$D$7:$D$47,,1),"")</f>
        <v/>
      </c>
    </row>
    <row r="25" spans="2:34">
      <c r="B25" s="387">
        <v>9</v>
      </c>
      <c r="C25" s="399" t="str">
        <f>IFERROR(IF(OR($B$8="INCORRECT SHEET. Do not use this sheet to input data.",'INPUT DATA'!O19=""),"",'INPUT DATA'!O19),"")</f>
        <v/>
      </c>
      <c r="D25" s="183"/>
      <c r="E25" s="184"/>
      <c r="F25" s="184"/>
      <c r="G25" s="184"/>
      <c r="H25" s="184"/>
      <c r="I25" s="184"/>
      <c r="J25" s="184"/>
      <c r="K25" s="184"/>
      <c r="L25" s="184"/>
      <c r="M25" s="185"/>
      <c r="N25" s="207" t="str">
        <f t="shared" si="2"/>
        <v/>
      </c>
      <c r="O25" s="208" t="str">
        <f t="shared" si="3"/>
        <v/>
      </c>
      <c r="P25" s="209" t="str">
        <f t="shared" si="4"/>
        <v/>
      </c>
      <c r="Q25" s="183"/>
      <c r="R25" s="184"/>
      <c r="S25" s="184"/>
      <c r="T25" s="184"/>
      <c r="U25" s="184"/>
      <c r="V25" s="184"/>
      <c r="W25" s="184"/>
      <c r="X25" s="184"/>
      <c r="Y25" s="184"/>
      <c r="Z25" s="185"/>
      <c r="AA25" s="207" t="str">
        <f t="shared" si="0"/>
        <v/>
      </c>
      <c r="AB25" s="208" t="str">
        <f t="shared" si="5"/>
        <v/>
      </c>
      <c r="AC25" s="209" t="str">
        <f t="shared" si="6"/>
        <v/>
      </c>
      <c r="AD25" s="587"/>
      <c r="AE25" s="210" t="str">
        <f t="shared" si="8"/>
        <v/>
      </c>
      <c r="AF25" s="209" t="str">
        <f t="shared" si="7"/>
        <v/>
      </c>
      <c r="AG25" s="402" t="str">
        <f t="shared" si="1"/>
        <v/>
      </c>
      <c r="AH25" s="211" t="str">
        <f>IFERROR(_xlfn.XLOOKUP(AG25,HELPER!$C$7:$C$47,HELPER!$D$7:$D$47,,1),"")</f>
        <v/>
      </c>
    </row>
    <row r="26" spans="2:34">
      <c r="B26" s="387">
        <v>10</v>
      </c>
      <c r="C26" s="399" t="str">
        <f>IFERROR(IF(OR($B$8="INCORRECT SHEET. Do not use this sheet to input data.",'INPUT DATA'!O20=""),"",'INPUT DATA'!O20),"")</f>
        <v/>
      </c>
      <c r="D26" s="183"/>
      <c r="E26" s="184"/>
      <c r="F26" s="184"/>
      <c r="G26" s="184"/>
      <c r="H26" s="184"/>
      <c r="I26" s="184"/>
      <c r="J26" s="184"/>
      <c r="K26" s="184"/>
      <c r="L26" s="184"/>
      <c r="M26" s="185"/>
      <c r="N26" s="207" t="str">
        <f t="shared" si="2"/>
        <v/>
      </c>
      <c r="O26" s="208" t="str">
        <f t="shared" si="3"/>
        <v/>
      </c>
      <c r="P26" s="209" t="str">
        <f t="shared" si="4"/>
        <v/>
      </c>
      <c r="Q26" s="183"/>
      <c r="R26" s="184"/>
      <c r="S26" s="184"/>
      <c r="T26" s="184"/>
      <c r="U26" s="184"/>
      <c r="V26" s="184"/>
      <c r="W26" s="184"/>
      <c r="X26" s="184"/>
      <c r="Y26" s="184"/>
      <c r="Z26" s="185"/>
      <c r="AA26" s="207" t="str">
        <f t="shared" si="0"/>
        <v/>
      </c>
      <c r="AB26" s="208" t="str">
        <f t="shared" si="5"/>
        <v/>
      </c>
      <c r="AC26" s="209" t="str">
        <f t="shared" si="6"/>
        <v/>
      </c>
      <c r="AD26" s="587"/>
      <c r="AE26" s="210" t="str">
        <f t="shared" si="8"/>
        <v/>
      </c>
      <c r="AF26" s="209" t="str">
        <f t="shared" si="7"/>
        <v/>
      </c>
      <c r="AG26" s="402" t="str">
        <f t="shared" si="1"/>
        <v/>
      </c>
      <c r="AH26" s="211" t="str">
        <f>IFERROR(_xlfn.XLOOKUP(AG26,HELPER!$C$7:$C$47,HELPER!$D$7:$D$47,,1),"")</f>
        <v/>
      </c>
    </row>
    <row r="27" spans="2:34">
      <c r="B27" s="387">
        <v>11</v>
      </c>
      <c r="C27" s="399" t="str">
        <f>IFERROR(IF(OR($B$8="INCORRECT SHEET. Do not use this sheet to input data.",'INPUT DATA'!O21=""),"",'INPUT DATA'!O21),"")</f>
        <v/>
      </c>
      <c r="D27" s="183"/>
      <c r="E27" s="184"/>
      <c r="F27" s="184"/>
      <c r="G27" s="184"/>
      <c r="H27" s="184"/>
      <c r="I27" s="184"/>
      <c r="J27" s="184"/>
      <c r="K27" s="184"/>
      <c r="L27" s="184"/>
      <c r="M27" s="185"/>
      <c r="N27" s="207" t="str">
        <f t="shared" si="2"/>
        <v/>
      </c>
      <c r="O27" s="208" t="str">
        <f t="shared" si="3"/>
        <v/>
      </c>
      <c r="P27" s="209" t="str">
        <f t="shared" si="4"/>
        <v/>
      </c>
      <c r="Q27" s="183"/>
      <c r="R27" s="184"/>
      <c r="S27" s="184"/>
      <c r="T27" s="184"/>
      <c r="U27" s="184"/>
      <c r="V27" s="184"/>
      <c r="W27" s="184"/>
      <c r="X27" s="184"/>
      <c r="Y27" s="184"/>
      <c r="Z27" s="185"/>
      <c r="AA27" s="207" t="str">
        <f t="shared" si="0"/>
        <v/>
      </c>
      <c r="AB27" s="208" t="str">
        <f t="shared" si="5"/>
        <v/>
      </c>
      <c r="AC27" s="209" t="str">
        <f t="shared" si="6"/>
        <v/>
      </c>
      <c r="AD27" s="587"/>
      <c r="AE27" s="210" t="str">
        <f t="shared" si="8"/>
        <v/>
      </c>
      <c r="AF27" s="209" t="str">
        <f t="shared" si="7"/>
        <v/>
      </c>
      <c r="AG27" s="402" t="str">
        <f t="shared" si="1"/>
        <v/>
      </c>
      <c r="AH27" s="211" t="str">
        <f>IFERROR(_xlfn.XLOOKUP(AG27,HELPER!$C$7:$C$47,HELPER!$D$7:$D$47,,1),"")</f>
        <v/>
      </c>
    </row>
    <row r="28" spans="2:34">
      <c r="B28" s="387">
        <v>12</v>
      </c>
      <c r="C28" s="399" t="str">
        <f>IFERROR(IF(OR($B$8="INCORRECT SHEET. Do not use this sheet to input data.",'INPUT DATA'!O22=""),"",'INPUT DATA'!O22),"")</f>
        <v/>
      </c>
      <c r="D28" s="183"/>
      <c r="E28" s="184"/>
      <c r="F28" s="184"/>
      <c r="G28" s="184"/>
      <c r="H28" s="184"/>
      <c r="I28" s="184"/>
      <c r="J28" s="184"/>
      <c r="K28" s="184"/>
      <c r="L28" s="184"/>
      <c r="M28" s="185"/>
      <c r="N28" s="207" t="str">
        <f t="shared" si="2"/>
        <v/>
      </c>
      <c r="O28" s="208" t="str">
        <f t="shared" si="3"/>
        <v/>
      </c>
      <c r="P28" s="209" t="str">
        <f t="shared" si="4"/>
        <v/>
      </c>
      <c r="Q28" s="183"/>
      <c r="R28" s="184"/>
      <c r="S28" s="184"/>
      <c r="T28" s="184"/>
      <c r="U28" s="184"/>
      <c r="V28" s="184"/>
      <c r="W28" s="184"/>
      <c r="X28" s="184"/>
      <c r="Y28" s="184"/>
      <c r="Z28" s="185"/>
      <c r="AA28" s="207" t="str">
        <f t="shared" si="0"/>
        <v/>
      </c>
      <c r="AB28" s="208" t="str">
        <f t="shared" si="5"/>
        <v/>
      </c>
      <c r="AC28" s="209" t="str">
        <f t="shared" si="6"/>
        <v/>
      </c>
      <c r="AD28" s="587"/>
      <c r="AE28" s="210" t="str">
        <f t="shared" si="8"/>
        <v/>
      </c>
      <c r="AF28" s="209" t="str">
        <f t="shared" si="7"/>
        <v/>
      </c>
      <c r="AG28" s="402" t="str">
        <f t="shared" si="1"/>
        <v/>
      </c>
      <c r="AH28" s="211" t="str">
        <f>IFERROR(_xlfn.XLOOKUP(AG28,HELPER!$C$7:$C$47,HELPER!$D$7:$D$47,,1),"")</f>
        <v/>
      </c>
    </row>
    <row r="29" spans="2:34">
      <c r="B29" s="387">
        <v>13</v>
      </c>
      <c r="C29" s="399" t="str">
        <f>IFERROR(IF(OR($B$8="INCORRECT SHEET. Do not use this sheet to input data.",'INPUT DATA'!O23=""),"",'INPUT DATA'!O23),"")</f>
        <v/>
      </c>
      <c r="D29" s="183"/>
      <c r="E29" s="184"/>
      <c r="F29" s="184"/>
      <c r="G29" s="184"/>
      <c r="H29" s="184"/>
      <c r="I29" s="184"/>
      <c r="J29" s="184"/>
      <c r="K29" s="184"/>
      <c r="L29" s="184"/>
      <c r="M29" s="185"/>
      <c r="N29" s="207" t="str">
        <f t="shared" si="2"/>
        <v/>
      </c>
      <c r="O29" s="208" t="str">
        <f t="shared" si="3"/>
        <v/>
      </c>
      <c r="P29" s="209" t="str">
        <f t="shared" si="4"/>
        <v/>
      </c>
      <c r="Q29" s="183"/>
      <c r="R29" s="184"/>
      <c r="S29" s="184"/>
      <c r="T29" s="184"/>
      <c r="U29" s="184"/>
      <c r="V29" s="184"/>
      <c r="W29" s="184"/>
      <c r="X29" s="184"/>
      <c r="Y29" s="184"/>
      <c r="Z29" s="185"/>
      <c r="AA29" s="207" t="str">
        <f t="shared" si="0"/>
        <v/>
      </c>
      <c r="AB29" s="208" t="str">
        <f t="shared" si="5"/>
        <v/>
      </c>
      <c r="AC29" s="209" t="str">
        <f t="shared" si="6"/>
        <v/>
      </c>
      <c r="AD29" s="587"/>
      <c r="AE29" s="210" t="str">
        <f t="shared" si="8"/>
        <v/>
      </c>
      <c r="AF29" s="209" t="str">
        <f t="shared" si="7"/>
        <v/>
      </c>
      <c r="AG29" s="402" t="str">
        <f t="shared" si="1"/>
        <v/>
      </c>
      <c r="AH29" s="211" t="str">
        <f>IFERROR(_xlfn.XLOOKUP(AG29,HELPER!$C$7:$C$47,HELPER!$D$7:$D$47,,1),"")</f>
        <v/>
      </c>
    </row>
    <row r="30" spans="2:34">
      <c r="B30" s="387">
        <v>14</v>
      </c>
      <c r="C30" s="399" t="str">
        <f>IFERROR(IF(OR($B$8="INCORRECT SHEET. Do not use this sheet to input data.",'INPUT DATA'!O24=""),"",'INPUT DATA'!O24),"")</f>
        <v/>
      </c>
      <c r="D30" s="183"/>
      <c r="E30" s="184"/>
      <c r="F30" s="184"/>
      <c r="G30" s="184"/>
      <c r="H30" s="184"/>
      <c r="I30" s="184"/>
      <c r="J30" s="184"/>
      <c r="K30" s="184"/>
      <c r="L30" s="184"/>
      <c r="M30" s="185"/>
      <c r="N30" s="207" t="str">
        <f t="shared" si="2"/>
        <v/>
      </c>
      <c r="O30" s="208" t="str">
        <f t="shared" si="3"/>
        <v/>
      </c>
      <c r="P30" s="209" t="str">
        <f t="shared" si="4"/>
        <v/>
      </c>
      <c r="Q30" s="183"/>
      <c r="R30" s="184"/>
      <c r="S30" s="184"/>
      <c r="T30" s="184"/>
      <c r="U30" s="184"/>
      <c r="V30" s="184"/>
      <c r="W30" s="184"/>
      <c r="X30" s="184"/>
      <c r="Y30" s="184"/>
      <c r="Z30" s="185"/>
      <c r="AA30" s="207" t="str">
        <f t="shared" si="0"/>
        <v/>
      </c>
      <c r="AB30" s="208" t="str">
        <f t="shared" si="5"/>
        <v/>
      </c>
      <c r="AC30" s="209" t="str">
        <f t="shared" si="6"/>
        <v/>
      </c>
      <c r="AD30" s="587"/>
      <c r="AE30" s="210" t="str">
        <f t="shared" si="8"/>
        <v/>
      </c>
      <c r="AF30" s="209" t="str">
        <f t="shared" si="7"/>
        <v/>
      </c>
      <c r="AG30" s="402" t="str">
        <f t="shared" si="1"/>
        <v/>
      </c>
      <c r="AH30" s="211" t="str">
        <f>IFERROR(_xlfn.XLOOKUP(AG30,HELPER!$C$7:$C$47,HELPER!$D$7:$D$47,,1),"")</f>
        <v/>
      </c>
    </row>
    <row r="31" spans="2:34">
      <c r="B31" s="387">
        <v>15</v>
      </c>
      <c r="C31" s="399" t="str">
        <f>IFERROR(IF(OR($B$8="INCORRECT SHEET. Do not use this sheet to input data.",'INPUT DATA'!O25=""),"",'INPUT DATA'!O25),"")</f>
        <v/>
      </c>
      <c r="D31" s="183"/>
      <c r="E31" s="184"/>
      <c r="F31" s="184"/>
      <c r="G31" s="184"/>
      <c r="H31" s="184"/>
      <c r="I31" s="184"/>
      <c r="J31" s="184"/>
      <c r="K31" s="184"/>
      <c r="L31" s="184"/>
      <c r="M31" s="185"/>
      <c r="N31" s="207" t="str">
        <f t="shared" si="2"/>
        <v/>
      </c>
      <c r="O31" s="208" t="str">
        <f t="shared" si="3"/>
        <v/>
      </c>
      <c r="P31" s="209" t="str">
        <f t="shared" si="4"/>
        <v/>
      </c>
      <c r="Q31" s="183"/>
      <c r="R31" s="184"/>
      <c r="S31" s="184"/>
      <c r="T31" s="184"/>
      <c r="U31" s="184"/>
      <c r="V31" s="184"/>
      <c r="W31" s="184"/>
      <c r="X31" s="184"/>
      <c r="Y31" s="184"/>
      <c r="Z31" s="185"/>
      <c r="AA31" s="207" t="str">
        <f t="shared" si="0"/>
        <v/>
      </c>
      <c r="AB31" s="208" t="str">
        <f t="shared" si="5"/>
        <v/>
      </c>
      <c r="AC31" s="209" t="str">
        <f t="shared" si="6"/>
        <v/>
      </c>
      <c r="AD31" s="587"/>
      <c r="AE31" s="210" t="str">
        <f t="shared" si="8"/>
        <v/>
      </c>
      <c r="AF31" s="209" t="str">
        <f t="shared" si="7"/>
        <v/>
      </c>
      <c r="AG31" s="402" t="str">
        <f t="shared" si="1"/>
        <v/>
      </c>
      <c r="AH31" s="211" t="str">
        <f>IFERROR(_xlfn.XLOOKUP(AG31,HELPER!$C$7:$C$47,HELPER!$D$7:$D$47,,1),"")</f>
        <v/>
      </c>
    </row>
    <row r="32" spans="2:34">
      <c r="B32" s="387">
        <v>16</v>
      </c>
      <c r="C32" s="399" t="str">
        <f>IFERROR(IF(OR($B$8="INCORRECT SHEET. Do not use this sheet to input data.",'INPUT DATA'!O26=""),"",'INPUT DATA'!O26),"")</f>
        <v/>
      </c>
      <c r="D32" s="183"/>
      <c r="E32" s="184"/>
      <c r="F32" s="184"/>
      <c r="G32" s="184"/>
      <c r="H32" s="184"/>
      <c r="I32" s="184"/>
      <c r="J32" s="184"/>
      <c r="K32" s="184"/>
      <c r="L32" s="184"/>
      <c r="M32" s="185"/>
      <c r="N32" s="207" t="str">
        <f t="shared" si="2"/>
        <v/>
      </c>
      <c r="O32" s="208" t="str">
        <f t="shared" si="3"/>
        <v/>
      </c>
      <c r="P32" s="209" t="str">
        <f t="shared" si="4"/>
        <v/>
      </c>
      <c r="Q32" s="183"/>
      <c r="R32" s="184"/>
      <c r="S32" s="184"/>
      <c r="T32" s="184"/>
      <c r="U32" s="184"/>
      <c r="V32" s="184"/>
      <c r="W32" s="184"/>
      <c r="X32" s="184"/>
      <c r="Y32" s="184"/>
      <c r="Z32" s="185"/>
      <c r="AA32" s="207" t="str">
        <f t="shared" si="0"/>
        <v/>
      </c>
      <c r="AB32" s="208" t="str">
        <f t="shared" si="5"/>
        <v/>
      </c>
      <c r="AC32" s="209" t="str">
        <f t="shared" si="6"/>
        <v/>
      </c>
      <c r="AD32" s="587"/>
      <c r="AE32" s="210" t="str">
        <f t="shared" si="8"/>
        <v/>
      </c>
      <c r="AF32" s="209" t="str">
        <f t="shared" si="7"/>
        <v/>
      </c>
      <c r="AG32" s="402" t="str">
        <f t="shared" si="1"/>
        <v/>
      </c>
      <c r="AH32" s="211" t="str">
        <f>IFERROR(_xlfn.XLOOKUP(AG32,HELPER!$C$7:$C$47,HELPER!$D$7:$D$47,,1),"")</f>
        <v/>
      </c>
    </row>
    <row r="33" spans="2:34">
      <c r="B33" s="387">
        <v>17</v>
      </c>
      <c r="C33" s="399" t="str">
        <f>IFERROR(IF(OR($B$8="INCORRECT SHEET. Do not use this sheet to input data.",'INPUT DATA'!O27=""),"",'INPUT DATA'!O27),"")</f>
        <v/>
      </c>
      <c r="D33" s="183"/>
      <c r="E33" s="184"/>
      <c r="F33" s="184"/>
      <c r="G33" s="184"/>
      <c r="H33" s="184"/>
      <c r="I33" s="184"/>
      <c r="J33" s="184"/>
      <c r="K33" s="184"/>
      <c r="L33" s="184"/>
      <c r="M33" s="185"/>
      <c r="N33" s="207" t="str">
        <f t="shared" si="2"/>
        <v/>
      </c>
      <c r="O33" s="208" t="str">
        <f t="shared" si="3"/>
        <v/>
      </c>
      <c r="P33" s="209" t="str">
        <f t="shared" si="4"/>
        <v/>
      </c>
      <c r="Q33" s="183"/>
      <c r="R33" s="184"/>
      <c r="S33" s="184"/>
      <c r="T33" s="184"/>
      <c r="U33" s="184"/>
      <c r="V33" s="184"/>
      <c r="W33" s="184"/>
      <c r="X33" s="184"/>
      <c r="Y33" s="184"/>
      <c r="Z33" s="185"/>
      <c r="AA33" s="207" t="str">
        <f t="shared" si="0"/>
        <v/>
      </c>
      <c r="AB33" s="208" t="str">
        <f t="shared" si="5"/>
        <v/>
      </c>
      <c r="AC33" s="209" t="str">
        <f t="shared" si="6"/>
        <v/>
      </c>
      <c r="AD33" s="587"/>
      <c r="AE33" s="210" t="str">
        <f t="shared" si="8"/>
        <v/>
      </c>
      <c r="AF33" s="209" t="str">
        <f t="shared" si="7"/>
        <v/>
      </c>
      <c r="AG33" s="402" t="str">
        <f t="shared" si="1"/>
        <v/>
      </c>
      <c r="AH33" s="211" t="str">
        <f>IFERROR(_xlfn.XLOOKUP(AG33,HELPER!$C$7:$C$47,HELPER!$D$7:$D$47,,1),"")</f>
        <v/>
      </c>
    </row>
    <row r="34" spans="2:34">
      <c r="B34" s="387">
        <v>18</v>
      </c>
      <c r="C34" s="399" t="str">
        <f>IFERROR(IF(OR($B$8="INCORRECT SHEET. Do not use this sheet to input data.",'INPUT DATA'!O28=""),"",'INPUT DATA'!O28),"")</f>
        <v/>
      </c>
      <c r="D34" s="183"/>
      <c r="E34" s="184"/>
      <c r="F34" s="184"/>
      <c r="G34" s="184"/>
      <c r="H34" s="184"/>
      <c r="I34" s="184"/>
      <c r="J34" s="184"/>
      <c r="K34" s="184"/>
      <c r="L34" s="184"/>
      <c r="M34" s="185"/>
      <c r="N34" s="207" t="str">
        <f t="shared" si="2"/>
        <v/>
      </c>
      <c r="O34" s="208" t="str">
        <f t="shared" si="3"/>
        <v/>
      </c>
      <c r="P34" s="209" t="str">
        <f t="shared" si="4"/>
        <v/>
      </c>
      <c r="Q34" s="183"/>
      <c r="R34" s="184"/>
      <c r="S34" s="184"/>
      <c r="T34" s="184"/>
      <c r="U34" s="184"/>
      <c r="V34" s="184"/>
      <c r="W34" s="184"/>
      <c r="X34" s="184"/>
      <c r="Y34" s="184"/>
      <c r="Z34" s="185"/>
      <c r="AA34" s="207" t="str">
        <f t="shared" si="0"/>
        <v/>
      </c>
      <c r="AB34" s="208" t="str">
        <f t="shared" si="5"/>
        <v/>
      </c>
      <c r="AC34" s="209" t="str">
        <f t="shared" si="6"/>
        <v/>
      </c>
      <c r="AD34" s="587"/>
      <c r="AE34" s="210" t="str">
        <f t="shared" si="8"/>
        <v/>
      </c>
      <c r="AF34" s="209" t="str">
        <f t="shared" si="7"/>
        <v/>
      </c>
      <c r="AG34" s="402" t="str">
        <f t="shared" si="1"/>
        <v/>
      </c>
      <c r="AH34" s="211" t="str">
        <f>IFERROR(_xlfn.XLOOKUP(AG34,HELPER!$C$7:$C$47,HELPER!$D$7:$D$47,,1),"")</f>
        <v/>
      </c>
    </row>
    <row r="35" spans="2:34">
      <c r="B35" s="387">
        <v>19</v>
      </c>
      <c r="C35" s="399" t="str">
        <f>IFERROR(IF(OR($B$8="INCORRECT SHEET. Do not use this sheet to input data.",'INPUT DATA'!O29=""),"",'INPUT DATA'!O29),"")</f>
        <v/>
      </c>
      <c r="D35" s="183"/>
      <c r="E35" s="184"/>
      <c r="F35" s="184"/>
      <c r="G35" s="184"/>
      <c r="H35" s="184"/>
      <c r="I35" s="184"/>
      <c r="J35" s="184"/>
      <c r="K35" s="184"/>
      <c r="L35" s="184"/>
      <c r="M35" s="185"/>
      <c r="N35" s="207" t="str">
        <f t="shared" si="2"/>
        <v/>
      </c>
      <c r="O35" s="208" t="str">
        <f t="shared" si="3"/>
        <v/>
      </c>
      <c r="P35" s="209" t="str">
        <f t="shared" si="4"/>
        <v/>
      </c>
      <c r="Q35" s="183"/>
      <c r="R35" s="184"/>
      <c r="S35" s="184"/>
      <c r="T35" s="184"/>
      <c r="U35" s="184"/>
      <c r="V35" s="184"/>
      <c r="W35" s="184"/>
      <c r="X35" s="184"/>
      <c r="Y35" s="184"/>
      <c r="Z35" s="185"/>
      <c r="AA35" s="207" t="str">
        <f t="shared" si="0"/>
        <v/>
      </c>
      <c r="AB35" s="208" t="str">
        <f t="shared" si="5"/>
        <v/>
      </c>
      <c r="AC35" s="209" t="str">
        <f t="shared" si="6"/>
        <v/>
      </c>
      <c r="AD35" s="587"/>
      <c r="AE35" s="210" t="str">
        <f t="shared" si="8"/>
        <v/>
      </c>
      <c r="AF35" s="209" t="str">
        <f t="shared" si="7"/>
        <v/>
      </c>
      <c r="AG35" s="402" t="str">
        <f t="shared" si="1"/>
        <v/>
      </c>
      <c r="AH35" s="211" t="str">
        <f>IFERROR(_xlfn.XLOOKUP(AG35,HELPER!$C$7:$C$47,HELPER!$D$7:$D$47,,1),"")</f>
        <v/>
      </c>
    </row>
    <row r="36" spans="2:34">
      <c r="B36" s="387">
        <v>20</v>
      </c>
      <c r="C36" s="399" t="str">
        <f>IFERROR(IF(OR($B$8="INCORRECT SHEET. Do not use this sheet to input data.",'INPUT DATA'!O30=""),"",'INPUT DATA'!O30),"")</f>
        <v/>
      </c>
      <c r="D36" s="183"/>
      <c r="E36" s="184"/>
      <c r="F36" s="184"/>
      <c r="G36" s="184"/>
      <c r="H36" s="184"/>
      <c r="I36" s="184"/>
      <c r="J36" s="184"/>
      <c r="K36" s="184"/>
      <c r="L36" s="184"/>
      <c r="M36" s="185"/>
      <c r="N36" s="207" t="str">
        <f t="shared" si="2"/>
        <v/>
      </c>
      <c r="O36" s="208" t="str">
        <f t="shared" si="3"/>
        <v/>
      </c>
      <c r="P36" s="209" t="str">
        <f t="shared" si="4"/>
        <v/>
      </c>
      <c r="Q36" s="183"/>
      <c r="R36" s="184"/>
      <c r="S36" s="184"/>
      <c r="T36" s="184"/>
      <c r="U36" s="184"/>
      <c r="V36" s="184"/>
      <c r="W36" s="184"/>
      <c r="X36" s="184"/>
      <c r="Y36" s="184"/>
      <c r="Z36" s="185"/>
      <c r="AA36" s="207" t="str">
        <f t="shared" si="0"/>
        <v/>
      </c>
      <c r="AB36" s="208" t="str">
        <f t="shared" si="5"/>
        <v/>
      </c>
      <c r="AC36" s="209" t="str">
        <f t="shared" si="6"/>
        <v/>
      </c>
      <c r="AD36" s="587"/>
      <c r="AE36" s="210" t="str">
        <f t="shared" si="8"/>
        <v/>
      </c>
      <c r="AF36" s="209" t="str">
        <f t="shared" si="7"/>
        <v/>
      </c>
      <c r="AG36" s="402" t="str">
        <f t="shared" si="1"/>
        <v/>
      </c>
      <c r="AH36" s="211" t="str">
        <f>IFERROR(_xlfn.XLOOKUP(AG36,HELPER!$C$7:$C$47,HELPER!$D$7:$D$47,,1),"")</f>
        <v/>
      </c>
    </row>
    <row r="37" spans="2:34">
      <c r="B37" s="387">
        <v>21</v>
      </c>
      <c r="C37" s="399" t="str">
        <f>IFERROR(IF(OR($B$8="INCORRECT SHEET. Do not use this sheet to input data.",'INPUT DATA'!O31=""),"",'INPUT DATA'!O31),"")</f>
        <v/>
      </c>
      <c r="D37" s="183"/>
      <c r="E37" s="184"/>
      <c r="F37" s="184"/>
      <c r="G37" s="184"/>
      <c r="H37" s="184"/>
      <c r="I37" s="184"/>
      <c r="J37" s="184"/>
      <c r="K37" s="184"/>
      <c r="L37" s="184"/>
      <c r="M37" s="185"/>
      <c r="N37" s="207" t="str">
        <f t="shared" si="2"/>
        <v/>
      </c>
      <c r="O37" s="208" t="str">
        <f t="shared" si="3"/>
        <v/>
      </c>
      <c r="P37" s="209" t="str">
        <f t="shared" si="4"/>
        <v/>
      </c>
      <c r="Q37" s="183"/>
      <c r="R37" s="184"/>
      <c r="S37" s="184"/>
      <c r="T37" s="184"/>
      <c r="U37" s="184"/>
      <c r="V37" s="184"/>
      <c r="W37" s="184"/>
      <c r="X37" s="184"/>
      <c r="Y37" s="184"/>
      <c r="Z37" s="185"/>
      <c r="AA37" s="207" t="str">
        <f t="shared" si="0"/>
        <v/>
      </c>
      <c r="AB37" s="208" t="str">
        <f t="shared" si="5"/>
        <v/>
      </c>
      <c r="AC37" s="209" t="str">
        <f t="shared" si="6"/>
        <v/>
      </c>
      <c r="AD37" s="587"/>
      <c r="AE37" s="210" t="str">
        <f t="shared" si="8"/>
        <v/>
      </c>
      <c r="AF37" s="209" t="str">
        <f t="shared" si="7"/>
        <v/>
      </c>
      <c r="AG37" s="402" t="str">
        <f t="shared" si="1"/>
        <v/>
      </c>
      <c r="AH37" s="211" t="str">
        <f>IFERROR(_xlfn.XLOOKUP(AG37,HELPER!$C$7:$C$47,HELPER!$D$7:$D$47,,1),"")</f>
        <v/>
      </c>
    </row>
    <row r="38" spans="2:34">
      <c r="B38" s="387">
        <v>22</v>
      </c>
      <c r="C38" s="399" t="str">
        <f>IFERROR(IF(OR($B$8="INCORRECT SHEET. Do not use this sheet to input data.",'INPUT DATA'!O32=""),"",'INPUT DATA'!O32),"")</f>
        <v/>
      </c>
      <c r="D38" s="183"/>
      <c r="E38" s="184"/>
      <c r="F38" s="184"/>
      <c r="G38" s="184"/>
      <c r="H38" s="184"/>
      <c r="I38" s="184"/>
      <c r="J38" s="184"/>
      <c r="K38" s="184"/>
      <c r="L38" s="184"/>
      <c r="M38" s="185"/>
      <c r="N38" s="207" t="str">
        <f t="shared" si="2"/>
        <v/>
      </c>
      <c r="O38" s="208" t="str">
        <f t="shared" si="3"/>
        <v/>
      </c>
      <c r="P38" s="209" t="str">
        <f t="shared" si="4"/>
        <v/>
      </c>
      <c r="Q38" s="183"/>
      <c r="R38" s="184"/>
      <c r="S38" s="184"/>
      <c r="T38" s="184"/>
      <c r="U38" s="184"/>
      <c r="V38" s="184"/>
      <c r="W38" s="184"/>
      <c r="X38" s="184"/>
      <c r="Y38" s="184"/>
      <c r="Z38" s="185"/>
      <c r="AA38" s="207" t="str">
        <f t="shared" si="0"/>
        <v/>
      </c>
      <c r="AB38" s="208" t="str">
        <f t="shared" si="5"/>
        <v/>
      </c>
      <c r="AC38" s="209" t="str">
        <f t="shared" si="6"/>
        <v/>
      </c>
      <c r="AD38" s="587"/>
      <c r="AE38" s="210" t="str">
        <f t="shared" si="8"/>
        <v/>
      </c>
      <c r="AF38" s="209" t="str">
        <f t="shared" si="7"/>
        <v/>
      </c>
      <c r="AG38" s="402" t="str">
        <f t="shared" si="1"/>
        <v/>
      </c>
      <c r="AH38" s="211" t="str">
        <f>IFERROR(_xlfn.XLOOKUP(AG38,HELPER!$C$7:$C$47,HELPER!$D$7:$D$47,,1),"")</f>
        <v/>
      </c>
    </row>
    <row r="39" spans="2:34">
      <c r="B39" s="387">
        <v>23</v>
      </c>
      <c r="C39" s="399" t="str">
        <f>IFERROR(IF(OR($B$8="INCORRECT SHEET. Do not use this sheet to input data.",'INPUT DATA'!O33=""),"",'INPUT DATA'!O33),"")</f>
        <v/>
      </c>
      <c r="D39" s="183"/>
      <c r="E39" s="184"/>
      <c r="F39" s="184"/>
      <c r="G39" s="184"/>
      <c r="H39" s="184"/>
      <c r="I39" s="184"/>
      <c r="J39" s="184"/>
      <c r="K39" s="184"/>
      <c r="L39" s="184"/>
      <c r="M39" s="185"/>
      <c r="N39" s="207" t="str">
        <f t="shared" si="2"/>
        <v/>
      </c>
      <c r="O39" s="208" t="str">
        <f t="shared" si="3"/>
        <v/>
      </c>
      <c r="P39" s="209" t="str">
        <f t="shared" si="4"/>
        <v/>
      </c>
      <c r="Q39" s="183"/>
      <c r="R39" s="184"/>
      <c r="S39" s="184"/>
      <c r="T39" s="184"/>
      <c r="U39" s="184"/>
      <c r="V39" s="184"/>
      <c r="W39" s="184"/>
      <c r="X39" s="184"/>
      <c r="Y39" s="184"/>
      <c r="Z39" s="185"/>
      <c r="AA39" s="207" t="str">
        <f t="shared" si="0"/>
        <v/>
      </c>
      <c r="AB39" s="208" t="str">
        <f t="shared" si="5"/>
        <v/>
      </c>
      <c r="AC39" s="209" t="str">
        <f t="shared" si="6"/>
        <v/>
      </c>
      <c r="AD39" s="587"/>
      <c r="AE39" s="210" t="str">
        <f t="shared" si="8"/>
        <v/>
      </c>
      <c r="AF39" s="209" t="str">
        <f t="shared" si="7"/>
        <v/>
      </c>
      <c r="AG39" s="402" t="str">
        <f t="shared" si="1"/>
        <v/>
      </c>
      <c r="AH39" s="211" t="str">
        <f>IFERROR(_xlfn.XLOOKUP(AG39,HELPER!$C$7:$C$47,HELPER!$D$7:$D$47,,1),"")</f>
        <v/>
      </c>
    </row>
    <row r="40" spans="2:34">
      <c r="B40" s="387">
        <v>24</v>
      </c>
      <c r="C40" s="399" t="str">
        <f>IFERROR(IF(OR($B$8="INCORRECT SHEET. Do not use this sheet to input data.",'INPUT DATA'!O34=""),"",'INPUT DATA'!O34),"")</f>
        <v/>
      </c>
      <c r="D40" s="183"/>
      <c r="E40" s="184"/>
      <c r="F40" s="184"/>
      <c r="G40" s="184"/>
      <c r="H40" s="184"/>
      <c r="I40" s="184"/>
      <c r="J40" s="184"/>
      <c r="K40" s="184"/>
      <c r="L40" s="184"/>
      <c r="M40" s="185"/>
      <c r="N40" s="207" t="str">
        <f t="shared" si="2"/>
        <v/>
      </c>
      <c r="O40" s="208" t="str">
        <f t="shared" si="3"/>
        <v/>
      </c>
      <c r="P40" s="209" t="str">
        <f t="shared" si="4"/>
        <v/>
      </c>
      <c r="Q40" s="183"/>
      <c r="R40" s="184"/>
      <c r="S40" s="184"/>
      <c r="T40" s="184"/>
      <c r="U40" s="184"/>
      <c r="V40" s="184"/>
      <c r="W40" s="184"/>
      <c r="X40" s="184"/>
      <c r="Y40" s="184"/>
      <c r="Z40" s="185"/>
      <c r="AA40" s="207" t="str">
        <f t="shared" si="0"/>
        <v/>
      </c>
      <c r="AB40" s="208" t="str">
        <f t="shared" si="5"/>
        <v/>
      </c>
      <c r="AC40" s="209" t="str">
        <f t="shared" si="6"/>
        <v/>
      </c>
      <c r="AD40" s="587"/>
      <c r="AE40" s="210" t="str">
        <f t="shared" si="8"/>
        <v/>
      </c>
      <c r="AF40" s="209" t="str">
        <f t="shared" si="7"/>
        <v/>
      </c>
      <c r="AG40" s="402" t="str">
        <f t="shared" si="1"/>
        <v/>
      </c>
      <c r="AH40" s="211" t="str">
        <f>IFERROR(_xlfn.XLOOKUP(AG40,HELPER!$C$7:$C$47,HELPER!$D$7:$D$47,,1),"")</f>
        <v/>
      </c>
    </row>
    <row r="41" spans="2:34">
      <c r="B41" s="387">
        <v>25</v>
      </c>
      <c r="C41" s="399" t="str">
        <f>IFERROR(IF(OR($B$8="INCORRECT SHEET. Do not use this sheet to input data.",'INPUT DATA'!O35=""),"",'INPUT DATA'!O35),"")</f>
        <v/>
      </c>
      <c r="D41" s="183"/>
      <c r="E41" s="184"/>
      <c r="F41" s="184"/>
      <c r="G41" s="184"/>
      <c r="H41" s="184"/>
      <c r="I41" s="184"/>
      <c r="J41" s="184"/>
      <c r="K41" s="184"/>
      <c r="L41" s="184"/>
      <c r="M41" s="185"/>
      <c r="N41" s="207" t="str">
        <f t="shared" si="2"/>
        <v/>
      </c>
      <c r="O41" s="208" t="str">
        <f t="shared" si="3"/>
        <v/>
      </c>
      <c r="P41" s="209" t="str">
        <f t="shared" si="4"/>
        <v/>
      </c>
      <c r="Q41" s="183"/>
      <c r="R41" s="184"/>
      <c r="S41" s="184"/>
      <c r="T41" s="184"/>
      <c r="U41" s="184"/>
      <c r="V41" s="184"/>
      <c r="W41" s="184"/>
      <c r="X41" s="184"/>
      <c r="Y41" s="184"/>
      <c r="Z41" s="185"/>
      <c r="AA41" s="207" t="str">
        <f t="shared" si="0"/>
        <v/>
      </c>
      <c r="AB41" s="208" t="str">
        <f t="shared" si="5"/>
        <v/>
      </c>
      <c r="AC41" s="209" t="str">
        <f t="shared" si="6"/>
        <v/>
      </c>
      <c r="AD41" s="587"/>
      <c r="AE41" s="210" t="str">
        <f t="shared" si="8"/>
        <v/>
      </c>
      <c r="AF41" s="209" t="str">
        <f t="shared" si="7"/>
        <v/>
      </c>
      <c r="AG41" s="402" t="str">
        <f t="shared" si="1"/>
        <v/>
      </c>
      <c r="AH41" s="211" t="str">
        <f>IFERROR(_xlfn.XLOOKUP(AG41,HELPER!$C$7:$C$47,HELPER!$D$7:$D$47,,1),"")</f>
        <v/>
      </c>
    </row>
    <row r="42" spans="2:34">
      <c r="B42" s="387">
        <v>26</v>
      </c>
      <c r="C42" s="399" t="str">
        <f>IFERROR(IF(OR($B$8="INCORRECT SHEET. Do not use this sheet to input data.",'INPUT DATA'!O36=""),"",'INPUT DATA'!O36),"")</f>
        <v/>
      </c>
      <c r="D42" s="183"/>
      <c r="E42" s="184"/>
      <c r="F42" s="184"/>
      <c r="G42" s="184"/>
      <c r="H42" s="184"/>
      <c r="I42" s="184"/>
      <c r="J42" s="184"/>
      <c r="K42" s="184"/>
      <c r="L42" s="184"/>
      <c r="M42" s="185"/>
      <c r="N42" s="207" t="str">
        <f t="shared" si="2"/>
        <v/>
      </c>
      <c r="O42" s="208" t="str">
        <f t="shared" si="3"/>
        <v/>
      </c>
      <c r="P42" s="209" t="str">
        <f t="shared" si="4"/>
        <v/>
      </c>
      <c r="Q42" s="183"/>
      <c r="R42" s="184"/>
      <c r="S42" s="184"/>
      <c r="T42" s="184"/>
      <c r="U42" s="184"/>
      <c r="V42" s="184"/>
      <c r="W42" s="184"/>
      <c r="X42" s="184"/>
      <c r="Y42" s="184"/>
      <c r="Z42" s="185"/>
      <c r="AA42" s="207" t="str">
        <f t="shared" si="0"/>
        <v/>
      </c>
      <c r="AB42" s="208" t="str">
        <f t="shared" si="5"/>
        <v/>
      </c>
      <c r="AC42" s="209" t="str">
        <f t="shared" si="6"/>
        <v/>
      </c>
      <c r="AD42" s="587"/>
      <c r="AE42" s="210" t="str">
        <f t="shared" si="8"/>
        <v/>
      </c>
      <c r="AF42" s="209" t="str">
        <f t="shared" si="7"/>
        <v/>
      </c>
      <c r="AG42" s="402" t="str">
        <f t="shared" si="1"/>
        <v/>
      </c>
      <c r="AH42" s="211" t="str">
        <f>IFERROR(_xlfn.XLOOKUP(AG42,HELPER!$C$7:$C$47,HELPER!$D$7:$D$47,,1),"")</f>
        <v/>
      </c>
    </row>
    <row r="43" spans="2:34">
      <c r="B43" s="387">
        <v>27</v>
      </c>
      <c r="C43" s="399" t="str">
        <f>IFERROR(IF(OR($B$8="INCORRECT SHEET. Do not use this sheet to input data.",'INPUT DATA'!O37=""),"",'INPUT DATA'!O37),"")</f>
        <v/>
      </c>
      <c r="D43" s="183"/>
      <c r="E43" s="184"/>
      <c r="F43" s="184"/>
      <c r="G43" s="184"/>
      <c r="H43" s="184"/>
      <c r="I43" s="184"/>
      <c r="J43" s="184"/>
      <c r="K43" s="184"/>
      <c r="L43" s="184"/>
      <c r="M43" s="185"/>
      <c r="N43" s="207" t="str">
        <f t="shared" si="2"/>
        <v/>
      </c>
      <c r="O43" s="208" t="str">
        <f t="shared" si="3"/>
        <v/>
      </c>
      <c r="P43" s="209" t="str">
        <f t="shared" si="4"/>
        <v/>
      </c>
      <c r="Q43" s="183"/>
      <c r="R43" s="184"/>
      <c r="S43" s="184"/>
      <c r="T43" s="184"/>
      <c r="U43" s="184"/>
      <c r="V43" s="184"/>
      <c r="W43" s="184"/>
      <c r="X43" s="184"/>
      <c r="Y43" s="184"/>
      <c r="Z43" s="185"/>
      <c r="AA43" s="207" t="str">
        <f t="shared" si="0"/>
        <v/>
      </c>
      <c r="AB43" s="208" t="str">
        <f t="shared" si="5"/>
        <v/>
      </c>
      <c r="AC43" s="209" t="str">
        <f t="shared" si="6"/>
        <v/>
      </c>
      <c r="AD43" s="587"/>
      <c r="AE43" s="210" t="str">
        <f t="shared" si="8"/>
        <v/>
      </c>
      <c r="AF43" s="209" t="str">
        <f t="shared" si="7"/>
        <v/>
      </c>
      <c r="AG43" s="402" t="str">
        <f t="shared" si="1"/>
        <v/>
      </c>
      <c r="AH43" s="211" t="str">
        <f>IFERROR(_xlfn.XLOOKUP(AG43,HELPER!$C$7:$C$47,HELPER!$D$7:$D$47,,1),"")</f>
        <v/>
      </c>
    </row>
    <row r="44" spans="2:34">
      <c r="B44" s="387">
        <v>28</v>
      </c>
      <c r="C44" s="399" t="str">
        <f>IFERROR(IF(OR($B$8="INCORRECT SHEET. Do not use this sheet to input data.",'INPUT DATA'!O38=""),"",'INPUT DATA'!O38),"")</f>
        <v/>
      </c>
      <c r="D44" s="183"/>
      <c r="E44" s="184"/>
      <c r="F44" s="184"/>
      <c r="G44" s="184"/>
      <c r="H44" s="184"/>
      <c r="I44" s="184"/>
      <c r="J44" s="184"/>
      <c r="K44" s="184"/>
      <c r="L44" s="184"/>
      <c r="M44" s="185"/>
      <c r="N44" s="207" t="str">
        <f t="shared" si="2"/>
        <v/>
      </c>
      <c r="O44" s="208" t="str">
        <f t="shared" si="3"/>
        <v/>
      </c>
      <c r="P44" s="209" t="str">
        <f t="shared" si="4"/>
        <v/>
      </c>
      <c r="Q44" s="183"/>
      <c r="R44" s="184"/>
      <c r="S44" s="184"/>
      <c r="T44" s="184"/>
      <c r="U44" s="184"/>
      <c r="V44" s="184"/>
      <c r="W44" s="184"/>
      <c r="X44" s="184"/>
      <c r="Y44" s="184"/>
      <c r="Z44" s="185"/>
      <c r="AA44" s="207" t="str">
        <f t="shared" si="0"/>
        <v/>
      </c>
      <c r="AB44" s="208" t="str">
        <f t="shared" si="5"/>
        <v/>
      </c>
      <c r="AC44" s="209" t="str">
        <f t="shared" si="6"/>
        <v/>
      </c>
      <c r="AD44" s="587"/>
      <c r="AE44" s="210" t="str">
        <f t="shared" si="8"/>
        <v/>
      </c>
      <c r="AF44" s="209" t="str">
        <f t="shared" si="7"/>
        <v/>
      </c>
      <c r="AG44" s="402" t="str">
        <f t="shared" si="1"/>
        <v/>
      </c>
      <c r="AH44" s="211" t="str">
        <f>IFERROR(_xlfn.XLOOKUP(AG44,HELPER!$C$7:$C$47,HELPER!$D$7:$D$47,,1),"")</f>
        <v/>
      </c>
    </row>
    <row r="45" spans="2:34">
      <c r="B45" s="387">
        <v>29</v>
      </c>
      <c r="C45" s="399" t="str">
        <f>IFERROR(IF(OR($B$8="INCORRECT SHEET. Do not use this sheet to input data.",'INPUT DATA'!O39=""),"",'INPUT DATA'!O39),"")</f>
        <v/>
      </c>
      <c r="D45" s="183"/>
      <c r="E45" s="184"/>
      <c r="F45" s="184"/>
      <c r="G45" s="184"/>
      <c r="H45" s="184"/>
      <c r="I45" s="184"/>
      <c r="J45" s="184"/>
      <c r="K45" s="184"/>
      <c r="L45" s="184"/>
      <c r="M45" s="185"/>
      <c r="N45" s="207" t="str">
        <f t="shared" si="2"/>
        <v/>
      </c>
      <c r="O45" s="208" t="str">
        <f t="shared" si="3"/>
        <v/>
      </c>
      <c r="P45" s="209" t="str">
        <f t="shared" si="4"/>
        <v/>
      </c>
      <c r="Q45" s="183"/>
      <c r="R45" s="184"/>
      <c r="S45" s="184"/>
      <c r="T45" s="184"/>
      <c r="U45" s="184"/>
      <c r="V45" s="184"/>
      <c r="W45" s="184"/>
      <c r="X45" s="184"/>
      <c r="Y45" s="184"/>
      <c r="Z45" s="185"/>
      <c r="AA45" s="207" t="str">
        <f t="shared" si="0"/>
        <v/>
      </c>
      <c r="AB45" s="208" t="str">
        <f t="shared" si="5"/>
        <v/>
      </c>
      <c r="AC45" s="209" t="str">
        <f t="shared" si="6"/>
        <v/>
      </c>
      <c r="AD45" s="587"/>
      <c r="AE45" s="210" t="str">
        <f t="shared" si="8"/>
        <v/>
      </c>
      <c r="AF45" s="209" t="str">
        <f t="shared" si="7"/>
        <v/>
      </c>
      <c r="AG45" s="402" t="str">
        <f t="shared" si="1"/>
        <v/>
      </c>
      <c r="AH45" s="211" t="str">
        <f>IFERROR(_xlfn.XLOOKUP(AG45,HELPER!$C$7:$C$47,HELPER!$D$7:$D$47,,1),"")</f>
        <v/>
      </c>
    </row>
    <row r="46" spans="2:34">
      <c r="B46" s="387">
        <v>30</v>
      </c>
      <c r="C46" s="399" t="str">
        <f>IFERROR(IF(OR($B$8="INCORRECT SHEET. Do not use this sheet to input data.",'INPUT DATA'!O40=""),"",'INPUT DATA'!O40),"")</f>
        <v/>
      </c>
      <c r="D46" s="183"/>
      <c r="E46" s="184"/>
      <c r="F46" s="184"/>
      <c r="G46" s="184"/>
      <c r="H46" s="184"/>
      <c r="I46" s="184"/>
      <c r="J46" s="184"/>
      <c r="K46" s="184"/>
      <c r="L46" s="184"/>
      <c r="M46" s="185"/>
      <c r="N46" s="207" t="str">
        <f t="shared" si="2"/>
        <v/>
      </c>
      <c r="O46" s="208" t="str">
        <f t="shared" si="3"/>
        <v/>
      </c>
      <c r="P46" s="209" t="str">
        <f t="shared" si="4"/>
        <v/>
      </c>
      <c r="Q46" s="183"/>
      <c r="R46" s="184"/>
      <c r="S46" s="184"/>
      <c r="T46" s="184"/>
      <c r="U46" s="184"/>
      <c r="V46" s="184"/>
      <c r="W46" s="184"/>
      <c r="X46" s="184"/>
      <c r="Y46" s="184"/>
      <c r="Z46" s="185"/>
      <c r="AA46" s="207" t="str">
        <f t="shared" si="0"/>
        <v/>
      </c>
      <c r="AB46" s="208" t="str">
        <f t="shared" si="5"/>
        <v/>
      </c>
      <c r="AC46" s="209" t="str">
        <f t="shared" si="6"/>
        <v/>
      </c>
      <c r="AD46" s="587"/>
      <c r="AE46" s="210" t="str">
        <f t="shared" si="8"/>
        <v/>
      </c>
      <c r="AF46" s="209" t="str">
        <f t="shared" si="7"/>
        <v/>
      </c>
      <c r="AG46" s="402" t="str">
        <f t="shared" si="1"/>
        <v/>
      </c>
      <c r="AH46" s="211" t="str">
        <f>IFERROR(_xlfn.XLOOKUP(AG46,HELPER!$C$7:$C$47,HELPER!$D$7:$D$47,,1),"")</f>
        <v/>
      </c>
    </row>
    <row r="47" spans="2:34">
      <c r="B47" s="387">
        <v>31</v>
      </c>
      <c r="C47" s="399" t="str">
        <f>IFERROR(IF(OR($B$8="INCORRECT SHEET. Do not use this sheet to input data.",'INPUT DATA'!O41=""),"",'INPUT DATA'!O41),"")</f>
        <v/>
      </c>
      <c r="D47" s="183"/>
      <c r="E47" s="184"/>
      <c r="F47" s="184"/>
      <c r="G47" s="184"/>
      <c r="H47" s="184"/>
      <c r="I47" s="184"/>
      <c r="J47" s="184"/>
      <c r="K47" s="184"/>
      <c r="L47" s="184"/>
      <c r="M47" s="185"/>
      <c r="N47" s="207" t="str">
        <f t="shared" si="2"/>
        <v/>
      </c>
      <c r="O47" s="208" t="str">
        <f t="shared" si="3"/>
        <v/>
      </c>
      <c r="P47" s="209" t="str">
        <f t="shared" si="4"/>
        <v/>
      </c>
      <c r="Q47" s="183"/>
      <c r="R47" s="184"/>
      <c r="S47" s="184"/>
      <c r="T47" s="184"/>
      <c r="U47" s="184"/>
      <c r="V47" s="184"/>
      <c r="W47" s="184"/>
      <c r="X47" s="184"/>
      <c r="Y47" s="184"/>
      <c r="Z47" s="185"/>
      <c r="AA47" s="207" t="str">
        <f t="shared" si="0"/>
        <v/>
      </c>
      <c r="AB47" s="208" t="str">
        <f t="shared" si="5"/>
        <v/>
      </c>
      <c r="AC47" s="209" t="str">
        <f t="shared" si="6"/>
        <v/>
      </c>
      <c r="AD47" s="587"/>
      <c r="AE47" s="210" t="str">
        <f t="shared" si="8"/>
        <v/>
      </c>
      <c r="AF47" s="209" t="str">
        <f t="shared" si="7"/>
        <v/>
      </c>
      <c r="AG47" s="402" t="str">
        <f t="shared" si="1"/>
        <v/>
      </c>
      <c r="AH47" s="211" t="str">
        <f>IFERROR(_xlfn.XLOOKUP(AG47,HELPER!$C$7:$C$47,HELPER!$D$7:$D$47,,1),"")</f>
        <v/>
      </c>
    </row>
    <row r="48" spans="2:34">
      <c r="B48" s="387">
        <v>32</v>
      </c>
      <c r="C48" s="399" t="str">
        <f>IFERROR(IF(OR($B$8="INCORRECT SHEET. Do not use this sheet to input data.",'INPUT DATA'!O42=""),"",'INPUT DATA'!O42),"")</f>
        <v/>
      </c>
      <c r="D48" s="183"/>
      <c r="E48" s="184"/>
      <c r="F48" s="184"/>
      <c r="G48" s="184"/>
      <c r="H48" s="184"/>
      <c r="I48" s="184"/>
      <c r="J48" s="184"/>
      <c r="K48" s="184"/>
      <c r="L48" s="184"/>
      <c r="M48" s="185"/>
      <c r="N48" s="207" t="str">
        <f t="shared" si="2"/>
        <v/>
      </c>
      <c r="O48" s="208" t="str">
        <f t="shared" si="3"/>
        <v/>
      </c>
      <c r="P48" s="209" t="str">
        <f t="shared" si="4"/>
        <v/>
      </c>
      <c r="Q48" s="183"/>
      <c r="R48" s="184"/>
      <c r="S48" s="184"/>
      <c r="T48" s="184"/>
      <c r="U48" s="184"/>
      <c r="V48" s="184"/>
      <c r="W48" s="184"/>
      <c r="X48" s="184"/>
      <c r="Y48" s="184"/>
      <c r="Z48" s="185"/>
      <c r="AA48" s="207" t="str">
        <f t="shared" si="0"/>
        <v/>
      </c>
      <c r="AB48" s="208" t="str">
        <f t="shared" si="5"/>
        <v/>
      </c>
      <c r="AC48" s="209" t="str">
        <f t="shared" si="6"/>
        <v/>
      </c>
      <c r="AD48" s="587"/>
      <c r="AE48" s="210" t="str">
        <f t="shared" si="8"/>
        <v/>
      </c>
      <c r="AF48" s="209" t="str">
        <f t="shared" si="7"/>
        <v/>
      </c>
      <c r="AG48" s="402" t="str">
        <f t="shared" si="1"/>
        <v/>
      </c>
      <c r="AH48" s="211" t="str">
        <f>IFERROR(_xlfn.XLOOKUP(AG48,HELPER!$C$7:$C$47,HELPER!$D$7:$D$47,,1),"")</f>
        <v/>
      </c>
    </row>
    <row r="49" spans="2:34">
      <c r="B49" s="387">
        <v>33</v>
      </c>
      <c r="C49" s="399" t="str">
        <f>IFERROR(IF(OR($B$8="INCORRECT SHEET. Do not use this sheet to input data.",'INPUT DATA'!O43=""),"",'INPUT DATA'!O43),"")</f>
        <v/>
      </c>
      <c r="D49" s="183"/>
      <c r="E49" s="184"/>
      <c r="F49" s="184"/>
      <c r="G49" s="184"/>
      <c r="H49" s="184"/>
      <c r="I49" s="184"/>
      <c r="J49" s="184"/>
      <c r="K49" s="184"/>
      <c r="L49" s="184"/>
      <c r="M49" s="185"/>
      <c r="N49" s="207" t="str">
        <f t="shared" si="2"/>
        <v/>
      </c>
      <c r="O49" s="208" t="str">
        <f t="shared" si="3"/>
        <v/>
      </c>
      <c r="P49" s="209" t="str">
        <f t="shared" si="4"/>
        <v/>
      </c>
      <c r="Q49" s="183"/>
      <c r="R49" s="184"/>
      <c r="S49" s="184"/>
      <c r="T49" s="184"/>
      <c r="U49" s="184"/>
      <c r="V49" s="184"/>
      <c r="W49" s="184"/>
      <c r="X49" s="184"/>
      <c r="Y49" s="184"/>
      <c r="Z49" s="185"/>
      <c r="AA49" s="207" t="str">
        <f t="shared" si="0"/>
        <v/>
      </c>
      <c r="AB49" s="208" t="str">
        <f t="shared" si="5"/>
        <v/>
      </c>
      <c r="AC49" s="209" t="str">
        <f t="shared" si="6"/>
        <v/>
      </c>
      <c r="AD49" s="587"/>
      <c r="AE49" s="210" t="str">
        <f t="shared" si="8"/>
        <v/>
      </c>
      <c r="AF49" s="209" t="str">
        <f t="shared" si="7"/>
        <v/>
      </c>
      <c r="AG49" s="402" t="str">
        <f t="shared" ref="AG49:AG66" si="9">IF(AND(C49&lt;&gt;"",P49&lt;&gt;"",AC49&lt;&gt;"",$AD$12=0),SUM(P49,AC49),IF(AND(C49&lt;&gt;"",P49&lt;&gt;"",AC49&lt;&gt;"",AF49&lt;&gt;"",$D$12&gt;0,$Q$12&gt;0,$AD$12&gt;0),SUM(P49,AC49,AF49),""))</f>
        <v/>
      </c>
      <c r="AH49" s="211" t="str">
        <f>IFERROR(_xlfn.XLOOKUP(AG49,HELPER!$C$7:$C$47,HELPER!$D$7:$D$47,,1),"")</f>
        <v/>
      </c>
    </row>
    <row r="50" spans="2:34">
      <c r="B50" s="387">
        <v>34</v>
      </c>
      <c r="C50" s="399" t="str">
        <f>IFERROR(IF(OR($B$8="INCORRECT SHEET. Do not use this sheet to input data.",'INPUT DATA'!O44=""),"",'INPUT DATA'!O44),"")</f>
        <v/>
      </c>
      <c r="D50" s="183"/>
      <c r="E50" s="184"/>
      <c r="F50" s="184"/>
      <c r="G50" s="184"/>
      <c r="H50" s="184"/>
      <c r="I50" s="184"/>
      <c r="J50" s="184"/>
      <c r="K50" s="184"/>
      <c r="L50" s="184"/>
      <c r="M50" s="185"/>
      <c r="N50" s="207" t="str">
        <f t="shared" si="2"/>
        <v/>
      </c>
      <c r="O50" s="208" t="str">
        <f t="shared" si="3"/>
        <v/>
      </c>
      <c r="P50" s="209" t="str">
        <f t="shared" si="4"/>
        <v/>
      </c>
      <c r="Q50" s="183"/>
      <c r="R50" s="184"/>
      <c r="S50" s="184"/>
      <c r="T50" s="184"/>
      <c r="U50" s="184"/>
      <c r="V50" s="184"/>
      <c r="W50" s="184"/>
      <c r="X50" s="184"/>
      <c r="Y50" s="184"/>
      <c r="Z50" s="185"/>
      <c r="AA50" s="207" t="str">
        <f t="shared" si="0"/>
        <v/>
      </c>
      <c r="AB50" s="208" t="str">
        <f t="shared" si="5"/>
        <v/>
      </c>
      <c r="AC50" s="209" t="str">
        <f t="shared" si="6"/>
        <v/>
      </c>
      <c r="AD50" s="587"/>
      <c r="AE50" s="210" t="str">
        <f t="shared" si="8"/>
        <v/>
      </c>
      <c r="AF50" s="209" t="str">
        <f t="shared" si="7"/>
        <v/>
      </c>
      <c r="AG50" s="402" t="str">
        <f t="shared" si="9"/>
        <v/>
      </c>
      <c r="AH50" s="211" t="str">
        <f>IFERROR(_xlfn.XLOOKUP(AG50,HELPER!$C$7:$C$47,HELPER!$D$7:$D$47,,1),"")</f>
        <v/>
      </c>
    </row>
    <row r="51" spans="2:34">
      <c r="B51" s="387">
        <v>35</v>
      </c>
      <c r="C51" s="399" t="str">
        <f>IFERROR(IF(OR($B$8="INCORRECT SHEET. Do not use this sheet to input data.",'INPUT DATA'!O45=""),"",'INPUT DATA'!O45),"")</f>
        <v/>
      </c>
      <c r="D51" s="183"/>
      <c r="E51" s="184"/>
      <c r="F51" s="184"/>
      <c r="G51" s="184"/>
      <c r="H51" s="184"/>
      <c r="I51" s="184"/>
      <c r="J51" s="184"/>
      <c r="K51" s="184"/>
      <c r="L51" s="184"/>
      <c r="M51" s="185"/>
      <c r="N51" s="207" t="str">
        <f t="shared" si="2"/>
        <v/>
      </c>
      <c r="O51" s="208" t="str">
        <f t="shared" si="3"/>
        <v/>
      </c>
      <c r="P51" s="209" t="str">
        <f t="shared" si="4"/>
        <v/>
      </c>
      <c r="Q51" s="183"/>
      <c r="R51" s="184"/>
      <c r="S51" s="184"/>
      <c r="T51" s="184"/>
      <c r="U51" s="184"/>
      <c r="V51" s="184"/>
      <c r="W51" s="184"/>
      <c r="X51" s="184"/>
      <c r="Y51" s="184"/>
      <c r="Z51" s="185"/>
      <c r="AA51" s="207" t="str">
        <f t="shared" si="0"/>
        <v/>
      </c>
      <c r="AB51" s="208" t="str">
        <f t="shared" si="5"/>
        <v/>
      </c>
      <c r="AC51" s="209" t="str">
        <f t="shared" si="6"/>
        <v/>
      </c>
      <c r="AD51" s="587"/>
      <c r="AE51" s="210" t="str">
        <f t="shared" si="8"/>
        <v/>
      </c>
      <c r="AF51" s="209" t="str">
        <f t="shared" si="7"/>
        <v/>
      </c>
      <c r="AG51" s="402" t="str">
        <f t="shared" si="9"/>
        <v/>
      </c>
      <c r="AH51" s="211" t="str">
        <f>IFERROR(_xlfn.XLOOKUP(AG51,HELPER!$C$7:$C$47,HELPER!$D$7:$D$47,,1),"")</f>
        <v/>
      </c>
    </row>
    <row r="52" spans="2:34">
      <c r="B52" s="387">
        <v>36</v>
      </c>
      <c r="C52" s="399" t="str">
        <f>IFERROR(IF(OR($B$8="INCORRECT SHEET. Do not use this sheet to input data.",'INPUT DATA'!O46=""),"",'INPUT DATA'!O46),"")</f>
        <v/>
      </c>
      <c r="D52" s="183"/>
      <c r="E52" s="184"/>
      <c r="F52" s="184"/>
      <c r="G52" s="184"/>
      <c r="H52" s="184"/>
      <c r="I52" s="184"/>
      <c r="J52" s="184"/>
      <c r="K52" s="184"/>
      <c r="L52" s="184"/>
      <c r="M52" s="185"/>
      <c r="N52" s="207" t="str">
        <f t="shared" si="2"/>
        <v/>
      </c>
      <c r="O52" s="208" t="str">
        <f t="shared" si="3"/>
        <v/>
      </c>
      <c r="P52" s="209" t="str">
        <f t="shared" si="4"/>
        <v/>
      </c>
      <c r="Q52" s="183"/>
      <c r="R52" s="184"/>
      <c r="S52" s="184"/>
      <c r="T52" s="184"/>
      <c r="U52" s="184"/>
      <c r="V52" s="184"/>
      <c r="W52" s="184"/>
      <c r="X52" s="184"/>
      <c r="Y52" s="184"/>
      <c r="Z52" s="185"/>
      <c r="AA52" s="207" t="str">
        <f t="shared" si="0"/>
        <v/>
      </c>
      <c r="AB52" s="208" t="str">
        <f t="shared" si="5"/>
        <v/>
      </c>
      <c r="AC52" s="209" t="str">
        <f t="shared" si="6"/>
        <v/>
      </c>
      <c r="AD52" s="587"/>
      <c r="AE52" s="210" t="str">
        <f t="shared" si="8"/>
        <v/>
      </c>
      <c r="AF52" s="209" t="str">
        <f t="shared" si="7"/>
        <v/>
      </c>
      <c r="AG52" s="402" t="str">
        <f t="shared" si="9"/>
        <v/>
      </c>
      <c r="AH52" s="211" t="str">
        <f>IFERROR(_xlfn.XLOOKUP(AG52,HELPER!$C$7:$C$47,HELPER!$D$7:$D$47,,1),"")</f>
        <v/>
      </c>
    </row>
    <row r="53" spans="2:34">
      <c r="B53" s="387">
        <v>37</v>
      </c>
      <c r="C53" s="399" t="str">
        <f>IFERROR(IF(OR($B$8="INCORRECT SHEET. Do not use this sheet to input data.",'INPUT DATA'!O47=""),"",'INPUT DATA'!O47),"")</f>
        <v/>
      </c>
      <c r="D53" s="183"/>
      <c r="E53" s="184"/>
      <c r="F53" s="184"/>
      <c r="G53" s="184"/>
      <c r="H53" s="184"/>
      <c r="I53" s="184"/>
      <c r="J53" s="184"/>
      <c r="K53" s="184"/>
      <c r="L53" s="184"/>
      <c r="M53" s="185"/>
      <c r="N53" s="207" t="str">
        <f t="shared" si="2"/>
        <v/>
      </c>
      <c r="O53" s="208" t="str">
        <f t="shared" si="3"/>
        <v/>
      </c>
      <c r="P53" s="209" t="str">
        <f t="shared" si="4"/>
        <v/>
      </c>
      <c r="Q53" s="183"/>
      <c r="R53" s="184"/>
      <c r="S53" s="184"/>
      <c r="T53" s="184"/>
      <c r="U53" s="184"/>
      <c r="V53" s="184"/>
      <c r="W53" s="184"/>
      <c r="X53" s="184"/>
      <c r="Y53" s="184"/>
      <c r="Z53" s="185"/>
      <c r="AA53" s="207" t="str">
        <f t="shared" si="0"/>
        <v/>
      </c>
      <c r="AB53" s="208" t="str">
        <f t="shared" si="5"/>
        <v/>
      </c>
      <c r="AC53" s="209" t="str">
        <f t="shared" si="6"/>
        <v/>
      </c>
      <c r="AD53" s="587"/>
      <c r="AE53" s="210" t="str">
        <f t="shared" si="8"/>
        <v/>
      </c>
      <c r="AF53" s="209" t="str">
        <f t="shared" si="7"/>
        <v/>
      </c>
      <c r="AG53" s="402" t="str">
        <f t="shared" si="9"/>
        <v/>
      </c>
      <c r="AH53" s="211" t="str">
        <f>IFERROR(_xlfn.XLOOKUP(AG53,HELPER!$C$7:$C$47,HELPER!$D$7:$D$47,,1),"")</f>
        <v/>
      </c>
    </row>
    <row r="54" spans="2:34">
      <c r="B54" s="387">
        <v>38</v>
      </c>
      <c r="C54" s="399" t="str">
        <f>IFERROR(IF(OR($B$8="INCORRECT SHEET. Do not use this sheet to input data.",'INPUT DATA'!O48=""),"",'INPUT DATA'!O48),"")</f>
        <v/>
      </c>
      <c r="D54" s="183"/>
      <c r="E54" s="184"/>
      <c r="F54" s="184"/>
      <c r="G54" s="184"/>
      <c r="H54" s="184"/>
      <c r="I54" s="184"/>
      <c r="J54" s="184"/>
      <c r="K54" s="184"/>
      <c r="L54" s="184"/>
      <c r="M54" s="185"/>
      <c r="N54" s="207" t="str">
        <f t="shared" si="2"/>
        <v/>
      </c>
      <c r="O54" s="208" t="str">
        <f t="shared" si="3"/>
        <v/>
      </c>
      <c r="P54" s="209" t="str">
        <f t="shared" si="4"/>
        <v/>
      </c>
      <c r="Q54" s="183"/>
      <c r="R54" s="184"/>
      <c r="S54" s="184"/>
      <c r="T54" s="184"/>
      <c r="U54" s="184"/>
      <c r="V54" s="184"/>
      <c r="W54" s="184"/>
      <c r="X54" s="184"/>
      <c r="Y54" s="184"/>
      <c r="Z54" s="185"/>
      <c r="AA54" s="207" t="str">
        <f t="shared" si="0"/>
        <v/>
      </c>
      <c r="AB54" s="208" t="str">
        <f t="shared" si="5"/>
        <v/>
      </c>
      <c r="AC54" s="209" t="str">
        <f t="shared" si="6"/>
        <v/>
      </c>
      <c r="AD54" s="587"/>
      <c r="AE54" s="210" t="str">
        <f t="shared" si="8"/>
        <v/>
      </c>
      <c r="AF54" s="209" t="str">
        <f t="shared" si="7"/>
        <v/>
      </c>
      <c r="AG54" s="402" t="str">
        <f t="shared" si="9"/>
        <v/>
      </c>
      <c r="AH54" s="211" t="str">
        <f>IFERROR(_xlfn.XLOOKUP(AG54,HELPER!$C$7:$C$47,HELPER!$D$7:$D$47,,1),"")</f>
        <v/>
      </c>
    </row>
    <row r="55" spans="2:34">
      <c r="B55" s="387">
        <v>39</v>
      </c>
      <c r="C55" s="399" t="str">
        <f>IFERROR(IF(OR($B$8="INCORRECT SHEET. Do not use this sheet to input data.",'INPUT DATA'!O49=""),"",'INPUT DATA'!O49),"")</f>
        <v/>
      </c>
      <c r="D55" s="183"/>
      <c r="E55" s="184"/>
      <c r="F55" s="184"/>
      <c r="G55" s="184"/>
      <c r="H55" s="184"/>
      <c r="I55" s="184"/>
      <c r="J55" s="184"/>
      <c r="K55" s="184"/>
      <c r="L55" s="184"/>
      <c r="M55" s="185"/>
      <c r="N55" s="207" t="str">
        <f t="shared" si="2"/>
        <v/>
      </c>
      <c r="O55" s="208" t="str">
        <f t="shared" si="3"/>
        <v/>
      </c>
      <c r="P55" s="209" t="str">
        <f t="shared" si="4"/>
        <v/>
      </c>
      <c r="Q55" s="183"/>
      <c r="R55" s="184"/>
      <c r="S55" s="184"/>
      <c r="T55" s="184"/>
      <c r="U55" s="184"/>
      <c r="V55" s="184"/>
      <c r="W55" s="184"/>
      <c r="X55" s="184"/>
      <c r="Y55" s="184"/>
      <c r="Z55" s="185"/>
      <c r="AA55" s="207" t="str">
        <f t="shared" si="0"/>
        <v/>
      </c>
      <c r="AB55" s="208" t="str">
        <f t="shared" si="5"/>
        <v/>
      </c>
      <c r="AC55" s="209" t="str">
        <f t="shared" si="6"/>
        <v/>
      </c>
      <c r="AD55" s="587"/>
      <c r="AE55" s="210" t="str">
        <f t="shared" si="8"/>
        <v/>
      </c>
      <c r="AF55" s="209" t="str">
        <f t="shared" si="7"/>
        <v/>
      </c>
      <c r="AG55" s="402" t="str">
        <f t="shared" si="9"/>
        <v/>
      </c>
      <c r="AH55" s="211" t="str">
        <f>IFERROR(_xlfn.XLOOKUP(AG55,HELPER!$C$7:$C$47,HELPER!$D$7:$D$47,,1),"")</f>
        <v/>
      </c>
    </row>
    <row r="56" spans="2:34">
      <c r="B56" s="387">
        <v>40</v>
      </c>
      <c r="C56" s="399" t="str">
        <f>IFERROR(IF(OR($B$8="INCORRECT SHEET. Do not use this sheet to input data.",'INPUT DATA'!O50=""),"",'INPUT DATA'!O50),"")</f>
        <v/>
      </c>
      <c r="D56" s="183"/>
      <c r="E56" s="184"/>
      <c r="F56" s="184"/>
      <c r="G56" s="184"/>
      <c r="H56" s="184"/>
      <c r="I56" s="184"/>
      <c r="J56" s="184"/>
      <c r="K56" s="184"/>
      <c r="L56" s="184"/>
      <c r="M56" s="185"/>
      <c r="N56" s="207" t="str">
        <f t="shared" si="2"/>
        <v/>
      </c>
      <c r="O56" s="208" t="str">
        <f t="shared" si="3"/>
        <v/>
      </c>
      <c r="P56" s="209" t="str">
        <f t="shared" si="4"/>
        <v/>
      </c>
      <c r="Q56" s="183"/>
      <c r="R56" s="184"/>
      <c r="S56" s="184"/>
      <c r="T56" s="184"/>
      <c r="U56" s="184"/>
      <c r="V56" s="184"/>
      <c r="W56" s="184"/>
      <c r="X56" s="184"/>
      <c r="Y56" s="184"/>
      <c r="Z56" s="185"/>
      <c r="AA56" s="207" t="str">
        <f t="shared" si="0"/>
        <v/>
      </c>
      <c r="AB56" s="208" t="str">
        <f t="shared" si="5"/>
        <v/>
      </c>
      <c r="AC56" s="209" t="str">
        <f t="shared" si="6"/>
        <v/>
      </c>
      <c r="AD56" s="587"/>
      <c r="AE56" s="210" t="str">
        <f t="shared" si="8"/>
        <v/>
      </c>
      <c r="AF56" s="209" t="str">
        <f t="shared" si="7"/>
        <v/>
      </c>
      <c r="AG56" s="402" t="str">
        <f t="shared" si="9"/>
        <v/>
      </c>
      <c r="AH56" s="211" t="str">
        <f>IFERROR(_xlfn.XLOOKUP(AG56,HELPER!$C$7:$C$47,HELPER!$D$7:$D$47,,1),"")</f>
        <v/>
      </c>
    </row>
    <row r="57" spans="2:34">
      <c r="B57" s="387">
        <v>41</v>
      </c>
      <c r="C57" s="399" t="str">
        <f>IFERROR(IF(OR($B$8="INCORRECT SHEET. Do not use this sheet to input data.",'INPUT DATA'!O51=""),"",'INPUT DATA'!O51),"")</f>
        <v/>
      </c>
      <c r="D57" s="183"/>
      <c r="E57" s="184"/>
      <c r="F57" s="184"/>
      <c r="G57" s="184"/>
      <c r="H57" s="184"/>
      <c r="I57" s="184"/>
      <c r="J57" s="184"/>
      <c r="K57" s="184"/>
      <c r="L57" s="184"/>
      <c r="M57" s="185"/>
      <c r="N57" s="207" t="str">
        <f t="shared" si="2"/>
        <v/>
      </c>
      <c r="O57" s="208" t="str">
        <f t="shared" si="3"/>
        <v/>
      </c>
      <c r="P57" s="209" t="str">
        <f t="shared" si="4"/>
        <v/>
      </c>
      <c r="Q57" s="183"/>
      <c r="R57" s="184"/>
      <c r="S57" s="184"/>
      <c r="T57" s="184"/>
      <c r="U57" s="184"/>
      <c r="V57" s="184"/>
      <c r="W57" s="184"/>
      <c r="X57" s="184"/>
      <c r="Y57" s="184"/>
      <c r="Z57" s="185"/>
      <c r="AA57" s="207" t="str">
        <f t="shared" si="0"/>
        <v/>
      </c>
      <c r="AB57" s="208" t="str">
        <f t="shared" si="5"/>
        <v/>
      </c>
      <c r="AC57" s="209" t="str">
        <f t="shared" si="6"/>
        <v/>
      </c>
      <c r="AD57" s="587"/>
      <c r="AE57" s="210" t="str">
        <f t="shared" si="8"/>
        <v/>
      </c>
      <c r="AF57" s="209" t="str">
        <f>IFERROR(IF(AE57="","",ROUND(AE57*$AF$14,2)),"")</f>
        <v/>
      </c>
      <c r="AG57" s="402" t="str">
        <f t="shared" si="9"/>
        <v/>
      </c>
      <c r="AH57" s="211" t="str">
        <f>IFERROR(_xlfn.XLOOKUP(AG57,HELPER!$C$7:$C$47,HELPER!$D$7:$D$47,,1),"")</f>
        <v/>
      </c>
    </row>
    <row r="58" spans="2:34">
      <c r="B58" s="387">
        <v>42</v>
      </c>
      <c r="C58" s="399" t="str">
        <f>IFERROR(IF(OR($B$8="INCORRECT SHEET. Do not use this sheet to input data.",'INPUT DATA'!O52=""),"",'INPUT DATA'!O52),"")</f>
        <v/>
      </c>
      <c r="D58" s="183"/>
      <c r="E58" s="184"/>
      <c r="F58" s="184"/>
      <c r="G58" s="184"/>
      <c r="H58" s="184"/>
      <c r="I58" s="184"/>
      <c r="J58" s="184"/>
      <c r="K58" s="184"/>
      <c r="L58" s="184"/>
      <c r="M58" s="185"/>
      <c r="N58" s="207" t="str">
        <f t="shared" si="2"/>
        <v/>
      </c>
      <c r="O58" s="208" t="str">
        <f t="shared" si="3"/>
        <v/>
      </c>
      <c r="P58" s="209" t="str">
        <f t="shared" si="4"/>
        <v/>
      </c>
      <c r="Q58" s="183"/>
      <c r="R58" s="184"/>
      <c r="S58" s="184"/>
      <c r="T58" s="184"/>
      <c r="U58" s="184"/>
      <c r="V58" s="184"/>
      <c r="W58" s="184"/>
      <c r="X58" s="184"/>
      <c r="Y58" s="184"/>
      <c r="Z58" s="185"/>
      <c r="AA58" s="207" t="str">
        <f t="shared" si="0"/>
        <v/>
      </c>
      <c r="AB58" s="208" t="str">
        <f t="shared" si="5"/>
        <v/>
      </c>
      <c r="AC58" s="209" t="str">
        <f t="shared" si="6"/>
        <v/>
      </c>
      <c r="AD58" s="587"/>
      <c r="AE58" s="210" t="str">
        <f t="shared" si="8"/>
        <v/>
      </c>
      <c r="AF58" s="209" t="str">
        <f t="shared" si="7"/>
        <v/>
      </c>
      <c r="AG58" s="402" t="str">
        <f t="shared" si="9"/>
        <v/>
      </c>
      <c r="AH58" s="211" t="str">
        <f>IFERROR(_xlfn.XLOOKUP(AG58,HELPER!$C$7:$C$47,HELPER!$D$7:$D$47,,1),"")</f>
        <v/>
      </c>
    </row>
    <row r="59" spans="2:34">
      <c r="B59" s="387">
        <v>43</v>
      </c>
      <c r="C59" s="399" t="str">
        <f>IFERROR(IF(OR($B$8="INCORRECT SHEET. Do not use this sheet to input data.",'INPUT DATA'!O53=""),"",'INPUT DATA'!O53),"")</f>
        <v/>
      </c>
      <c r="D59" s="183"/>
      <c r="E59" s="184"/>
      <c r="F59" s="184"/>
      <c r="G59" s="184"/>
      <c r="H59" s="184"/>
      <c r="I59" s="184"/>
      <c r="J59" s="184"/>
      <c r="K59" s="184"/>
      <c r="L59" s="184"/>
      <c r="M59" s="185"/>
      <c r="N59" s="207" t="str">
        <f t="shared" si="2"/>
        <v/>
      </c>
      <c r="O59" s="208" t="str">
        <f t="shared" si="3"/>
        <v/>
      </c>
      <c r="P59" s="209" t="str">
        <f t="shared" si="4"/>
        <v/>
      </c>
      <c r="Q59" s="183"/>
      <c r="R59" s="184"/>
      <c r="S59" s="184"/>
      <c r="T59" s="184"/>
      <c r="U59" s="184"/>
      <c r="V59" s="184"/>
      <c r="W59" s="184"/>
      <c r="X59" s="184"/>
      <c r="Y59" s="184"/>
      <c r="Z59" s="185"/>
      <c r="AA59" s="207" t="str">
        <f t="shared" si="0"/>
        <v/>
      </c>
      <c r="AB59" s="208" t="str">
        <f t="shared" si="5"/>
        <v/>
      </c>
      <c r="AC59" s="209" t="str">
        <f t="shared" si="6"/>
        <v/>
      </c>
      <c r="AD59" s="587"/>
      <c r="AE59" s="210" t="str">
        <f t="shared" si="8"/>
        <v/>
      </c>
      <c r="AF59" s="209" t="str">
        <f t="shared" si="7"/>
        <v/>
      </c>
      <c r="AG59" s="402" t="str">
        <f t="shared" si="9"/>
        <v/>
      </c>
      <c r="AH59" s="211" t="str">
        <f>IFERROR(_xlfn.XLOOKUP(AG59,HELPER!$C$7:$C$47,HELPER!$D$7:$D$47,,1),"")</f>
        <v/>
      </c>
    </row>
    <row r="60" spans="2:34">
      <c r="B60" s="387">
        <v>44</v>
      </c>
      <c r="C60" s="399" t="str">
        <f>IFERROR(IF(OR($B$8="INCORRECT SHEET. Do not use this sheet to input data.",'INPUT DATA'!O54=""),"",'INPUT DATA'!O54),"")</f>
        <v/>
      </c>
      <c r="D60" s="183"/>
      <c r="E60" s="184"/>
      <c r="F60" s="184"/>
      <c r="G60" s="184"/>
      <c r="H60" s="184"/>
      <c r="I60" s="184"/>
      <c r="J60" s="184"/>
      <c r="K60" s="184"/>
      <c r="L60" s="184"/>
      <c r="M60" s="185"/>
      <c r="N60" s="207" t="str">
        <f t="shared" si="2"/>
        <v/>
      </c>
      <c r="O60" s="208" t="str">
        <f t="shared" si="3"/>
        <v/>
      </c>
      <c r="P60" s="209" t="str">
        <f t="shared" si="4"/>
        <v/>
      </c>
      <c r="Q60" s="183"/>
      <c r="R60" s="184"/>
      <c r="S60" s="184"/>
      <c r="T60" s="184"/>
      <c r="U60" s="184"/>
      <c r="V60" s="184"/>
      <c r="W60" s="184"/>
      <c r="X60" s="184"/>
      <c r="Y60" s="184"/>
      <c r="Z60" s="185"/>
      <c r="AA60" s="207" t="str">
        <f t="shared" si="0"/>
        <v/>
      </c>
      <c r="AB60" s="208" t="str">
        <f t="shared" si="5"/>
        <v/>
      </c>
      <c r="AC60" s="209" t="str">
        <f t="shared" si="6"/>
        <v/>
      </c>
      <c r="AD60" s="587"/>
      <c r="AE60" s="210" t="str">
        <f t="shared" si="8"/>
        <v/>
      </c>
      <c r="AF60" s="209" t="str">
        <f t="shared" si="7"/>
        <v/>
      </c>
      <c r="AG60" s="402" t="str">
        <f t="shared" si="9"/>
        <v/>
      </c>
      <c r="AH60" s="211" t="str">
        <f>IFERROR(_xlfn.XLOOKUP(AG60,HELPER!$C$7:$C$47,HELPER!$D$7:$D$47,,1),"")</f>
        <v/>
      </c>
    </row>
    <row r="61" spans="2:34">
      <c r="B61" s="387">
        <v>45</v>
      </c>
      <c r="C61" s="399" t="str">
        <f>IFERROR(IF(OR($B$8="INCORRECT SHEET. Do not use this sheet to input data.",'INPUT DATA'!O55=""),"",'INPUT DATA'!O55),"")</f>
        <v/>
      </c>
      <c r="D61" s="183"/>
      <c r="E61" s="184"/>
      <c r="F61" s="184"/>
      <c r="G61" s="184"/>
      <c r="H61" s="184"/>
      <c r="I61" s="184"/>
      <c r="J61" s="184"/>
      <c r="K61" s="184"/>
      <c r="L61" s="184"/>
      <c r="M61" s="185"/>
      <c r="N61" s="207" t="str">
        <f t="shared" si="2"/>
        <v/>
      </c>
      <c r="O61" s="208" t="str">
        <f t="shared" si="3"/>
        <v/>
      </c>
      <c r="P61" s="209" t="str">
        <f t="shared" si="4"/>
        <v/>
      </c>
      <c r="Q61" s="183"/>
      <c r="R61" s="184"/>
      <c r="S61" s="184"/>
      <c r="T61" s="184"/>
      <c r="U61" s="184"/>
      <c r="V61" s="184"/>
      <c r="W61" s="184"/>
      <c r="X61" s="184"/>
      <c r="Y61" s="184"/>
      <c r="Z61" s="185"/>
      <c r="AA61" s="207" t="str">
        <f t="shared" si="0"/>
        <v/>
      </c>
      <c r="AB61" s="208" t="str">
        <f t="shared" si="5"/>
        <v/>
      </c>
      <c r="AC61" s="209" t="str">
        <f t="shared" si="6"/>
        <v/>
      </c>
      <c r="AD61" s="587"/>
      <c r="AE61" s="210" t="str">
        <f t="shared" si="8"/>
        <v/>
      </c>
      <c r="AF61" s="209" t="str">
        <f t="shared" si="7"/>
        <v/>
      </c>
      <c r="AG61" s="402" t="str">
        <f t="shared" si="9"/>
        <v/>
      </c>
      <c r="AH61" s="211" t="str">
        <f>IFERROR(_xlfn.XLOOKUP(AG61,HELPER!$C$7:$C$47,HELPER!$D$7:$D$47,,1),"")</f>
        <v/>
      </c>
    </row>
    <row r="62" spans="2:34">
      <c r="B62" s="387">
        <v>46</v>
      </c>
      <c r="C62" s="399" t="str">
        <f>IFERROR(IF(OR($B$8="INCORRECT SHEET. Do not use this sheet to input data.",'INPUT DATA'!O56=""),"",'INPUT DATA'!O56),"")</f>
        <v/>
      </c>
      <c r="D62" s="183"/>
      <c r="E62" s="184"/>
      <c r="F62" s="184"/>
      <c r="G62" s="184"/>
      <c r="H62" s="184"/>
      <c r="I62" s="184"/>
      <c r="J62" s="184"/>
      <c r="K62" s="184"/>
      <c r="L62" s="184"/>
      <c r="M62" s="185"/>
      <c r="N62" s="207" t="str">
        <f t="shared" si="2"/>
        <v/>
      </c>
      <c r="O62" s="208" t="str">
        <f t="shared" si="3"/>
        <v/>
      </c>
      <c r="P62" s="209" t="str">
        <f t="shared" si="4"/>
        <v/>
      </c>
      <c r="Q62" s="183"/>
      <c r="R62" s="184"/>
      <c r="S62" s="184"/>
      <c r="T62" s="184"/>
      <c r="U62" s="184"/>
      <c r="V62" s="184"/>
      <c r="W62" s="184"/>
      <c r="X62" s="184"/>
      <c r="Y62" s="184"/>
      <c r="Z62" s="185"/>
      <c r="AA62" s="207" t="str">
        <f t="shared" si="0"/>
        <v/>
      </c>
      <c r="AB62" s="208" t="str">
        <f t="shared" si="5"/>
        <v/>
      </c>
      <c r="AC62" s="209" t="str">
        <f t="shared" si="6"/>
        <v/>
      </c>
      <c r="AD62" s="587"/>
      <c r="AE62" s="210" t="str">
        <f t="shared" si="8"/>
        <v/>
      </c>
      <c r="AF62" s="209" t="str">
        <f t="shared" si="7"/>
        <v/>
      </c>
      <c r="AG62" s="402" t="str">
        <f t="shared" si="9"/>
        <v/>
      </c>
      <c r="AH62" s="211" t="str">
        <f>IFERROR(_xlfn.XLOOKUP(AG62,HELPER!$C$7:$C$47,HELPER!$D$7:$D$47,,1),"")</f>
        <v/>
      </c>
    </row>
    <row r="63" spans="2:34">
      <c r="B63" s="387">
        <v>47</v>
      </c>
      <c r="C63" s="399" t="str">
        <f>IFERROR(IF(OR($B$8="INCORRECT SHEET. Do not use this sheet to input data.",'INPUT DATA'!O57=""),"",'INPUT DATA'!O57),"")</f>
        <v/>
      </c>
      <c r="D63" s="183"/>
      <c r="E63" s="184"/>
      <c r="F63" s="184"/>
      <c r="G63" s="184"/>
      <c r="H63" s="184"/>
      <c r="I63" s="184"/>
      <c r="J63" s="184"/>
      <c r="K63" s="184"/>
      <c r="L63" s="184"/>
      <c r="M63" s="185"/>
      <c r="N63" s="207" t="str">
        <f t="shared" si="2"/>
        <v/>
      </c>
      <c r="O63" s="208" t="str">
        <f t="shared" si="3"/>
        <v/>
      </c>
      <c r="P63" s="209" t="str">
        <f t="shared" si="4"/>
        <v/>
      </c>
      <c r="Q63" s="183"/>
      <c r="R63" s="184"/>
      <c r="S63" s="184"/>
      <c r="T63" s="184"/>
      <c r="U63" s="184"/>
      <c r="V63" s="184"/>
      <c r="W63" s="184"/>
      <c r="X63" s="184"/>
      <c r="Y63" s="184"/>
      <c r="Z63" s="185"/>
      <c r="AA63" s="207" t="str">
        <f t="shared" si="0"/>
        <v/>
      </c>
      <c r="AB63" s="208" t="str">
        <f t="shared" si="5"/>
        <v/>
      </c>
      <c r="AC63" s="209" t="str">
        <f t="shared" si="6"/>
        <v/>
      </c>
      <c r="AD63" s="587"/>
      <c r="AE63" s="210" t="str">
        <f t="shared" si="8"/>
        <v/>
      </c>
      <c r="AF63" s="209" t="str">
        <f t="shared" si="7"/>
        <v/>
      </c>
      <c r="AG63" s="402" t="str">
        <f t="shared" si="9"/>
        <v/>
      </c>
      <c r="AH63" s="211" t="str">
        <f>IFERROR(_xlfn.XLOOKUP(AG63,HELPER!$C$7:$C$47,HELPER!$D$7:$D$47,,1),"")</f>
        <v/>
      </c>
    </row>
    <row r="64" spans="2:34">
      <c r="B64" s="387">
        <v>48</v>
      </c>
      <c r="C64" s="399" t="str">
        <f>IFERROR(IF(OR($B$8="INCORRECT SHEET. Do not use this sheet to input data.",'INPUT DATA'!O58=""),"",'INPUT DATA'!O58),"")</f>
        <v/>
      </c>
      <c r="D64" s="183"/>
      <c r="E64" s="184"/>
      <c r="F64" s="184"/>
      <c r="G64" s="184"/>
      <c r="H64" s="184"/>
      <c r="I64" s="184"/>
      <c r="J64" s="184"/>
      <c r="K64" s="184"/>
      <c r="L64" s="184"/>
      <c r="M64" s="185"/>
      <c r="N64" s="207" t="str">
        <f t="shared" si="2"/>
        <v/>
      </c>
      <c r="O64" s="208" t="str">
        <f t="shared" si="3"/>
        <v/>
      </c>
      <c r="P64" s="209" t="str">
        <f t="shared" si="4"/>
        <v/>
      </c>
      <c r="Q64" s="183"/>
      <c r="R64" s="184"/>
      <c r="S64" s="184"/>
      <c r="T64" s="184"/>
      <c r="U64" s="184"/>
      <c r="V64" s="184"/>
      <c r="W64" s="184"/>
      <c r="X64" s="184"/>
      <c r="Y64" s="184"/>
      <c r="Z64" s="185"/>
      <c r="AA64" s="207" t="str">
        <f t="shared" si="0"/>
        <v/>
      </c>
      <c r="AB64" s="208" t="str">
        <f t="shared" si="5"/>
        <v/>
      </c>
      <c r="AC64" s="209" t="str">
        <f t="shared" si="6"/>
        <v/>
      </c>
      <c r="AD64" s="587"/>
      <c r="AE64" s="210" t="str">
        <f t="shared" si="8"/>
        <v/>
      </c>
      <c r="AF64" s="209" t="str">
        <f t="shared" si="7"/>
        <v/>
      </c>
      <c r="AG64" s="402" t="str">
        <f t="shared" si="9"/>
        <v/>
      </c>
      <c r="AH64" s="211" t="str">
        <f>IFERROR(_xlfn.XLOOKUP(AG64,HELPER!$C$7:$C$47,HELPER!$D$7:$D$47,,1),"")</f>
        <v/>
      </c>
    </row>
    <row r="65" spans="2:34">
      <c r="B65" s="387">
        <v>49</v>
      </c>
      <c r="C65" s="399" t="str">
        <f>IFERROR(IF(OR($B$8="INCORRECT SHEET. Do not use this sheet to input data.",'INPUT DATA'!O59=""),"",'INPUT DATA'!O59),"")</f>
        <v/>
      </c>
      <c r="D65" s="183"/>
      <c r="E65" s="184"/>
      <c r="F65" s="184"/>
      <c r="G65" s="184"/>
      <c r="H65" s="184"/>
      <c r="I65" s="184"/>
      <c r="J65" s="184"/>
      <c r="K65" s="184"/>
      <c r="L65" s="184"/>
      <c r="M65" s="185"/>
      <c r="N65" s="207" t="str">
        <f t="shared" si="2"/>
        <v/>
      </c>
      <c r="O65" s="208" t="str">
        <f t="shared" si="3"/>
        <v/>
      </c>
      <c r="P65" s="209" t="str">
        <f t="shared" si="4"/>
        <v/>
      </c>
      <c r="Q65" s="183"/>
      <c r="R65" s="184"/>
      <c r="S65" s="184"/>
      <c r="T65" s="184"/>
      <c r="U65" s="184"/>
      <c r="V65" s="184"/>
      <c r="W65" s="184"/>
      <c r="X65" s="184"/>
      <c r="Y65" s="184"/>
      <c r="Z65" s="185"/>
      <c r="AA65" s="207" t="str">
        <f t="shared" si="0"/>
        <v/>
      </c>
      <c r="AB65" s="208" t="str">
        <f t="shared" si="5"/>
        <v/>
      </c>
      <c r="AC65" s="209" t="str">
        <f t="shared" si="6"/>
        <v/>
      </c>
      <c r="AD65" s="587"/>
      <c r="AE65" s="210" t="str">
        <f t="shared" si="8"/>
        <v/>
      </c>
      <c r="AF65" s="209" t="str">
        <f t="shared" si="7"/>
        <v/>
      </c>
      <c r="AG65" s="402" t="str">
        <f t="shared" si="9"/>
        <v/>
      </c>
      <c r="AH65" s="211" t="str">
        <f>IFERROR(_xlfn.XLOOKUP(AG65,HELPER!$C$7:$C$47,HELPER!$D$7:$D$47,,1),"")</f>
        <v/>
      </c>
    </row>
    <row r="66" spans="2:34" ht="17.25" thickBot="1">
      <c r="B66" s="518">
        <v>50</v>
      </c>
      <c r="C66" s="400" t="str">
        <f>IFERROR(IF(OR($B$8="INCORRECT SHEET. Do not use this sheet to input data.",'INPUT DATA'!O60=""),"",'INPUT DATA'!O60),"")</f>
        <v/>
      </c>
      <c r="D66" s="186"/>
      <c r="E66" s="187"/>
      <c r="F66" s="187"/>
      <c r="G66" s="187"/>
      <c r="H66" s="187"/>
      <c r="I66" s="187"/>
      <c r="J66" s="187"/>
      <c r="K66" s="187"/>
      <c r="L66" s="187"/>
      <c r="M66" s="188"/>
      <c r="N66" s="217" t="str">
        <f t="shared" si="2"/>
        <v/>
      </c>
      <c r="O66" s="218" t="str">
        <f t="shared" si="3"/>
        <v/>
      </c>
      <c r="P66" s="219" t="str">
        <f t="shared" si="4"/>
        <v/>
      </c>
      <c r="Q66" s="186"/>
      <c r="R66" s="187"/>
      <c r="S66" s="187"/>
      <c r="T66" s="187"/>
      <c r="U66" s="187"/>
      <c r="V66" s="187"/>
      <c r="W66" s="187"/>
      <c r="X66" s="187"/>
      <c r="Y66" s="187"/>
      <c r="Z66" s="188"/>
      <c r="AA66" s="217" t="str">
        <f t="shared" si="0"/>
        <v/>
      </c>
      <c r="AB66" s="218" t="str">
        <f t="shared" si="5"/>
        <v/>
      </c>
      <c r="AC66" s="219" t="str">
        <f t="shared" si="6"/>
        <v/>
      </c>
      <c r="AD66" s="588"/>
      <c r="AE66" s="210" t="str">
        <f t="shared" si="8"/>
        <v/>
      </c>
      <c r="AF66" s="219" t="str">
        <f t="shared" si="7"/>
        <v/>
      </c>
      <c r="AG66" s="403" t="str">
        <f t="shared" si="9"/>
        <v/>
      </c>
      <c r="AH66" s="14" t="str">
        <f>IFERROR(_xlfn.XLOOKUP(AG66,HELPER!$C$7:$C$47,HELPER!$D$7:$D$47,,1),"")</f>
        <v/>
      </c>
    </row>
    <row r="67" spans="2:34" ht="17.25" thickBot="1">
      <c r="B67" s="359" t="s">
        <v>47</v>
      </c>
      <c r="C67" s="433"/>
      <c r="D67" s="212"/>
      <c r="E67" s="212"/>
      <c r="F67" s="212"/>
      <c r="G67" s="212"/>
      <c r="H67" s="212"/>
      <c r="I67" s="212"/>
      <c r="J67" s="212"/>
      <c r="K67" s="212"/>
      <c r="L67" s="212"/>
      <c r="M67" s="212"/>
      <c r="N67" s="213"/>
      <c r="O67" s="214"/>
      <c r="P67" s="215"/>
      <c r="Q67" s="212"/>
      <c r="R67" s="212"/>
      <c r="S67" s="212"/>
      <c r="T67" s="212"/>
      <c r="U67" s="212"/>
      <c r="V67" s="212"/>
      <c r="W67" s="212"/>
      <c r="X67" s="212"/>
      <c r="Y67" s="212"/>
      <c r="Z67" s="212"/>
      <c r="AA67" s="213"/>
      <c r="AB67" s="214"/>
      <c r="AC67" s="215"/>
      <c r="AD67" s="212"/>
      <c r="AE67" s="592"/>
      <c r="AF67" s="593"/>
      <c r="AG67" s="408"/>
      <c r="AH67" s="216"/>
    </row>
    <row r="68" spans="2:34">
      <c r="B68" s="516">
        <v>1</v>
      </c>
      <c r="C68" s="390" t="str">
        <f>IFERROR(IF(OR($B$8="INCORRECT SHEET. Do not use this sheet to input data.",'INPUT DATA'!S11=""),"",'INPUT DATA'!S11),"")</f>
        <v/>
      </c>
      <c r="D68" s="391"/>
      <c r="E68" s="392"/>
      <c r="F68" s="392"/>
      <c r="G68" s="392"/>
      <c r="H68" s="392"/>
      <c r="I68" s="392"/>
      <c r="J68" s="392"/>
      <c r="K68" s="392"/>
      <c r="L68" s="392"/>
      <c r="M68" s="393"/>
      <c r="N68" s="394" t="str">
        <f>IF(COUNT(D68:M68)=0,"",SUM(D68:M68))</f>
        <v/>
      </c>
      <c r="O68" s="395" t="str">
        <f>IFERROR(IF(N68="","",ROUND(N68/N$14*O$14,2)),"")</f>
        <v/>
      </c>
      <c r="P68" s="396" t="str">
        <f>IFERROR(IF(O68="","",ROUND(O68*P$14,2)),"")</f>
        <v/>
      </c>
      <c r="Q68" s="391"/>
      <c r="R68" s="392"/>
      <c r="S68" s="392"/>
      <c r="T68" s="392"/>
      <c r="U68" s="392"/>
      <c r="V68" s="392"/>
      <c r="W68" s="392"/>
      <c r="X68" s="392"/>
      <c r="Y68" s="392"/>
      <c r="Z68" s="393"/>
      <c r="AA68" s="394" t="str">
        <f>IF(COUNT(Q68:Z68)=0,"",SUM(Q68:Z68))</f>
        <v/>
      </c>
      <c r="AB68" s="395" t="str">
        <f>IFERROR(IF(AA68="","",ROUND(AA68/AA$14*AB$14,2)),"")</f>
        <v/>
      </c>
      <c r="AC68" s="396" t="str">
        <f>IFERROR(IF(AB68="","",ROUND(AB68*AC$14,2)),"")</f>
        <v/>
      </c>
      <c r="AD68" s="586"/>
      <c r="AE68" s="397" t="str">
        <f>IFERROR(IF(AD68="","",ROUND(AD68/$AD$14,2)*100),"")</f>
        <v/>
      </c>
      <c r="AF68" s="396" t="str">
        <f>IFERROR(IF(AE68="","",ROUND(AE68*$AF$14,2)),"")</f>
        <v/>
      </c>
      <c r="AG68" s="401" t="str">
        <f>IF(AND(C68&lt;&gt;"",P68&lt;&gt;"",AC68&lt;&gt;"",$AD$12=0),SUM(P68,AC68),IF(AND(C68&lt;&gt;"",P68&lt;&gt;"",AC68&lt;&gt;"",AF68&lt;&gt;"",$D$12&gt;0,$Q$12&gt;0,$AD$12&gt;0),SUM(P68,AC68,AF68),""))</f>
        <v/>
      </c>
      <c r="AH68" s="398" t="str">
        <f>IFERROR(_xlfn.XLOOKUP(AG68,HELPER!$C$7:$C$47,HELPER!$D$7:$D$47,,1),"")</f>
        <v/>
      </c>
    </row>
    <row r="69" spans="2:34">
      <c r="B69" s="388">
        <v>2</v>
      </c>
      <c r="C69" s="432" t="str">
        <f>IFERROR(IF(OR($B$8="INCORRECT SHEET. Do not use this sheet to input data.",'INPUT DATA'!S12=""),"",'INPUT DATA'!S12),"")</f>
        <v/>
      </c>
      <c r="D69" s="183"/>
      <c r="E69" s="184"/>
      <c r="F69" s="184"/>
      <c r="G69" s="184"/>
      <c r="H69" s="184"/>
      <c r="I69" s="184"/>
      <c r="J69" s="184"/>
      <c r="K69" s="184"/>
      <c r="L69" s="184"/>
      <c r="M69" s="185"/>
      <c r="N69" s="207" t="str">
        <f t="shared" ref="N69:N117" si="10">IF(COUNT(D69:M69)=0,"",SUM(D69:M69))</f>
        <v/>
      </c>
      <c r="O69" s="208" t="str">
        <f t="shared" ref="O69:O117" si="11">IFERROR(IF(N69="","",ROUND(N69/N$14*O$14,2)),"")</f>
        <v/>
      </c>
      <c r="P69" s="209" t="str">
        <f t="shared" ref="P69:P117" si="12">IFERROR(IF(O69="","",ROUND(O69*P$14,2)),"")</f>
        <v/>
      </c>
      <c r="Q69" s="183"/>
      <c r="R69" s="184"/>
      <c r="S69" s="184"/>
      <c r="T69" s="184"/>
      <c r="U69" s="184"/>
      <c r="V69" s="184"/>
      <c r="W69" s="184"/>
      <c r="X69" s="184"/>
      <c r="Y69" s="184"/>
      <c r="Z69" s="185"/>
      <c r="AA69" s="207" t="str">
        <f t="shared" ref="AA69:AA117" si="13">IF(COUNT(Q69:Z69)=0,"",SUM(Q69:Z69))</f>
        <v/>
      </c>
      <c r="AB69" s="208" t="str">
        <f t="shared" ref="AB69:AB117" si="14">IFERROR(IF(AA69="","",ROUND(AA69/AA$14*AB$14,2)),"")</f>
        <v/>
      </c>
      <c r="AC69" s="209" t="str">
        <f t="shared" ref="AC69:AC117" si="15">IFERROR(IF(AB69="","",ROUND(AB69*AC$14,2)),"")</f>
        <v/>
      </c>
      <c r="AD69" s="587"/>
      <c r="AE69" s="210" t="str">
        <f t="shared" ref="AE69:AE116" si="16">IFERROR(IF(AD69="","",ROUND(AD69/$AD$14,2)*100),"")</f>
        <v/>
      </c>
      <c r="AF69" s="209" t="str">
        <f t="shared" ref="AF69:AF107" si="17">IFERROR(IF(AE69="","",ROUND(AE69*$AF$14,2)),"")</f>
        <v/>
      </c>
      <c r="AG69" s="402" t="str">
        <f t="shared" ref="AG69:AG117" si="18">IF(AND(C69&lt;&gt;"",P69&lt;&gt;"",AC69&lt;&gt;"",$AD$12=0),SUM(P69,AC69),IF(AND(C69&lt;&gt;"",P69&lt;&gt;"",AC69&lt;&gt;"",AF69&lt;&gt;"",$D$12&gt;0,$Q$12&gt;0,$AD$12&gt;0),SUM(P69,AC69,AF69),""))</f>
        <v/>
      </c>
      <c r="AH69" s="211" t="str">
        <f>IFERROR(_xlfn.XLOOKUP(AG69,HELPER!$C$7:$C$47,HELPER!$D$7:$D$47,,1),"")</f>
        <v/>
      </c>
    </row>
    <row r="70" spans="2:34">
      <c r="B70" s="388">
        <v>3</v>
      </c>
      <c r="C70" s="432" t="str">
        <f>IFERROR(IF(OR($B$8="INCORRECT SHEET. Do not use this sheet to input data.",'INPUT DATA'!S13=""),"",'INPUT DATA'!S13),"")</f>
        <v/>
      </c>
      <c r="D70" s="183"/>
      <c r="E70" s="184"/>
      <c r="F70" s="184"/>
      <c r="G70" s="184"/>
      <c r="H70" s="184"/>
      <c r="I70" s="184"/>
      <c r="J70" s="184"/>
      <c r="K70" s="184"/>
      <c r="L70" s="184"/>
      <c r="M70" s="185"/>
      <c r="N70" s="207" t="str">
        <f t="shared" si="10"/>
        <v/>
      </c>
      <c r="O70" s="208" t="str">
        <f t="shared" si="11"/>
        <v/>
      </c>
      <c r="P70" s="209" t="str">
        <f t="shared" si="12"/>
        <v/>
      </c>
      <c r="Q70" s="183"/>
      <c r="R70" s="184"/>
      <c r="S70" s="184"/>
      <c r="T70" s="184"/>
      <c r="U70" s="184"/>
      <c r="V70" s="184"/>
      <c r="W70" s="184"/>
      <c r="X70" s="184"/>
      <c r="Y70" s="184"/>
      <c r="Z70" s="185"/>
      <c r="AA70" s="207" t="str">
        <f t="shared" si="13"/>
        <v/>
      </c>
      <c r="AB70" s="208" t="str">
        <f t="shared" si="14"/>
        <v/>
      </c>
      <c r="AC70" s="209" t="str">
        <f t="shared" si="15"/>
        <v/>
      </c>
      <c r="AD70" s="587"/>
      <c r="AE70" s="210" t="str">
        <f t="shared" si="16"/>
        <v/>
      </c>
      <c r="AF70" s="209" t="str">
        <f t="shared" si="17"/>
        <v/>
      </c>
      <c r="AG70" s="402" t="str">
        <f t="shared" si="18"/>
        <v/>
      </c>
      <c r="AH70" s="211" t="str">
        <f>IFERROR(_xlfn.XLOOKUP(AG70,HELPER!$C$7:$C$47,HELPER!$D$7:$D$47,,1),"")</f>
        <v/>
      </c>
    </row>
    <row r="71" spans="2:34">
      <c r="B71" s="388">
        <v>4</v>
      </c>
      <c r="C71" s="432" t="str">
        <f>IFERROR(IF(OR($B$8="INCORRECT SHEET. Do not use this sheet to input data.",'INPUT DATA'!S14=""),"",'INPUT DATA'!S14),"")</f>
        <v/>
      </c>
      <c r="D71" s="183"/>
      <c r="E71" s="184"/>
      <c r="F71" s="184"/>
      <c r="G71" s="184"/>
      <c r="H71" s="184"/>
      <c r="I71" s="184"/>
      <c r="J71" s="184"/>
      <c r="K71" s="184"/>
      <c r="L71" s="184"/>
      <c r="M71" s="185"/>
      <c r="N71" s="207" t="str">
        <f t="shared" si="10"/>
        <v/>
      </c>
      <c r="O71" s="208" t="str">
        <f t="shared" si="11"/>
        <v/>
      </c>
      <c r="P71" s="209" t="str">
        <f t="shared" si="12"/>
        <v/>
      </c>
      <c r="Q71" s="183"/>
      <c r="R71" s="184"/>
      <c r="S71" s="184"/>
      <c r="T71" s="184"/>
      <c r="U71" s="184"/>
      <c r="V71" s="184"/>
      <c r="W71" s="184"/>
      <c r="X71" s="184"/>
      <c r="Y71" s="184"/>
      <c r="Z71" s="185"/>
      <c r="AA71" s="207" t="str">
        <f t="shared" si="13"/>
        <v/>
      </c>
      <c r="AB71" s="208" t="str">
        <f t="shared" si="14"/>
        <v/>
      </c>
      <c r="AC71" s="209" t="str">
        <f t="shared" si="15"/>
        <v/>
      </c>
      <c r="AD71" s="587"/>
      <c r="AE71" s="210" t="str">
        <f t="shared" si="16"/>
        <v/>
      </c>
      <c r="AF71" s="209" t="str">
        <f t="shared" si="17"/>
        <v/>
      </c>
      <c r="AG71" s="402" t="str">
        <f t="shared" si="18"/>
        <v/>
      </c>
      <c r="AH71" s="211" t="str">
        <f>IFERROR(_xlfn.XLOOKUP(AG71,HELPER!$C$7:$C$47,HELPER!$D$7:$D$47,,1),"")</f>
        <v/>
      </c>
    </row>
    <row r="72" spans="2:34">
      <c r="B72" s="388">
        <v>5</v>
      </c>
      <c r="C72" s="432" t="str">
        <f>IFERROR(IF(OR($B$8="INCORRECT SHEET. Do not use this sheet to input data.",'INPUT DATA'!S15=""),"",'INPUT DATA'!S15),"")</f>
        <v/>
      </c>
      <c r="D72" s="183"/>
      <c r="E72" s="184"/>
      <c r="F72" s="184"/>
      <c r="G72" s="184"/>
      <c r="H72" s="184"/>
      <c r="I72" s="184"/>
      <c r="J72" s="184"/>
      <c r="K72" s="184"/>
      <c r="L72" s="184"/>
      <c r="M72" s="185"/>
      <c r="N72" s="207" t="str">
        <f t="shared" si="10"/>
        <v/>
      </c>
      <c r="O72" s="208" t="str">
        <f t="shared" si="11"/>
        <v/>
      </c>
      <c r="P72" s="209" t="str">
        <f t="shared" si="12"/>
        <v/>
      </c>
      <c r="Q72" s="183"/>
      <c r="R72" s="184"/>
      <c r="S72" s="184"/>
      <c r="T72" s="184"/>
      <c r="U72" s="184"/>
      <c r="V72" s="184"/>
      <c r="W72" s="184"/>
      <c r="X72" s="184"/>
      <c r="Y72" s="184"/>
      <c r="Z72" s="185"/>
      <c r="AA72" s="207" t="str">
        <f t="shared" si="13"/>
        <v/>
      </c>
      <c r="AB72" s="208" t="str">
        <f t="shared" si="14"/>
        <v/>
      </c>
      <c r="AC72" s="209" t="str">
        <f t="shared" si="15"/>
        <v/>
      </c>
      <c r="AD72" s="587"/>
      <c r="AE72" s="210" t="str">
        <f t="shared" si="16"/>
        <v/>
      </c>
      <c r="AF72" s="209" t="str">
        <f t="shared" si="17"/>
        <v/>
      </c>
      <c r="AG72" s="402" t="str">
        <f t="shared" si="18"/>
        <v/>
      </c>
      <c r="AH72" s="211" t="str">
        <f>IFERROR(_xlfn.XLOOKUP(AG72,HELPER!$C$7:$C$47,HELPER!$D$7:$D$47,,1),"")</f>
        <v/>
      </c>
    </row>
    <row r="73" spans="2:34">
      <c r="B73" s="388">
        <v>6</v>
      </c>
      <c r="C73" s="432" t="str">
        <f>IFERROR(IF(OR($B$8="INCORRECT SHEET. Do not use this sheet to input data.",'INPUT DATA'!S16=""),"",'INPUT DATA'!S16),"")</f>
        <v/>
      </c>
      <c r="D73" s="183"/>
      <c r="E73" s="184"/>
      <c r="F73" s="184"/>
      <c r="G73" s="184"/>
      <c r="H73" s="184"/>
      <c r="I73" s="184"/>
      <c r="J73" s="184"/>
      <c r="K73" s="184"/>
      <c r="L73" s="184"/>
      <c r="M73" s="185"/>
      <c r="N73" s="207" t="str">
        <f t="shared" si="10"/>
        <v/>
      </c>
      <c r="O73" s="208" t="str">
        <f t="shared" si="11"/>
        <v/>
      </c>
      <c r="P73" s="209" t="str">
        <f t="shared" si="12"/>
        <v/>
      </c>
      <c r="Q73" s="183"/>
      <c r="R73" s="184"/>
      <c r="S73" s="184"/>
      <c r="T73" s="184"/>
      <c r="U73" s="184"/>
      <c r="V73" s="184"/>
      <c r="W73" s="184"/>
      <c r="X73" s="184"/>
      <c r="Y73" s="184"/>
      <c r="Z73" s="185"/>
      <c r="AA73" s="207" t="str">
        <f t="shared" si="13"/>
        <v/>
      </c>
      <c r="AB73" s="208" t="str">
        <f t="shared" si="14"/>
        <v/>
      </c>
      <c r="AC73" s="209" t="str">
        <f t="shared" si="15"/>
        <v/>
      </c>
      <c r="AD73" s="587"/>
      <c r="AE73" s="210" t="str">
        <f t="shared" si="16"/>
        <v/>
      </c>
      <c r="AF73" s="209" t="str">
        <f t="shared" si="17"/>
        <v/>
      </c>
      <c r="AG73" s="402" t="str">
        <f t="shared" si="18"/>
        <v/>
      </c>
      <c r="AH73" s="211" t="str">
        <f>IFERROR(_xlfn.XLOOKUP(AG73,HELPER!$C$7:$C$47,HELPER!$D$7:$D$47,,1),"")</f>
        <v/>
      </c>
    </row>
    <row r="74" spans="2:34">
      <c r="B74" s="388">
        <v>7</v>
      </c>
      <c r="C74" s="432" t="str">
        <f>IFERROR(IF(OR($B$8="INCORRECT SHEET. Do not use this sheet to input data.",'INPUT DATA'!S17=""),"",'INPUT DATA'!S17),"")</f>
        <v/>
      </c>
      <c r="D74" s="183"/>
      <c r="E74" s="184"/>
      <c r="F74" s="184"/>
      <c r="G74" s="184"/>
      <c r="H74" s="184"/>
      <c r="I74" s="184"/>
      <c r="J74" s="184"/>
      <c r="K74" s="184"/>
      <c r="L74" s="184"/>
      <c r="M74" s="185"/>
      <c r="N74" s="207" t="str">
        <f t="shared" si="10"/>
        <v/>
      </c>
      <c r="O74" s="208" t="str">
        <f t="shared" si="11"/>
        <v/>
      </c>
      <c r="P74" s="209" t="str">
        <f t="shared" si="12"/>
        <v/>
      </c>
      <c r="Q74" s="183"/>
      <c r="R74" s="184"/>
      <c r="S74" s="184"/>
      <c r="T74" s="184"/>
      <c r="U74" s="184"/>
      <c r="V74" s="184"/>
      <c r="W74" s="184"/>
      <c r="X74" s="184"/>
      <c r="Y74" s="184"/>
      <c r="Z74" s="185"/>
      <c r="AA74" s="207" t="str">
        <f t="shared" si="13"/>
        <v/>
      </c>
      <c r="AB74" s="208" t="str">
        <f t="shared" si="14"/>
        <v/>
      </c>
      <c r="AC74" s="209" t="str">
        <f t="shared" si="15"/>
        <v/>
      </c>
      <c r="AD74" s="587"/>
      <c r="AE74" s="210" t="str">
        <f t="shared" si="16"/>
        <v/>
      </c>
      <c r="AF74" s="209" t="str">
        <f t="shared" si="17"/>
        <v/>
      </c>
      <c r="AG74" s="402" t="str">
        <f t="shared" si="18"/>
        <v/>
      </c>
      <c r="AH74" s="211" t="str">
        <f>IFERROR(_xlfn.XLOOKUP(AG74,HELPER!$C$7:$C$47,HELPER!$D$7:$D$47,,1),"")</f>
        <v/>
      </c>
    </row>
    <row r="75" spans="2:34">
      <c r="B75" s="388">
        <v>8</v>
      </c>
      <c r="C75" s="432" t="str">
        <f>IFERROR(IF(OR($B$8="INCORRECT SHEET. Do not use this sheet to input data.",'INPUT DATA'!S18=""),"",'INPUT DATA'!S18),"")</f>
        <v/>
      </c>
      <c r="D75" s="183"/>
      <c r="E75" s="184"/>
      <c r="F75" s="184"/>
      <c r="G75" s="184"/>
      <c r="H75" s="184"/>
      <c r="I75" s="184"/>
      <c r="J75" s="184"/>
      <c r="K75" s="184"/>
      <c r="L75" s="184"/>
      <c r="M75" s="185"/>
      <c r="N75" s="207" t="str">
        <f t="shared" si="10"/>
        <v/>
      </c>
      <c r="O75" s="208" t="str">
        <f t="shared" si="11"/>
        <v/>
      </c>
      <c r="P75" s="209" t="str">
        <f t="shared" si="12"/>
        <v/>
      </c>
      <c r="Q75" s="183"/>
      <c r="R75" s="184"/>
      <c r="S75" s="184"/>
      <c r="T75" s="184"/>
      <c r="U75" s="184"/>
      <c r="V75" s="184"/>
      <c r="W75" s="184"/>
      <c r="X75" s="184"/>
      <c r="Y75" s="184"/>
      <c r="Z75" s="185"/>
      <c r="AA75" s="207" t="str">
        <f t="shared" si="13"/>
        <v/>
      </c>
      <c r="AB75" s="208" t="str">
        <f t="shared" si="14"/>
        <v/>
      </c>
      <c r="AC75" s="209" t="str">
        <f t="shared" si="15"/>
        <v/>
      </c>
      <c r="AD75" s="587"/>
      <c r="AE75" s="210" t="str">
        <f t="shared" si="16"/>
        <v/>
      </c>
      <c r="AF75" s="209" t="str">
        <f t="shared" si="17"/>
        <v/>
      </c>
      <c r="AG75" s="402" t="str">
        <f t="shared" si="18"/>
        <v/>
      </c>
      <c r="AH75" s="211" t="str">
        <f>IFERROR(_xlfn.XLOOKUP(AG75,HELPER!$C$7:$C$47,HELPER!$D$7:$D$47,,1),"")</f>
        <v/>
      </c>
    </row>
    <row r="76" spans="2:34">
      <c r="B76" s="388">
        <v>9</v>
      </c>
      <c r="C76" s="432" t="str">
        <f>IFERROR(IF(OR($B$8="INCORRECT SHEET. Do not use this sheet to input data.",'INPUT DATA'!S19=""),"",'INPUT DATA'!S19),"")</f>
        <v/>
      </c>
      <c r="D76" s="183"/>
      <c r="E76" s="184"/>
      <c r="F76" s="184"/>
      <c r="G76" s="184"/>
      <c r="H76" s="184"/>
      <c r="I76" s="184"/>
      <c r="J76" s="184"/>
      <c r="K76" s="184"/>
      <c r="L76" s="184"/>
      <c r="M76" s="185"/>
      <c r="N76" s="207" t="str">
        <f t="shared" si="10"/>
        <v/>
      </c>
      <c r="O76" s="208" t="str">
        <f t="shared" si="11"/>
        <v/>
      </c>
      <c r="P76" s="209" t="str">
        <f t="shared" si="12"/>
        <v/>
      </c>
      <c r="Q76" s="183"/>
      <c r="R76" s="184"/>
      <c r="S76" s="184"/>
      <c r="T76" s="184"/>
      <c r="U76" s="184"/>
      <c r="V76" s="184"/>
      <c r="W76" s="184"/>
      <c r="X76" s="184"/>
      <c r="Y76" s="184"/>
      <c r="Z76" s="185"/>
      <c r="AA76" s="207" t="str">
        <f t="shared" si="13"/>
        <v/>
      </c>
      <c r="AB76" s="208" t="str">
        <f t="shared" si="14"/>
        <v/>
      </c>
      <c r="AC76" s="209" t="str">
        <f t="shared" si="15"/>
        <v/>
      </c>
      <c r="AD76" s="587"/>
      <c r="AE76" s="210" t="str">
        <f t="shared" si="16"/>
        <v/>
      </c>
      <c r="AF76" s="209" t="str">
        <f t="shared" si="17"/>
        <v/>
      </c>
      <c r="AG76" s="402" t="str">
        <f t="shared" si="18"/>
        <v/>
      </c>
      <c r="AH76" s="211" t="str">
        <f>IFERROR(_xlfn.XLOOKUP(AG76,HELPER!$C$7:$C$47,HELPER!$D$7:$D$47,,1),"")</f>
        <v/>
      </c>
    </row>
    <row r="77" spans="2:34">
      <c r="B77" s="388">
        <v>10</v>
      </c>
      <c r="C77" s="432" t="str">
        <f>IFERROR(IF(OR($B$8="INCORRECT SHEET. Do not use this sheet to input data.",'INPUT DATA'!S20=""),"",'INPUT DATA'!S20),"")</f>
        <v/>
      </c>
      <c r="D77" s="183"/>
      <c r="E77" s="184"/>
      <c r="F77" s="184"/>
      <c r="G77" s="184"/>
      <c r="H77" s="184"/>
      <c r="I77" s="184"/>
      <c r="J77" s="184"/>
      <c r="K77" s="184"/>
      <c r="L77" s="184"/>
      <c r="M77" s="185"/>
      <c r="N77" s="207" t="str">
        <f t="shared" si="10"/>
        <v/>
      </c>
      <c r="O77" s="208" t="str">
        <f t="shared" si="11"/>
        <v/>
      </c>
      <c r="P77" s="209" t="str">
        <f t="shared" si="12"/>
        <v/>
      </c>
      <c r="Q77" s="183"/>
      <c r="R77" s="184"/>
      <c r="S77" s="184"/>
      <c r="T77" s="184"/>
      <c r="U77" s="184"/>
      <c r="V77" s="184"/>
      <c r="W77" s="184"/>
      <c r="X77" s="184"/>
      <c r="Y77" s="184"/>
      <c r="Z77" s="185"/>
      <c r="AA77" s="207" t="str">
        <f t="shared" si="13"/>
        <v/>
      </c>
      <c r="AB77" s="208" t="str">
        <f t="shared" si="14"/>
        <v/>
      </c>
      <c r="AC77" s="209" t="str">
        <f t="shared" si="15"/>
        <v/>
      </c>
      <c r="AD77" s="587"/>
      <c r="AE77" s="210" t="str">
        <f t="shared" si="16"/>
        <v/>
      </c>
      <c r="AF77" s="209" t="str">
        <f t="shared" si="17"/>
        <v/>
      </c>
      <c r="AG77" s="402" t="str">
        <f t="shared" si="18"/>
        <v/>
      </c>
      <c r="AH77" s="211" t="str">
        <f>IFERROR(_xlfn.XLOOKUP(AG77,HELPER!$C$7:$C$47,HELPER!$D$7:$D$47,,1),"")</f>
        <v/>
      </c>
    </row>
    <row r="78" spans="2:34">
      <c r="B78" s="388">
        <v>11</v>
      </c>
      <c r="C78" s="432" t="str">
        <f>IFERROR(IF(OR($B$8="INCORRECT SHEET. Do not use this sheet to input data.",'INPUT DATA'!S21=""),"",'INPUT DATA'!S21),"")</f>
        <v/>
      </c>
      <c r="D78" s="183"/>
      <c r="E78" s="184"/>
      <c r="F78" s="184"/>
      <c r="G78" s="184"/>
      <c r="H78" s="184"/>
      <c r="I78" s="184"/>
      <c r="J78" s="184"/>
      <c r="K78" s="184"/>
      <c r="L78" s="184"/>
      <c r="M78" s="185"/>
      <c r="N78" s="207" t="str">
        <f t="shared" si="10"/>
        <v/>
      </c>
      <c r="O78" s="208" t="str">
        <f t="shared" si="11"/>
        <v/>
      </c>
      <c r="P78" s="209" t="str">
        <f t="shared" si="12"/>
        <v/>
      </c>
      <c r="Q78" s="183"/>
      <c r="R78" s="184"/>
      <c r="S78" s="184"/>
      <c r="T78" s="184"/>
      <c r="U78" s="184"/>
      <c r="V78" s="184"/>
      <c r="W78" s="184"/>
      <c r="X78" s="184"/>
      <c r="Y78" s="184"/>
      <c r="Z78" s="185"/>
      <c r="AA78" s="207" t="str">
        <f t="shared" si="13"/>
        <v/>
      </c>
      <c r="AB78" s="208" t="str">
        <f t="shared" si="14"/>
        <v/>
      </c>
      <c r="AC78" s="209" t="str">
        <f t="shared" si="15"/>
        <v/>
      </c>
      <c r="AD78" s="587"/>
      <c r="AE78" s="210" t="str">
        <f t="shared" si="16"/>
        <v/>
      </c>
      <c r="AF78" s="209" t="str">
        <f t="shared" si="17"/>
        <v/>
      </c>
      <c r="AG78" s="402" t="str">
        <f t="shared" si="18"/>
        <v/>
      </c>
      <c r="AH78" s="211" t="str">
        <f>IFERROR(_xlfn.XLOOKUP(AG78,HELPER!$C$7:$C$47,HELPER!$D$7:$D$47,,1),"")</f>
        <v/>
      </c>
    </row>
    <row r="79" spans="2:34">
      <c r="B79" s="388">
        <v>12</v>
      </c>
      <c r="C79" s="432" t="str">
        <f>IFERROR(IF(OR($B$8="INCORRECT SHEET. Do not use this sheet to input data.",'INPUT DATA'!S22=""),"",'INPUT DATA'!S22),"")</f>
        <v/>
      </c>
      <c r="D79" s="183"/>
      <c r="E79" s="184"/>
      <c r="F79" s="184"/>
      <c r="G79" s="184"/>
      <c r="H79" s="184"/>
      <c r="I79" s="184"/>
      <c r="J79" s="184"/>
      <c r="K79" s="184"/>
      <c r="L79" s="184"/>
      <c r="M79" s="185"/>
      <c r="N79" s="207" t="str">
        <f t="shared" si="10"/>
        <v/>
      </c>
      <c r="O79" s="208" t="str">
        <f t="shared" si="11"/>
        <v/>
      </c>
      <c r="P79" s="209" t="str">
        <f t="shared" si="12"/>
        <v/>
      </c>
      <c r="Q79" s="183"/>
      <c r="R79" s="184"/>
      <c r="S79" s="184"/>
      <c r="T79" s="184"/>
      <c r="U79" s="184"/>
      <c r="V79" s="184"/>
      <c r="W79" s="184"/>
      <c r="X79" s="184"/>
      <c r="Y79" s="184"/>
      <c r="Z79" s="185"/>
      <c r="AA79" s="207" t="str">
        <f t="shared" si="13"/>
        <v/>
      </c>
      <c r="AB79" s="208" t="str">
        <f t="shared" si="14"/>
        <v/>
      </c>
      <c r="AC79" s="209" t="str">
        <f t="shared" si="15"/>
        <v/>
      </c>
      <c r="AD79" s="587"/>
      <c r="AE79" s="210" t="str">
        <f t="shared" si="16"/>
        <v/>
      </c>
      <c r="AF79" s="209" t="str">
        <f t="shared" si="17"/>
        <v/>
      </c>
      <c r="AG79" s="402" t="str">
        <f t="shared" si="18"/>
        <v/>
      </c>
      <c r="AH79" s="211" t="str">
        <f>IFERROR(_xlfn.XLOOKUP(AG79,HELPER!$C$7:$C$47,HELPER!$D$7:$D$47,,1),"")</f>
        <v/>
      </c>
    </row>
    <row r="80" spans="2:34">
      <c r="B80" s="388">
        <v>13</v>
      </c>
      <c r="C80" s="432" t="str">
        <f>IFERROR(IF(OR($B$8="INCORRECT SHEET. Do not use this sheet to input data.",'INPUT DATA'!S23=""),"",'INPUT DATA'!S23),"")</f>
        <v/>
      </c>
      <c r="D80" s="183"/>
      <c r="E80" s="184"/>
      <c r="F80" s="184"/>
      <c r="G80" s="184"/>
      <c r="H80" s="184"/>
      <c r="I80" s="184"/>
      <c r="J80" s="184"/>
      <c r="K80" s="184"/>
      <c r="L80" s="184"/>
      <c r="M80" s="185"/>
      <c r="N80" s="207" t="str">
        <f t="shared" si="10"/>
        <v/>
      </c>
      <c r="O80" s="208" t="str">
        <f t="shared" si="11"/>
        <v/>
      </c>
      <c r="P80" s="209" t="str">
        <f t="shared" si="12"/>
        <v/>
      </c>
      <c r="Q80" s="183"/>
      <c r="R80" s="184"/>
      <c r="S80" s="184"/>
      <c r="T80" s="184"/>
      <c r="U80" s="184"/>
      <c r="V80" s="184"/>
      <c r="W80" s="184"/>
      <c r="X80" s="184"/>
      <c r="Y80" s="184"/>
      <c r="Z80" s="185"/>
      <c r="AA80" s="207" t="str">
        <f t="shared" si="13"/>
        <v/>
      </c>
      <c r="AB80" s="208" t="str">
        <f t="shared" si="14"/>
        <v/>
      </c>
      <c r="AC80" s="209" t="str">
        <f t="shared" si="15"/>
        <v/>
      </c>
      <c r="AD80" s="587"/>
      <c r="AE80" s="210" t="str">
        <f t="shared" si="16"/>
        <v/>
      </c>
      <c r="AF80" s="209" t="str">
        <f t="shared" si="17"/>
        <v/>
      </c>
      <c r="AG80" s="402" t="str">
        <f t="shared" si="18"/>
        <v/>
      </c>
      <c r="AH80" s="211" t="str">
        <f>IFERROR(_xlfn.XLOOKUP(AG80,HELPER!$C$7:$C$47,HELPER!$D$7:$D$47,,1),"")</f>
        <v/>
      </c>
    </row>
    <row r="81" spans="2:34">
      <c r="B81" s="388">
        <v>14</v>
      </c>
      <c r="C81" s="432" t="str">
        <f>IFERROR(IF(OR($B$8="INCORRECT SHEET. Do not use this sheet to input data.",'INPUT DATA'!S24=""),"",'INPUT DATA'!S24),"")</f>
        <v/>
      </c>
      <c r="D81" s="183"/>
      <c r="E81" s="184"/>
      <c r="F81" s="184"/>
      <c r="G81" s="184"/>
      <c r="H81" s="184"/>
      <c r="I81" s="184"/>
      <c r="J81" s="184"/>
      <c r="K81" s="184"/>
      <c r="L81" s="184"/>
      <c r="M81" s="185"/>
      <c r="N81" s="207" t="str">
        <f t="shared" si="10"/>
        <v/>
      </c>
      <c r="O81" s="208" t="str">
        <f t="shared" si="11"/>
        <v/>
      </c>
      <c r="P81" s="209" t="str">
        <f t="shared" si="12"/>
        <v/>
      </c>
      <c r="Q81" s="183"/>
      <c r="R81" s="184"/>
      <c r="S81" s="184"/>
      <c r="T81" s="184"/>
      <c r="U81" s="184"/>
      <c r="V81" s="184"/>
      <c r="W81" s="184"/>
      <c r="X81" s="184"/>
      <c r="Y81" s="184"/>
      <c r="Z81" s="185"/>
      <c r="AA81" s="207" t="str">
        <f t="shared" si="13"/>
        <v/>
      </c>
      <c r="AB81" s="208" t="str">
        <f t="shared" si="14"/>
        <v/>
      </c>
      <c r="AC81" s="209" t="str">
        <f t="shared" si="15"/>
        <v/>
      </c>
      <c r="AD81" s="587"/>
      <c r="AE81" s="210" t="str">
        <f t="shared" si="16"/>
        <v/>
      </c>
      <c r="AF81" s="209" t="str">
        <f t="shared" si="17"/>
        <v/>
      </c>
      <c r="AG81" s="402" t="str">
        <f t="shared" si="18"/>
        <v/>
      </c>
      <c r="AH81" s="211" t="str">
        <f>IFERROR(_xlfn.XLOOKUP(AG81,HELPER!$C$7:$C$47,HELPER!$D$7:$D$47,,1),"")</f>
        <v/>
      </c>
    </row>
    <row r="82" spans="2:34">
      <c r="B82" s="388">
        <v>15</v>
      </c>
      <c r="C82" s="432" t="str">
        <f>IFERROR(IF(OR($B$8="INCORRECT SHEET. Do not use this sheet to input data.",'INPUT DATA'!S25=""),"",'INPUT DATA'!S25),"")</f>
        <v/>
      </c>
      <c r="D82" s="183"/>
      <c r="E82" s="184"/>
      <c r="F82" s="184"/>
      <c r="G82" s="184"/>
      <c r="H82" s="184"/>
      <c r="I82" s="184"/>
      <c r="J82" s="184"/>
      <c r="K82" s="184"/>
      <c r="L82" s="184"/>
      <c r="M82" s="185"/>
      <c r="N82" s="207" t="str">
        <f t="shared" si="10"/>
        <v/>
      </c>
      <c r="O82" s="208" t="str">
        <f t="shared" si="11"/>
        <v/>
      </c>
      <c r="P82" s="209" t="str">
        <f t="shared" si="12"/>
        <v/>
      </c>
      <c r="Q82" s="183"/>
      <c r="R82" s="184"/>
      <c r="S82" s="184"/>
      <c r="T82" s="184"/>
      <c r="U82" s="184"/>
      <c r="V82" s="184"/>
      <c r="W82" s="184"/>
      <c r="X82" s="184"/>
      <c r="Y82" s="184"/>
      <c r="Z82" s="185"/>
      <c r="AA82" s="207" t="str">
        <f t="shared" si="13"/>
        <v/>
      </c>
      <c r="AB82" s="208" t="str">
        <f t="shared" si="14"/>
        <v/>
      </c>
      <c r="AC82" s="209" t="str">
        <f t="shared" si="15"/>
        <v/>
      </c>
      <c r="AD82" s="587"/>
      <c r="AE82" s="210" t="str">
        <f t="shared" si="16"/>
        <v/>
      </c>
      <c r="AF82" s="209" t="str">
        <f t="shared" si="17"/>
        <v/>
      </c>
      <c r="AG82" s="402" t="str">
        <f t="shared" si="18"/>
        <v/>
      </c>
      <c r="AH82" s="211" t="str">
        <f>IFERROR(_xlfn.XLOOKUP(AG82,HELPER!$C$7:$C$47,HELPER!$D$7:$D$47,,1),"")</f>
        <v/>
      </c>
    </row>
    <row r="83" spans="2:34">
      <c r="B83" s="388">
        <v>16</v>
      </c>
      <c r="C83" s="432" t="str">
        <f>IFERROR(IF(OR($B$8="INCORRECT SHEET. Do not use this sheet to input data.",'INPUT DATA'!S26=""),"",'INPUT DATA'!S26),"")</f>
        <v/>
      </c>
      <c r="D83" s="183"/>
      <c r="E83" s="184"/>
      <c r="F83" s="184"/>
      <c r="G83" s="184"/>
      <c r="H83" s="184"/>
      <c r="I83" s="184"/>
      <c r="J83" s="184"/>
      <c r="K83" s="184"/>
      <c r="L83" s="184"/>
      <c r="M83" s="185"/>
      <c r="N83" s="207" t="str">
        <f t="shared" si="10"/>
        <v/>
      </c>
      <c r="O83" s="208" t="str">
        <f t="shared" si="11"/>
        <v/>
      </c>
      <c r="P83" s="209" t="str">
        <f t="shared" si="12"/>
        <v/>
      </c>
      <c r="Q83" s="183"/>
      <c r="R83" s="184"/>
      <c r="S83" s="184"/>
      <c r="T83" s="184"/>
      <c r="U83" s="184"/>
      <c r="V83" s="184"/>
      <c r="W83" s="184"/>
      <c r="X83" s="184"/>
      <c r="Y83" s="184"/>
      <c r="Z83" s="185"/>
      <c r="AA83" s="207" t="str">
        <f t="shared" si="13"/>
        <v/>
      </c>
      <c r="AB83" s="208" t="str">
        <f t="shared" si="14"/>
        <v/>
      </c>
      <c r="AC83" s="209" t="str">
        <f t="shared" si="15"/>
        <v/>
      </c>
      <c r="AD83" s="587"/>
      <c r="AE83" s="210" t="str">
        <f t="shared" si="16"/>
        <v/>
      </c>
      <c r="AF83" s="209" t="str">
        <f t="shared" si="17"/>
        <v/>
      </c>
      <c r="AG83" s="402" t="str">
        <f t="shared" si="18"/>
        <v/>
      </c>
      <c r="AH83" s="211" t="str">
        <f>IFERROR(_xlfn.XLOOKUP(AG83,HELPER!$C$7:$C$47,HELPER!$D$7:$D$47,,1),"")</f>
        <v/>
      </c>
    </row>
    <row r="84" spans="2:34">
      <c r="B84" s="388">
        <v>17</v>
      </c>
      <c r="C84" s="432" t="str">
        <f>IFERROR(IF(OR($B$8="INCORRECT SHEET. Do not use this sheet to input data.",'INPUT DATA'!S27=""),"",'INPUT DATA'!S27),"")</f>
        <v/>
      </c>
      <c r="D84" s="183"/>
      <c r="E84" s="184"/>
      <c r="F84" s="184"/>
      <c r="G84" s="184"/>
      <c r="H84" s="184"/>
      <c r="I84" s="184"/>
      <c r="J84" s="184"/>
      <c r="K84" s="184"/>
      <c r="L84" s="184"/>
      <c r="M84" s="185"/>
      <c r="N84" s="207" t="str">
        <f t="shared" si="10"/>
        <v/>
      </c>
      <c r="O84" s="208" t="str">
        <f t="shared" si="11"/>
        <v/>
      </c>
      <c r="P84" s="209" t="str">
        <f t="shared" si="12"/>
        <v/>
      </c>
      <c r="Q84" s="183"/>
      <c r="R84" s="184"/>
      <c r="S84" s="184"/>
      <c r="T84" s="184"/>
      <c r="U84" s="184"/>
      <c r="V84" s="184"/>
      <c r="W84" s="184"/>
      <c r="X84" s="184"/>
      <c r="Y84" s="184"/>
      <c r="Z84" s="185"/>
      <c r="AA84" s="207" t="str">
        <f t="shared" si="13"/>
        <v/>
      </c>
      <c r="AB84" s="208" t="str">
        <f t="shared" si="14"/>
        <v/>
      </c>
      <c r="AC84" s="209" t="str">
        <f t="shared" si="15"/>
        <v/>
      </c>
      <c r="AD84" s="587"/>
      <c r="AE84" s="210" t="str">
        <f t="shared" si="16"/>
        <v/>
      </c>
      <c r="AF84" s="209" t="str">
        <f t="shared" si="17"/>
        <v/>
      </c>
      <c r="AG84" s="402" t="str">
        <f t="shared" si="18"/>
        <v/>
      </c>
      <c r="AH84" s="211" t="str">
        <f>IFERROR(_xlfn.XLOOKUP(AG84,HELPER!$C$7:$C$47,HELPER!$D$7:$D$47,,1),"")</f>
        <v/>
      </c>
    </row>
    <row r="85" spans="2:34">
      <c r="B85" s="388">
        <v>18</v>
      </c>
      <c r="C85" s="432" t="str">
        <f>IFERROR(IF(OR($B$8="INCORRECT SHEET. Do not use this sheet to input data.",'INPUT DATA'!S28=""),"",'INPUT DATA'!S28),"")</f>
        <v/>
      </c>
      <c r="D85" s="183"/>
      <c r="E85" s="184"/>
      <c r="F85" s="184"/>
      <c r="G85" s="184"/>
      <c r="H85" s="184"/>
      <c r="I85" s="184"/>
      <c r="J85" s="184"/>
      <c r="K85" s="184"/>
      <c r="L85" s="184"/>
      <c r="M85" s="185"/>
      <c r="N85" s="207" t="str">
        <f t="shared" si="10"/>
        <v/>
      </c>
      <c r="O85" s="208" t="str">
        <f t="shared" si="11"/>
        <v/>
      </c>
      <c r="P85" s="209" t="str">
        <f t="shared" si="12"/>
        <v/>
      </c>
      <c r="Q85" s="183"/>
      <c r="R85" s="184"/>
      <c r="S85" s="184"/>
      <c r="T85" s="184"/>
      <c r="U85" s="184"/>
      <c r="V85" s="184"/>
      <c r="W85" s="184"/>
      <c r="X85" s="184"/>
      <c r="Y85" s="184"/>
      <c r="Z85" s="185"/>
      <c r="AA85" s="207" t="str">
        <f t="shared" si="13"/>
        <v/>
      </c>
      <c r="AB85" s="208" t="str">
        <f t="shared" si="14"/>
        <v/>
      </c>
      <c r="AC85" s="209" t="str">
        <f t="shared" si="15"/>
        <v/>
      </c>
      <c r="AD85" s="587"/>
      <c r="AE85" s="210" t="str">
        <f t="shared" si="16"/>
        <v/>
      </c>
      <c r="AF85" s="209" t="str">
        <f t="shared" si="17"/>
        <v/>
      </c>
      <c r="AG85" s="402" t="str">
        <f t="shared" si="18"/>
        <v/>
      </c>
      <c r="AH85" s="211" t="str">
        <f>IFERROR(_xlfn.XLOOKUP(AG85,HELPER!$C$7:$C$47,HELPER!$D$7:$D$47,,1),"")</f>
        <v/>
      </c>
    </row>
    <row r="86" spans="2:34">
      <c r="B86" s="388">
        <v>19</v>
      </c>
      <c r="C86" s="432" t="str">
        <f>IFERROR(IF(OR($B$8="INCORRECT SHEET. Do not use this sheet to input data.",'INPUT DATA'!S29=""),"",'INPUT DATA'!S29),"")</f>
        <v/>
      </c>
      <c r="D86" s="183"/>
      <c r="E86" s="184"/>
      <c r="F86" s="184"/>
      <c r="G86" s="184"/>
      <c r="H86" s="184"/>
      <c r="I86" s="184"/>
      <c r="J86" s="184"/>
      <c r="K86" s="184"/>
      <c r="L86" s="184"/>
      <c r="M86" s="185"/>
      <c r="N86" s="207" t="str">
        <f t="shared" si="10"/>
        <v/>
      </c>
      <c r="O86" s="208" t="str">
        <f t="shared" si="11"/>
        <v/>
      </c>
      <c r="P86" s="209" t="str">
        <f t="shared" si="12"/>
        <v/>
      </c>
      <c r="Q86" s="183"/>
      <c r="R86" s="184"/>
      <c r="S86" s="184"/>
      <c r="T86" s="184"/>
      <c r="U86" s="184"/>
      <c r="V86" s="184"/>
      <c r="W86" s="184"/>
      <c r="X86" s="184"/>
      <c r="Y86" s="184"/>
      <c r="Z86" s="185"/>
      <c r="AA86" s="207" t="str">
        <f t="shared" si="13"/>
        <v/>
      </c>
      <c r="AB86" s="208" t="str">
        <f t="shared" si="14"/>
        <v/>
      </c>
      <c r="AC86" s="209" t="str">
        <f t="shared" si="15"/>
        <v/>
      </c>
      <c r="AD86" s="587"/>
      <c r="AE86" s="210" t="str">
        <f t="shared" si="16"/>
        <v/>
      </c>
      <c r="AF86" s="209" t="str">
        <f t="shared" si="17"/>
        <v/>
      </c>
      <c r="AG86" s="402" t="str">
        <f t="shared" si="18"/>
        <v/>
      </c>
      <c r="AH86" s="211" t="str">
        <f>IFERROR(_xlfn.XLOOKUP(AG86,HELPER!$C$7:$C$47,HELPER!$D$7:$D$47,,1),"")</f>
        <v/>
      </c>
    </row>
    <row r="87" spans="2:34">
      <c r="B87" s="388">
        <v>20</v>
      </c>
      <c r="C87" s="432" t="str">
        <f>IFERROR(IF(OR($B$8="INCORRECT SHEET. Do not use this sheet to input data.",'INPUT DATA'!S30=""),"",'INPUT DATA'!S30),"")</f>
        <v/>
      </c>
      <c r="D87" s="183"/>
      <c r="E87" s="184"/>
      <c r="F87" s="184"/>
      <c r="G87" s="184"/>
      <c r="H87" s="184"/>
      <c r="I87" s="184"/>
      <c r="J87" s="184"/>
      <c r="K87" s="184"/>
      <c r="L87" s="184"/>
      <c r="M87" s="185"/>
      <c r="N87" s="207" t="str">
        <f t="shared" si="10"/>
        <v/>
      </c>
      <c r="O87" s="208" t="str">
        <f t="shared" si="11"/>
        <v/>
      </c>
      <c r="P87" s="209" t="str">
        <f t="shared" si="12"/>
        <v/>
      </c>
      <c r="Q87" s="183"/>
      <c r="R87" s="184"/>
      <c r="S87" s="184"/>
      <c r="T87" s="184"/>
      <c r="U87" s="184"/>
      <c r="V87" s="184"/>
      <c r="W87" s="184"/>
      <c r="X87" s="184"/>
      <c r="Y87" s="184"/>
      <c r="Z87" s="185"/>
      <c r="AA87" s="207" t="str">
        <f t="shared" si="13"/>
        <v/>
      </c>
      <c r="AB87" s="208" t="str">
        <f t="shared" si="14"/>
        <v/>
      </c>
      <c r="AC87" s="209" t="str">
        <f t="shared" si="15"/>
        <v/>
      </c>
      <c r="AD87" s="587"/>
      <c r="AE87" s="210" t="str">
        <f t="shared" si="16"/>
        <v/>
      </c>
      <c r="AF87" s="209" t="str">
        <f t="shared" si="17"/>
        <v/>
      </c>
      <c r="AG87" s="402" t="str">
        <f t="shared" si="18"/>
        <v/>
      </c>
      <c r="AH87" s="211" t="str">
        <f>IFERROR(_xlfn.XLOOKUP(AG87,HELPER!$C$7:$C$47,HELPER!$D$7:$D$47,,1),"")</f>
        <v/>
      </c>
    </row>
    <row r="88" spans="2:34">
      <c r="B88" s="388">
        <v>21</v>
      </c>
      <c r="C88" s="432" t="str">
        <f>IFERROR(IF(OR($B$8="INCORRECT SHEET. Do not use this sheet to input data.",'INPUT DATA'!S31=""),"",'INPUT DATA'!S31),"")</f>
        <v/>
      </c>
      <c r="D88" s="183"/>
      <c r="E88" s="184"/>
      <c r="F88" s="184"/>
      <c r="G88" s="184"/>
      <c r="H88" s="184"/>
      <c r="I88" s="184"/>
      <c r="J88" s="184"/>
      <c r="K88" s="184"/>
      <c r="L88" s="184"/>
      <c r="M88" s="185"/>
      <c r="N88" s="207" t="str">
        <f t="shared" si="10"/>
        <v/>
      </c>
      <c r="O88" s="208" t="str">
        <f t="shared" si="11"/>
        <v/>
      </c>
      <c r="P88" s="209" t="str">
        <f t="shared" si="12"/>
        <v/>
      </c>
      <c r="Q88" s="183"/>
      <c r="R88" s="184"/>
      <c r="S88" s="184"/>
      <c r="T88" s="184"/>
      <c r="U88" s="184"/>
      <c r="V88" s="184"/>
      <c r="W88" s="184"/>
      <c r="X88" s="184"/>
      <c r="Y88" s="184"/>
      <c r="Z88" s="185"/>
      <c r="AA88" s="207" t="str">
        <f t="shared" si="13"/>
        <v/>
      </c>
      <c r="AB88" s="208" t="str">
        <f t="shared" si="14"/>
        <v/>
      </c>
      <c r="AC88" s="209" t="str">
        <f t="shared" si="15"/>
        <v/>
      </c>
      <c r="AD88" s="587"/>
      <c r="AE88" s="210" t="str">
        <f t="shared" si="16"/>
        <v/>
      </c>
      <c r="AF88" s="209" t="str">
        <f t="shared" si="17"/>
        <v/>
      </c>
      <c r="AG88" s="402" t="str">
        <f t="shared" si="18"/>
        <v/>
      </c>
      <c r="AH88" s="211" t="str">
        <f>IFERROR(_xlfn.XLOOKUP(AG88,HELPER!$C$7:$C$47,HELPER!$D$7:$D$47,,1),"")</f>
        <v/>
      </c>
    </row>
    <row r="89" spans="2:34">
      <c r="B89" s="388">
        <v>22</v>
      </c>
      <c r="C89" s="432" t="str">
        <f>IFERROR(IF(OR($B$8="INCORRECT SHEET. Do not use this sheet to input data.",'INPUT DATA'!S32=""),"",'INPUT DATA'!S32),"")</f>
        <v/>
      </c>
      <c r="D89" s="183"/>
      <c r="E89" s="184"/>
      <c r="F89" s="184"/>
      <c r="G89" s="184"/>
      <c r="H89" s="184"/>
      <c r="I89" s="184"/>
      <c r="J89" s="184"/>
      <c r="K89" s="184"/>
      <c r="L89" s="184"/>
      <c r="M89" s="185"/>
      <c r="N89" s="207" t="str">
        <f t="shared" si="10"/>
        <v/>
      </c>
      <c r="O89" s="208" t="str">
        <f t="shared" si="11"/>
        <v/>
      </c>
      <c r="P89" s="209" t="str">
        <f t="shared" si="12"/>
        <v/>
      </c>
      <c r="Q89" s="183"/>
      <c r="R89" s="184"/>
      <c r="S89" s="184"/>
      <c r="T89" s="184"/>
      <c r="U89" s="184"/>
      <c r="V89" s="184"/>
      <c r="W89" s="184"/>
      <c r="X89" s="184"/>
      <c r="Y89" s="184"/>
      <c r="Z89" s="185"/>
      <c r="AA89" s="207" t="str">
        <f t="shared" si="13"/>
        <v/>
      </c>
      <c r="AB89" s="208" t="str">
        <f t="shared" si="14"/>
        <v/>
      </c>
      <c r="AC89" s="209" t="str">
        <f t="shared" si="15"/>
        <v/>
      </c>
      <c r="AD89" s="587"/>
      <c r="AE89" s="210" t="str">
        <f t="shared" si="16"/>
        <v/>
      </c>
      <c r="AF89" s="209" t="str">
        <f t="shared" si="17"/>
        <v/>
      </c>
      <c r="AG89" s="402" t="str">
        <f t="shared" si="18"/>
        <v/>
      </c>
      <c r="AH89" s="211" t="str">
        <f>IFERROR(_xlfn.XLOOKUP(AG89,HELPER!$C$7:$C$47,HELPER!$D$7:$D$47,,1),"")</f>
        <v/>
      </c>
    </row>
    <row r="90" spans="2:34">
      <c r="B90" s="388">
        <v>23</v>
      </c>
      <c r="C90" s="432" t="str">
        <f>IFERROR(IF(OR($B$8="INCORRECT SHEET. Do not use this sheet to input data.",'INPUT DATA'!S33=""),"",'INPUT DATA'!S33),"")</f>
        <v/>
      </c>
      <c r="D90" s="183"/>
      <c r="E90" s="184"/>
      <c r="F90" s="184"/>
      <c r="G90" s="184"/>
      <c r="H90" s="184"/>
      <c r="I90" s="184"/>
      <c r="J90" s="184"/>
      <c r="K90" s="184"/>
      <c r="L90" s="184"/>
      <c r="M90" s="185"/>
      <c r="N90" s="207" t="str">
        <f t="shared" si="10"/>
        <v/>
      </c>
      <c r="O90" s="208" t="str">
        <f t="shared" si="11"/>
        <v/>
      </c>
      <c r="P90" s="209" t="str">
        <f t="shared" si="12"/>
        <v/>
      </c>
      <c r="Q90" s="183"/>
      <c r="R90" s="184"/>
      <c r="S90" s="184"/>
      <c r="T90" s="184"/>
      <c r="U90" s="184"/>
      <c r="V90" s="184"/>
      <c r="W90" s="184"/>
      <c r="X90" s="184"/>
      <c r="Y90" s="184"/>
      <c r="Z90" s="185"/>
      <c r="AA90" s="207" t="str">
        <f t="shared" si="13"/>
        <v/>
      </c>
      <c r="AB90" s="208" t="str">
        <f t="shared" si="14"/>
        <v/>
      </c>
      <c r="AC90" s="209" t="str">
        <f t="shared" si="15"/>
        <v/>
      </c>
      <c r="AD90" s="587"/>
      <c r="AE90" s="210" t="str">
        <f t="shared" si="16"/>
        <v/>
      </c>
      <c r="AF90" s="209" t="str">
        <f t="shared" si="17"/>
        <v/>
      </c>
      <c r="AG90" s="402" t="str">
        <f t="shared" si="18"/>
        <v/>
      </c>
      <c r="AH90" s="211" t="str">
        <f>IFERROR(_xlfn.XLOOKUP(AG90,HELPER!$C$7:$C$47,HELPER!$D$7:$D$47,,1),"")</f>
        <v/>
      </c>
    </row>
    <row r="91" spans="2:34">
      <c r="B91" s="388">
        <v>24</v>
      </c>
      <c r="C91" s="432" t="str">
        <f>IFERROR(IF(OR($B$8="INCORRECT SHEET. Do not use this sheet to input data.",'INPUT DATA'!S34=""),"",'INPUT DATA'!S34),"")</f>
        <v/>
      </c>
      <c r="D91" s="183"/>
      <c r="E91" s="184"/>
      <c r="F91" s="184"/>
      <c r="G91" s="184"/>
      <c r="H91" s="184"/>
      <c r="I91" s="184"/>
      <c r="J91" s="184"/>
      <c r="K91" s="184"/>
      <c r="L91" s="184"/>
      <c r="M91" s="185"/>
      <c r="N91" s="207" t="str">
        <f t="shared" si="10"/>
        <v/>
      </c>
      <c r="O91" s="208" t="str">
        <f t="shared" si="11"/>
        <v/>
      </c>
      <c r="P91" s="209" t="str">
        <f t="shared" si="12"/>
        <v/>
      </c>
      <c r="Q91" s="183"/>
      <c r="R91" s="184"/>
      <c r="S91" s="184"/>
      <c r="T91" s="184"/>
      <c r="U91" s="184"/>
      <c r="V91" s="184"/>
      <c r="W91" s="184"/>
      <c r="X91" s="184"/>
      <c r="Y91" s="184"/>
      <c r="Z91" s="185"/>
      <c r="AA91" s="207" t="str">
        <f t="shared" si="13"/>
        <v/>
      </c>
      <c r="AB91" s="208" t="str">
        <f t="shared" si="14"/>
        <v/>
      </c>
      <c r="AC91" s="209" t="str">
        <f t="shared" si="15"/>
        <v/>
      </c>
      <c r="AD91" s="587"/>
      <c r="AE91" s="210" t="str">
        <f t="shared" si="16"/>
        <v/>
      </c>
      <c r="AF91" s="209" t="str">
        <f t="shared" si="17"/>
        <v/>
      </c>
      <c r="AG91" s="402" t="str">
        <f t="shared" si="18"/>
        <v/>
      </c>
      <c r="AH91" s="211" t="str">
        <f>IFERROR(_xlfn.XLOOKUP(AG91,HELPER!$C$7:$C$47,HELPER!$D$7:$D$47,,1),"")</f>
        <v/>
      </c>
    </row>
    <row r="92" spans="2:34">
      <c r="B92" s="388">
        <v>25</v>
      </c>
      <c r="C92" s="432" t="str">
        <f>IFERROR(IF(OR($B$8="INCORRECT SHEET. Do not use this sheet to input data.",'INPUT DATA'!S35=""),"",'INPUT DATA'!S35),"")</f>
        <v/>
      </c>
      <c r="D92" s="183"/>
      <c r="E92" s="184"/>
      <c r="F92" s="184"/>
      <c r="G92" s="184"/>
      <c r="H92" s="184"/>
      <c r="I92" s="184"/>
      <c r="J92" s="184"/>
      <c r="K92" s="184"/>
      <c r="L92" s="184"/>
      <c r="M92" s="185"/>
      <c r="N92" s="207" t="str">
        <f t="shared" si="10"/>
        <v/>
      </c>
      <c r="O92" s="208" t="str">
        <f t="shared" si="11"/>
        <v/>
      </c>
      <c r="P92" s="209" t="str">
        <f t="shared" si="12"/>
        <v/>
      </c>
      <c r="Q92" s="183"/>
      <c r="R92" s="184"/>
      <c r="S92" s="184"/>
      <c r="T92" s="184"/>
      <c r="U92" s="184"/>
      <c r="V92" s="184"/>
      <c r="W92" s="184"/>
      <c r="X92" s="184"/>
      <c r="Y92" s="184"/>
      <c r="Z92" s="185"/>
      <c r="AA92" s="207" t="str">
        <f t="shared" si="13"/>
        <v/>
      </c>
      <c r="AB92" s="208" t="str">
        <f t="shared" si="14"/>
        <v/>
      </c>
      <c r="AC92" s="209" t="str">
        <f t="shared" si="15"/>
        <v/>
      </c>
      <c r="AD92" s="587"/>
      <c r="AE92" s="210" t="str">
        <f t="shared" si="16"/>
        <v/>
      </c>
      <c r="AF92" s="209" t="str">
        <f t="shared" si="17"/>
        <v/>
      </c>
      <c r="AG92" s="402" t="str">
        <f t="shared" si="18"/>
        <v/>
      </c>
      <c r="AH92" s="211" t="str">
        <f>IFERROR(_xlfn.XLOOKUP(AG92,HELPER!$C$7:$C$47,HELPER!$D$7:$D$47,,1),"")</f>
        <v/>
      </c>
    </row>
    <row r="93" spans="2:34">
      <c r="B93" s="388">
        <v>26</v>
      </c>
      <c r="C93" s="432" t="str">
        <f>IFERROR(IF(OR($B$8="INCORRECT SHEET. Do not use this sheet to input data.",'INPUT DATA'!S36=""),"",'INPUT DATA'!S36),"")</f>
        <v/>
      </c>
      <c r="D93" s="183"/>
      <c r="E93" s="184"/>
      <c r="F93" s="184"/>
      <c r="G93" s="184"/>
      <c r="H93" s="184"/>
      <c r="I93" s="184"/>
      <c r="J93" s="184"/>
      <c r="K93" s="184"/>
      <c r="L93" s="184"/>
      <c r="M93" s="185"/>
      <c r="N93" s="207" t="str">
        <f t="shared" si="10"/>
        <v/>
      </c>
      <c r="O93" s="208" t="str">
        <f t="shared" si="11"/>
        <v/>
      </c>
      <c r="P93" s="209" t="str">
        <f t="shared" si="12"/>
        <v/>
      </c>
      <c r="Q93" s="183"/>
      <c r="R93" s="184"/>
      <c r="S93" s="184"/>
      <c r="T93" s="184"/>
      <c r="U93" s="184"/>
      <c r="V93" s="184"/>
      <c r="W93" s="184"/>
      <c r="X93" s="184"/>
      <c r="Y93" s="184"/>
      <c r="Z93" s="185"/>
      <c r="AA93" s="207" t="str">
        <f t="shared" si="13"/>
        <v/>
      </c>
      <c r="AB93" s="208" t="str">
        <f t="shared" si="14"/>
        <v/>
      </c>
      <c r="AC93" s="209" t="str">
        <f t="shared" si="15"/>
        <v/>
      </c>
      <c r="AD93" s="587"/>
      <c r="AE93" s="210" t="str">
        <f t="shared" si="16"/>
        <v/>
      </c>
      <c r="AF93" s="209" t="str">
        <f t="shared" si="17"/>
        <v/>
      </c>
      <c r="AG93" s="402" t="str">
        <f t="shared" si="18"/>
        <v/>
      </c>
      <c r="AH93" s="211" t="str">
        <f>IFERROR(_xlfn.XLOOKUP(AG93,HELPER!$C$7:$C$47,HELPER!$D$7:$D$47,,1),"")</f>
        <v/>
      </c>
    </row>
    <row r="94" spans="2:34">
      <c r="B94" s="388">
        <v>27</v>
      </c>
      <c r="C94" s="432" t="str">
        <f>IFERROR(IF(OR($B$8="INCORRECT SHEET. Do not use this sheet to input data.",'INPUT DATA'!S37=""),"",'INPUT DATA'!S37),"")</f>
        <v/>
      </c>
      <c r="D94" s="183"/>
      <c r="E94" s="184"/>
      <c r="F94" s="184"/>
      <c r="G94" s="184"/>
      <c r="H94" s="184"/>
      <c r="I94" s="184"/>
      <c r="J94" s="184"/>
      <c r="K94" s="184"/>
      <c r="L94" s="184"/>
      <c r="M94" s="185"/>
      <c r="N94" s="207" t="str">
        <f t="shared" si="10"/>
        <v/>
      </c>
      <c r="O94" s="208" t="str">
        <f t="shared" si="11"/>
        <v/>
      </c>
      <c r="P94" s="209" t="str">
        <f t="shared" si="12"/>
        <v/>
      </c>
      <c r="Q94" s="183"/>
      <c r="R94" s="184"/>
      <c r="S94" s="184"/>
      <c r="T94" s="184"/>
      <c r="U94" s="184"/>
      <c r="V94" s="184"/>
      <c r="W94" s="184"/>
      <c r="X94" s="184"/>
      <c r="Y94" s="184"/>
      <c r="Z94" s="185"/>
      <c r="AA94" s="207" t="str">
        <f t="shared" si="13"/>
        <v/>
      </c>
      <c r="AB94" s="208" t="str">
        <f t="shared" si="14"/>
        <v/>
      </c>
      <c r="AC94" s="209" t="str">
        <f t="shared" si="15"/>
        <v/>
      </c>
      <c r="AD94" s="587"/>
      <c r="AE94" s="210" t="str">
        <f t="shared" si="16"/>
        <v/>
      </c>
      <c r="AF94" s="209" t="str">
        <f t="shared" si="17"/>
        <v/>
      </c>
      <c r="AG94" s="402" t="str">
        <f t="shared" si="18"/>
        <v/>
      </c>
      <c r="AH94" s="211" t="str">
        <f>IFERROR(_xlfn.XLOOKUP(AG94,HELPER!$C$7:$C$47,HELPER!$D$7:$D$47,,1),"")</f>
        <v/>
      </c>
    </row>
    <row r="95" spans="2:34">
      <c r="B95" s="388">
        <v>28</v>
      </c>
      <c r="C95" s="432" t="str">
        <f>IFERROR(IF(OR($B$8="INCORRECT SHEET. Do not use this sheet to input data.",'INPUT DATA'!S38=""),"",'INPUT DATA'!S38),"")</f>
        <v/>
      </c>
      <c r="D95" s="183"/>
      <c r="E95" s="184"/>
      <c r="F95" s="184"/>
      <c r="G95" s="184"/>
      <c r="H95" s="184"/>
      <c r="I95" s="184"/>
      <c r="J95" s="184"/>
      <c r="K95" s="184"/>
      <c r="L95" s="184"/>
      <c r="M95" s="185"/>
      <c r="N95" s="207" t="str">
        <f t="shared" si="10"/>
        <v/>
      </c>
      <c r="O95" s="208" t="str">
        <f t="shared" si="11"/>
        <v/>
      </c>
      <c r="P95" s="209" t="str">
        <f t="shared" si="12"/>
        <v/>
      </c>
      <c r="Q95" s="183"/>
      <c r="R95" s="184"/>
      <c r="S95" s="184"/>
      <c r="T95" s="184"/>
      <c r="U95" s="184"/>
      <c r="V95" s="184"/>
      <c r="W95" s="184"/>
      <c r="X95" s="184"/>
      <c r="Y95" s="184"/>
      <c r="Z95" s="185"/>
      <c r="AA95" s="207" t="str">
        <f t="shared" si="13"/>
        <v/>
      </c>
      <c r="AB95" s="208" t="str">
        <f t="shared" si="14"/>
        <v/>
      </c>
      <c r="AC95" s="209" t="str">
        <f t="shared" si="15"/>
        <v/>
      </c>
      <c r="AD95" s="587"/>
      <c r="AE95" s="210" t="str">
        <f t="shared" si="16"/>
        <v/>
      </c>
      <c r="AF95" s="209" t="str">
        <f t="shared" si="17"/>
        <v/>
      </c>
      <c r="AG95" s="402" t="str">
        <f t="shared" si="18"/>
        <v/>
      </c>
      <c r="AH95" s="211" t="str">
        <f>IFERROR(_xlfn.XLOOKUP(AG95,HELPER!$C$7:$C$47,HELPER!$D$7:$D$47,,1),"")</f>
        <v/>
      </c>
    </row>
    <row r="96" spans="2:34">
      <c r="B96" s="388">
        <v>29</v>
      </c>
      <c r="C96" s="432" t="str">
        <f>IFERROR(IF(OR($B$8="INCORRECT SHEET. Do not use this sheet to input data.",'INPUT DATA'!S39=""),"",'INPUT DATA'!S39),"")</f>
        <v/>
      </c>
      <c r="D96" s="183"/>
      <c r="E96" s="184"/>
      <c r="F96" s="184"/>
      <c r="G96" s="184"/>
      <c r="H96" s="184"/>
      <c r="I96" s="184"/>
      <c r="J96" s="184"/>
      <c r="K96" s="184"/>
      <c r="L96" s="184"/>
      <c r="M96" s="185"/>
      <c r="N96" s="207" t="str">
        <f t="shared" si="10"/>
        <v/>
      </c>
      <c r="O96" s="208" t="str">
        <f t="shared" si="11"/>
        <v/>
      </c>
      <c r="P96" s="209" t="str">
        <f t="shared" si="12"/>
        <v/>
      </c>
      <c r="Q96" s="183"/>
      <c r="R96" s="184"/>
      <c r="S96" s="184"/>
      <c r="T96" s="184"/>
      <c r="U96" s="184"/>
      <c r="V96" s="184"/>
      <c r="W96" s="184"/>
      <c r="X96" s="184"/>
      <c r="Y96" s="184"/>
      <c r="Z96" s="185"/>
      <c r="AA96" s="207" t="str">
        <f t="shared" si="13"/>
        <v/>
      </c>
      <c r="AB96" s="208" t="str">
        <f t="shared" si="14"/>
        <v/>
      </c>
      <c r="AC96" s="209" t="str">
        <f t="shared" si="15"/>
        <v/>
      </c>
      <c r="AD96" s="587"/>
      <c r="AE96" s="210" t="str">
        <f t="shared" si="16"/>
        <v/>
      </c>
      <c r="AF96" s="209" t="str">
        <f t="shared" si="17"/>
        <v/>
      </c>
      <c r="AG96" s="402" t="str">
        <f t="shared" si="18"/>
        <v/>
      </c>
      <c r="AH96" s="211" t="str">
        <f>IFERROR(_xlfn.XLOOKUP(AG96,HELPER!$C$7:$C$47,HELPER!$D$7:$D$47,,1),"")</f>
        <v/>
      </c>
    </row>
    <row r="97" spans="2:34">
      <c r="B97" s="388">
        <v>30</v>
      </c>
      <c r="C97" s="432" t="str">
        <f>IFERROR(IF(OR($B$8="INCORRECT SHEET. Do not use this sheet to input data.",'INPUT DATA'!S40=""),"",'INPUT DATA'!S40),"")</f>
        <v/>
      </c>
      <c r="D97" s="183"/>
      <c r="E97" s="184"/>
      <c r="F97" s="184"/>
      <c r="G97" s="184"/>
      <c r="H97" s="184"/>
      <c r="I97" s="184"/>
      <c r="J97" s="184"/>
      <c r="K97" s="184"/>
      <c r="L97" s="184"/>
      <c r="M97" s="185"/>
      <c r="N97" s="207" t="str">
        <f t="shared" si="10"/>
        <v/>
      </c>
      <c r="O97" s="208" t="str">
        <f t="shared" si="11"/>
        <v/>
      </c>
      <c r="P97" s="209" t="str">
        <f t="shared" si="12"/>
        <v/>
      </c>
      <c r="Q97" s="183"/>
      <c r="R97" s="184"/>
      <c r="S97" s="184"/>
      <c r="T97" s="184"/>
      <c r="U97" s="184"/>
      <c r="V97" s="184"/>
      <c r="W97" s="184"/>
      <c r="X97" s="184"/>
      <c r="Y97" s="184"/>
      <c r="Z97" s="185"/>
      <c r="AA97" s="207" t="str">
        <f t="shared" si="13"/>
        <v/>
      </c>
      <c r="AB97" s="208" t="str">
        <f t="shared" si="14"/>
        <v/>
      </c>
      <c r="AC97" s="209" t="str">
        <f t="shared" si="15"/>
        <v/>
      </c>
      <c r="AD97" s="587"/>
      <c r="AE97" s="210" t="str">
        <f t="shared" si="16"/>
        <v/>
      </c>
      <c r="AF97" s="209" t="str">
        <f t="shared" si="17"/>
        <v/>
      </c>
      <c r="AG97" s="402" t="str">
        <f t="shared" si="18"/>
        <v/>
      </c>
      <c r="AH97" s="211" t="str">
        <f>IFERROR(_xlfn.XLOOKUP(AG97,HELPER!$C$7:$C$47,HELPER!$D$7:$D$47,,1),"")</f>
        <v/>
      </c>
    </row>
    <row r="98" spans="2:34">
      <c r="B98" s="388">
        <v>31</v>
      </c>
      <c r="C98" s="432" t="str">
        <f>IFERROR(IF(OR($B$8="INCORRECT SHEET. Do not use this sheet to input data.",'INPUT DATA'!S41=""),"",'INPUT DATA'!S41),"")</f>
        <v/>
      </c>
      <c r="D98" s="183"/>
      <c r="E98" s="184"/>
      <c r="F98" s="184"/>
      <c r="G98" s="184"/>
      <c r="H98" s="184"/>
      <c r="I98" s="184"/>
      <c r="J98" s="184"/>
      <c r="K98" s="184"/>
      <c r="L98" s="184"/>
      <c r="M98" s="185"/>
      <c r="N98" s="207" t="str">
        <f t="shared" si="10"/>
        <v/>
      </c>
      <c r="O98" s="208" t="str">
        <f t="shared" si="11"/>
        <v/>
      </c>
      <c r="P98" s="209" t="str">
        <f t="shared" si="12"/>
        <v/>
      </c>
      <c r="Q98" s="183"/>
      <c r="R98" s="184"/>
      <c r="S98" s="184"/>
      <c r="T98" s="184"/>
      <c r="U98" s="184"/>
      <c r="V98" s="184"/>
      <c r="W98" s="184"/>
      <c r="X98" s="184"/>
      <c r="Y98" s="184"/>
      <c r="Z98" s="185"/>
      <c r="AA98" s="207" t="str">
        <f t="shared" si="13"/>
        <v/>
      </c>
      <c r="AB98" s="208" t="str">
        <f t="shared" si="14"/>
        <v/>
      </c>
      <c r="AC98" s="209" t="str">
        <f t="shared" si="15"/>
        <v/>
      </c>
      <c r="AD98" s="587"/>
      <c r="AE98" s="210" t="str">
        <f t="shared" si="16"/>
        <v/>
      </c>
      <c r="AF98" s="209" t="str">
        <f t="shared" si="17"/>
        <v/>
      </c>
      <c r="AG98" s="402" t="str">
        <f t="shared" si="18"/>
        <v/>
      </c>
      <c r="AH98" s="211" t="str">
        <f>IFERROR(_xlfn.XLOOKUP(AG98,HELPER!$C$7:$C$47,HELPER!$D$7:$D$47,,1),"")</f>
        <v/>
      </c>
    </row>
    <row r="99" spans="2:34">
      <c r="B99" s="388">
        <v>32</v>
      </c>
      <c r="C99" s="432" t="str">
        <f>IFERROR(IF(OR($B$8="INCORRECT SHEET. Do not use this sheet to input data.",'INPUT DATA'!S42=""),"",'INPUT DATA'!S42),"")</f>
        <v/>
      </c>
      <c r="D99" s="183"/>
      <c r="E99" s="184"/>
      <c r="F99" s="184"/>
      <c r="G99" s="184"/>
      <c r="H99" s="184"/>
      <c r="I99" s="184"/>
      <c r="J99" s="184"/>
      <c r="K99" s="184"/>
      <c r="L99" s="184"/>
      <c r="M99" s="185"/>
      <c r="N99" s="207" t="str">
        <f t="shared" si="10"/>
        <v/>
      </c>
      <c r="O99" s="208" t="str">
        <f t="shared" si="11"/>
        <v/>
      </c>
      <c r="P99" s="209" t="str">
        <f t="shared" si="12"/>
        <v/>
      </c>
      <c r="Q99" s="183"/>
      <c r="R99" s="184"/>
      <c r="S99" s="184"/>
      <c r="T99" s="184"/>
      <c r="U99" s="184"/>
      <c r="V99" s="184"/>
      <c r="W99" s="184"/>
      <c r="X99" s="184"/>
      <c r="Y99" s="184"/>
      <c r="Z99" s="185"/>
      <c r="AA99" s="207" t="str">
        <f t="shared" si="13"/>
        <v/>
      </c>
      <c r="AB99" s="208" t="str">
        <f t="shared" si="14"/>
        <v/>
      </c>
      <c r="AC99" s="209" t="str">
        <f t="shared" si="15"/>
        <v/>
      </c>
      <c r="AD99" s="587"/>
      <c r="AE99" s="210" t="str">
        <f t="shared" si="16"/>
        <v/>
      </c>
      <c r="AF99" s="209" t="str">
        <f t="shared" si="17"/>
        <v/>
      </c>
      <c r="AG99" s="402" t="str">
        <f t="shared" si="18"/>
        <v/>
      </c>
      <c r="AH99" s="211" t="str">
        <f>IFERROR(_xlfn.XLOOKUP(AG99,HELPER!$C$7:$C$47,HELPER!$D$7:$D$47,,1),"")</f>
        <v/>
      </c>
    </row>
    <row r="100" spans="2:34">
      <c r="B100" s="388">
        <v>33</v>
      </c>
      <c r="C100" s="432" t="str">
        <f>IFERROR(IF(OR($B$8="INCORRECT SHEET. Do not use this sheet to input data.",'INPUT DATA'!S43=""),"",'INPUT DATA'!S43),"")</f>
        <v/>
      </c>
      <c r="D100" s="183"/>
      <c r="E100" s="184"/>
      <c r="F100" s="184"/>
      <c r="G100" s="184"/>
      <c r="H100" s="184"/>
      <c r="I100" s="184"/>
      <c r="J100" s="184"/>
      <c r="K100" s="184"/>
      <c r="L100" s="184"/>
      <c r="M100" s="185"/>
      <c r="N100" s="207" t="str">
        <f t="shared" si="10"/>
        <v/>
      </c>
      <c r="O100" s="208" t="str">
        <f t="shared" si="11"/>
        <v/>
      </c>
      <c r="P100" s="209" t="str">
        <f t="shared" si="12"/>
        <v/>
      </c>
      <c r="Q100" s="183"/>
      <c r="R100" s="184"/>
      <c r="S100" s="184"/>
      <c r="T100" s="184"/>
      <c r="U100" s="184"/>
      <c r="V100" s="184"/>
      <c r="W100" s="184"/>
      <c r="X100" s="184"/>
      <c r="Y100" s="184"/>
      <c r="Z100" s="185"/>
      <c r="AA100" s="207" t="str">
        <f t="shared" si="13"/>
        <v/>
      </c>
      <c r="AB100" s="208" t="str">
        <f t="shared" si="14"/>
        <v/>
      </c>
      <c r="AC100" s="209" t="str">
        <f t="shared" si="15"/>
        <v/>
      </c>
      <c r="AD100" s="587"/>
      <c r="AE100" s="210" t="str">
        <f t="shared" si="16"/>
        <v/>
      </c>
      <c r="AF100" s="209" t="str">
        <f t="shared" si="17"/>
        <v/>
      </c>
      <c r="AG100" s="402" t="str">
        <f t="shared" si="18"/>
        <v/>
      </c>
      <c r="AH100" s="211" t="str">
        <f>IFERROR(_xlfn.XLOOKUP(AG100,HELPER!$C$7:$C$47,HELPER!$D$7:$D$47,,1),"")</f>
        <v/>
      </c>
    </row>
    <row r="101" spans="2:34">
      <c r="B101" s="388">
        <v>34</v>
      </c>
      <c r="C101" s="432" t="str">
        <f>IFERROR(IF(OR($B$8="INCORRECT SHEET. Do not use this sheet to input data.",'INPUT DATA'!S44=""),"",'INPUT DATA'!S44),"")</f>
        <v/>
      </c>
      <c r="D101" s="183"/>
      <c r="E101" s="184"/>
      <c r="F101" s="184"/>
      <c r="G101" s="184"/>
      <c r="H101" s="184"/>
      <c r="I101" s="184"/>
      <c r="J101" s="184"/>
      <c r="K101" s="184"/>
      <c r="L101" s="184"/>
      <c r="M101" s="185"/>
      <c r="N101" s="207" t="str">
        <f t="shared" si="10"/>
        <v/>
      </c>
      <c r="O101" s="208" t="str">
        <f t="shared" si="11"/>
        <v/>
      </c>
      <c r="P101" s="209" t="str">
        <f t="shared" si="12"/>
        <v/>
      </c>
      <c r="Q101" s="183"/>
      <c r="R101" s="184"/>
      <c r="S101" s="184"/>
      <c r="T101" s="184"/>
      <c r="U101" s="184"/>
      <c r="V101" s="184"/>
      <c r="W101" s="184"/>
      <c r="X101" s="184"/>
      <c r="Y101" s="184"/>
      <c r="Z101" s="185"/>
      <c r="AA101" s="207" t="str">
        <f t="shared" si="13"/>
        <v/>
      </c>
      <c r="AB101" s="208" t="str">
        <f t="shared" si="14"/>
        <v/>
      </c>
      <c r="AC101" s="209" t="str">
        <f t="shared" si="15"/>
        <v/>
      </c>
      <c r="AD101" s="587"/>
      <c r="AE101" s="210" t="str">
        <f t="shared" si="16"/>
        <v/>
      </c>
      <c r="AF101" s="209" t="str">
        <f t="shared" si="17"/>
        <v/>
      </c>
      <c r="AG101" s="402" t="str">
        <f t="shared" si="18"/>
        <v/>
      </c>
      <c r="AH101" s="211" t="str">
        <f>IFERROR(_xlfn.XLOOKUP(AG101,HELPER!$C$7:$C$47,HELPER!$D$7:$D$47,,1),"")</f>
        <v/>
      </c>
    </row>
    <row r="102" spans="2:34">
      <c r="B102" s="388">
        <v>35</v>
      </c>
      <c r="C102" s="432" t="str">
        <f>IFERROR(IF(OR($B$8="INCORRECT SHEET. Do not use this sheet to input data.",'INPUT DATA'!S45=""),"",'INPUT DATA'!S45),"")</f>
        <v/>
      </c>
      <c r="D102" s="183"/>
      <c r="E102" s="184"/>
      <c r="F102" s="184"/>
      <c r="G102" s="184"/>
      <c r="H102" s="184"/>
      <c r="I102" s="184"/>
      <c r="J102" s="184"/>
      <c r="K102" s="184"/>
      <c r="L102" s="184"/>
      <c r="M102" s="185"/>
      <c r="N102" s="207" t="str">
        <f t="shared" si="10"/>
        <v/>
      </c>
      <c r="O102" s="208" t="str">
        <f t="shared" si="11"/>
        <v/>
      </c>
      <c r="P102" s="209" t="str">
        <f t="shared" si="12"/>
        <v/>
      </c>
      <c r="Q102" s="183"/>
      <c r="R102" s="184"/>
      <c r="S102" s="184"/>
      <c r="T102" s="184"/>
      <c r="U102" s="184"/>
      <c r="V102" s="184"/>
      <c r="W102" s="184"/>
      <c r="X102" s="184"/>
      <c r="Y102" s="184"/>
      <c r="Z102" s="185"/>
      <c r="AA102" s="207" t="str">
        <f t="shared" si="13"/>
        <v/>
      </c>
      <c r="AB102" s="208" t="str">
        <f t="shared" si="14"/>
        <v/>
      </c>
      <c r="AC102" s="209" t="str">
        <f t="shared" si="15"/>
        <v/>
      </c>
      <c r="AD102" s="587"/>
      <c r="AE102" s="210" t="str">
        <f t="shared" si="16"/>
        <v/>
      </c>
      <c r="AF102" s="209" t="str">
        <f t="shared" si="17"/>
        <v/>
      </c>
      <c r="AG102" s="402" t="str">
        <f t="shared" si="18"/>
        <v/>
      </c>
      <c r="AH102" s="211" t="str">
        <f>IFERROR(_xlfn.XLOOKUP(AG102,HELPER!$C$7:$C$47,HELPER!$D$7:$D$47,,1),"")</f>
        <v/>
      </c>
    </row>
    <row r="103" spans="2:34">
      <c r="B103" s="388">
        <v>36</v>
      </c>
      <c r="C103" s="432" t="str">
        <f>IFERROR(IF(OR($B$8="INCORRECT SHEET. Do not use this sheet to input data.",'INPUT DATA'!S46=""),"",'INPUT DATA'!S46),"")</f>
        <v/>
      </c>
      <c r="D103" s="183"/>
      <c r="E103" s="184"/>
      <c r="F103" s="184"/>
      <c r="G103" s="184"/>
      <c r="H103" s="184"/>
      <c r="I103" s="184"/>
      <c r="J103" s="184"/>
      <c r="K103" s="184"/>
      <c r="L103" s="184"/>
      <c r="M103" s="185"/>
      <c r="N103" s="207" t="str">
        <f t="shared" si="10"/>
        <v/>
      </c>
      <c r="O103" s="208" t="str">
        <f t="shared" si="11"/>
        <v/>
      </c>
      <c r="P103" s="209" t="str">
        <f t="shared" si="12"/>
        <v/>
      </c>
      <c r="Q103" s="183"/>
      <c r="R103" s="184"/>
      <c r="S103" s="184"/>
      <c r="T103" s="184"/>
      <c r="U103" s="184"/>
      <c r="V103" s="184"/>
      <c r="W103" s="184"/>
      <c r="X103" s="184"/>
      <c r="Y103" s="184"/>
      <c r="Z103" s="185"/>
      <c r="AA103" s="207" t="str">
        <f t="shared" si="13"/>
        <v/>
      </c>
      <c r="AB103" s="208" t="str">
        <f t="shared" si="14"/>
        <v/>
      </c>
      <c r="AC103" s="209" t="str">
        <f t="shared" si="15"/>
        <v/>
      </c>
      <c r="AD103" s="587"/>
      <c r="AE103" s="210" t="str">
        <f t="shared" si="16"/>
        <v/>
      </c>
      <c r="AF103" s="209" t="str">
        <f t="shared" si="17"/>
        <v/>
      </c>
      <c r="AG103" s="402" t="str">
        <f t="shared" si="18"/>
        <v/>
      </c>
      <c r="AH103" s="211" t="str">
        <f>IFERROR(_xlfn.XLOOKUP(AG103,HELPER!$C$7:$C$47,HELPER!$D$7:$D$47,,1),"")</f>
        <v/>
      </c>
    </row>
    <row r="104" spans="2:34">
      <c r="B104" s="388">
        <v>37</v>
      </c>
      <c r="C104" s="432" t="str">
        <f>IFERROR(IF(OR($B$8="INCORRECT SHEET. Do not use this sheet to input data.",'INPUT DATA'!S47=""),"",'INPUT DATA'!S47),"")</f>
        <v/>
      </c>
      <c r="D104" s="183"/>
      <c r="E104" s="184"/>
      <c r="F104" s="184"/>
      <c r="G104" s="184"/>
      <c r="H104" s="184"/>
      <c r="I104" s="184"/>
      <c r="J104" s="184"/>
      <c r="K104" s="184"/>
      <c r="L104" s="184"/>
      <c r="M104" s="185"/>
      <c r="N104" s="207" t="str">
        <f t="shared" si="10"/>
        <v/>
      </c>
      <c r="O104" s="208" t="str">
        <f t="shared" si="11"/>
        <v/>
      </c>
      <c r="P104" s="209" t="str">
        <f t="shared" si="12"/>
        <v/>
      </c>
      <c r="Q104" s="183"/>
      <c r="R104" s="184"/>
      <c r="S104" s="184"/>
      <c r="T104" s="184"/>
      <c r="U104" s="184"/>
      <c r="V104" s="184"/>
      <c r="W104" s="184"/>
      <c r="X104" s="184"/>
      <c r="Y104" s="184"/>
      <c r="Z104" s="185"/>
      <c r="AA104" s="207" t="str">
        <f t="shared" si="13"/>
        <v/>
      </c>
      <c r="AB104" s="208" t="str">
        <f t="shared" si="14"/>
        <v/>
      </c>
      <c r="AC104" s="209" t="str">
        <f t="shared" si="15"/>
        <v/>
      </c>
      <c r="AD104" s="587"/>
      <c r="AE104" s="210" t="str">
        <f t="shared" si="16"/>
        <v/>
      </c>
      <c r="AF104" s="209" t="str">
        <f t="shared" si="17"/>
        <v/>
      </c>
      <c r="AG104" s="402" t="str">
        <f t="shared" si="18"/>
        <v/>
      </c>
      <c r="AH104" s="211" t="str">
        <f>IFERROR(_xlfn.XLOOKUP(AG104,HELPER!$C$7:$C$47,HELPER!$D$7:$D$47,,1),"")</f>
        <v/>
      </c>
    </row>
    <row r="105" spans="2:34">
      <c r="B105" s="388">
        <v>38</v>
      </c>
      <c r="C105" s="432" t="str">
        <f>IFERROR(IF(OR($B$8="INCORRECT SHEET. Do not use this sheet to input data.",'INPUT DATA'!S48=""),"",'INPUT DATA'!S48),"")</f>
        <v/>
      </c>
      <c r="D105" s="183"/>
      <c r="E105" s="184"/>
      <c r="F105" s="184"/>
      <c r="G105" s="184"/>
      <c r="H105" s="184"/>
      <c r="I105" s="184"/>
      <c r="J105" s="184"/>
      <c r="K105" s="184"/>
      <c r="L105" s="184"/>
      <c r="M105" s="185"/>
      <c r="N105" s="207" t="str">
        <f t="shared" si="10"/>
        <v/>
      </c>
      <c r="O105" s="208" t="str">
        <f t="shared" si="11"/>
        <v/>
      </c>
      <c r="P105" s="209" t="str">
        <f t="shared" si="12"/>
        <v/>
      </c>
      <c r="Q105" s="183"/>
      <c r="R105" s="184"/>
      <c r="S105" s="184"/>
      <c r="T105" s="184"/>
      <c r="U105" s="184"/>
      <c r="V105" s="184"/>
      <c r="W105" s="184"/>
      <c r="X105" s="184"/>
      <c r="Y105" s="184"/>
      <c r="Z105" s="185"/>
      <c r="AA105" s="207" t="str">
        <f t="shared" si="13"/>
        <v/>
      </c>
      <c r="AB105" s="208" t="str">
        <f t="shared" si="14"/>
        <v/>
      </c>
      <c r="AC105" s="209" t="str">
        <f t="shared" si="15"/>
        <v/>
      </c>
      <c r="AD105" s="587"/>
      <c r="AE105" s="210" t="str">
        <f t="shared" si="16"/>
        <v/>
      </c>
      <c r="AF105" s="209" t="str">
        <f t="shared" si="17"/>
        <v/>
      </c>
      <c r="AG105" s="402" t="str">
        <f t="shared" si="18"/>
        <v/>
      </c>
      <c r="AH105" s="211" t="str">
        <f>IFERROR(_xlfn.XLOOKUP(AG105,HELPER!$C$7:$C$47,HELPER!$D$7:$D$47,,1),"")</f>
        <v/>
      </c>
    </row>
    <row r="106" spans="2:34">
      <c r="B106" s="388">
        <v>39</v>
      </c>
      <c r="C106" s="432" t="str">
        <f>IFERROR(IF(OR($B$8="INCORRECT SHEET. Do not use this sheet to input data.",'INPUT DATA'!S49=""),"",'INPUT DATA'!S49),"")</f>
        <v/>
      </c>
      <c r="D106" s="183"/>
      <c r="E106" s="184"/>
      <c r="F106" s="184"/>
      <c r="G106" s="184"/>
      <c r="H106" s="184"/>
      <c r="I106" s="184"/>
      <c r="J106" s="184"/>
      <c r="K106" s="184"/>
      <c r="L106" s="184"/>
      <c r="M106" s="185"/>
      <c r="N106" s="207" t="str">
        <f t="shared" si="10"/>
        <v/>
      </c>
      <c r="O106" s="208" t="str">
        <f t="shared" si="11"/>
        <v/>
      </c>
      <c r="P106" s="209" t="str">
        <f t="shared" si="12"/>
        <v/>
      </c>
      <c r="Q106" s="183"/>
      <c r="R106" s="184"/>
      <c r="S106" s="184"/>
      <c r="T106" s="184"/>
      <c r="U106" s="184"/>
      <c r="V106" s="184"/>
      <c r="W106" s="184"/>
      <c r="X106" s="184"/>
      <c r="Y106" s="184"/>
      <c r="Z106" s="185"/>
      <c r="AA106" s="207" t="str">
        <f t="shared" si="13"/>
        <v/>
      </c>
      <c r="AB106" s="208" t="str">
        <f t="shared" si="14"/>
        <v/>
      </c>
      <c r="AC106" s="209" t="str">
        <f t="shared" si="15"/>
        <v/>
      </c>
      <c r="AD106" s="587"/>
      <c r="AE106" s="210" t="str">
        <f t="shared" si="16"/>
        <v/>
      </c>
      <c r="AF106" s="209" t="str">
        <f t="shared" si="17"/>
        <v/>
      </c>
      <c r="AG106" s="402" t="str">
        <f t="shared" si="18"/>
        <v/>
      </c>
      <c r="AH106" s="211" t="str">
        <f>IFERROR(_xlfn.XLOOKUP(AG106,HELPER!$C$7:$C$47,HELPER!$D$7:$D$47,,1),"")</f>
        <v/>
      </c>
    </row>
    <row r="107" spans="2:34">
      <c r="B107" s="388">
        <v>40</v>
      </c>
      <c r="C107" s="432" t="str">
        <f>IFERROR(IF(OR($B$8="INCORRECT SHEET. Do not use this sheet to input data.",'INPUT DATA'!S50=""),"",'INPUT DATA'!S50),"")</f>
        <v/>
      </c>
      <c r="D107" s="183"/>
      <c r="E107" s="184"/>
      <c r="F107" s="184"/>
      <c r="G107" s="184"/>
      <c r="H107" s="184"/>
      <c r="I107" s="184"/>
      <c r="J107" s="184"/>
      <c r="K107" s="184"/>
      <c r="L107" s="184"/>
      <c r="M107" s="185"/>
      <c r="N107" s="207" t="str">
        <f t="shared" si="10"/>
        <v/>
      </c>
      <c r="O107" s="208" t="str">
        <f t="shared" si="11"/>
        <v/>
      </c>
      <c r="P107" s="209" t="str">
        <f t="shared" si="12"/>
        <v/>
      </c>
      <c r="Q107" s="183"/>
      <c r="R107" s="184"/>
      <c r="S107" s="184"/>
      <c r="T107" s="184"/>
      <c r="U107" s="184"/>
      <c r="V107" s="184"/>
      <c r="W107" s="184"/>
      <c r="X107" s="184"/>
      <c r="Y107" s="184"/>
      <c r="Z107" s="185"/>
      <c r="AA107" s="207" t="str">
        <f t="shared" si="13"/>
        <v/>
      </c>
      <c r="AB107" s="208" t="str">
        <f t="shared" si="14"/>
        <v/>
      </c>
      <c r="AC107" s="209" t="str">
        <f t="shared" si="15"/>
        <v/>
      </c>
      <c r="AD107" s="587"/>
      <c r="AE107" s="210" t="str">
        <f t="shared" si="16"/>
        <v/>
      </c>
      <c r="AF107" s="209" t="str">
        <f t="shared" si="17"/>
        <v/>
      </c>
      <c r="AG107" s="402" t="str">
        <f t="shared" si="18"/>
        <v/>
      </c>
      <c r="AH107" s="211" t="str">
        <f>IFERROR(_xlfn.XLOOKUP(AG107,HELPER!$C$7:$C$47,HELPER!$D$7:$D$47,,1),"")</f>
        <v/>
      </c>
    </row>
    <row r="108" spans="2:34">
      <c r="B108" s="388">
        <v>41</v>
      </c>
      <c r="C108" s="432" t="str">
        <f>IFERROR(IF(OR($B$8="INCORRECT SHEET. Do not use this sheet to input data.",'INPUT DATA'!S51=""),"",'INPUT DATA'!S51),"")</f>
        <v/>
      </c>
      <c r="D108" s="183"/>
      <c r="E108" s="184"/>
      <c r="F108" s="184"/>
      <c r="G108" s="184"/>
      <c r="H108" s="184"/>
      <c r="I108" s="184"/>
      <c r="J108" s="184"/>
      <c r="K108" s="184"/>
      <c r="L108" s="184"/>
      <c r="M108" s="185"/>
      <c r="N108" s="207" t="str">
        <f t="shared" si="10"/>
        <v/>
      </c>
      <c r="O108" s="208" t="str">
        <f t="shared" si="11"/>
        <v/>
      </c>
      <c r="P108" s="209" t="str">
        <f t="shared" si="12"/>
        <v/>
      </c>
      <c r="Q108" s="183"/>
      <c r="R108" s="184"/>
      <c r="S108" s="184"/>
      <c r="T108" s="184"/>
      <c r="U108" s="184"/>
      <c r="V108" s="184"/>
      <c r="W108" s="184"/>
      <c r="X108" s="184"/>
      <c r="Y108" s="184"/>
      <c r="Z108" s="185"/>
      <c r="AA108" s="207" t="str">
        <f t="shared" si="13"/>
        <v/>
      </c>
      <c r="AB108" s="208" t="str">
        <f t="shared" si="14"/>
        <v/>
      </c>
      <c r="AC108" s="209" t="str">
        <f t="shared" si="15"/>
        <v/>
      </c>
      <c r="AD108" s="587"/>
      <c r="AE108" s="210" t="str">
        <f t="shared" si="16"/>
        <v/>
      </c>
      <c r="AF108" s="209" t="str">
        <f>IFERROR(IF(AE108="","",ROUND(AE108*$AF$14,2)),"")</f>
        <v/>
      </c>
      <c r="AG108" s="402" t="str">
        <f t="shared" si="18"/>
        <v/>
      </c>
      <c r="AH108" s="211" t="str">
        <f>IFERROR(_xlfn.XLOOKUP(AG108,HELPER!$C$7:$C$47,HELPER!$D$7:$D$47,,1),"")</f>
        <v/>
      </c>
    </row>
    <row r="109" spans="2:34">
      <c r="B109" s="388">
        <v>42</v>
      </c>
      <c r="C109" s="432" t="str">
        <f>IFERROR(IF(OR($B$8="INCORRECT SHEET. Do not use this sheet to input data.",'INPUT DATA'!S52=""),"",'INPUT DATA'!S52),"")</f>
        <v/>
      </c>
      <c r="D109" s="183"/>
      <c r="E109" s="184"/>
      <c r="F109" s="184"/>
      <c r="G109" s="184"/>
      <c r="H109" s="184"/>
      <c r="I109" s="184"/>
      <c r="J109" s="184"/>
      <c r="K109" s="184"/>
      <c r="L109" s="184"/>
      <c r="M109" s="185"/>
      <c r="N109" s="207" t="str">
        <f t="shared" si="10"/>
        <v/>
      </c>
      <c r="O109" s="208" t="str">
        <f t="shared" si="11"/>
        <v/>
      </c>
      <c r="P109" s="209" t="str">
        <f t="shared" si="12"/>
        <v/>
      </c>
      <c r="Q109" s="183"/>
      <c r="R109" s="184"/>
      <c r="S109" s="184"/>
      <c r="T109" s="184"/>
      <c r="U109" s="184"/>
      <c r="V109" s="184"/>
      <c r="W109" s="184"/>
      <c r="X109" s="184"/>
      <c r="Y109" s="184"/>
      <c r="Z109" s="185"/>
      <c r="AA109" s="207" t="str">
        <f t="shared" si="13"/>
        <v/>
      </c>
      <c r="AB109" s="208" t="str">
        <f t="shared" si="14"/>
        <v/>
      </c>
      <c r="AC109" s="209" t="str">
        <f t="shared" si="15"/>
        <v/>
      </c>
      <c r="AD109" s="587"/>
      <c r="AE109" s="210" t="str">
        <f t="shared" si="16"/>
        <v/>
      </c>
      <c r="AF109" s="209" t="str">
        <f t="shared" ref="AF109:AF117" si="19">IFERROR(IF(AE109="","",ROUND(AE109*$AF$14,2)),"")</f>
        <v/>
      </c>
      <c r="AG109" s="402" t="str">
        <f t="shared" si="18"/>
        <v/>
      </c>
      <c r="AH109" s="211" t="str">
        <f>IFERROR(_xlfn.XLOOKUP(AG109,HELPER!$C$7:$C$47,HELPER!$D$7:$D$47,,1),"")</f>
        <v/>
      </c>
    </row>
    <row r="110" spans="2:34">
      <c r="B110" s="388">
        <v>43</v>
      </c>
      <c r="C110" s="432" t="str">
        <f>IFERROR(IF(OR($B$8="INCORRECT SHEET. Do not use this sheet to input data.",'INPUT DATA'!S53=""),"",'INPUT DATA'!S53),"")</f>
        <v/>
      </c>
      <c r="D110" s="183"/>
      <c r="E110" s="184"/>
      <c r="F110" s="184"/>
      <c r="G110" s="184"/>
      <c r="H110" s="184"/>
      <c r="I110" s="184"/>
      <c r="J110" s="184"/>
      <c r="K110" s="184"/>
      <c r="L110" s="184"/>
      <c r="M110" s="185"/>
      <c r="N110" s="207" t="str">
        <f t="shared" si="10"/>
        <v/>
      </c>
      <c r="O110" s="208" t="str">
        <f t="shared" si="11"/>
        <v/>
      </c>
      <c r="P110" s="209" t="str">
        <f t="shared" si="12"/>
        <v/>
      </c>
      <c r="Q110" s="183"/>
      <c r="R110" s="184"/>
      <c r="S110" s="184"/>
      <c r="T110" s="184"/>
      <c r="U110" s="184"/>
      <c r="V110" s="184"/>
      <c r="W110" s="184"/>
      <c r="X110" s="184"/>
      <c r="Y110" s="184"/>
      <c r="Z110" s="185"/>
      <c r="AA110" s="207" t="str">
        <f t="shared" si="13"/>
        <v/>
      </c>
      <c r="AB110" s="208" t="str">
        <f t="shared" si="14"/>
        <v/>
      </c>
      <c r="AC110" s="209" t="str">
        <f t="shared" si="15"/>
        <v/>
      </c>
      <c r="AD110" s="587"/>
      <c r="AE110" s="210" t="str">
        <f t="shared" si="16"/>
        <v/>
      </c>
      <c r="AF110" s="209" t="str">
        <f t="shared" si="19"/>
        <v/>
      </c>
      <c r="AG110" s="402" t="str">
        <f t="shared" si="18"/>
        <v/>
      </c>
      <c r="AH110" s="211" t="str">
        <f>IFERROR(_xlfn.XLOOKUP(AG110,HELPER!$C$7:$C$47,HELPER!$D$7:$D$47,,1),"")</f>
        <v/>
      </c>
    </row>
    <row r="111" spans="2:34">
      <c r="B111" s="388">
        <v>44</v>
      </c>
      <c r="C111" s="432" t="str">
        <f>IFERROR(IF(OR($B$8="INCORRECT SHEET. Do not use this sheet to input data.",'INPUT DATA'!S54=""),"",'INPUT DATA'!S54),"")</f>
        <v/>
      </c>
      <c r="D111" s="183"/>
      <c r="E111" s="184"/>
      <c r="F111" s="184"/>
      <c r="G111" s="184"/>
      <c r="H111" s="184"/>
      <c r="I111" s="184"/>
      <c r="J111" s="184"/>
      <c r="K111" s="184"/>
      <c r="L111" s="184"/>
      <c r="M111" s="185"/>
      <c r="N111" s="207" t="str">
        <f t="shared" si="10"/>
        <v/>
      </c>
      <c r="O111" s="208" t="str">
        <f t="shared" si="11"/>
        <v/>
      </c>
      <c r="P111" s="209" t="str">
        <f t="shared" si="12"/>
        <v/>
      </c>
      <c r="Q111" s="183"/>
      <c r="R111" s="184"/>
      <c r="S111" s="184"/>
      <c r="T111" s="184"/>
      <c r="U111" s="184"/>
      <c r="V111" s="184"/>
      <c r="W111" s="184"/>
      <c r="X111" s="184"/>
      <c r="Y111" s="184"/>
      <c r="Z111" s="185"/>
      <c r="AA111" s="207" t="str">
        <f t="shared" si="13"/>
        <v/>
      </c>
      <c r="AB111" s="208" t="str">
        <f t="shared" si="14"/>
        <v/>
      </c>
      <c r="AC111" s="209" t="str">
        <f t="shared" si="15"/>
        <v/>
      </c>
      <c r="AD111" s="587"/>
      <c r="AE111" s="210" t="str">
        <f t="shared" si="16"/>
        <v/>
      </c>
      <c r="AF111" s="209" t="str">
        <f t="shared" si="19"/>
        <v/>
      </c>
      <c r="AG111" s="402" t="str">
        <f t="shared" si="18"/>
        <v/>
      </c>
      <c r="AH111" s="211" t="str">
        <f>IFERROR(_xlfn.XLOOKUP(AG111,HELPER!$C$7:$C$47,HELPER!$D$7:$D$47,,1),"")</f>
        <v/>
      </c>
    </row>
    <row r="112" spans="2:34">
      <c r="B112" s="388">
        <v>45</v>
      </c>
      <c r="C112" s="432" t="str">
        <f>IFERROR(IF(OR($B$8="INCORRECT SHEET. Do not use this sheet to input data.",'INPUT DATA'!S55=""),"",'INPUT DATA'!S55),"")</f>
        <v/>
      </c>
      <c r="D112" s="183"/>
      <c r="E112" s="184"/>
      <c r="F112" s="184"/>
      <c r="G112" s="184"/>
      <c r="H112" s="184"/>
      <c r="I112" s="184"/>
      <c r="J112" s="184"/>
      <c r="K112" s="184"/>
      <c r="L112" s="184"/>
      <c r="M112" s="185"/>
      <c r="N112" s="207" t="str">
        <f t="shared" si="10"/>
        <v/>
      </c>
      <c r="O112" s="208" t="str">
        <f t="shared" si="11"/>
        <v/>
      </c>
      <c r="P112" s="209" t="str">
        <f t="shared" si="12"/>
        <v/>
      </c>
      <c r="Q112" s="183"/>
      <c r="R112" s="184"/>
      <c r="S112" s="184"/>
      <c r="T112" s="184"/>
      <c r="U112" s="184"/>
      <c r="V112" s="184"/>
      <c r="W112" s="184"/>
      <c r="X112" s="184"/>
      <c r="Y112" s="184"/>
      <c r="Z112" s="185"/>
      <c r="AA112" s="207" t="str">
        <f t="shared" si="13"/>
        <v/>
      </c>
      <c r="AB112" s="208" t="str">
        <f t="shared" si="14"/>
        <v/>
      </c>
      <c r="AC112" s="209" t="str">
        <f t="shared" si="15"/>
        <v/>
      </c>
      <c r="AD112" s="587"/>
      <c r="AE112" s="210" t="str">
        <f t="shared" si="16"/>
        <v/>
      </c>
      <c r="AF112" s="209" t="str">
        <f t="shared" si="19"/>
        <v/>
      </c>
      <c r="AG112" s="402" t="str">
        <f t="shared" si="18"/>
        <v/>
      </c>
      <c r="AH112" s="211" t="str">
        <f>IFERROR(_xlfn.XLOOKUP(AG112,HELPER!$C$7:$C$47,HELPER!$D$7:$D$47,,1),"")</f>
        <v/>
      </c>
    </row>
    <row r="113" spans="2:34">
      <c r="B113" s="388">
        <v>46</v>
      </c>
      <c r="C113" s="432" t="str">
        <f>IFERROR(IF(OR($B$8="INCORRECT SHEET. Do not use this sheet to input data.",'INPUT DATA'!S56=""),"",'INPUT DATA'!S56),"")</f>
        <v/>
      </c>
      <c r="D113" s="183"/>
      <c r="E113" s="184"/>
      <c r="F113" s="184"/>
      <c r="G113" s="184"/>
      <c r="H113" s="184"/>
      <c r="I113" s="184"/>
      <c r="J113" s="184"/>
      <c r="K113" s="184"/>
      <c r="L113" s="184"/>
      <c r="M113" s="185"/>
      <c r="N113" s="207" t="str">
        <f t="shared" si="10"/>
        <v/>
      </c>
      <c r="O113" s="208" t="str">
        <f t="shared" si="11"/>
        <v/>
      </c>
      <c r="P113" s="209" t="str">
        <f t="shared" si="12"/>
        <v/>
      </c>
      <c r="Q113" s="183"/>
      <c r="R113" s="184"/>
      <c r="S113" s="184"/>
      <c r="T113" s="184"/>
      <c r="U113" s="184"/>
      <c r="V113" s="184"/>
      <c r="W113" s="184"/>
      <c r="X113" s="184"/>
      <c r="Y113" s="184"/>
      <c r="Z113" s="185"/>
      <c r="AA113" s="207" t="str">
        <f t="shared" si="13"/>
        <v/>
      </c>
      <c r="AB113" s="208" t="str">
        <f t="shared" si="14"/>
        <v/>
      </c>
      <c r="AC113" s="209" t="str">
        <f t="shared" si="15"/>
        <v/>
      </c>
      <c r="AD113" s="587"/>
      <c r="AE113" s="210" t="str">
        <f t="shared" si="16"/>
        <v/>
      </c>
      <c r="AF113" s="209" t="str">
        <f t="shared" si="19"/>
        <v/>
      </c>
      <c r="AG113" s="402" t="str">
        <f t="shared" si="18"/>
        <v/>
      </c>
      <c r="AH113" s="211" t="str">
        <f>IFERROR(_xlfn.XLOOKUP(AG113,HELPER!$C$7:$C$47,HELPER!$D$7:$D$47,,1),"")</f>
        <v/>
      </c>
    </row>
    <row r="114" spans="2:34">
      <c r="B114" s="388">
        <v>47</v>
      </c>
      <c r="C114" s="432" t="str">
        <f>IFERROR(IF(OR($B$8="INCORRECT SHEET. Do not use this sheet to input data.",'INPUT DATA'!S57=""),"",'INPUT DATA'!S57),"")</f>
        <v/>
      </c>
      <c r="D114" s="183"/>
      <c r="E114" s="184"/>
      <c r="F114" s="184"/>
      <c r="G114" s="184"/>
      <c r="H114" s="184"/>
      <c r="I114" s="184"/>
      <c r="J114" s="184"/>
      <c r="K114" s="184"/>
      <c r="L114" s="184"/>
      <c r="M114" s="185"/>
      <c r="N114" s="207" t="str">
        <f t="shared" si="10"/>
        <v/>
      </c>
      <c r="O114" s="208" t="str">
        <f t="shared" si="11"/>
        <v/>
      </c>
      <c r="P114" s="209" t="str">
        <f t="shared" si="12"/>
        <v/>
      </c>
      <c r="Q114" s="183"/>
      <c r="R114" s="184"/>
      <c r="S114" s="184"/>
      <c r="T114" s="184"/>
      <c r="U114" s="184"/>
      <c r="V114" s="184"/>
      <c r="W114" s="184"/>
      <c r="X114" s="184"/>
      <c r="Y114" s="184"/>
      <c r="Z114" s="185"/>
      <c r="AA114" s="207" t="str">
        <f t="shared" si="13"/>
        <v/>
      </c>
      <c r="AB114" s="208" t="str">
        <f t="shared" si="14"/>
        <v/>
      </c>
      <c r="AC114" s="209" t="str">
        <f t="shared" si="15"/>
        <v/>
      </c>
      <c r="AD114" s="587"/>
      <c r="AE114" s="210" t="str">
        <f t="shared" si="16"/>
        <v/>
      </c>
      <c r="AF114" s="209" t="str">
        <f t="shared" si="19"/>
        <v/>
      </c>
      <c r="AG114" s="402" t="str">
        <f t="shared" si="18"/>
        <v/>
      </c>
      <c r="AH114" s="211" t="str">
        <f>IFERROR(_xlfn.XLOOKUP(AG114,HELPER!$C$7:$C$47,HELPER!$D$7:$D$47,,1),"")</f>
        <v/>
      </c>
    </row>
    <row r="115" spans="2:34">
      <c r="B115" s="388">
        <v>48</v>
      </c>
      <c r="C115" s="432" t="str">
        <f>IFERROR(IF(OR($B$8="INCORRECT SHEET. Do not use this sheet to input data.",'INPUT DATA'!S58=""),"",'INPUT DATA'!S58),"")</f>
        <v/>
      </c>
      <c r="D115" s="183"/>
      <c r="E115" s="184"/>
      <c r="F115" s="184"/>
      <c r="G115" s="184"/>
      <c r="H115" s="184"/>
      <c r="I115" s="184"/>
      <c r="J115" s="184"/>
      <c r="K115" s="184"/>
      <c r="L115" s="184"/>
      <c r="M115" s="185"/>
      <c r="N115" s="207" t="str">
        <f t="shared" si="10"/>
        <v/>
      </c>
      <c r="O115" s="208" t="str">
        <f t="shared" si="11"/>
        <v/>
      </c>
      <c r="P115" s="209" t="str">
        <f t="shared" si="12"/>
        <v/>
      </c>
      <c r="Q115" s="183"/>
      <c r="R115" s="184"/>
      <c r="S115" s="184"/>
      <c r="T115" s="184"/>
      <c r="U115" s="184"/>
      <c r="V115" s="184"/>
      <c r="W115" s="184"/>
      <c r="X115" s="184"/>
      <c r="Y115" s="184"/>
      <c r="Z115" s="185"/>
      <c r="AA115" s="207" t="str">
        <f t="shared" si="13"/>
        <v/>
      </c>
      <c r="AB115" s="208" t="str">
        <f t="shared" si="14"/>
        <v/>
      </c>
      <c r="AC115" s="209" t="str">
        <f t="shared" si="15"/>
        <v/>
      </c>
      <c r="AD115" s="587"/>
      <c r="AE115" s="210" t="str">
        <f t="shared" si="16"/>
        <v/>
      </c>
      <c r="AF115" s="209" t="str">
        <f t="shared" si="19"/>
        <v/>
      </c>
      <c r="AG115" s="402" t="str">
        <f t="shared" si="18"/>
        <v/>
      </c>
      <c r="AH115" s="211" t="str">
        <f>IFERROR(_xlfn.XLOOKUP(AG115,HELPER!$C$7:$C$47,HELPER!$D$7:$D$47,,1),"")</f>
        <v/>
      </c>
    </row>
    <row r="116" spans="2:34">
      <c r="B116" s="388">
        <v>49</v>
      </c>
      <c r="C116" s="432" t="str">
        <f>IFERROR(IF(OR($B$8="INCORRECT SHEET. Do not use this sheet to input data.",'INPUT DATA'!S59=""),"",'INPUT DATA'!S59),"")</f>
        <v/>
      </c>
      <c r="D116" s="183"/>
      <c r="E116" s="184"/>
      <c r="F116" s="184"/>
      <c r="G116" s="184"/>
      <c r="H116" s="184"/>
      <c r="I116" s="184"/>
      <c r="J116" s="184"/>
      <c r="K116" s="184"/>
      <c r="L116" s="184"/>
      <c r="M116" s="185"/>
      <c r="N116" s="207" t="str">
        <f t="shared" si="10"/>
        <v/>
      </c>
      <c r="O116" s="208" t="str">
        <f t="shared" si="11"/>
        <v/>
      </c>
      <c r="P116" s="209" t="str">
        <f t="shared" si="12"/>
        <v/>
      </c>
      <c r="Q116" s="183"/>
      <c r="R116" s="184"/>
      <c r="S116" s="184"/>
      <c r="T116" s="184"/>
      <c r="U116" s="184"/>
      <c r="V116" s="184"/>
      <c r="W116" s="184"/>
      <c r="X116" s="184"/>
      <c r="Y116" s="184"/>
      <c r="Z116" s="185"/>
      <c r="AA116" s="207" t="str">
        <f t="shared" si="13"/>
        <v/>
      </c>
      <c r="AB116" s="208" t="str">
        <f t="shared" si="14"/>
        <v/>
      </c>
      <c r="AC116" s="209" t="str">
        <f t="shared" si="15"/>
        <v/>
      </c>
      <c r="AD116" s="587"/>
      <c r="AE116" s="210" t="str">
        <f t="shared" si="16"/>
        <v/>
      </c>
      <c r="AF116" s="209" t="str">
        <f t="shared" si="19"/>
        <v/>
      </c>
      <c r="AG116" s="402" t="str">
        <f t="shared" si="18"/>
        <v/>
      </c>
      <c r="AH116" s="211" t="str">
        <f>IFERROR(_xlfn.XLOOKUP(AG116,HELPER!$C$7:$C$47,HELPER!$D$7:$D$47,,1),"")</f>
        <v/>
      </c>
    </row>
    <row r="117" spans="2:34" ht="17.25" thickBot="1">
      <c r="B117" s="389">
        <v>50</v>
      </c>
      <c r="C117" s="515" t="str">
        <f>IFERROR(IF(OR($B$8="INCORRECT SHEET. Do not use this sheet to input data.",'INPUT DATA'!S60=""),"",'INPUT DATA'!S60),"")</f>
        <v/>
      </c>
      <c r="D117" s="186"/>
      <c r="E117" s="187"/>
      <c r="F117" s="187"/>
      <c r="G117" s="187"/>
      <c r="H117" s="187"/>
      <c r="I117" s="187"/>
      <c r="J117" s="187"/>
      <c r="K117" s="187"/>
      <c r="L117" s="187"/>
      <c r="M117" s="188"/>
      <c r="N117" s="217" t="str">
        <f t="shared" si="10"/>
        <v/>
      </c>
      <c r="O117" s="218" t="str">
        <f t="shared" si="11"/>
        <v/>
      </c>
      <c r="P117" s="219" t="str">
        <f t="shared" si="12"/>
        <v/>
      </c>
      <c r="Q117" s="186"/>
      <c r="R117" s="187"/>
      <c r="S117" s="187"/>
      <c r="T117" s="187"/>
      <c r="U117" s="187"/>
      <c r="V117" s="187"/>
      <c r="W117" s="187"/>
      <c r="X117" s="187"/>
      <c r="Y117" s="187"/>
      <c r="Z117" s="188"/>
      <c r="AA117" s="217" t="str">
        <f t="shared" si="13"/>
        <v/>
      </c>
      <c r="AB117" s="218" t="str">
        <f t="shared" si="14"/>
        <v/>
      </c>
      <c r="AC117" s="219" t="str">
        <f t="shared" si="15"/>
        <v/>
      </c>
      <c r="AD117" s="588"/>
      <c r="AE117" s="220" t="str">
        <f>IFERROR(IF(AD117="","",ROUND(AD117/$AD$14,2)*100),"")</f>
        <v/>
      </c>
      <c r="AF117" s="219" t="str">
        <f t="shared" si="19"/>
        <v/>
      </c>
      <c r="AG117" s="403" t="str">
        <f t="shared" si="18"/>
        <v/>
      </c>
      <c r="AH117" s="14" t="str">
        <f>IFERROR(_xlfn.XLOOKUP(AG117,HELPER!$C$7:$C$47,HELPER!$D$7:$D$47,,1),"")</f>
        <v/>
      </c>
    </row>
    <row r="118" spans="2:34">
      <c r="B118" s="45" t="s">
        <v>154</v>
      </c>
      <c r="C118" s="45"/>
      <c r="D118" s="45"/>
      <c r="E118" s="45" t="s">
        <v>154</v>
      </c>
      <c r="F118" s="45" t="s">
        <v>154</v>
      </c>
      <c r="G118" s="45" t="s">
        <v>154</v>
      </c>
      <c r="H118" s="45" t="s">
        <v>154</v>
      </c>
      <c r="I118" s="45" t="s">
        <v>154</v>
      </c>
      <c r="J118" s="45" t="s">
        <v>154</v>
      </c>
      <c r="K118" s="45" t="s">
        <v>154</v>
      </c>
      <c r="L118" s="45" t="s">
        <v>154</v>
      </c>
      <c r="M118" s="45" t="s">
        <v>154</v>
      </c>
      <c r="N118" s="45" t="s">
        <v>154</v>
      </c>
      <c r="O118" s="45" t="s">
        <v>154</v>
      </c>
      <c r="P118" s="45" t="s">
        <v>154</v>
      </c>
      <c r="Q118" s="45"/>
      <c r="R118" s="45" t="s">
        <v>154</v>
      </c>
      <c r="S118" s="45" t="s">
        <v>154</v>
      </c>
      <c r="T118" s="45" t="s">
        <v>154</v>
      </c>
      <c r="U118" s="45" t="s">
        <v>154</v>
      </c>
      <c r="V118" s="45" t="s">
        <v>154</v>
      </c>
      <c r="W118" s="45" t="s">
        <v>154</v>
      </c>
      <c r="X118" s="45" t="s">
        <v>154</v>
      </c>
      <c r="Y118" s="45" t="s">
        <v>154</v>
      </c>
      <c r="Z118" s="45" t="s">
        <v>154</v>
      </c>
      <c r="AA118" s="45" t="s">
        <v>154</v>
      </c>
      <c r="AB118" s="45" t="s">
        <v>154</v>
      </c>
      <c r="AC118" s="45" t="s">
        <v>154</v>
      </c>
      <c r="AD118" s="45"/>
      <c r="AE118" s="45"/>
      <c r="AF118" s="45" t="s">
        <v>154</v>
      </c>
      <c r="AG118" s="45" t="s">
        <v>154</v>
      </c>
      <c r="AH118" s="45" t="s">
        <v>154</v>
      </c>
    </row>
    <row r="119" spans="2:34"/>
    <row r="120" spans="2:34"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row>
  </sheetData>
  <sheetProtection algorithmName="SHA-512" hashValue="hPthxisoRinnBJSFXFWCIxXFSxkDSgjPnv8YJFqa0u8EEKyxNryeHtMPN7RQ9kQ+5uGEbgG+65kO/hyoPvb2Rg==" saltValue="qXB2Hr2MjaENjROlyaY6vA==" spinCount="100000" sheet="1" objects="1" scenarios="1" formatCells="0" formatColumns="0" formatRows="0" autoFilter="0"/>
  <autoFilter ref="C15:C118" xr:uid="{8A1226F9-1F1C-4E6A-ADB2-85745A735187}"/>
  <mergeCells count="25">
    <mergeCell ref="B14:C14"/>
    <mergeCell ref="D11:P11"/>
    <mergeCell ref="Q11:AC11"/>
    <mergeCell ref="AD11:AF11"/>
    <mergeCell ref="AG11:AG14"/>
    <mergeCell ref="B9:C13"/>
    <mergeCell ref="AH11:AH14"/>
    <mergeCell ref="D12:P12"/>
    <mergeCell ref="Q12:AC12"/>
    <mergeCell ref="AD12:AF12"/>
    <mergeCell ref="Q9:T9"/>
    <mergeCell ref="U9:AH9"/>
    <mergeCell ref="D10:G10"/>
    <mergeCell ref="H10:P10"/>
    <mergeCell ref="Q10:T10"/>
    <mergeCell ref="U10:AH10"/>
    <mergeCell ref="D9:G9"/>
    <mergeCell ref="H9:I9"/>
    <mergeCell ref="J9:M9"/>
    <mergeCell ref="N9:P9"/>
    <mergeCell ref="H6:M6"/>
    <mergeCell ref="P6:T6"/>
    <mergeCell ref="AA6:AC6"/>
    <mergeCell ref="H7:T7"/>
    <mergeCell ref="AA7:AC7"/>
  </mergeCells>
  <conditionalFormatting sqref="B8:AH8">
    <cfRule type="expression" dxfId="19" priority="43">
      <formula>$B$8="INCORRECT SHEET. Do not use this sheet to input data."</formula>
    </cfRule>
  </conditionalFormatting>
  <conditionalFormatting sqref="B11:AH14 B9:AH9 B10:U10">
    <cfRule type="expression" dxfId="18" priority="42">
      <formula>$B$8="INCORRECT SHEET. Do not use this sheet to input data."</formula>
    </cfRule>
  </conditionalFormatting>
  <conditionalFormatting sqref="C17:C66 AH17:AH66">
    <cfRule type="expression" dxfId="17" priority="12">
      <formula>$AH17&lt;75</formula>
    </cfRule>
  </conditionalFormatting>
  <conditionalFormatting sqref="C68:C117">
    <cfRule type="expression" dxfId="16" priority="8">
      <formula>$AH68&lt;75</formula>
    </cfRule>
  </conditionalFormatting>
  <conditionalFormatting sqref="D17:M66 D68:M117">
    <cfRule type="expression" dxfId="15" priority="15">
      <formula>D$14=""</formula>
    </cfRule>
  </conditionalFormatting>
  <conditionalFormatting sqref="N17:P66 N68:P117">
    <cfRule type="expression" dxfId="14" priority="13">
      <formula>$O17&lt;70</formula>
    </cfRule>
  </conditionalFormatting>
  <conditionalFormatting sqref="O17:O66 O68:O117">
    <cfRule type="expression" dxfId="13" priority="11">
      <formula>$O17&lt;70</formula>
    </cfRule>
  </conditionalFormatting>
  <conditionalFormatting sqref="Q17:Z66 AD17:AD66 Q68:Z117 AD68:AD117">
    <cfRule type="expression" dxfId="12" priority="14">
      <formula>Q$14=""</formula>
    </cfRule>
  </conditionalFormatting>
  <conditionalFormatting sqref="AA17:AC66 AA68:AC117">
    <cfRule type="expression" dxfId="11" priority="10">
      <formula>$AB17&lt;70</formula>
    </cfRule>
  </conditionalFormatting>
  <conditionalFormatting sqref="AB17:AB66 AB68:AB117">
    <cfRule type="expression" dxfId="10" priority="9">
      <formula>$AB17&lt;70</formula>
    </cfRule>
  </conditionalFormatting>
  <conditionalFormatting sqref="AD13">
    <cfRule type="expression" dxfId="9" priority="53">
      <formula>#REF!&lt;&gt;""</formula>
    </cfRule>
  </conditionalFormatting>
  <conditionalFormatting sqref="AD13:AD14">
    <cfRule type="expression" dxfId="8" priority="47">
      <formula>$AD$14=0</formula>
    </cfRule>
    <cfRule type="expression" dxfId="7" priority="52">
      <formula>#REF!=""</formula>
    </cfRule>
  </conditionalFormatting>
  <conditionalFormatting sqref="AD11:AF14">
    <cfRule type="expression" dxfId="6" priority="40">
      <formula>$AD$12=0</formula>
    </cfRule>
  </conditionalFormatting>
  <conditionalFormatting sqref="AE17:AE66">
    <cfRule type="expression" dxfId="5" priority="6">
      <formula>$AE17&lt;70</formula>
    </cfRule>
  </conditionalFormatting>
  <conditionalFormatting sqref="AE68:AE117">
    <cfRule type="expression" dxfId="4" priority="1">
      <formula>$AE68&lt;70</formula>
    </cfRule>
  </conditionalFormatting>
  <conditionalFormatting sqref="AE17:AF66">
    <cfRule type="expression" dxfId="3" priority="7">
      <formula>$AE17&lt;70</formula>
    </cfRule>
  </conditionalFormatting>
  <conditionalFormatting sqref="AE68:AF117">
    <cfRule type="expression" dxfId="2" priority="2">
      <formula>$AE68&lt;70</formula>
    </cfRule>
  </conditionalFormatting>
  <conditionalFormatting sqref="AH68:AH117">
    <cfRule type="expression" dxfId="1" priority="5">
      <formula>$AH68&lt;75</formula>
    </cfRule>
  </conditionalFormatting>
  <dataValidations count="1">
    <dataValidation type="list" allowBlank="1" showInputMessage="1" showErrorMessage="1" sqref="Q17:Z117 D17:M117 AD17:AD117" xr:uid="{067F70E3-1328-4EC2-800C-270824F08B46}">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Normal="100" workbookViewId="0">
      <pane ySplit="15" topLeftCell="A16" activePane="bottomLeft" state="frozen"/>
      <selection pane="bottomLeft" activeCell="J6" sqref="J6"/>
      <selection activeCell="L11" sqref="L11"/>
    </sheetView>
  </sheetViews>
  <sheetFormatPr defaultColWidth="0" defaultRowHeight="16.5" zeroHeight="1"/>
  <cols>
    <col min="1" max="1" width="3.7109375" style="2" customWidth="1"/>
    <col min="2" max="2" width="3.7109375" style="11" customWidth="1"/>
    <col min="3" max="3" width="15.7109375" style="2" customWidth="1"/>
    <col min="4" max="4" width="20.7109375" style="2" customWidth="1"/>
    <col min="5" max="9" width="15.7109375" style="2" customWidth="1"/>
    <col min="10" max="10" width="19.7109375" style="2" customWidth="1"/>
    <col min="11" max="11" width="3.7109375" style="2" customWidth="1"/>
    <col min="12" max="16384" width="9.140625" style="2" hidden="1"/>
  </cols>
  <sheetData>
    <row r="1" spans="2:10"/>
    <row r="2" spans="2:10" ht="23.25">
      <c r="B2" s="9" t="s">
        <v>157</v>
      </c>
      <c r="C2" s="10"/>
      <c r="D2" s="10"/>
      <c r="E2" s="10"/>
      <c r="F2" s="10"/>
      <c r="G2" s="10"/>
      <c r="H2" s="10"/>
      <c r="I2" s="10"/>
      <c r="J2" s="10"/>
    </row>
    <row r="3" spans="2:10" ht="23.25">
      <c r="B3" s="9" t="s">
        <v>144</v>
      </c>
      <c r="C3" s="10"/>
      <c r="D3" s="10"/>
      <c r="E3" s="10"/>
      <c r="F3" s="10"/>
      <c r="G3" s="10"/>
      <c r="H3" s="10"/>
      <c r="I3" s="10"/>
      <c r="J3" s="10"/>
    </row>
    <row r="4" spans="2:10"/>
    <row r="5" spans="2:10">
      <c r="D5" s="46" t="s">
        <v>7</v>
      </c>
      <c r="E5" s="47" t="str">
        <f>UPPER('INPUT DATA'!F10)</f>
        <v xml:space="preserve">CAR </v>
      </c>
      <c r="F5" s="46" t="s">
        <v>10</v>
      </c>
      <c r="G5" s="41" t="str">
        <f>UPPER('INPUT DATA'!F11)</f>
        <v/>
      </c>
      <c r="H5" s="46" t="s">
        <v>12</v>
      </c>
      <c r="I5" s="41" t="str">
        <f>IF('INPUT DATA'!F13="","",'INPUT DATA'!F13)</f>
        <v/>
      </c>
    </row>
    <row r="6" spans="2:10">
      <c r="D6" s="46" t="s">
        <v>14</v>
      </c>
      <c r="E6" s="807" t="str">
        <f>UPPER('INPUT DATA'!F14)</f>
        <v/>
      </c>
      <c r="F6" s="808"/>
      <c r="G6" s="809"/>
      <c r="H6" s="46" t="s">
        <v>16</v>
      </c>
      <c r="I6" s="41" t="str">
        <f>'INPUT DATA'!F16&amp;"    "&amp;'INPUT DATA'!G16</f>
        <v>2026    –    2027</v>
      </c>
    </row>
    <row r="7" spans="2:10"/>
    <row r="8" spans="2:10" ht="17.25" thickBot="1">
      <c r="B8" s="270"/>
      <c r="C8" s="19"/>
      <c r="D8" s="19"/>
      <c r="E8" s="19"/>
    </row>
    <row r="9" spans="2:10" ht="18.75" customHeight="1">
      <c r="B9" s="16"/>
      <c r="C9" s="508" t="s">
        <v>23</v>
      </c>
      <c r="D9" s="814">
        <f>'INPUT DATA'!F24</f>
        <v>12</v>
      </c>
      <c r="E9" s="815"/>
      <c r="F9" s="872" t="s">
        <v>37</v>
      </c>
      <c r="G9" s="858" t="str">
        <f>UPPER(HELPER!G10)</f>
        <v>TITLE</v>
      </c>
      <c r="H9" s="858"/>
      <c r="I9" s="858"/>
      <c r="J9" s="859"/>
    </row>
    <row r="10" spans="2:10">
      <c r="B10" s="52"/>
      <c r="C10" s="509" t="s">
        <v>146</v>
      </c>
      <c r="D10" s="807" t="str">
        <f>UPPER('INPUT DATA'!F25)</f>
        <v/>
      </c>
      <c r="E10" s="808"/>
      <c r="F10" s="873"/>
      <c r="G10" s="860"/>
      <c r="H10" s="860"/>
      <c r="I10" s="860"/>
      <c r="J10" s="861"/>
    </row>
    <row r="11" spans="2:10">
      <c r="B11" s="251"/>
      <c r="C11" s="510"/>
      <c r="D11" s="807"/>
      <c r="E11" s="808"/>
      <c r="F11" s="850" t="s">
        <v>147</v>
      </c>
      <c r="G11" s="878" t="str">
        <f>'INPUT DATA'!F29</f>
        <v>ACADEMIC TRACK (EXCEPT IMMERSION)</v>
      </c>
      <c r="H11" s="878"/>
      <c r="I11" s="878"/>
      <c r="J11" s="879"/>
    </row>
    <row r="12" spans="2:10" ht="15" customHeight="1">
      <c r="B12" s="52"/>
      <c r="C12" s="511" t="s">
        <v>21</v>
      </c>
      <c r="D12" s="868" t="str">
        <f>UPPER('INPUT DATA'!F22)</f>
        <v/>
      </c>
      <c r="E12" s="869"/>
      <c r="F12" s="850"/>
      <c r="G12" s="878"/>
      <c r="H12" s="878"/>
      <c r="I12" s="878"/>
      <c r="J12" s="879"/>
    </row>
    <row r="13" spans="2:10" ht="15" customHeight="1" thickBot="1">
      <c r="B13" s="51"/>
      <c r="C13" s="512"/>
      <c r="D13" s="870"/>
      <c r="E13" s="871"/>
      <c r="F13" s="505" t="s">
        <v>40</v>
      </c>
      <c r="G13" s="506">
        <f>HELPER!G22</f>
        <v>2</v>
      </c>
      <c r="H13" s="507" t="s">
        <v>158</v>
      </c>
      <c r="I13" s="876" t="str">
        <f>IFERROR(IF(G13&lt;&gt;0,HELPER!G23,""),"")</f>
        <v>1ST &amp; 2ND</v>
      </c>
      <c r="J13" s="877"/>
    </row>
    <row r="14" spans="2:10">
      <c r="B14" s="862" t="s">
        <v>44</v>
      </c>
      <c r="C14" s="863"/>
      <c r="D14" s="864"/>
      <c r="E14" s="851" t="s">
        <v>159</v>
      </c>
      <c r="F14" s="852"/>
      <c r="G14" s="853"/>
      <c r="H14" s="854" t="s">
        <v>160</v>
      </c>
      <c r="I14" s="874" t="s">
        <v>161</v>
      </c>
      <c r="J14" s="856" t="s">
        <v>162</v>
      </c>
    </row>
    <row r="15" spans="2:10" ht="15" customHeight="1" thickBot="1">
      <c r="B15" s="865"/>
      <c r="C15" s="866"/>
      <c r="D15" s="867"/>
      <c r="E15" s="39" t="s">
        <v>163</v>
      </c>
      <c r="F15" s="15" t="s">
        <v>164</v>
      </c>
      <c r="G15" s="14" t="s">
        <v>165</v>
      </c>
      <c r="H15" s="855"/>
      <c r="I15" s="875"/>
      <c r="J15" s="857"/>
    </row>
    <row r="16" spans="2:10">
      <c r="B16" s="50" t="s">
        <v>166</v>
      </c>
      <c r="C16" s="53"/>
      <c r="D16" s="54"/>
      <c r="E16" s="380">
        <f>IF(COUNTIF('FINAL GRADES'!$I$13,"*1ST*"),1,0)</f>
        <v>1</v>
      </c>
      <c r="F16" s="381">
        <f>IF(COUNTIF('FINAL GRADES'!$I$13,"*2ND*"),1,0)</f>
        <v>1</v>
      </c>
      <c r="G16" s="382">
        <f>IF(COUNTIF('FINAL GRADES'!$I$13,"*3RD*"),1,0)</f>
        <v>0</v>
      </c>
      <c r="H16" s="59"/>
      <c r="I16" s="57"/>
      <c r="J16" s="57"/>
    </row>
    <row r="17" spans="2:12">
      <c r="B17" s="12">
        <v>1</v>
      </c>
      <c r="C17" s="55" t="str">
        <f>UPPER(IF('INPUT DATA'!N11="","",'INPUT DATA'!N11))</f>
        <v/>
      </c>
      <c r="D17" s="383" t="str">
        <f>UPPER(IF('INPUT DATA'!O11="","",'INPUT DATA'!O11))</f>
        <v/>
      </c>
      <c r="E17" s="56" t="str">
        <f>IF(E$16=1,IF(AND($C17&lt;&gt;"",'Term 1'!$AH17&lt;&gt;""),'Term 1'!$AH17,""),"")</f>
        <v/>
      </c>
      <c r="F17" s="615" t="str">
        <f>IF(F$16=1,IF(AND($C17&lt;&gt;"",'Term 2'!$AH17&lt;&gt;""),'Term 2'!$AH17,""),"")</f>
        <v/>
      </c>
      <c r="G17" s="616" t="str">
        <f>IF(G$16=1,IF(AND($C17&lt;&gt;"",'Term 3'!$AH17&lt;&gt;""),'Term 2'!$AH17,""),"")</f>
        <v/>
      </c>
      <c r="H17" s="379" t="str">
        <f>IF(OR(C17="",COUNT(E17:G17)&lt;&gt;$G$13),"",ROUND(AVERAGE(E17:G17),0))</f>
        <v/>
      </c>
      <c r="I17" s="378" t="str">
        <f>IF(H17="","",_xlfn.XLOOKUP(H17,HELPER!$AG$7:$AG$47,HELPER!$AH$7:$AH$47))</f>
        <v/>
      </c>
      <c r="J17" s="58" t="str">
        <f>IF(H17="","",IF(H17&gt;=75,"PASSED","FAILED"))</f>
        <v/>
      </c>
      <c r="L17" s="17"/>
    </row>
    <row r="18" spans="2:12">
      <c r="B18" s="12">
        <v>2</v>
      </c>
      <c r="C18" s="55" t="str">
        <f>UPPER(IF('INPUT DATA'!N12="","",'INPUT DATA'!N12))</f>
        <v/>
      </c>
      <c r="D18" s="383" t="str">
        <f>UPPER(IF('INPUT DATA'!O12="","",'INPUT DATA'!O12))</f>
        <v/>
      </c>
      <c r="E18" s="56" t="str">
        <f>IF(E$16=1,IF(AND($C18&lt;&gt;"",'Term 1'!$AH18&lt;&gt;""),'Term 1'!$AH18,""),"")</f>
        <v/>
      </c>
      <c r="F18" s="615" t="str">
        <f>IF(F$16=1,IF(AND($C18&lt;&gt;"",'Term 2'!$AH18&lt;&gt;""),'Term 2'!$AH18,""),"")</f>
        <v/>
      </c>
      <c r="G18" s="616" t="str">
        <f>IF(G$16=1,IF(AND($C18&lt;&gt;"",'Term 3'!$AH18&lt;&gt;""),'Term 2'!$AH18,""),"")</f>
        <v/>
      </c>
      <c r="H18" s="379" t="str">
        <f t="shared" ref="H18:H66" si="0">IF(OR(C18="",COUNT(E18:G18)&lt;&gt;$G$13),"",ROUND(AVERAGE(E18:G18),0))</f>
        <v/>
      </c>
      <c r="I18" s="378" t="str">
        <f>IF(H18="","",_xlfn.XLOOKUP(H18,HELPER!$AG$7:$AG$47,HELPER!$AH$7:$AH$47))</f>
        <v/>
      </c>
      <c r="J18" s="58" t="str">
        <f t="shared" ref="J18:J66" si="1">IF(H18="","",IF(H18&gt;=75,"PASSED","FAILED"))</f>
        <v/>
      </c>
    </row>
    <row r="19" spans="2:12">
      <c r="B19" s="12">
        <v>3</v>
      </c>
      <c r="C19" s="55" t="str">
        <f>UPPER(IF('INPUT DATA'!N13="","",'INPUT DATA'!N13))</f>
        <v/>
      </c>
      <c r="D19" s="383" t="str">
        <f>UPPER(IF('INPUT DATA'!O13="","",'INPUT DATA'!O13))</f>
        <v/>
      </c>
      <c r="E19" s="56" t="str">
        <f>IF(E$16=1,IF(AND($C19&lt;&gt;"",'Term 1'!$AH19&lt;&gt;""),'Term 1'!$AH19,""),"")</f>
        <v/>
      </c>
      <c r="F19" s="615" t="str">
        <f>IF(F$16=1,IF(AND($C19&lt;&gt;"",'Term 2'!$AH19&lt;&gt;""),'Term 2'!$AH19,""),"")</f>
        <v/>
      </c>
      <c r="G19" s="616" t="str">
        <f>IF(G$16=1,IF(AND($C19&lt;&gt;"",'Term 3'!$AH19&lt;&gt;""),'Term 2'!$AH19,""),"")</f>
        <v/>
      </c>
      <c r="H19" s="379" t="str">
        <f t="shared" si="0"/>
        <v/>
      </c>
      <c r="I19" s="378" t="str">
        <f>IF(H19="","",_xlfn.XLOOKUP(H19,HELPER!$AG$7:$AG$47,HELPER!$AH$7:$AH$47))</f>
        <v/>
      </c>
      <c r="J19" s="58" t="str">
        <f t="shared" si="1"/>
        <v/>
      </c>
    </row>
    <row r="20" spans="2:12">
      <c r="B20" s="12">
        <v>4</v>
      </c>
      <c r="C20" s="55" t="str">
        <f>UPPER(IF('INPUT DATA'!N14="","",'INPUT DATA'!N14))</f>
        <v/>
      </c>
      <c r="D20" s="383" t="str">
        <f>UPPER(IF('INPUT DATA'!O14="","",'INPUT DATA'!O14))</f>
        <v/>
      </c>
      <c r="E20" s="56" t="str">
        <f>IF(E$16=1,IF(AND($C20&lt;&gt;"",'Term 1'!$AH20&lt;&gt;""),'Term 1'!$AH20,""),"")</f>
        <v/>
      </c>
      <c r="F20" s="615" t="str">
        <f>IF(F$16=1,IF(AND($C20&lt;&gt;"",'Term 2'!$AH20&lt;&gt;""),'Term 2'!$AH20,""),"")</f>
        <v/>
      </c>
      <c r="G20" s="616" t="str">
        <f>IF(G$16=1,IF(AND($C20&lt;&gt;"",'Term 3'!$AH20&lt;&gt;""),'Term 2'!$AH20,""),"")</f>
        <v/>
      </c>
      <c r="H20" s="379" t="str">
        <f t="shared" si="0"/>
        <v/>
      </c>
      <c r="I20" s="378" t="str">
        <f>IF(H20="","",_xlfn.XLOOKUP(H20,HELPER!$AG$7:$AG$47,HELPER!$AH$7:$AH$47))</f>
        <v/>
      </c>
      <c r="J20" s="58" t="str">
        <f t="shared" si="1"/>
        <v/>
      </c>
    </row>
    <row r="21" spans="2:12">
      <c r="B21" s="12">
        <v>5</v>
      </c>
      <c r="C21" s="55" t="str">
        <f>UPPER(IF('INPUT DATA'!N15="","",'INPUT DATA'!N15))</f>
        <v/>
      </c>
      <c r="D21" s="383" t="str">
        <f>UPPER(IF('INPUT DATA'!O15="","",'INPUT DATA'!O15))</f>
        <v/>
      </c>
      <c r="E21" s="56" t="str">
        <f>IF(E$16=1,IF(AND($C21&lt;&gt;"",'Term 1'!$AH21&lt;&gt;""),'Term 1'!$AH21,""),"")</f>
        <v/>
      </c>
      <c r="F21" s="615" t="str">
        <f>IF(F$16=1,IF(AND($C21&lt;&gt;"",'Term 2'!$AH21&lt;&gt;""),'Term 2'!$AH21,""),"")</f>
        <v/>
      </c>
      <c r="G21" s="616" t="str">
        <f>IF(G$16=1,IF(AND($C21&lt;&gt;"",'Term 3'!$AH21&lt;&gt;""),'Term 2'!$AH21,""),"")</f>
        <v/>
      </c>
      <c r="H21" s="379" t="str">
        <f t="shared" si="0"/>
        <v/>
      </c>
      <c r="I21" s="378" t="str">
        <f>IF(H21="","",_xlfn.XLOOKUP(H21,HELPER!$AG$7:$AG$47,HELPER!$AH$7:$AH$47))</f>
        <v/>
      </c>
      <c r="J21" s="58" t="str">
        <f t="shared" si="1"/>
        <v/>
      </c>
    </row>
    <row r="22" spans="2:12">
      <c r="B22" s="12">
        <v>6</v>
      </c>
      <c r="C22" s="55" t="str">
        <f>UPPER(IF('INPUT DATA'!N16="","",'INPUT DATA'!N16))</f>
        <v/>
      </c>
      <c r="D22" s="383" t="str">
        <f>UPPER(IF('INPUT DATA'!O16="","",'INPUT DATA'!O16))</f>
        <v/>
      </c>
      <c r="E22" s="56" t="str">
        <f>IF(E$16=1,IF(AND($C22&lt;&gt;"",'Term 1'!$AH22&lt;&gt;""),'Term 1'!$AH22,""),"")</f>
        <v/>
      </c>
      <c r="F22" s="615" t="str">
        <f>IF(F$16=1,IF(AND($C22&lt;&gt;"",'Term 2'!$AH22&lt;&gt;""),'Term 2'!$AH22,""),"")</f>
        <v/>
      </c>
      <c r="G22" s="616" t="str">
        <f>IF(G$16=1,IF(AND($C22&lt;&gt;"",'Term 3'!$AH22&lt;&gt;""),'Term 2'!$AH22,""),"")</f>
        <v/>
      </c>
      <c r="H22" s="379" t="str">
        <f t="shared" si="0"/>
        <v/>
      </c>
      <c r="I22" s="378" t="str">
        <f>IF(H22="","",_xlfn.XLOOKUP(H22,HELPER!$AG$7:$AG$47,HELPER!$AH$7:$AH$47))</f>
        <v/>
      </c>
      <c r="J22" s="58" t="str">
        <f t="shared" si="1"/>
        <v/>
      </c>
    </row>
    <row r="23" spans="2:12">
      <c r="B23" s="12">
        <v>7</v>
      </c>
      <c r="C23" s="55" t="str">
        <f>UPPER(IF('INPUT DATA'!N17="","",'INPUT DATA'!N17))</f>
        <v/>
      </c>
      <c r="D23" s="383" t="str">
        <f>UPPER(IF('INPUT DATA'!O17="","",'INPUT DATA'!O17))</f>
        <v/>
      </c>
      <c r="E23" s="56" t="str">
        <f>IF(E$16=1,IF(AND($C23&lt;&gt;"",'Term 1'!$AH23&lt;&gt;""),'Term 1'!$AH23,""),"")</f>
        <v/>
      </c>
      <c r="F23" s="615" t="str">
        <f>IF(F$16=1,IF(AND($C23&lt;&gt;"",'Term 2'!$AH23&lt;&gt;""),'Term 2'!$AH23,""),"")</f>
        <v/>
      </c>
      <c r="G23" s="616" t="str">
        <f>IF(G$16=1,IF(AND($C23&lt;&gt;"",'Term 3'!$AH23&lt;&gt;""),'Term 2'!$AH23,""),"")</f>
        <v/>
      </c>
      <c r="H23" s="379" t="str">
        <f t="shared" si="0"/>
        <v/>
      </c>
      <c r="I23" s="378" t="str">
        <f>IF(H23="","",_xlfn.XLOOKUP(H23,HELPER!$AG$7:$AG$47,HELPER!$AH$7:$AH$47))</f>
        <v/>
      </c>
      <c r="J23" s="58" t="str">
        <f t="shared" si="1"/>
        <v/>
      </c>
    </row>
    <row r="24" spans="2:12">
      <c r="B24" s="12">
        <v>8</v>
      </c>
      <c r="C24" s="55" t="str">
        <f>UPPER(IF('INPUT DATA'!N18="","",'INPUT DATA'!N18))</f>
        <v/>
      </c>
      <c r="D24" s="383" t="str">
        <f>UPPER(IF('INPUT DATA'!O18="","",'INPUT DATA'!O18))</f>
        <v/>
      </c>
      <c r="E24" s="56" t="str">
        <f>IF(E$16=1,IF(AND($C24&lt;&gt;"",'Term 1'!$AH24&lt;&gt;""),'Term 1'!$AH24,""),"")</f>
        <v/>
      </c>
      <c r="F24" s="615" t="str">
        <f>IF(F$16=1,IF(AND($C24&lt;&gt;"",'Term 2'!$AH24&lt;&gt;""),'Term 2'!$AH24,""),"")</f>
        <v/>
      </c>
      <c r="G24" s="616" t="str">
        <f>IF(G$16=1,IF(AND($C24&lt;&gt;"",'Term 3'!$AH24&lt;&gt;""),'Term 2'!$AH24,""),"")</f>
        <v/>
      </c>
      <c r="H24" s="379" t="str">
        <f t="shared" si="0"/>
        <v/>
      </c>
      <c r="I24" s="378" t="str">
        <f>IF(H24="","",_xlfn.XLOOKUP(H24,HELPER!$AG$7:$AG$47,HELPER!$AH$7:$AH$47))</f>
        <v/>
      </c>
      <c r="J24" s="58" t="str">
        <f t="shared" si="1"/>
        <v/>
      </c>
    </row>
    <row r="25" spans="2:12">
      <c r="B25" s="12">
        <v>9</v>
      </c>
      <c r="C25" s="55" t="str">
        <f>UPPER(IF('INPUT DATA'!N19="","",'INPUT DATA'!N19))</f>
        <v/>
      </c>
      <c r="D25" s="383" t="str">
        <f>UPPER(IF('INPUT DATA'!O19="","",'INPUT DATA'!O19))</f>
        <v/>
      </c>
      <c r="E25" s="56" t="str">
        <f>IF(E$16=1,IF(AND($C25&lt;&gt;"",'Term 1'!$AH25&lt;&gt;""),'Term 1'!$AH25,""),"")</f>
        <v/>
      </c>
      <c r="F25" s="615" t="str">
        <f>IF(F$16=1,IF(AND($C25&lt;&gt;"",'Term 2'!$AH25&lt;&gt;""),'Term 2'!$AH25,""),"")</f>
        <v/>
      </c>
      <c r="G25" s="616" t="str">
        <f>IF(G$16=1,IF(AND($C25&lt;&gt;"",'Term 3'!$AH25&lt;&gt;""),'Term 2'!$AH25,""),"")</f>
        <v/>
      </c>
      <c r="H25" s="379" t="str">
        <f t="shared" si="0"/>
        <v/>
      </c>
      <c r="I25" s="378" t="str">
        <f>IF(H25="","",_xlfn.XLOOKUP(H25,HELPER!$AG$7:$AG$47,HELPER!$AH$7:$AH$47))</f>
        <v/>
      </c>
      <c r="J25" s="58" t="str">
        <f t="shared" si="1"/>
        <v/>
      </c>
    </row>
    <row r="26" spans="2:12">
      <c r="B26" s="12">
        <v>10</v>
      </c>
      <c r="C26" s="55" t="str">
        <f>UPPER(IF('INPUT DATA'!N20="","",'INPUT DATA'!N20))</f>
        <v/>
      </c>
      <c r="D26" s="383" t="str">
        <f>UPPER(IF('INPUT DATA'!O20="","",'INPUT DATA'!O20))</f>
        <v/>
      </c>
      <c r="E26" s="56" t="str">
        <f>IF(E$16=1,IF(AND($C26&lt;&gt;"",'Term 1'!$AH26&lt;&gt;""),'Term 1'!$AH26,""),"")</f>
        <v/>
      </c>
      <c r="F26" s="615" t="str">
        <f>IF(F$16=1,IF(AND($C26&lt;&gt;"",'Term 2'!$AH26&lt;&gt;""),'Term 2'!$AH26,""),"")</f>
        <v/>
      </c>
      <c r="G26" s="616" t="str">
        <f>IF(G$16=1,IF(AND($C26&lt;&gt;"",'Term 3'!$AH26&lt;&gt;""),'Term 2'!$AH26,""),"")</f>
        <v/>
      </c>
      <c r="H26" s="379" t="str">
        <f t="shared" si="0"/>
        <v/>
      </c>
      <c r="I26" s="378" t="str">
        <f>IF(H26="","",_xlfn.XLOOKUP(H26,HELPER!$AG$7:$AG$47,HELPER!$AH$7:$AH$47))</f>
        <v/>
      </c>
      <c r="J26" s="58" t="str">
        <f t="shared" si="1"/>
        <v/>
      </c>
    </row>
    <row r="27" spans="2:12">
      <c r="B27" s="12">
        <v>11</v>
      </c>
      <c r="C27" s="55" t="str">
        <f>UPPER(IF('INPUT DATA'!N21="","",'INPUT DATA'!N21))</f>
        <v/>
      </c>
      <c r="D27" s="383" t="str">
        <f>UPPER(IF('INPUT DATA'!O21="","",'INPUT DATA'!O21))</f>
        <v/>
      </c>
      <c r="E27" s="56" t="str">
        <f>IF(E$16=1,IF(AND($C27&lt;&gt;"",'Term 1'!$AH27&lt;&gt;""),'Term 1'!$AH27,""),"")</f>
        <v/>
      </c>
      <c r="F27" s="615" t="str">
        <f>IF(F$16=1,IF(AND($C27&lt;&gt;"",'Term 2'!$AH27&lt;&gt;""),'Term 2'!$AH27,""),"")</f>
        <v/>
      </c>
      <c r="G27" s="616" t="str">
        <f>IF(G$16=1,IF(AND($C27&lt;&gt;"",'Term 3'!$AH27&lt;&gt;""),'Term 2'!$AH27,""),"")</f>
        <v/>
      </c>
      <c r="H27" s="379" t="str">
        <f t="shared" si="0"/>
        <v/>
      </c>
      <c r="I27" s="378" t="str">
        <f>IF(H27="","",_xlfn.XLOOKUP(H27,HELPER!$AG$7:$AG$47,HELPER!$AH$7:$AH$47))</f>
        <v/>
      </c>
      <c r="J27" s="58" t="str">
        <f t="shared" si="1"/>
        <v/>
      </c>
    </row>
    <row r="28" spans="2:12">
      <c r="B28" s="12">
        <v>12</v>
      </c>
      <c r="C28" s="55" t="str">
        <f>UPPER(IF('INPUT DATA'!N22="","",'INPUT DATA'!N22))</f>
        <v/>
      </c>
      <c r="D28" s="383" t="str">
        <f>UPPER(IF('INPUT DATA'!O22="","",'INPUT DATA'!O22))</f>
        <v/>
      </c>
      <c r="E28" s="56" t="str">
        <f>IF(E$16=1,IF(AND($C28&lt;&gt;"",'Term 1'!$AH28&lt;&gt;""),'Term 1'!$AH28,""),"")</f>
        <v/>
      </c>
      <c r="F28" s="615" t="str">
        <f>IF(F$16=1,IF(AND($C28&lt;&gt;"",'Term 2'!$AH28&lt;&gt;""),'Term 2'!$AH28,""),"")</f>
        <v/>
      </c>
      <c r="G28" s="616" t="str">
        <f>IF(G$16=1,IF(AND($C28&lt;&gt;"",'Term 3'!$AH28&lt;&gt;""),'Term 2'!$AH28,""),"")</f>
        <v/>
      </c>
      <c r="H28" s="379" t="str">
        <f t="shared" si="0"/>
        <v/>
      </c>
      <c r="I28" s="378" t="str">
        <f>IF(H28="","",_xlfn.XLOOKUP(H28,HELPER!$AG$7:$AG$47,HELPER!$AH$7:$AH$47))</f>
        <v/>
      </c>
      <c r="J28" s="58" t="str">
        <f t="shared" si="1"/>
        <v/>
      </c>
    </row>
    <row r="29" spans="2:12">
      <c r="B29" s="12">
        <v>13</v>
      </c>
      <c r="C29" s="55" t="str">
        <f>UPPER(IF('INPUT DATA'!N23="","",'INPUT DATA'!N23))</f>
        <v/>
      </c>
      <c r="D29" s="383" t="str">
        <f>UPPER(IF('INPUT DATA'!O23="","",'INPUT DATA'!O23))</f>
        <v/>
      </c>
      <c r="E29" s="56" t="str">
        <f>IF(E$16=1,IF(AND($C29&lt;&gt;"",'Term 1'!$AH29&lt;&gt;""),'Term 1'!$AH29,""),"")</f>
        <v/>
      </c>
      <c r="F29" s="615" t="str">
        <f>IF(F$16=1,IF(AND($C29&lt;&gt;"",'Term 2'!$AH29&lt;&gt;""),'Term 2'!$AH29,""),"")</f>
        <v/>
      </c>
      <c r="G29" s="616" t="str">
        <f>IF(G$16=1,IF(AND($C29&lt;&gt;"",'Term 3'!$AH29&lt;&gt;""),'Term 2'!$AH29,""),"")</f>
        <v/>
      </c>
      <c r="H29" s="379" t="str">
        <f t="shared" si="0"/>
        <v/>
      </c>
      <c r="I29" s="378" t="str">
        <f>IF(H29="","",_xlfn.XLOOKUP(H29,HELPER!$AG$7:$AG$47,HELPER!$AH$7:$AH$47))</f>
        <v/>
      </c>
      <c r="J29" s="58" t="str">
        <f t="shared" si="1"/>
        <v/>
      </c>
    </row>
    <row r="30" spans="2:12">
      <c r="B30" s="12">
        <v>14</v>
      </c>
      <c r="C30" s="55" t="str">
        <f>UPPER(IF('INPUT DATA'!N24="","",'INPUT DATA'!N24))</f>
        <v/>
      </c>
      <c r="D30" s="383" t="str">
        <f>UPPER(IF('INPUT DATA'!O24="","",'INPUT DATA'!O24))</f>
        <v/>
      </c>
      <c r="E30" s="56" t="str">
        <f>IF(E$16=1,IF(AND($C30&lt;&gt;"",'Term 1'!$AH30&lt;&gt;""),'Term 1'!$AH30,""),"")</f>
        <v/>
      </c>
      <c r="F30" s="615" t="str">
        <f>IF(F$16=1,IF(AND($C30&lt;&gt;"",'Term 2'!$AH30&lt;&gt;""),'Term 2'!$AH30,""),"")</f>
        <v/>
      </c>
      <c r="G30" s="616" t="str">
        <f>IF(G$16=1,IF(AND($C30&lt;&gt;"",'Term 3'!$AH30&lt;&gt;""),'Term 2'!$AH30,""),"")</f>
        <v/>
      </c>
      <c r="H30" s="379" t="str">
        <f t="shared" si="0"/>
        <v/>
      </c>
      <c r="I30" s="378" t="str">
        <f>IF(H30="","",_xlfn.XLOOKUP(H30,HELPER!$AG$7:$AG$47,HELPER!$AH$7:$AH$47))</f>
        <v/>
      </c>
      <c r="J30" s="58" t="str">
        <f t="shared" si="1"/>
        <v/>
      </c>
    </row>
    <row r="31" spans="2:12">
      <c r="B31" s="12">
        <v>15</v>
      </c>
      <c r="C31" s="55" t="str">
        <f>UPPER(IF('INPUT DATA'!N25="","",'INPUT DATA'!N25))</f>
        <v/>
      </c>
      <c r="D31" s="383" t="str">
        <f>UPPER(IF('INPUT DATA'!O25="","",'INPUT DATA'!O25))</f>
        <v/>
      </c>
      <c r="E31" s="56" t="str">
        <f>IF(E$16=1,IF(AND($C31&lt;&gt;"",'Term 1'!$AH31&lt;&gt;""),'Term 1'!$AH31,""),"")</f>
        <v/>
      </c>
      <c r="F31" s="615" t="str">
        <f>IF(F$16=1,IF(AND($C31&lt;&gt;"",'Term 2'!$AH31&lt;&gt;""),'Term 2'!$AH31,""),"")</f>
        <v/>
      </c>
      <c r="G31" s="616" t="str">
        <f>IF(G$16=1,IF(AND($C31&lt;&gt;"",'Term 3'!$AH31&lt;&gt;""),'Term 2'!$AH31,""),"")</f>
        <v/>
      </c>
      <c r="H31" s="379" t="str">
        <f t="shared" si="0"/>
        <v/>
      </c>
      <c r="I31" s="378" t="str">
        <f>IF(H31="","",_xlfn.XLOOKUP(H31,HELPER!$AG$7:$AG$47,HELPER!$AH$7:$AH$47))</f>
        <v/>
      </c>
      <c r="J31" s="58" t="str">
        <f t="shared" si="1"/>
        <v/>
      </c>
    </row>
    <row r="32" spans="2:12">
      <c r="B32" s="12">
        <v>16</v>
      </c>
      <c r="C32" s="55" t="str">
        <f>UPPER(IF('INPUT DATA'!N26="","",'INPUT DATA'!N26))</f>
        <v/>
      </c>
      <c r="D32" s="383" t="str">
        <f>UPPER(IF('INPUT DATA'!O26="","",'INPUT DATA'!O26))</f>
        <v/>
      </c>
      <c r="E32" s="56" t="str">
        <f>IF(E$16=1,IF(AND($C32&lt;&gt;"",'Term 1'!$AH32&lt;&gt;""),'Term 1'!$AH32,""),"")</f>
        <v/>
      </c>
      <c r="F32" s="615" t="str">
        <f>IF(F$16=1,IF(AND($C32&lt;&gt;"",'Term 2'!$AH32&lt;&gt;""),'Term 2'!$AH32,""),"")</f>
        <v/>
      </c>
      <c r="G32" s="616" t="str">
        <f>IF(G$16=1,IF(AND($C32&lt;&gt;"",'Term 3'!$AH32&lt;&gt;""),'Term 2'!$AH32,""),"")</f>
        <v/>
      </c>
      <c r="H32" s="379" t="str">
        <f t="shared" si="0"/>
        <v/>
      </c>
      <c r="I32" s="378" t="str">
        <f>IF(H32="","",_xlfn.XLOOKUP(H32,HELPER!$AG$7:$AG$47,HELPER!$AH$7:$AH$47))</f>
        <v/>
      </c>
      <c r="J32" s="58" t="str">
        <f t="shared" si="1"/>
        <v/>
      </c>
    </row>
    <row r="33" spans="2:10">
      <c r="B33" s="12">
        <v>17</v>
      </c>
      <c r="C33" s="55" t="str">
        <f>UPPER(IF('INPUT DATA'!N27="","",'INPUT DATA'!N27))</f>
        <v/>
      </c>
      <c r="D33" s="383" t="str">
        <f>UPPER(IF('INPUT DATA'!O27="","",'INPUT DATA'!O27))</f>
        <v/>
      </c>
      <c r="E33" s="56" t="str">
        <f>IF(E$16=1,IF(AND($C33&lt;&gt;"",'Term 1'!$AH33&lt;&gt;""),'Term 1'!$AH33,""),"")</f>
        <v/>
      </c>
      <c r="F33" s="615" t="str">
        <f>IF(F$16=1,IF(AND($C33&lt;&gt;"",'Term 2'!$AH33&lt;&gt;""),'Term 2'!$AH33,""),"")</f>
        <v/>
      </c>
      <c r="G33" s="616" t="str">
        <f>IF(G$16=1,IF(AND($C33&lt;&gt;"",'Term 3'!$AH33&lt;&gt;""),'Term 2'!$AH33,""),"")</f>
        <v/>
      </c>
      <c r="H33" s="379" t="str">
        <f t="shared" si="0"/>
        <v/>
      </c>
      <c r="I33" s="378" t="str">
        <f>IF(H33="","",_xlfn.XLOOKUP(H33,HELPER!$AG$7:$AG$47,HELPER!$AH$7:$AH$47))</f>
        <v/>
      </c>
      <c r="J33" s="58" t="str">
        <f t="shared" si="1"/>
        <v/>
      </c>
    </row>
    <row r="34" spans="2:10">
      <c r="B34" s="12">
        <v>18</v>
      </c>
      <c r="C34" s="55" t="str">
        <f>UPPER(IF('INPUT DATA'!N28="","",'INPUT DATA'!N28))</f>
        <v/>
      </c>
      <c r="D34" s="383" t="str">
        <f>UPPER(IF('INPUT DATA'!O28="","",'INPUT DATA'!O28))</f>
        <v/>
      </c>
      <c r="E34" s="56" t="str">
        <f>IF(E$16=1,IF(AND($C34&lt;&gt;"",'Term 1'!$AH34&lt;&gt;""),'Term 1'!$AH34,""),"")</f>
        <v/>
      </c>
      <c r="F34" s="615" t="str">
        <f>IF(F$16=1,IF(AND($C34&lt;&gt;"",'Term 2'!$AH34&lt;&gt;""),'Term 2'!$AH34,""),"")</f>
        <v/>
      </c>
      <c r="G34" s="616" t="str">
        <f>IF(G$16=1,IF(AND($C34&lt;&gt;"",'Term 3'!$AH34&lt;&gt;""),'Term 2'!$AH34,""),"")</f>
        <v/>
      </c>
      <c r="H34" s="379" t="str">
        <f t="shared" si="0"/>
        <v/>
      </c>
      <c r="I34" s="378" t="str">
        <f>IF(H34="","",_xlfn.XLOOKUP(H34,HELPER!$AG$7:$AG$47,HELPER!$AH$7:$AH$47))</f>
        <v/>
      </c>
      <c r="J34" s="58" t="str">
        <f t="shared" si="1"/>
        <v/>
      </c>
    </row>
    <row r="35" spans="2:10">
      <c r="B35" s="12">
        <v>19</v>
      </c>
      <c r="C35" s="55" t="str">
        <f>UPPER(IF('INPUT DATA'!N29="","",'INPUT DATA'!N29))</f>
        <v/>
      </c>
      <c r="D35" s="383" t="str">
        <f>UPPER(IF('INPUT DATA'!O29="","",'INPUT DATA'!O29))</f>
        <v/>
      </c>
      <c r="E35" s="56" t="str">
        <f>IF(E$16=1,IF(AND($C35&lt;&gt;"",'Term 1'!$AH35&lt;&gt;""),'Term 1'!$AH35,""),"")</f>
        <v/>
      </c>
      <c r="F35" s="615" t="str">
        <f>IF(F$16=1,IF(AND($C35&lt;&gt;"",'Term 2'!$AH35&lt;&gt;""),'Term 2'!$AH35,""),"")</f>
        <v/>
      </c>
      <c r="G35" s="616" t="str">
        <f>IF(G$16=1,IF(AND($C35&lt;&gt;"",'Term 3'!$AH35&lt;&gt;""),'Term 2'!$AH35,""),"")</f>
        <v/>
      </c>
      <c r="H35" s="379" t="str">
        <f t="shared" si="0"/>
        <v/>
      </c>
      <c r="I35" s="378" t="str">
        <f>IF(H35="","",_xlfn.XLOOKUP(H35,HELPER!$AG$7:$AG$47,HELPER!$AH$7:$AH$47))</f>
        <v/>
      </c>
      <c r="J35" s="58" t="str">
        <f t="shared" si="1"/>
        <v/>
      </c>
    </row>
    <row r="36" spans="2:10">
      <c r="B36" s="12">
        <v>20</v>
      </c>
      <c r="C36" s="55" t="str">
        <f>UPPER(IF('INPUT DATA'!N30="","",'INPUT DATA'!N30))</f>
        <v/>
      </c>
      <c r="D36" s="383" t="str">
        <f>UPPER(IF('INPUT DATA'!O30="","",'INPUT DATA'!O30))</f>
        <v/>
      </c>
      <c r="E36" s="56" t="str">
        <f>IF(E$16=1,IF(AND($C36&lt;&gt;"",'Term 1'!$AH36&lt;&gt;""),'Term 1'!$AH36,""),"")</f>
        <v/>
      </c>
      <c r="F36" s="615" t="str">
        <f>IF(F$16=1,IF(AND($C36&lt;&gt;"",'Term 2'!$AH36&lt;&gt;""),'Term 2'!$AH36,""),"")</f>
        <v/>
      </c>
      <c r="G36" s="616" t="str">
        <f>IF(G$16=1,IF(AND($C36&lt;&gt;"",'Term 3'!$AH36&lt;&gt;""),'Term 2'!$AH36,""),"")</f>
        <v/>
      </c>
      <c r="H36" s="379" t="str">
        <f t="shared" si="0"/>
        <v/>
      </c>
      <c r="I36" s="378" t="str">
        <f>IF(H36="","",_xlfn.XLOOKUP(H36,HELPER!$AG$7:$AG$47,HELPER!$AH$7:$AH$47))</f>
        <v/>
      </c>
      <c r="J36" s="58" t="str">
        <f t="shared" si="1"/>
        <v/>
      </c>
    </row>
    <row r="37" spans="2:10">
      <c r="B37" s="12">
        <v>21</v>
      </c>
      <c r="C37" s="55" t="str">
        <f>UPPER(IF('INPUT DATA'!N31="","",'INPUT DATA'!N31))</f>
        <v/>
      </c>
      <c r="D37" s="383" t="str">
        <f>UPPER(IF('INPUT DATA'!O31="","",'INPUT DATA'!O31))</f>
        <v/>
      </c>
      <c r="E37" s="56" t="str">
        <f>IF(E$16=1,IF(AND($C37&lt;&gt;"",'Term 1'!$AH37&lt;&gt;""),'Term 1'!$AH37,""),"")</f>
        <v/>
      </c>
      <c r="F37" s="615" t="str">
        <f>IF(F$16=1,IF(AND($C37&lt;&gt;"",'Term 2'!$AH37&lt;&gt;""),'Term 2'!$AH37,""),"")</f>
        <v/>
      </c>
      <c r="G37" s="616" t="str">
        <f>IF(G$16=1,IF(AND($C37&lt;&gt;"",'Term 3'!$AH37&lt;&gt;""),'Term 2'!$AH37,""),"")</f>
        <v/>
      </c>
      <c r="H37" s="379" t="str">
        <f t="shared" si="0"/>
        <v/>
      </c>
      <c r="I37" s="378" t="str">
        <f>IF(H37="","",_xlfn.XLOOKUP(H37,HELPER!$AG$7:$AG$47,HELPER!$AH$7:$AH$47))</f>
        <v/>
      </c>
      <c r="J37" s="58" t="str">
        <f t="shared" si="1"/>
        <v/>
      </c>
    </row>
    <row r="38" spans="2:10">
      <c r="B38" s="12">
        <v>22</v>
      </c>
      <c r="C38" s="55" t="str">
        <f>UPPER(IF('INPUT DATA'!N32="","",'INPUT DATA'!N32))</f>
        <v/>
      </c>
      <c r="D38" s="383" t="str">
        <f>UPPER(IF('INPUT DATA'!O32="","",'INPUT DATA'!O32))</f>
        <v/>
      </c>
      <c r="E38" s="56" t="str">
        <f>IF(E$16=1,IF(AND($C38&lt;&gt;"",'Term 1'!$AH38&lt;&gt;""),'Term 1'!$AH38,""),"")</f>
        <v/>
      </c>
      <c r="F38" s="615" t="str">
        <f>IF(F$16=1,IF(AND($C38&lt;&gt;"",'Term 2'!$AH38&lt;&gt;""),'Term 2'!$AH38,""),"")</f>
        <v/>
      </c>
      <c r="G38" s="616" t="str">
        <f>IF(G$16=1,IF(AND($C38&lt;&gt;"",'Term 3'!$AH38&lt;&gt;""),'Term 2'!$AH38,""),"")</f>
        <v/>
      </c>
      <c r="H38" s="379" t="str">
        <f t="shared" si="0"/>
        <v/>
      </c>
      <c r="I38" s="378" t="str">
        <f>IF(H38="","",_xlfn.XLOOKUP(H38,HELPER!$AG$7:$AG$47,HELPER!$AH$7:$AH$47))</f>
        <v/>
      </c>
      <c r="J38" s="58" t="str">
        <f t="shared" si="1"/>
        <v/>
      </c>
    </row>
    <row r="39" spans="2:10">
      <c r="B39" s="12">
        <v>23</v>
      </c>
      <c r="C39" s="55" t="str">
        <f>UPPER(IF('INPUT DATA'!N33="","",'INPUT DATA'!N33))</f>
        <v/>
      </c>
      <c r="D39" s="383" t="str">
        <f>UPPER(IF('INPUT DATA'!O33="","",'INPUT DATA'!O33))</f>
        <v/>
      </c>
      <c r="E39" s="56" t="str">
        <f>IF(E$16=1,IF(AND($C39&lt;&gt;"",'Term 1'!$AH39&lt;&gt;""),'Term 1'!$AH39,""),"")</f>
        <v/>
      </c>
      <c r="F39" s="615" t="str">
        <f>IF(F$16=1,IF(AND($C39&lt;&gt;"",'Term 2'!$AH39&lt;&gt;""),'Term 2'!$AH39,""),"")</f>
        <v/>
      </c>
      <c r="G39" s="616" t="str">
        <f>IF(G$16=1,IF(AND($C39&lt;&gt;"",'Term 3'!$AH39&lt;&gt;""),'Term 2'!$AH39,""),"")</f>
        <v/>
      </c>
      <c r="H39" s="379" t="str">
        <f t="shared" si="0"/>
        <v/>
      </c>
      <c r="I39" s="378" t="str">
        <f>IF(H39="","",_xlfn.XLOOKUP(H39,HELPER!$AG$7:$AG$47,HELPER!$AH$7:$AH$47))</f>
        <v/>
      </c>
      <c r="J39" s="58" t="str">
        <f t="shared" si="1"/>
        <v/>
      </c>
    </row>
    <row r="40" spans="2:10">
      <c r="B40" s="12">
        <v>24</v>
      </c>
      <c r="C40" s="55" t="str">
        <f>UPPER(IF('INPUT DATA'!N34="","",'INPUT DATA'!N34))</f>
        <v/>
      </c>
      <c r="D40" s="383" t="str">
        <f>UPPER(IF('INPUT DATA'!O34="","",'INPUT DATA'!O34))</f>
        <v/>
      </c>
      <c r="E40" s="56" t="str">
        <f>IF(E$16=1,IF(AND($C40&lt;&gt;"",'Term 1'!$AH40&lt;&gt;""),'Term 1'!$AH40,""),"")</f>
        <v/>
      </c>
      <c r="F40" s="615" t="str">
        <f>IF(F$16=1,IF(AND($C40&lt;&gt;"",'Term 2'!$AH40&lt;&gt;""),'Term 2'!$AH40,""),"")</f>
        <v/>
      </c>
      <c r="G40" s="616" t="str">
        <f>IF(G$16=1,IF(AND($C40&lt;&gt;"",'Term 3'!$AH40&lt;&gt;""),'Term 2'!$AH40,""),"")</f>
        <v/>
      </c>
      <c r="H40" s="379" t="str">
        <f t="shared" si="0"/>
        <v/>
      </c>
      <c r="I40" s="378" t="str">
        <f>IF(H40="","",_xlfn.XLOOKUP(H40,HELPER!$AG$7:$AG$47,HELPER!$AH$7:$AH$47))</f>
        <v/>
      </c>
      <c r="J40" s="58" t="str">
        <f t="shared" si="1"/>
        <v/>
      </c>
    </row>
    <row r="41" spans="2:10">
      <c r="B41" s="12">
        <v>25</v>
      </c>
      <c r="C41" s="55" t="str">
        <f>UPPER(IF('INPUT DATA'!N35="","",'INPUT DATA'!N35))</f>
        <v/>
      </c>
      <c r="D41" s="383" t="str">
        <f>UPPER(IF('INPUT DATA'!O35="","",'INPUT DATA'!O35))</f>
        <v/>
      </c>
      <c r="E41" s="56" t="str">
        <f>IF(E$16=1,IF(AND($C41&lt;&gt;"",'Term 1'!$AH41&lt;&gt;""),'Term 1'!$AH41,""),"")</f>
        <v/>
      </c>
      <c r="F41" s="615" t="str">
        <f>IF(F$16=1,IF(AND($C41&lt;&gt;"",'Term 2'!$AH41&lt;&gt;""),'Term 2'!$AH41,""),"")</f>
        <v/>
      </c>
      <c r="G41" s="616" t="str">
        <f>IF(G$16=1,IF(AND($C41&lt;&gt;"",'Term 3'!$AH41&lt;&gt;""),'Term 2'!$AH41,""),"")</f>
        <v/>
      </c>
      <c r="H41" s="379" t="str">
        <f t="shared" si="0"/>
        <v/>
      </c>
      <c r="I41" s="378" t="str">
        <f>IF(H41="","",_xlfn.XLOOKUP(H41,HELPER!$AG$7:$AG$47,HELPER!$AH$7:$AH$47))</f>
        <v/>
      </c>
      <c r="J41" s="58" t="str">
        <f t="shared" si="1"/>
        <v/>
      </c>
    </row>
    <row r="42" spans="2:10">
      <c r="B42" s="12">
        <v>26</v>
      </c>
      <c r="C42" s="55" t="str">
        <f>UPPER(IF('INPUT DATA'!N36="","",'INPUT DATA'!N36))</f>
        <v/>
      </c>
      <c r="D42" s="383" t="str">
        <f>UPPER(IF('INPUT DATA'!O36="","",'INPUT DATA'!O36))</f>
        <v/>
      </c>
      <c r="E42" s="56" t="str">
        <f>IF(E$16=1,IF(AND($C42&lt;&gt;"",'Term 1'!$AH42&lt;&gt;""),'Term 1'!$AH42,""),"")</f>
        <v/>
      </c>
      <c r="F42" s="615" t="str">
        <f>IF(F$16=1,IF(AND($C42&lt;&gt;"",'Term 2'!$AH42&lt;&gt;""),'Term 2'!$AH42,""),"")</f>
        <v/>
      </c>
      <c r="G42" s="616" t="str">
        <f>IF(G$16=1,IF(AND($C42&lt;&gt;"",'Term 3'!$AH42&lt;&gt;""),'Term 2'!$AH42,""),"")</f>
        <v/>
      </c>
      <c r="H42" s="379" t="str">
        <f t="shared" si="0"/>
        <v/>
      </c>
      <c r="I42" s="378" t="str">
        <f>IF(H42="","",_xlfn.XLOOKUP(H42,HELPER!$AG$7:$AG$47,HELPER!$AH$7:$AH$47))</f>
        <v/>
      </c>
      <c r="J42" s="58" t="str">
        <f t="shared" si="1"/>
        <v/>
      </c>
    </row>
    <row r="43" spans="2:10">
      <c r="B43" s="12">
        <v>27</v>
      </c>
      <c r="C43" s="55" t="str">
        <f>UPPER(IF('INPUT DATA'!N37="","",'INPUT DATA'!N37))</f>
        <v/>
      </c>
      <c r="D43" s="383" t="str">
        <f>UPPER(IF('INPUT DATA'!O37="","",'INPUT DATA'!O37))</f>
        <v/>
      </c>
      <c r="E43" s="56" t="str">
        <f>IF(E$16=1,IF(AND($C43&lt;&gt;"",'Term 1'!$AH43&lt;&gt;""),'Term 1'!$AH43,""),"")</f>
        <v/>
      </c>
      <c r="F43" s="615" t="str">
        <f>IF(F$16=1,IF(AND($C43&lt;&gt;"",'Term 2'!$AH43&lt;&gt;""),'Term 2'!$AH43,""),"")</f>
        <v/>
      </c>
      <c r="G43" s="616" t="str">
        <f>IF(G$16=1,IF(AND($C43&lt;&gt;"",'Term 3'!$AH43&lt;&gt;""),'Term 2'!$AH43,""),"")</f>
        <v/>
      </c>
      <c r="H43" s="379" t="str">
        <f t="shared" si="0"/>
        <v/>
      </c>
      <c r="I43" s="378" t="str">
        <f>IF(H43="","",_xlfn.XLOOKUP(H43,HELPER!$AG$7:$AG$47,HELPER!$AH$7:$AH$47))</f>
        <v/>
      </c>
      <c r="J43" s="58" t="str">
        <f t="shared" si="1"/>
        <v/>
      </c>
    </row>
    <row r="44" spans="2:10">
      <c r="B44" s="12">
        <v>28</v>
      </c>
      <c r="C44" s="55" t="str">
        <f>UPPER(IF('INPUT DATA'!N38="","",'INPUT DATA'!N38))</f>
        <v/>
      </c>
      <c r="D44" s="383" t="str">
        <f>UPPER(IF('INPUT DATA'!O38="","",'INPUT DATA'!O38))</f>
        <v/>
      </c>
      <c r="E44" s="56" t="str">
        <f>IF(E$16=1,IF(AND($C44&lt;&gt;"",'Term 1'!$AH44&lt;&gt;""),'Term 1'!$AH44,""),"")</f>
        <v/>
      </c>
      <c r="F44" s="615" t="str">
        <f>IF(F$16=1,IF(AND($C44&lt;&gt;"",'Term 2'!$AH44&lt;&gt;""),'Term 2'!$AH44,""),"")</f>
        <v/>
      </c>
      <c r="G44" s="616" t="str">
        <f>IF(G$16=1,IF(AND($C44&lt;&gt;"",'Term 3'!$AH44&lt;&gt;""),'Term 2'!$AH44,""),"")</f>
        <v/>
      </c>
      <c r="H44" s="379" t="str">
        <f t="shared" si="0"/>
        <v/>
      </c>
      <c r="I44" s="378" t="str">
        <f>IF(H44="","",_xlfn.XLOOKUP(H44,HELPER!$AG$7:$AG$47,HELPER!$AH$7:$AH$47))</f>
        <v/>
      </c>
      <c r="J44" s="58" t="str">
        <f t="shared" si="1"/>
        <v/>
      </c>
    </row>
    <row r="45" spans="2:10">
      <c r="B45" s="12">
        <v>29</v>
      </c>
      <c r="C45" s="55" t="str">
        <f>UPPER(IF('INPUT DATA'!N39="","",'INPUT DATA'!N39))</f>
        <v/>
      </c>
      <c r="D45" s="383" t="str">
        <f>UPPER(IF('INPUT DATA'!O39="","",'INPUT DATA'!O39))</f>
        <v/>
      </c>
      <c r="E45" s="56" t="str">
        <f>IF(E$16=1,IF(AND($C45&lt;&gt;"",'Term 1'!$AH45&lt;&gt;""),'Term 1'!$AH45,""),"")</f>
        <v/>
      </c>
      <c r="F45" s="615" t="str">
        <f>IF(F$16=1,IF(AND($C45&lt;&gt;"",'Term 2'!$AH45&lt;&gt;""),'Term 2'!$AH45,""),"")</f>
        <v/>
      </c>
      <c r="G45" s="616" t="str">
        <f>IF(G$16=1,IF(AND($C45&lt;&gt;"",'Term 3'!$AH45&lt;&gt;""),'Term 2'!$AH45,""),"")</f>
        <v/>
      </c>
      <c r="H45" s="379" t="str">
        <f t="shared" si="0"/>
        <v/>
      </c>
      <c r="I45" s="378" t="str">
        <f>IF(H45="","",_xlfn.XLOOKUP(H45,HELPER!$AG$7:$AG$47,HELPER!$AH$7:$AH$47))</f>
        <v/>
      </c>
      <c r="J45" s="58" t="str">
        <f t="shared" si="1"/>
        <v/>
      </c>
    </row>
    <row r="46" spans="2:10">
      <c r="B46" s="12">
        <v>30</v>
      </c>
      <c r="C46" s="55" t="str">
        <f>UPPER(IF('INPUT DATA'!N40="","",'INPUT DATA'!N40))</f>
        <v/>
      </c>
      <c r="D46" s="383" t="str">
        <f>UPPER(IF('INPUT DATA'!O40="","",'INPUT DATA'!O40))</f>
        <v/>
      </c>
      <c r="E46" s="56" t="str">
        <f>IF(E$16=1,IF(AND($C46&lt;&gt;"",'Term 1'!$AH46&lt;&gt;""),'Term 1'!$AH46,""),"")</f>
        <v/>
      </c>
      <c r="F46" s="615" t="str">
        <f>IF(F$16=1,IF(AND($C46&lt;&gt;"",'Term 2'!$AH46&lt;&gt;""),'Term 2'!$AH46,""),"")</f>
        <v/>
      </c>
      <c r="G46" s="616" t="str">
        <f>IF(G$16=1,IF(AND($C46&lt;&gt;"",'Term 3'!$AH46&lt;&gt;""),'Term 2'!$AH46,""),"")</f>
        <v/>
      </c>
      <c r="H46" s="379" t="str">
        <f t="shared" si="0"/>
        <v/>
      </c>
      <c r="I46" s="378" t="str">
        <f>IF(H46="","",_xlfn.XLOOKUP(H46,HELPER!$AG$7:$AG$47,HELPER!$AH$7:$AH$47))</f>
        <v/>
      </c>
      <c r="J46" s="58" t="str">
        <f t="shared" si="1"/>
        <v/>
      </c>
    </row>
    <row r="47" spans="2:10">
      <c r="B47" s="12">
        <v>31</v>
      </c>
      <c r="C47" s="55" t="str">
        <f>UPPER(IF('INPUT DATA'!N41="","",'INPUT DATA'!N41))</f>
        <v/>
      </c>
      <c r="D47" s="383" t="str">
        <f>UPPER(IF('INPUT DATA'!O41="","",'INPUT DATA'!O41))</f>
        <v/>
      </c>
      <c r="E47" s="56" t="str">
        <f>IF(E$16=1,IF(AND($C47&lt;&gt;"",'Term 1'!$AH47&lt;&gt;""),'Term 1'!$AH47,""),"")</f>
        <v/>
      </c>
      <c r="F47" s="615" t="str">
        <f>IF(F$16=1,IF(AND($C47&lt;&gt;"",'Term 2'!$AH47&lt;&gt;""),'Term 2'!$AH47,""),"")</f>
        <v/>
      </c>
      <c r="G47" s="616" t="str">
        <f>IF(G$16=1,IF(AND($C47&lt;&gt;"",'Term 3'!$AH47&lt;&gt;""),'Term 2'!$AH47,""),"")</f>
        <v/>
      </c>
      <c r="H47" s="379" t="str">
        <f t="shared" si="0"/>
        <v/>
      </c>
      <c r="I47" s="378" t="str">
        <f>IF(H47="","",_xlfn.XLOOKUP(H47,HELPER!$AG$7:$AG$47,HELPER!$AH$7:$AH$47))</f>
        <v/>
      </c>
      <c r="J47" s="58" t="str">
        <f t="shared" si="1"/>
        <v/>
      </c>
    </row>
    <row r="48" spans="2:10">
      <c r="B48" s="12">
        <v>32</v>
      </c>
      <c r="C48" s="55" t="str">
        <f>UPPER(IF('INPUT DATA'!N42="","",'INPUT DATA'!N42))</f>
        <v/>
      </c>
      <c r="D48" s="383" t="str">
        <f>UPPER(IF('INPUT DATA'!O42="","",'INPUT DATA'!O42))</f>
        <v/>
      </c>
      <c r="E48" s="56" t="str">
        <f>IF(E$16=1,IF(AND($C48&lt;&gt;"",'Term 1'!$AH48&lt;&gt;""),'Term 1'!$AH48,""),"")</f>
        <v/>
      </c>
      <c r="F48" s="615" t="str">
        <f>IF(F$16=1,IF(AND($C48&lt;&gt;"",'Term 2'!$AH48&lt;&gt;""),'Term 2'!$AH48,""),"")</f>
        <v/>
      </c>
      <c r="G48" s="616" t="str">
        <f>IF(G$16=1,IF(AND($C48&lt;&gt;"",'Term 3'!$AH48&lt;&gt;""),'Term 2'!$AH48,""),"")</f>
        <v/>
      </c>
      <c r="H48" s="379" t="str">
        <f t="shared" si="0"/>
        <v/>
      </c>
      <c r="I48" s="378" t="str">
        <f>IF(H48="","",_xlfn.XLOOKUP(H48,HELPER!$AG$7:$AG$47,HELPER!$AH$7:$AH$47))</f>
        <v/>
      </c>
      <c r="J48" s="58" t="str">
        <f t="shared" si="1"/>
        <v/>
      </c>
    </row>
    <row r="49" spans="2:10">
      <c r="B49" s="12">
        <v>33</v>
      </c>
      <c r="C49" s="55" t="str">
        <f>UPPER(IF('INPUT DATA'!N43="","",'INPUT DATA'!N43))</f>
        <v/>
      </c>
      <c r="D49" s="383" t="str">
        <f>UPPER(IF('INPUT DATA'!O43="","",'INPUT DATA'!O43))</f>
        <v/>
      </c>
      <c r="E49" s="56" t="str">
        <f>IF(E$16=1,IF(AND($C49&lt;&gt;"",'Term 1'!$AH49&lt;&gt;""),'Term 1'!$AH49,""),"")</f>
        <v/>
      </c>
      <c r="F49" s="615" t="str">
        <f>IF(F$16=1,IF(AND($C49&lt;&gt;"",'Term 2'!$AH49&lt;&gt;""),'Term 2'!$AH49,""),"")</f>
        <v/>
      </c>
      <c r="G49" s="616" t="str">
        <f>IF(G$16=1,IF(AND($C49&lt;&gt;"",'Term 3'!$AH49&lt;&gt;""),'Term 2'!$AH49,""),"")</f>
        <v/>
      </c>
      <c r="H49" s="379" t="str">
        <f t="shared" si="0"/>
        <v/>
      </c>
      <c r="I49" s="378" t="str">
        <f>IF(H49="","",_xlfn.XLOOKUP(H49,HELPER!$AG$7:$AG$47,HELPER!$AH$7:$AH$47))</f>
        <v/>
      </c>
      <c r="J49" s="58" t="str">
        <f t="shared" si="1"/>
        <v/>
      </c>
    </row>
    <row r="50" spans="2:10">
      <c r="B50" s="12">
        <v>34</v>
      </c>
      <c r="C50" s="55" t="str">
        <f>UPPER(IF('INPUT DATA'!N44="","",'INPUT DATA'!N44))</f>
        <v/>
      </c>
      <c r="D50" s="383" t="str">
        <f>UPPER(IF('INPUT DATA'!O44="","",'INPUT DATA'!O44))</f>
        <v/>
      </c>
      <c r="E50" s="56" t="str">
        <f>IF(E$16=1,IF(AND($C50&lt;&gt;"",'Term 1'!$AH50&lt;&gt;""),'Term 1'!$AH50,""),"")</f>
        <v/>
      </c>
      <c r="F50" s="615" t="str">
        <f>IF(F$16=1,IF(AND($C50&lt;&gt;"",'Term 2'!$AH50&lt;&gt;""),'Term 2'!$AH50,""),"")</f>
        <v/>
      </c>
      <c r="G50" s="616" t="str">
        <f>IF(G$16=1,IF(AND($C50&lt;&gt;"",'Term 3'!$AH50&lt;&gt;""),'Term 2'!$AH50,""),"")</f>
        <v/>
      </c>
      <c r="H50" s="379" t="str">
        <f t="shared" si="0"/>
        <v/>
      </c>
      <c r="I50" s="378" t="str">
        <f>IF(H50="","",_xlfn.XLOOKUP(H50,HELPER!$AG$7:$AG$47,HELPER!$AH$7:$AH$47))</f>
        <v/>
      </c>
      <c r="J50" s="58" t="str">
        <f t="shared" si="1"/>
        <v/>
      </c>
    </row>
    <row r="51" spans="2:10">
      <c r="B51" s="12">
        <v>35</v>
      </c>
      <c r="C51" s="55" t="str">
        <f>UPPER(IF('INPUT DATA'!N45="","",'INPUT DATA'!N45))</f>
        <v/>
      </c>
      <c r="D51" s="383" t="str">
        <f>UPPER(IF('INPUT DATA'!O45="","",'INPUT DATA'!O45))</f>
        <v/>
      </c>
      <c r="E51" s="56" t="str">
        <f>IF(E$16=1,IF(AND($C51&lt;&gt;"",'Term 1'!$AH51&lt;&gt;""),'Term 1'!$AH51,""),"")</f>
        <v/>
      </c>
      <c r="F51" s="615" t="str">
        <f>IF(F$16=1,IF(AND($C51&lt;&gt;"",'Term 2'!$AH51&lt;&gt;""),'Term 2'!$AH51,""),"")</f>
        <v/>
      </c>
      <c r="G51" s="616" t="str">
        <f>IF(G$16=1,IF(AND($C51&lt;&gt;"",'Term 3'!$AH51&lt;&gt;""),'Term 2'!$AH51,""),"")</f>
        <v/>
      </c>
      <c r="H51" s="379" t="str">
        <f t="shared" si="0"/>
        <v/>
      </c>
      <c r="I51" s="378" t="str">
        <f>IF(H51="","",_xlfn.XLOOKUP(H51,HELPER!$AG$7:$AG$47,HELPER!$AH$7:$AH$47))</f>
        <v/>
      </c>
      <c r="J51" s="58" t="str">
        <f t="shared" si="1"/>
        <v/>
      </c>
    </row>
    <row r="52" spans="2:10">
      <c r="B52" s="12">
        <v>36</v>
      </c>
      <c r="C52" s="55" t="str">
        <f>UPPER(IF('INPUT DATA'!N46="","",'INPUT DATA'!N46))</f>
        <v/>
      </c>
      <c r="D52" s="383" t="str">
        <f>UPPER(IF('INPUT DATA'!O46="","",'INPUT DATA'!O46))</f>
        <v/>
      </c>
      <c r="E52" s="56" t="str">
        <f>IF(E$16=1,IF(AND($C52&lt;&gt;"",'Term 1'!$AH52&lt;&gt;""),'Term 1'!$AH52,""),"")</f>
        <v/>
      </c>
      <c r="F52" s="615" t="str">
        <f>IF(F$16=1,IF(AND($C52&lt;&gt;"",'Term 2'!$AH52&lt;&gt;""),'Term 2'!$AH52,""),"")</f>
        <v/>
      </c>
      <c r="G52" s="616" t="str">
        <f>IF(G$16=1,IF(AND($C52&lt;&gt;"",'Term 3'!$AH52&lt;&gt;""),'Term 2'!$AH52,""),"")</f>
        <v/>
      </c>
      <c r="H52" s="379" t="str">
        <f t="shared" si="0"/>
        <v/>
      </c>
      <c r="I52" s="378" t="str">
        <f>IF(H52="","",_xlfn.XLOOKUP(H52,HELPER!$AG$7:$AG$47,HELPER!$AH$7:$AH$47))</f>
        <v/>
      </c>
      <c r="J52" s="58" t="str">
        <f t="shared" si="1"/>
        <v/>
      </c>
    </row>
    <row r="53" spans="2:10">
      <c r="B53" s="12">
        <v>37</v>
      </c>
      <c r="C53" s="55" t="str">
        <f>UPPER(IF('INPUT DATA'!N47="","",'INPUT DATA'!N47))</f>
        <v/>
      </c>
      <c r="D53" s="383" t="str">
        <f>UPPER(IF('INPUT DATA'!O47="","",'INPUT DATA'!O47))</f>
        <v/>
      </c>
      <c r="E53" s="56" t="str">
        <f>IF(E$16=1,IF(AND($C53&lt;&gt;"",'Term 1'!$AH53&lt;&gt;""),'Term 1'!$AH53,""),"")</f>
        <v/>
      </c>
      <c r="F53" s="615" t="str">
        <f>IF(F$16=1,IF(AND($C53&lt;&gt;"",'Term 2'!$AH53&lt;&gt;""),'Term 2'!$AH53,""),"")</f>
        <v/>
      </c>
      <c r="G53" s="616" t="str">
        <f>IF(G$16=1,IF(AND($C53&lt;&gt;"",'Term 3'!$AH53&lt;&gt;""),'Term 2'!$AH53,""),"")</f>
        <v/>
      </c>
      <c r="H53" s="379" t="str">
        <f t="shared" si="0"/>
        <v/>
      </c>
      <c r="I53" s="378" t="str">
        <f>IF(H53="","",_xlfn.XLOOKUP(H53,HELPER!$AG$7:$AG$47,HELPER!$AH$7:$AH$47))</f>
        <v/>
      </c>
      <c r="J53" s="58" t="str">
        <f t="shared" si="1"/>
        <v/>
      </c>
    </row>
    <row r="54" spans="2:10">
      <c r="B54" s="12">
        <v>38</v>
      </c>
      <c r="C54" s="55" t="str">
        <f>UPPER(IF('INPUT DATA'!N48="","",'INPUT DATA'!N48))</f>
        <v/>
      </c>
      <c r="D54" s="383" t="str">
        <f>UPPER(IF('INPUT DATA'!O48="","",'INPUT DATA'!O48))</f>
        <v/>
      </c>
      <c r="E54" s="56" t="str">
        <f>IF(E$16=1,IF(AND($C54&lt;&gt;"",'Term 1'!$AH54&lt;&gt;""),'Term 1'!$AH54,""),"")</f>
        <v/>
      </c>
      <c r="F54" s="615" t="str">
        <f>IF(F$16=1,IF(AND($C54&lt;&gt;"",'Term 2'!$AH54&lt;&gt;""),'Term 2'!$AH54,""),"")</f>
        <v/>
      </c>
      <c r="G54" s="616" t="str">
        <f>IF(G$16=1,IF(AND($C54&lt;&gt;"",'Term 3'!$AH54&lt;&gt;""),'Term 2'!$AH54,""),"")</f>
        <v/>
      </c>
      <c r="H54" s="379" t="str">
        <f t="shared" si="0"/>
        <v/>
      </c>
      <c r="I54" s="378" t="str">
        <f>IF(H54="","",_xlfn.XLOOKUP(H54,HELPER!$AG$7:$AG$47,HELPER!$AH$7:$AH$47))</f>
        <v/>
      </c>
      <c r="J54" s="58" t="str">
        <f t="shared" si="1"/>
        <v/>
      </c>
    </row>
    <row r="55" spans="2:10">
      <c r="B55" s="12">
        <v>39</v>
      </c>
      <c r="C55" s="55" t="str">
        <f>UPPER(IF('INPUT DATA'!N49="","",'INPUT DATA'!N49))</f>
        <v/>
      </c>
      <c r="D55" s="383" t="str">
        <f>UPPER(IF('INPUT DATA'!O49="","",'INPUT DATA'!O49))</f>
        <v/>
      </c>
      <c r="E55" s="56" t="str">
        <f>IF(E$16=1,IF(AND($C55&lt;&gt;"",'Term 1'!$AH55&lt;&gt;""),'Term 1'!$AH55,""),"")</f>
        <v/>
      </c>
      <c r="F55" s="615" t="str">
        <f>IF(F$16=1,IF(AND($C55&lt;&gt;"",'Term 2'!$AH55&lt;&gt;""),'Term 2'!$AH55,""),"")</f>
        <v/>
      </c>
      <c r="G55" s="616" t="str">
        <f>IF(G$16=1,IF(AND($C55&lt;&gt;"",'Term 3'!$AH55&lt;&gt;""),'Term 2'!$AH55,""),"")</f>
        <v/>
      </c>
      <c r="H55" s="379" t="str">
        <f t="shared" si="0"/>
        <v/>
      </c>
      <c r="I55" s="378" t="str">
        <f>IF(H55="","",_xlfn.XLOOKUP(H55,HELPER!$AG$7:$AG$47,HELPER!$AH$7:$AH$47))</f>
        <v/>
      </c>
      <c r="J55" s="58" t="str">
        <f t="shared" si="1"/>
        <v/>
      </c>
    </row>
    <row r="56" spans="2:10">
      <c r="B56" s="12">
        <v>40</v>
      </c>
      <c r="C56" s="55" t="str">
        <f>UPPER(IF('INPUT DATA'!N50="","",'INPUT DATA'!N50))</f>
        <v/>
      </c>
      <c r="D56" s="383" t="str">
        <f>UPPER(IF('INPUT DATA'!O50="","",'INPUT DATA'!O50))</f>
        <v/>
      </c>
      <c r="E56" s="56" t="str">
        <f>IF(E$16=1,IF(AND($C56&lt;&gt;"",'Term 1'!$AH56&lt;&gt;""),'Term 1'!$AH56,""),"")</f>
        <v/>
      </c>
      <c r="F56" s="615" t="str">
        <f>IF(F$16=1,IF(AND($C56&lt;&gt;"",'Term 2'!$AH56&lt;&gt;""),'Term 2'!$AH56,""),"")</f>
        <v/>
      </c>
      <c r="G56" s="616" t="str">
        <f>IF(G$16=1,IF(AND($C56&lt;&gt;"",'Term 3'!$AH56&lt;&gt;""),'Term 2'!$AH56,""),"")</f>
        <v/>
      </c>
      <c r="H56" s="379" t="str">
        <f t="shared" si="0"/>
        <v/>
      </c>
      <c r="I56" s="378" t="str">
        <f>IF(H56="","",_xlfn.XLOOKUP(H56,HELPER!$AG$7:$AG$47,HELPER!$AH$7:$AH$47))</f>
        <v/>
      </c>
      <c r="J56" s="58" t="str">
        <f t="shared" si="1"/>
        <v/>
      </c>
    </row>
    <row r="57" spans="2:10">
      <c r="B57" s="12">
        <v>41</v>
      </c>
      <c r="C57" s="55" t="str">
        <f>UPPER(IF('INPUT DATA'!N51="","",'INPUT DATA'!N51))</f>
        <v/>
      </c>
      <c r="D57" s="383" t="str">
        <f>UPPER(IF('INPUT DATA'!O51="","",'INPUT DATA'!O51))</f>
        <v/>
      </c>
      <c r="E57" s="56" t="str">
        <f>IF(E$16=1,IF(AND($C57&lt;&gt;"",'Term 1'!$AH57&lt;&gt;""),'Term 1'!$AH57,""),"")</f>
        <v/>
      </c>
      <c r="F57" s="615" t="str">
        <f>IF(F$16=1,IF(AND($C57&lt;&gt;"",'Term 2'!$AH57&lt;&gt;""),'Term 2'!$AH57,""),"")</f>
        <v/>
      </c>
      <c r="G57" s="616" t="str">
        <f>IF(G$16=1,IF(AND($C57&lt;&gt;"",'Term 3'!$AH57&lt;&gt;""),'Term 2'!$AH57,""),"")</f>
        <v/>
      </c>
      <c r="H57" s="379" t="str">
        <f t="shared" si="0"/>
        <v/>
      </c>
      <c r="I57" s="378" t="str">
        <f>IF(H57="","",_xlfn.XLOOKUP(H57,HELPER!$AG$7:$AG$47,HELPER!$AH$7:$AH$47))</f>
        <v/>
      </c>
      <c r="J57" s="58" t="str">
        <f t="shared" si="1"/>
        <v/>
      </c>
    </row>
    <row r="58" spans="2:10">
      <c r="B58" s="12">
        <v>42</v>
      </c>
      <c r="C58" s="55" t="str">
        <f>UPPER(IF('INPUT DATA'!N52="","",'INPUT DATA'!N52))</f>
        <v/>
      </c>
      <c r="D58" s="383" t="str">
        <f>UPPER(IF('INPUT DATA'!O52="","",'INPUT DATA'!O52))</f>
        <v/>
      </c>
      <c r="E58" s="56" t="str">
        <f>IF(E$16=1,IF(AND($C58&lt;&gt;"",'Term 1'!$AH58&lt;&gt;""),'Term 1'!$AH58,""),"")</f>
        <v/>
      </c>
      <c r="F58" s="615" t="str">
        <f>IF(F$16=1,IF(AND($C58&lt;&gt;"",'Term 2'!$AH58&lt;&gt;""),'Term 2'!$AH58,""),"")</f>
        <v/>
      </c>
      <c r="G58" s="616" t="str">
        <f>IF(G$16=1,IF(AND($C58&lt;&gt;"",'Term 3'!$AH58&lt;&gt;""),'Term 2'!$AH58,""),"")</f>
        <v/>
      </c>
      <c r="H58" s="379" t="str">
        <f t="shared" si="0"/>
        <v/>
      </c>
      <c r="I58" s="378" t="str">
        <f>IF(H58="","",_xlfn.XLOOKUP(H58,HELPER!$AG$7:$AG$47,HELPER!$AH$7:$AH$47))</f>
        <v/>
      </c>
      <c r="J58" s="58" t="str">
        <f t="shared" si="1"/>
        <v/>
      </c>
    </row>
    <row r="59" spans="2:10">
      <c r="B59" s="12">
        <v>43</v>
      </c>
      <c r="C59" s="55" t="str">
        <f>UPPER(IF('INPUT DATA'!N53="","",'INPUT DATA'!N53))</f>
        <v/>
      </c>
      <c r="D59" s="383" t="str">
        <f>UPPER(IF('INPUT DATA'!O53="","",'INPUT DATA'!O53))</f>
        <v/>
      </c>
      <c r="E59" s="56" t="str">
        <f>IF(E$16=1,IF(AND($C59&lt;&gt;"",'Term 1'!$AH59&lt;&gt;""),'Term 1'!$AH59,""),"")</f>
        <v/>
      </c>
      <c r="F59" s="615" t="str">
        <f>IF(F$16=1,IF(AND($C59&lt;&gt;"",'Term 2'!$AH59&lt;&gt;""),'Term 2'!$AH59,""),"")</f>
        <v/>
      </c>
      <c r="G59" s="616" t="str">
        <f>IF(G$16=1,IF(AND($C59&lt;&gt;"",'Term 3'!$AH59&lt;&gt;""),'Term 2'!$AH59,""),"")</f>
        <v/>
      </c>
      <c r="H59" s="379" t="str">
        <f t="shared" si="0"/>
        <v/>
      </c>
      <c r="I59" s="378" t="str">
        <f>IF(H59="","",_xlfn.XLOOKUP(H59,HELPER!$AG$7:$AG$47,HELPER!$AH$7:$AH$47))</f>
        <v/>
      </c>
      <c r="J59" s="58" t="str">
        <f t="shared" si="1"/>
        <v/>
      </c>
    </row>
    <row r="60" spans="2:10">
      <c r="B60" s="12">
        <v>44</v>
      </c>
      <c r="C60" s="55" t="str">
        <f>UPPER(IF('INPUT DATA'!N54="","",'INPUT DATA'!N54))</f>
        <v/>
      </c>
      <c r="D60" s="383" t="str">
        <f>UPPER(IF('INPUT DATA'!O54="","",'INPUT DATA'!O54))</f>
        <v/>
      </c>
      <c r="E60" s="56" t="str">
        <f>IF(E$16=1,IF(AND($C60&lt;&gt;"",'Term 1'!$AH60&lt;&gt;""),'Term 1'!$AH60,""),"")</f>
        <v/>
      </c>
      <c r="F60" s="615" t="str">
        <f>IF(F$16=1,IF(AND($C60&lt;&gt;"",'Term 2'!$AH60&lt;&gt;""),'Term 2'!$AH60,""),"")</f>
        <v/>
      </c>
      <c r="G60" s="616" t="str">
        <f>IF(G$16=1,IF(AND($C60&lt;&gt;"",'Term 3'!$AH60&lt;&gt;""),'Term 2'!$AH60,""),"")</f>
        <v/>
      </c>
      <c r="H60" s="379" t="str">
        <f t="shared" si="0"/>
        <v/>
      </c>
      <c r="I60" s="378" t="str">
        <f>IF(H60="","",_xlfn.XLOOKUP(H60,HELPER!$AG$7:$AG$47,HELPER!$AH$7:$AH$47))</f>
        <v/>
      </c>
      <c r="J60" s="58" t="str">
        <f t="shared" si="1"/>
        <v/>
      </c>
    </row>
    <row r="61" spans="2:10">
      <c r="B61" s="12">
        <v>45</v>
      </c>
      <c r="C61" s="55" t="str">
        <f>UPPER(IF('INPUT DATA'!N55="","",'INPUT DATA'!N55))</f>
        <v/>
      </c>
      <c r="D61" s="383" t="str">
        <f>UPPER(IF('INPUT DATA'!O55="","",'INPUT DATA'!O55))</f>
        <v/>
      </c>
      <c r="E61" s="56" t="str">
        <f>IF(E$16=1,IF(AND($C61&lt;&gt;"",'Term 1'!$AH61&lt;&gt;""),'Term 1'!$AH61,""),"")</f>
        <v/>
      </c>
      <c r="F61" s="615" t="str">
        <f>IF(F$16=1,IF(AND($C61&lt;&gt;"",'Term 2'!$AH61&lt;&gt;""),'Term 2'!$AH61,""),"")</f>
        <v/>
      </c>
      <c r="G61" s="616" t="str">
        <f>IF(G$16=1,IF(AND($C61&lt;&gt;"",'Term 3'!$AH61&lt;&gt;""),'Term 2'!$AH61,""),"")</f>
        <v/>
      </c>
      <c r="H61" s="379" t="str">
        <f t="shared" si="0"/>
        <v/>
      </c>
      <c r="I61" s="378" t="str">
        <f>IF(H61="","",_xlfn.XLOOKUP(H61,HELPER!$AG$7:$AG$47,HELPER!$AH$7:$AH$47))</f>
        <v/>
      </c>
      <c r="J61" s="58" t="str">
        <f t="shared" si="1"/>
        <v/>
      </c>
    </row>
    <row r="62" spans="2:10">
      <c r="B62" s="12">
        <v>46</v>
      </c>
      <c r="C62" s="55" t="str">
        <f>UPPER(IF('INPUT DATA'!N56="","",'INPUT DATA'!N56))</f>
        <v/>
      </c>
      <c r="D62" s="383" t="str">
        <f>UPPER(IF('INPUT DATA'!O56="","",'INPUT DATA'!O56))</f>
        <v/>
      </c>
      <c r="E62" s="56" t="str">
        <f>IF(E$16=1,IF(AND($C62&lt;&gt;"",'Term 1'!$AH62&lt;&gt;""),'Term 1'!$AH62,""),"")</f>
        <v/>
      </c>
      <c r="F62" s="615" t="str">
        <f>IF(F$16=1,IF(AND($C62&lt;&gt;"",'Term 2'!$AH62&lt;&gt;""),'Term 2'!$AH62,""),"")</f>
        <v/>
      </c>
      <c r="G62" s="616" t="str">
        <f>IF(G$16=1,IF(AND($C62&lt;&gt;"",'Term 3'!$AH62&lt;&gt;""),'Term 2'!$AH62,""),"")</f>
        <v/>
      </c>
      <c r="H62" s="379" t="str">
        <f t="shared" si="0"/>
        <v/>
      </c>
      <c r="I62" s="378" t="str">
        <f>IF(H62="","",_xlfn.XLOOKUP(H62,HELPER!$AG$7:$AG$47,HELPER!$AH$7:$AH$47))</f>
        <v/>
      </c>
      <c r="J62" s="58" t="str">
        <f t="shared" si="1"/>
        <v/>
      </c>
    </row>
    <row r="63" spans="2:10">
      <c r="B63" s="12">
        <v>47</v>
      </c>
      <c r="C63" s="55" t="str">
        <f>UPPER(IF('INPUT DATA'!N57="","",'INPUT DATA'!N57))</f>
        <v/>
      </c>
      <c r="D63" s="383" t="str">
        <f>UPPER(IF('INPUT DATA'!O57="","",'INPUT DATA'!O57))</f>
        <v/>
      </c>
      <c r="E63" s="56" t="str">
        <f>IF(E$16=1,IF(AND($C63&lt;&gt;"",'Term 1'!$AH63&lt;&gt;""),'Term 1'!$AH63,""),"")</f>
        <v/>
      </c>
      <c r="F63" s="615" t="str">
        <f>IF(F$16=1,IF(AND($C63&lt;&gt;"",'Term 2'!$AH63&lt;&gt;""),'Term 2'!$AH63,""),"")</f>
        <v/>
      </c>
      <c r="G63" s="616" t="str">
        <f>IF(G$16=1,IF(AND($C63&lt;&gt;"",'Term 3'!$AH63&lt;&gt;""),'Term 2'!$AH63,""),"")</f>
        <v/>
      </c>
      <c r="H63" s="379" t="str">
        <f t="shared" si="0"/>
        <v/>
      </c>
      <c r="I63" s="378" t="str">
        <f>IF(H63="","",_xlfn.XLOOKUP(H63,HELPER!$AG$7:$AG$47,HELPER!$AH$7:$AH$47))</f>
        <v/>
      </c>
      <c r="J63" s="58" t="str">
        <f t="shared" si="1"/>
        <v/>
      </c>
    </row>
    <row r="64" spans="2:10">
      <c r="B64" s="12">
        <v>48</v>
      </c>
      <c r="C64" s="55" t="str">
        <f>UPPER(IF('INPUT DATA'!N58="","",'INPUT DATA'!N58))</f>
        <v/>
      </c>
      <c r="D64" s="383" t="str">
        <f>UPPER(IF('INPUT DATA'!O58="","",'INPUT DATA'!O58))</f>
        <v/>
      </c>
      <c r="E64" s="56" t="str">
        <f>IF(E$16=1,IF(AND($C64&lt;&gt;"",'Term 1'!$AH64&lt;&gt;""),'Term 1'!$AH64,""),"")</f>
        <v/>
      </c>
      <c r="F64" s="615" t="str">
        <f>IF(F$16=1,IF(AND($C64&lt;&gt;"",'Term 2'!$AH64&lt;&gt;""),'Term 2'!$AH64,""),"")</f>
        <v/>
      </c>
      <c r="G64" s="616" t="str">
        <f>IF(G$16=1,IF(AND($C64&lt;&gt;"",'Term 3'!$AH64&lt;&gt;""),'Term 2'!$AH64,""),"")</f>
        <v/>
      </c>
      <c r="H64" s="379" t="str">
        <f t="shared" si="0"/>
        <v/>
      </c>
      <c r="I64" s="378" t="str">
        <f>IF(H64="","",_xlfn.XLOOKUP(H64,HELPER!$AG$7:$AG$47,HELPER!$AH$7:$AH$47))</f>
        <v/>
      </c>
      <c r="J64" s="58" t="str">
        <f t="shared" si="1"/>
        <v/>
      </c>
    </row>
    <row r="65" spans="2:10">
      <c r="B65" s="12">
        <v>49</v>
      </c>
      <c r="C65" s="55" t="str">
        <f>UPPER(IF('INPUT DATA'!N59="","",'INPUT DATA'!N59))</f>
        <v/>
      </c>
      <c r="D65" s="383" t="str">
        <f>UPPER(IF('INPUT DATA'!O59="","",'INPUT DATA'!O59))</f>
        <v/>
      </c>
      <c r="E65" s="56" t="str">
        <f>IF(E$16=1,IF(AND($C65&lt;&gt;"",'Term 1'!$AH65&lt;&gt;""),'Term 1'!$AH65,""),"")</f>
        <v/>
      </c>
      <c r="F65" s="615" t="str">
        <f>IF(F$16=1,IF(AND($C65&lt;&gt;"",'Term 2'!$AH65&lt;&gt;""),'Term 2'!$AH65,""),"")</f>
        <v/>
      </c>
      <c r="G65" s="616" t="str">
        <f>IF(G$16=1,IF(AND($C65&lt;&gt;"",'Term 3'!$AH65&lt;&gt;""),'Term 2'!$AH65,""),"")</f>
        <v/>
      </c>
      <c r="H65" s="379" t="str">
        <f t="shared" si="0"/>
        <v/>
      </c>
      <c r="I65" s="378" t="str">
        <f>IF(H65="","",_xlfn.XLOOKUP(H65,HELPER!$AG$7:$AG$47,HELPER!$AH$7:$AH$47))</f>
        <v/>
      </c>
      <c r="J65" s="58" t="str">
        <f t="shared" si="1"/>
        <v/>
      </c>
    </row>
    <row r="66" spans="2:10" ht="17.25" thickBot="1">
      <c r="B66" s="624">
        <v>50</v>
      </c>
      <c r="C66" s="268" t="str">
        <f>UPPER(IF('INPUT DATA'!N60="","",'INPUT DATA'!N60))</f>
        <v/>
      </c>
      <c r="D66" s="625" t="str">
        <f>UPPER(IF('INPUT DATA'!O60="","",'INPUT DATA'!O60))</f>
        <v/>
      </c>
      <c r="E66" s="626" t="str">
        <f>IF(E$16=1,IF(AND($C66&lt;&gt;"",'Term 1'!$AH66&lt;&gt;""),'Term 1'!$AH66,""),"")</f>
        <v/>
      </c>
      <c r="F66" s="627" t="str">
        <f>IF(F$16=1,IF(AND($C66&lt;&gt;"",'Term 2'!$AH66&lt;&gt;""),'Term 2'!$AH66,""),"")</f>
        <v/>
      </c>
      <c r="G66" s="628" t="str">
        <f>IF(G$16=1,IF(AND($C66&lt;&gt;"",'Term 3'!$AH66&lt;&gt;""),'Term 2'!$AH66,""),"")</f>
        <v/>
      </c>
      <c r="H66" s="629" t="str">
        <f t="shared" si="0"/>
        <v/>
      </c>
      <c r="I66" s="630" t="str">
        <f>IF(H66="","",_xlfn.XLOOKUP(H66,HELPER!$AG$7:$AG$47,HELPER!$AH$7:$AH$47))</f>
        <v/>
      </c>
      <c r="J66" s="631" t="str">
        <f t="shared" si="1"/>
        <v/>
      </c>
    </row>
    <row r="67" spans="2:10">
      <c r="B67" s="632" t="s">
        <v>167</v>
      </c>
      <c r="C67" s="633"/>
      <c r="D67" s="634"/>
      <c r="E67" s="635"/>
      <c r="F67" s="636"/>
      <c r="G67" s="637"/>
      <c r="H67" s="638"/>
      <c r="I67" s="634"/>
      <c r="J67" s="639"/>
    </row>
    <row r="68" spans="2:10">
      <c r="B68" s="12">
        <v>1</v>
      </c>
      <c r="C68" s="55" t="str">
        <f>UPPER(IF('INPUT DATA'!R11="","",'INPUT DATA'!R11))</f>
        <v/>
      </c>
      <c r="D68" s="383" t="str">
        <f>UPPER(IF('INPUT DATA'!S11="","",'INPUT DATA'!S11))</f>
        <v/>
      </c>
      <c r="E68" s="56" t="str">
        <f>IF(E$16=1,IF(AND($C68&lt;&gt;"",'Term 1'!$AH68&lt;&gt;""),'Term 1'!$AH68,""),"")</f>
        <v/>
      </c>
      <c r="F68" s="615" t="str">
        <f>IF(F$16=1,IF(AND($C68&lt;&gt;"",'Term 2'!$AH68&lt;&gt;""),'Term 2'!$AH68,""),"")</f>
        <v/>
      </c>
      <c r="G68" s="616" t="str">
        <f>IF(G$16=1,IF(AND($C68&lt;&gt;"",'Term 3'!$AH68&lt;&gt;""),'Term 2'!$AH68,""),"")</f>
        <v/>
      </c>
      <c r="H68" s="379" t="str">
        <f>IF(OR(C68="",COUNT(E68:G68)&lt;&gt;$G$13),"",ROUND(AVERAGE(E68:G68),0))</f>
        <v/>
      </c>
      <c r="I68" s="378" t="str">
        <f>IF(H68="","",_xlfn.XLOOKUP(H68,HELPER!$AG$7:$AG$47,HELPER!$AH$7:$AH$47))</f>
        <v/>
      </c>
      <c r="J68" s="58" t="str">
        <f>IF(H68="","",IF(H68&gt;=75,"PASSED","FAILED"))</f>
        <v/>
      </c>
    </row>
    <row r="69" spans="2:10">
      <c r="B69" s="12">
        <v>2</v>
      </c>
      <c r="C69" s="55" t="str">
        <f>UPPER(IF('INPUT DATA'!R12="","",'INPUT DATA'!R12))</f>
        <v/>
      </c>
      <c r="D69" s="383" t="str">
        <f>UPPER(IF('INPUT DATA'!S12="","",'INPUT DATA'!S12))</f>
        <v/>
      </c>
      <c r="E69" s="56" t="str">
        <f>IF(E$16=1,IF(AND($C69&lt;&gt;"",'Term 1'!$AH69&lt;&gt;""),'Term 1'!$AH69,""),"")</f>
        <v/>
      </c>
      <c r="F69" s="615" t="str">
        <f>IF(F$16=1,IF(AND($C69&lt;&gt;"",'Term 2'!$AH69&lt;&gt;""),'Term 2'!$AH69,""),"")</f>
        <v/>
      </c>
      <c r="G69" s="616" t="str">
        <f>IF(G$16=1,IF(AND($C69&lt;&gt;"",'Term 3'!$AH69&lt;&gt;""),'Term 2'!$AH69,""),"")</f>
        <v/>
      </c>
      <c r="H69" s="379" t="str">
        <f t="shared" ref="H69:H117" si="2">IF(OR(C69="",COUNT(E69:G69)&lt;&gt;$G$13),"",ROUND(AVERAGE(E69:G69),0))</f>
        <v/>
      </c>
      <c r="I69" s="378" t="str">
        <f>IF(H69="","",_xlfn.XLOOKUP(H69,HELPER!$AG$7:$AG$47,HELPER!$AH$7:$AH$47))</f>
        <v/>
      </c>
      <c r="J69" s="58" t="str">
        <f t="shared" ref="J69:J117" si="3">IF(H69="","",IF(H69&gt;=75,"PASSED","FAILED"))</f>
        <v/>
      </c>
    </row>
    <row r="70" spans="2:10">
      <c r="B70" s="12">
        <v>3</v>
      </c>
      <c r="C70" s="55" t="str">
        <f>UPPER(IF('INPUT DATA'!R13="","",'INPUT DATA'!R13))</f>
        <v/>
      </c>
      <c r="D70" s="383" t="str">
        <f>UPPER(IF('INPUT DATA'!S13="","",'INPUT DATA'!S13))</f>
        <v/>
      </c>
      <c r="E70" s="56" t="str">
        <f>IF(E$16=1,IF(AND($C70&lt;&gt;"",'Term 1'!$AH70&lt;&gt;""),'Term 1'!$AH70,""),"")</f>
        <v/>
      </c>
      <c r="F70" s="615" t="str">
        <f>IF(F$16=1,IF(AND($C70&lt;&gt;"",'Term 2'!$AH70&lt;&gt;""),'Term 2'!$AH70,""),"")</f>
        <v/>
      </c>
      <c r="G70" s="616" t="str">
        <f>IF(G$16=1,IF(AND($C70&lt;&gt;"",'Term 3'!$AH70&lt;&gt;""),'Term 2'!$AH70,""),"")</f>
        <v/>
      </c>
      <c r="H70" s="379" t="str">
        <f t="shared" si="2"/>
        <v/>
      </c>
      <c r="I70" s="378" t="str">
        <f>IF(H70="","",_xlfn.XLOOKUP(H70,HELPER!$AG$7:$AG$47,HELPER!$AH$7:$AH$47))</f>
        <v/>
      </c>
      <c r="J70" s="58" t="str">
        <f t="shared" si="3"/>
        <v/>
      </c>
    </row>
    <row r="71" spans="2:10">
      <c r="B71" s="12">
        <v>4</v>
      </c>
      <c r="C71" s="55" t="str">
        <f>UPPER(IF('INPUT DATA'!R14="","",'INPUT DATA'!R14))</f>
        <v/>
      </c>
      <c r="D71" s="383" t="str">
        <f>UPPER(IF('INPUT DATA'!S14="","",'INPUT DATA'!S14))</f>
        <v/>
      </c>
      <c r="E71" s="56" t="str">
        <f>IF(E$16=1,IF(AND($C71&lt;&gt;"",'Term 1'!$AH71&lt;&gt;""),'Term 1'!$AH71,""),"")</f>
        <v/>
      </c>
      <c r="F71" s="615" t="str">
        <f>IF(F$16=1,IF(AND($C71&lt;&gt;"",'Term 2'!$AH71&lt;&gt;""),'Term 2'!$AH71,""),"")</f>
        <v/>
      </c>
      <c r="G71" s="616" t="str">
        <f>IF(G$16=1,IF(AND($C71&lt;&gt;"",'Term 3'!$AH71&lt;&gt;""),'Term 2'!$AH71,""),"")</f>
        <v/>
      </c>
      <c r="H71" s="379" t="str">
        <f t="shared" si="2"/>
        <v/>
      </c>
      <c r="I71" s="378" t="str">
        <f>IF(H71="","",_xlfn.XLOOKUP(H71,HELPER!$AG$7:$AG$47,HELPER!$AH$7:$AH$47))</f>
        <v/>
      </c>
      <c r="J71" s="58" t="str">
        <f t="shared" si="3"/>
        <v/>
      </c>
    </row>
    <row r="72" spans="2:10">
      <c r="B72" s="12">
        <v>5</v>
      </c>
      <c r="C72" s="55" t="str">
        <f>UPPER(IF('INPUT DATA'!R15="","",'INPUT DATA'!R15))</f>
        <v/>
      </c>
      <c r="D72" s="383" t="str">
        <f>UPPER(IF('INPUT DATA'!S15="","",'INPUT DATA'!S15))</f>
        <v/>
      </c>
      <c r="E72" s="56" t="str">
        <f>IF(E$16=1,IF(AND($C72&lt;&gt;"",'Term 1'!$AH72&lt;&gt;""),'Term 1'!$AH72,""),"")</f>
        <v/>
      </c>
      <c r="F72" s="615" t="str">
        <f>IF(F$16=1,IF(AND($C72&lt;&gt;"",'Term 2'!$AH72&lt;&gt;""),'Term 2'!$AH72,""),"")</f>
        <v/>
      </c>
      <c r="G72" s="616" t="str">
        <f>IF(G$16=1,IF(AND($C72&lt;&gt;"",'Term 3'!$AH72&lt;&gt;""),'Term 2'!$AH72,""),"")</f>
        <v/>
      </c>
      <c r="H72" s="379" t="str">
        <f t="shared" si="2"/>
        <v/>
      </c>
      <c r="I72" s="378" t="str">
        <f>IF(H72="","",_xlfn.XLOOKUP(H72,HELPER!$AG$7:$AG$47,HELPER!$AH$7:$AH$47))</f>
        <v/>
      </c>
      <c r="J72" s="58" t="str">
        <f t="shared" si="3"/>
        <v/>
      </c>
    </row>
    <row r="73" spans="2:10">
      <c r="B73" s="12">
        <v>6</v>
      </c>
      <c r="C73" s="55" t="str">
        <f>UPPER(IF('INPUT DATA'!R16="","",'INPUT DATA'!R16))</f>
        <v/>
      </c>
      <c r="D73" s="383" t="str">
        <f>UPPER(IF('INPUT DATA'!S16="","",'INPUT DATA'!S16))</f>
        <v/>
      </c>
      <c r="E73" s="56" t="str">
        <f>IF(E$16=1,IF(AND($C73&lt;&gt;"",'Term 1'!$AH73&lt;&gt;""),'Term 1'!$AH73,""),"")</f>
        <v/>
      </c>
      <c r="F73" s="615" t="str">
        <f>IF(F$16=1,IF(AND($C73&lt;&gt;"",'Term 2'!$AH73&lt;&gt;""),'Term 2'!$AH73,""),"")</f>
        <v/>
      </c>
      <c r="G73" s="616" t="str">
        <f>IF(G$16=1,IF(AND($C73&lt;&gt;"",'Term 3'!$AH73&lt;&gt;""),'Term 2'!$AH73,""),"")</f>
        <v/>
      </c>
      <c r="H73" s="379" t="str">
        <f t="shared" si="2"/>
        <v/>
      </c>
      <c r="I73" s="378" t="str">
        <f>IF(H73="","",_xlfn.XLOOKUP(H73,HELPER!$AG$7:$AG$47,HELPER!$AH$7:$AH$47))</f>
        <v/>
      </c>
      <c r="J73" s="58" t="str">
        <f t="shared" si="3"/>
        <v/>
      </c>
    </row>
    <row r="74" spans="2:10">
      <c r="B74" s="12">
        <v>7</v>
      </c>
      <c r="C74" s="55" t="str">
        <f>UPPER(IF('INPUT DATA'!R17="","",'INPUT DATA'!R17))</f>
        <v/>
      </c>
      <c r="D74" s="383" t="str">
        <f>UPPER(IF('INPUT DATA'!S17="","",'INPUT DATA'!S17))</f>
        <v/>
      </c>
      <c r="E74" s="56" t="str">
        <f>IF(E$16=1,IF(AND($C74&lt;&gt;"",'Term 1'!$AH74&lt;&gt;""),'Term 1'!$AH74,""),"")</f>
        <v/>
      </c>
      <c r="F74" s="615" t="str">
        <f>IF(F$16=1,IF(AND($C74&lt;&gt;"",'Term 2'!$AH74&lt;&gt;""),'Term 2'!$AH74,""),"")</f>
        <v/>
      </c>
      <c r="G74" s="616" t="str">
        <f>IF(G$16=1,IF(AND($C74&lt;&gt;"",'Term 3'!$AH74&lt;&gt;""),'Term 2'!$AH74,""),"")</f>
        <v/>
      </c>
      <c r="H74" s="379" t="str">
        <f t="shared" si="2"/>
        <v/>
      </c>
      <c r="I74" s="378" t="str">
        <f>IF(H74="","",_xlfn.XLOOKUP(H74,HELPER!$AG$7:$AG$47,HELPER!$AH$7:$AH$47))</f>
        <v/>
      </c>
      <c r="J74" s="58" t="str">
        <f t="shared" si="3"/>
        <v/>
      </c>
    </row>
    <row r="75" spans="2:10">
      <c r="B75" s="12">
        <v>8</v>
      </c>
      <c r="C75" s="55" t="str">
        <f>UPPER(IF('INPUT DATA'!R18="","",'INPUT DATA'!R18))</f>
        <v/>
      </c>
      <c r="D75" s="383" t="str">
        <f>UPPER(IF('INPUT DATA'!S18="","",'INPUT DATA'!S18))</f>
        <v/>
      </c>
      <c r="E75" s="56" t="str">
        <f>IF(E$16=1,IF(AND($C75&lt;&gt;"",'Term 1'!$AH75&lt;&gt;""),'Term 1'!$AH75,""),"")</f>
        <v/>
      </c>
      <c r="F75" s="615" t="str">
        <f>IF(F$16=1,IF(AND($C75&lt;&gt;"",'Term 2'!$AH75&lt;&gt;""),'Term 2'!$AH75,""),"")</f>
        <v/>
      </c>
      <c r="G75" s="616" t="str">
        <f>IF(G$16=1,IF(AND($C75&lt;&gt;"",'Term 3'!$AH75&lt;&gt;""),'Term 2'!$AH75,""),"")</f>
        <v/>
      </c>
      <c r="H75" s="379" t="str">
        <f t="shared" si="2"/>
        <v/>
      </c>
      <c r="I75" s="378" t="str">
        <f>IF(H75="","",_xlfn.XLOOKUP(H75,HELPER!$AG$7:$AG$47,HELPER!$AH$7:$AH$47))</f>
        <v/>
      </c>
      <c r="J75" s="58" t="str">
        <f t="shared" si="3"/>
        <v/>
      </c>
    </row>
    <row r="76" spans="2:10">
      <c r="B76" s="12">
        <v>9</v>
      </c>
      <c r="C76" s="55" t="str">
        <f>UPPER(IF('INPUT DATA'!R19="","",'INPUT DATA'!R19))</f>
        <v/>
      </c>
      <c r="D76" s="383" t="str">
        <f>UPPER(IF('INPUT DATA'!S19="","",'INPUT DATA'!S19))</f>
        <v/>
      </c>
      <c r="E76" s="56" t="str">
        <f>IF(E$16=1,IF(AND($C76&lt;&gt;"",'Term 1'!$AH76&lt;&gt;""),'Term 1'!$AH76,""),"")</f>
        <v/>
      </c>
      <c r="F76" s="615" t="str">
        <f>IF(F$16=1,IF(AND($C76&lt;&gt;"",'Term 2'!$AH76&lt;&gt;""),'Term 2'!$AH76,""),"")</f>
        <v/>
      </c>
      <c r="G76" s="616" t="str">
        <f>IF(G$16=1,IF(AND($C76&lt;&gt;"",'Term 3'!$AH76&lt;&gt;""),'Term 2'!$AH76,""),"")</f>
        <v/>
      </c>
      <c r="H76" s="379" t="str">
        <f t="shared" si="2"/>
        <v/>
      </c>
      <c r="I76" s="378" t="str">
        <f>IF(H76="","",_xlfn.XLOOKUP(H76,HELPER!$AG$7:$AG$47,HELPER!$AH$7:$AH$47))</f>
        <v/>
      </c>
      <c r="J76" s="58" t="str">
        <f t="shared" si="3"/>
        <v/>
      </c>
    </row>
    <row r="77" spans="2:10">
      <c r="B77" s="12">
        <v>10</v>
      </c>
      <c r="C77" s="55" t="str">
        <f>UPPER(IF('INPUT DATA'!R20="","",'INPUT DATA'!R20))</f>
        <v/>
      </c>
      <c r="D77" s="383" t="str">
        <f>UPPER(IF('INPUT DATA'!S20="","",'INPUT DATA'!S20))</f>
        <v/>
      </c>
      <c r="E77" s="56" t="str">
        <f>IF(E$16=1,IF(AND($C77&lt;&gt;"",'Term 1'!$AH77&lt;&gt;""),'Term 1'!$AH77,""),"")</f>
        <v/>
      </c>
      <c r="F77" s="615" t="str">
        <f>IF(F$16=1,IF(AND($C77&lt;&gt;"",'Term 2'!$AH77&lt;&gt;""),'Term 2'!$AH77,""),"")</f>
        <v/>
      </c>
      <c r="G77" s="616" t="str">
        <f>IF(G$16=1,IF(AND($C77&lt;&gt;"",'Term 3'!$AH77&lt;&gt;""),'Term 2'!$AH77,""),"")</f>
        <v/>
      </c>
      <c r="H77" s="379" t="str">
        <f t="shared" si="2"/>
        <v/>
      </c>
      <c r="I77" s="378" t="str">
        <f>IF(H77="","",_xlfn.XLOOKUP(H77,HELPER!$AG$7:$AG$47,HELPER!$AH$7:$AH$47))</f>
        <v/>
      </c>
      <c r="J77" s="58" t="str">
        <f t="shared" si="3"/>
        <v/>
      </c>
    </row>
    <row r="78" spans="2:10">
      <c r="B78" s="12">
        <v>11</v>
      </c>
      <c r="C78" s="55" t="str">
        <f>UPPER(IF('INPUT DATA'!R21="","",'INPUT DATA'!R21))</f>
        <v/>
      </c>
      <c r="D78" s="383" t="str">
        <f>UPPER(IF('INPUT DATA'!S21="","",'INPUT DATA'!S21))</f>
        <v/>
      </c>
      <c r="E78" s="56" t="str">
        <f>IF(E$16=1,IF(AND($C78&lt;&gt;"",'Term 1'!$AH78&lt;&gt;""),'Term 1'!$AH78,""),"")</f>
        <v/>
      </c>
      <c r="F78" s="615" t="str">
        <f>IF(F$16=1,IF(AND($C78&lt;&gt;"",'Term 2'!$AH78&lt;&gt;""),'Term 2'!$AH78,""),"")</f>
        <v/>
      </c>
      <c r="G78" s="616" t="str">
        <f>IF(G$16=1,IF(AND($C78&lt;&gt;"",'Term 3'!$AH78&lt;&gt;""),'Term 2'!$AH78,""),"")</f>
        <v/>
      </c>
      <c r="H78" s="379" t="str">
        <f t="shared" si="2"/>
        <v/>
      </c>
      <c r="I78" s="378" t="str">
        <f>IF(H78="","",_xlfn.XLOOKUP(H78,HELPER!$AG$7:$AG$47,HELPER!$AH$7:$AH$47))</f>
        <v/>
      </c>
      <c r="J78" s="58" t="str">
        <f t="shared" si="3"/>
        <v/>
      </c>
    </row>
    <row r="79" spans="2:10">
      <c r="B79" s="12">
        <v>12</v>
      </c>
      <c r="C79" s="55" t="str">
        <f>UPPER(IF('INPUT DATA'!R22="","",'INPUT DATA'!R22))</f>
        <v/>
      </c>
      <c r="D79" s="383" t="str">
        <f>UPPER(IF('INPUT DATA'!S22="","",'INPUT DATA'!S22))</f>
        <v/>
      </c>
      <c r="E79" s="56" t="str">
        <f>IF(E$16=1,IF(AND($C79&lt;&gt;"",'Term 1'!$AH79&lt;&gt;""),'Term 1'!$AH79,""),"")</f>
        <v/>
      </c>
      <c r="F79" s="615" t="str">
        <f>IF(F$16=1,IF(AND($C79&lt;&gt;"",'Term 2'!$AH79&lt;&gt;""),'Term 2'!$AH79,""),"")</f>
        <v/>
      </c>
      <c r="G79" s="616" t="str">
        <f>IF(G$16=1,IF(AND($C79&lt;&gt;"",'Term 3'!$AH79&lt;&gt;""),'Term 2'!$AH79,""),"")</f>
        <v/>
      </c>
      <c r="H79" s="379" t="str">
        <f t="shared" si="2"/>
        <v/>
      </c>
      <c r="I79" s="378" t="str">
        <f>IF(H79="","",_xlfn.XLOOKUP(H79,HELPER!$AG$7:$AG$47,HELPER!$AH$7:$AH$47))</f>
        <v/>
      </c>
      <c r="J79" s="58" t="str">
        <f t="shared" si="3"/>
        <v/>
      </c>
    </row>
    <row r="80" spans="2:10">
      <c r="B80" s="12">
        <v>13</v>
      </c>
      <c r="C80" s="55" t="str">
        <f>UPPER(IF('INPUT DATA'!R23="","",'INPUT DATA'!R23))</f>
        <v/>
      </c>
      <c r="D80" s="383" t="str">
        <f>UPPER(IF('INPUT DATA'!S23="","",'INPUT DATA'!S23))</f>
        <v/>
      </c>
      <c r="E80" s="56" t="str">
        <f>IF(E$16=1,IF(AND($C80&lt;&gt;"",'Term 1'!$AH80&lt;&gt;""),'Term 1'!$AH80,""),"")</f>
        <v/>
      </c>
      <c r="F80" s="615" t="str">
        <f>IF(F$16=1,IF(AND($C80&lt;&gt;"",'Term 2'!$AH80&lt;&gt;""),'Term 2'!$AH80,""),"")</f>
        <v/>
      </c>
      <c r="G80" s="616" t="str">
        <f>IF(G$16=1,IF(AND($C80&lt;&gt;"",'Term 3'!$AH80&lt;&gt;""),'Term 2'!$AH80,""),"")</f>
        <v/>
      </c>
      <c r="H80" s="379" t="str">
        <f t="shared" si="2"/>
        <v/>
      </c>
      <c r="I80" s="378" t="str">
        <f>IF(H80="","",_xlfn.XLOOKUP(H80,HELPER!$AG$7:$AG$47,HELPER!$AH$7:$AH$47))</f>
        <v/>
      </c>
      <c r="J80" s="58" t="str">
        <f t="shared" si="3"/>
        <v/>
      </c>
    </row>
    <row r="81" spans="2:10">
      <c r="B81" s="12">
        <v>14</v>
      </c>
      <c r="C81" s="55" t="str">
        <f>UPPER(IF('INPUT DATA'!R24="","",'INPUT DATA'!R24))</f>
        <v/>
      </c>
      <c r="D81" s="383" t="str">
        <f>UPPER(IF('INPUT DATA'!S24="","",'INPUT DATA'!S24))</f>
        <v/>
      </c>
      <c r="E81" s="56" t="str">
        <f>IF(E$16=1,IF(AND($C81&lt;&gt;"",'Term 1'!$AH81&lt;&gt;""),'Term 1'!$AH81,""),"")</f>
        <v/>
      </c>
      <c r="F81" s="615" t="str">
        <f>IF(F$16=1,IF(AND($C81&lt;&gt;"",'Term 2'!$AH81&lt;&gt;""),'Term 2'!$AH81,""),"")</f>
        <v/>
      </c>
      <c r="G81" s="616" t="str">
        <f>IF(G$16=1,IF(AND($C81&lt;&gt;"",'Term 3'!$AH81&lt;&gt;""),'Term 2'!$AH81,""),"")</f>
        <v/>
      </c>
      <c r="H81" s="379" t="str">
        <f t="shared" si="2"/>
        <v/>
      </c>
      <c r="I81" s="378" t="str">
        <f>IF(H81="","",_xlfn.XLOOKUP(H81,HELPER!$AG$7:$AG$47,HELPER!$AH$7:$AH$47))</f>
        <v/>
      </c>
      <c r="J81" s="58" t="str">
        <f t="shared" si="3"/>
        <v/>
      </c>
    </row>
    <row r="82" spans="2:10">
      <c r="B82" s="12">
        <v>15</v>
      </c>
      <c r="C82" s="55" t="str">
        <f>UPPER(IF('INPUT DATA'!R25="","",'INPUT DATA'!R25))</f>
        <v/>
      </c>
      <c r="D82" s="383" t="str">
        <f>UPPER(IF('INPUT DATA'!S25="","",'INPUT DATA'!S25))</f>
        <v/>
      </c>
      <c r="E82" s="56" t="str">
        <f>IF(E$16=1,IF(AND($C82&lt;&gt;"",'Term 1'!$AH82&lt;&gt;""),'Term 1'!$AH82,""),"")</f>
        <v/>
      </c>
      <c r="F82" s="615" t="str">
        <f>IF(F$16=1,IF(AND($C82&lt;&gt;"",'Term 2'!$AH82&lt;&gt;""),'Term 2'!$AH82,""),"")</f>
        <v/>
      </c>
      <c r="G82" s="616" t="str">
        <f>IF(G$16=1,IF(AND($C82&lt;&gt;"",'Term 3'!$AH82&lt;&gt;""),'Term 2'!$AH82,""),"")</f>
        <v/>
      </c>
      <c r="H82" s="379" t="str">
        <f t="shared" si="2"/>
        <v/>
      </c>
      <c r="I82" s="378" t="str">
        <f>IF(H82="","",_xlfn.XLOOKUP(H82,HELPER!$AG$7:$AG$47,HELPER!$AH$7:$AH$47))</f>
        <v/>
      </c>
      <c r="J82" s="58" t="str">
        <f t="shared" si="3"/>
        <v/>
      </c>
    </row>
    <row r="83" spans="2:10">
      <c r="B83" s="12">
        <v>16</v>
      </c>
      <c r="C83" s="55" t="str">
        <f>UPPER(IF('INPUT DATA'!R26="","",'INPUT DATA'!R26))</f>
        <v/>
      </c>
      <c r="D83" s="383" t="str">
        <f>UPPER(IF('INPUT DATA'!S26="","",'INPUT DATA'!S26))</f>
        <v/>
      </c>
      <c r="E83" s="56" t="str">
        <f>IF(E$16=1,IF(AND($C83&lt;&gt;"",'Term 1'!$AH83&lt;&gt;""),'Term 1'!$AH83,""),"")</f>
        <v/>
      </c>
      <c r="F83" s="615" t="str">
        <f>IF(F$16=1,IF(AND($C83&lt;&gt;"",'Term 2'!$AH83&lt;&gt;""),'Term 2'!$AH83,""),"")</f>
        <v/>
      </c>
      <c r="G83" s="616" t="str">
        <f>IF(G$16=1,IF(AND($C83&lt;&gt;"",'Term 3'!$AH83&lt;&gt;""),'Term 2'!$AH83,""),"")</f>
        <v/>
      </c>
      <c r="H83" s="379" t="str">
        <f t="shared" si="2"/>
        <v/>
      </c>
      <c r="I83" s="378" t="str">
        <f>IF(H83="","",_xlfn.XLOOKUP(H83,HELPER!$AG$7:$AG$47,HELPER!$AH$7:$AH$47))</f>
        <v/>
      </c>
      <c r="J83" s="58" t="str">
        <f t="shared" si="3"/>
        <v/>
      </c>
    </row>
    <row r="84" spans="2:10">
      <c r="B84" s="12">
        <v>17</v>
      </c>
      <c r="C84" s="55" t="str">
        <f>UPPER(IF('INPUT DATA'!R27="","",'INPUT DATA'!R27))</f>
        <v/>
      </c>
      <c r="D84" s="383" t="str">
        <f>UPPER(IF('INPUT DATA'!S27="","",'INPUT DATA'!S27))</f>
        <v/>
      </c>
      <c r="E84" s="56" t="str">
        <f>IF(E$16=1,IF(AND($C84&lt;&gt;"",'Term 1'!$AH84&lt;&gt;""),'Term 1'!$AH84,""),"")</f>
        <v/>
      </c>
      <c r="F84" s="615" t="str">
        <f>IF(F$16=1,IF(AND($C84&lt;&gt;"",'Term 2'!$AH84&lt;&gt;""),'Term 2'!$AH84,""),"")</f>
        <v/>
      </c>
      <c r="G84" s="616" t="str">
        <f>IF(G$16=1,IF(AND($C84&lt;&gt;"",'Term 3'!$AH84&lt;&gt;""),'Term 2'!$AH84,""),"")</f>
        <v/>
      </c>
      <c r="H84" s="379" t="str">
        <f t="shared" si="2"/>
        <v/>
      </c>
      <c r="I84" s="378" t="str">
        <f>IF(H84="","",_xlfn.XLOOKUP(H84,HELPER!$AG$7:$AG$47,HELPER!$AH$7:$AH$47))</f>
        <v/>
      </c>
      <c r="J84" s="58" t="str">
        <f t="shared" si="3"/>
        <v/>
      </c>
    </row>
    <row r="85" spans="2:10">
      <c r="B85" s="12">
        <v>18</v>
      </c>
      <c r="C85" s="55" t="str">
        <f>UPPER(IF('INPUT DATA'!R28="","",'INPUT DATA'!R28))</f>
        <v/>
      </c>
      <c r="D85" s="383" t="str">
        <f>UPPER(IF('INPUT DATA'!S28="","",'INPUT DATA'!S28))</f>
        <v/>
      </c>
      <c r="E85" s="56" t="str">
        <f>IF(E$16=1,IF(AND($C85&lt;&gt;"",'Term 1'!$AH85&lt;&gt;""),'Term 1'!$AH85,""),"")</f>
        <v/>
      </c>
      <c r="F85" s="615" t="str">
        <f>IF(F$16=1,IF(AND($C85&lt;&gt;"",'Term 2'!$AH85&lt;&gt;""),'Term 2'!$AH85,""),"")</f>
        <v/>
      </c>
      <c r="G85" s="616" t="str">
        <f>IF(G$16=1,IF(AND($C85&lt;&gt;"",'Term 3'!$AH85&lt;&gt;""),'Term 2'!$AH85,""),"")</f>
        <v/>
      </c>
      <c r="H85" s="379" t="str">
        <f t="shared" si="2"/>
        <v/>
      </c>
      <c r="I85" s="378" t="str">
        <f>IF(H85="","",_xlfn.XLOOKUP(H85,HELPER!$AG$7:$AG$47,HELPER!$AH$7:$AH$47))</f>
        <v/>
      </c>
      <c r="J85" s="58" t="str">
        <f t="shared" si="3"/>
        <v/>
      </c>
    </row>
    <row r="86" spans="2:10">
      <c r="B86" s="12">
        <v>19</v>
      </c>
      <c r="C86" s="55" t="str">
        <f>UPPER(IF('INPUT DATA'!R29="","",'INPUT DATA'!R29))</f>
        <v/>
      </c>
      <c r="D86" s="383" t="str">
        <f>UPPER(IF('INPUT DATA'!S29="","",'INPUT DATA'!S29))</f>
        <v/>
      </c>
      <c r="E86" s="56" t="str">
        <f>IF(E$16=1,IF(AND($C86&lt;&gt;"",'Term 1'!$AH86&lt;&gt;""),'Term 1'!$AH86,""),"")</f>
        <v/>
      </c>
      <c r="F86" s="615" t="str">
        <f>IF(F$16=1,IF(AND($C86&lt;&gt;"",'Term 2'!$AH86&lt;&gt;""),'Term 2'!$AH86,""),"")</f>
        <v/>
      </c>
      <c r="G86" s="616" t="str">
        <f>IF(G$16=1,IF(AND($C86&lt;&gt;"",'Term 3'!$AH86&lt;&gt;""),'Term 2'!$AH86,""),"")</f>
        <v/>
      </c>
      <c r="H86" s="379" t="str">
        <f t="shared" si="2"/>
        <v/>
      </c>
      <c r="I86" s="378" t="str">
        <f>IF(H86="","",_xlfn.XLOOKUP(H86,HELPER!$AG$7:$AG$47,HELPER!$AH$7:$AH$47))</f>
        <v/>
      </c>
      <c r="J86" s="58" t="str">
        <f t="shared" si="3"/>
        <v/>
      </c>
    </row>
    <row r="87" spans="2:10">
      <c r="B87" s="12">
        <v>20</v>
      </c>
      <c r="C87" s="55" t="str">
        <f>UPPER(IF('INPUT DATA'!R30="","",'INPUT DATA'!R30))</f>
        <v/>
      </c>
      <c r="D87" s="383" t="str">
        <f>UPPER(IF('INPUT DATA'!S30="","",'INPUT DATA'!S30))</f>
        <v/>
      </c>
      <c r="E87" s="56" t="str">
        <f>IF(E$16=1,IF(AND($C87&lt;&gt;"",'Term 1'!$AH87&lt;&gt;""),'Term 1'!$AH87,""),"")</f>
        <v/>
      </c>
      <c r="F87" s="615" t="str">
        <f>IF(F$16=1,IF(AND($C87&lt;&gt;"",'Term 2'!$AH87&lt;&gt;""),'Term 2'!$AH87,""),"")</f>
        <v/>
      </c>
      <c r="G87" s="616" t="str">
        <f>IF(G$16=1,IF(AND($C87&lt;&gt;"",'Term 3'!$AH87&lt;&gt;""),'Term 2'!$AH87,""),"")</f>
        <v/>
      </c>
      <c r="H87" s="379" t="str">
        <f t="shared" si="2"/>
        <v/>
      </c>
      <c r="I87" s="378" t="str">
        <f>IF(H87="","",_xlfn.XLOOKUP(H87,HELPER!$AG$7:$AG$47,HELPER!$AH$7:$AH$47))</f>
        <v/>
      </c>
      <c r="J87" s="58" t="str">
        <f t="shared" si="3"/>
        <v/>
      </c>
    </row>
    <row r="88" spans="2:10">
      <c r="B88" s="12">
        <v>21</v>
      </c>
      <c r="C88" s="55" t="str">
        <f>UPPER(IF('INPUT DATA'!R31="","",'INPUT DATA'!R31))</f>
        <v/>
      </c>
      <c r="D88" s="383" t="str">
        <f>UPPER(IF('INPUT DATA'!S31="","",'INPUT DATA'!S31))</f>
        <v/>
      </c>
      <c r="E88" s="56" t="str">
        <f>IF(E$16=1,IF(AND($C88&lt;&gt;"",'Term 1'!$AH88&lt;&gt;""),'Term 1'!$AH88,""),"")</f>
        <v/>
      </c>
      <c r="F88" s="615" t="str">
        <f>IF(F$16=1,IF(AND($C88&lt;&gt;"",'Term 2'!$AH88&lt;&gt;""),'Term 2'!$AH88,""),"")</f>
        <v/>
      </c>
      <c r="G88" s="616" t="str">
        <f>IF(G$16=1,IF(AND($C88&lt;&gt;"",'Term 3'!$AH88&lt;&gt;""),'Term 2'!$AH88,""),"")</f>
        <v/>
      </c>
      <c r="H88" s="379" t="str">
        <f t="shared" si="2"/>
        <v/>
      </c>
      <c r="I88" s="378" t="str">
        <f>IF(H88="","",_xlfn.XLOOKUP(H88,HELPER!$AG$7:$AG$47,HELPER!$AH$7:$AH$47))</f>
        <v/>
      </c>
      <c r="J88" s="58" t="str">
        <f t="shared" si="3"/>
        <v/>
      </c>
    </row>
    <row r="89" spans="2:10">
      <c r="B89" s="12">
        <v>22</v>
      </c>
      <c r="C89" s="55" t="str">
        <f>UPPER(IF('INPUT DATA'!R32="","",'INPUT DATA'!R32))</f>
        <v/>
      </c>
      <c r="D89" s="383" t="str">
        <f>UPPER(IF('INPUT DATA'!S32="","",'INPUT DATA'!S32))</f>
        <v/>
      </c>
      <c r="E89" s="56" t="str">
        <f>IF(E$16=1,IF(AND($C89&lt;&gt;"",'Term 1'!$AH89&lt;&gt;""),'Term 1'!$AH89,""),"")</f>
        <v/>
      </c>
      <c r="F89" s="615" t="str">
        <f>IF(F$16=1,IF(AND($C89&lt;&gt;"",'Term 2'!$AH89&lt;&gt;""),'Term 2'!$AH89,""),"")</f>
        <v/>
      </c>
      <c r="G89" s="616" t="str">
        <f>IF(G$16=1,IF(AND($C89&lt;&gt;"",'Term 3'!$AH89&lt;&gt;""),'Term 2'!$AH89,""),"")</f>
        <v/>
      </c>
      <c r="H89" s="379" t="str">
        <f t="shared" si="2"/>
        <v/>
      </c>
      <c r="I89" s="378" t="str">
        <f>IF(H89="","",_xlfn.XLOOKUP(H89,HELPER!$AG$7:$AG$47,HELPER!$AH$7:$AH$47))</f>
        <v/>
      </c>
      <c r="J89" s="58" t="str">
        <f t="shared" si="3"/>
        <v/>
      </c>
    </row>
    <row r="90" spans="2:10">
      <c r="B90" s="12">
        <v>23</v>
      </c>
      <c r="C90" s="55" t="str">
        <f>UPPER(IF('INPUT DATA'!R33="","",'INPUT DATA'!R33))</f>
        <v/>
      </c>
      <c r="D90" s="383" t="str">
        <f>UPPER(IF('INPUT DATA'!S33="","",'INPUT DATA'!S33))</f>
        <v/>
      </c>
      <c r="E90" s="56" t="str">
        <f>IF(E$16=1,IF(AND($C90&lt;&gt;"",'Term 1'!$AH90&lt;&gt;""),'Term 1'!$AH90,""),"")</f>
        <v/>
      </c>
      <c r="F90" s="615" t="str">
        <f>IF(F$16=1,IF(AND($C90&lt;&gt;"",'Term 2'!$AH90&lt;&gt;""),'Term 2'!$AH90,""),"")</f>
        <v/>
      </c>
      <c r="G90" s="616" t="str">
        <f>IF(G$16=1,IF(AND($C90&lt;&gt;"",'Term 3'!$AH90&lt;&gt;""),'Term 2'!$AH90,""),"")</f>
        <v/>
      </c>
      <c r="H90" s="379" t="str">
        <f t="shared" si="2"/>
        <v/>
      </c>
      <c r="I90" s="378" t="str">
        <f>IF(H90="","",_xlfn.XLOOKUP(H90,HELPER!$AG$7:$AG$47,HELPER!$AH$7:$AH$47))</f>
        <v/>
      </c>
      <c r="J90" s="58" t="str">
        <f t="shared" si="3"/>
        <v/>
      </c>
    </row>
    <row r="91" spans="2:10">
      <c r="B91" s="12">
        <v>24</v>
      </c>
      <c r="C91" s="55" t="str">
        <f>UPPER(IF('INPUT DATA'!R34="","",'INPUT DATA'!R34))</f>
        <v/>
      </c>
      <c r="D91" s="383" t="str">
        <f>UPPER(IF('INPUT DATA'!S34="","",'INPUT DATA'!S34))</f>
        <v/>
      </c>
      <c r="E91" s="56" t="str">
        <f>IF(E$16=1,IF(AND($C91&lt;&gt;"",'Term 1'!$AH91&lt;&gt;""),'Term 1'!$AH91,""),"")</f>
        <v/>
      </c>
      <c r="F91" s="615" t="str">
        <f>IF(F$16=1,IF(AND($C91&lt;&gt;"",'Term 2'!$AH91&lt;&gt;""),'Term 2'!$AH91,""),"")</f>
        <v/>
      </c>
      <c r="G91" s="616" t="str">
        <f>IF(G$16=1,IF(AND($C91&lt;&gt;"",'Term 3'!$AH91&lt;&gt;""),'Term 2'!$AH91,""),"")</f>
        <v/>
      </c>
      <c r="H91" s="379" t="str">
        <f t="shared" si="2"/>
        <v/>
      </c>
      <c r="I91" s="378" t="str">
        <f>IF(H91="","",_xlfn.XLOOKUP(H91,HELPER!$AG$7:$AG$47,HELPER!$AH$7:$AH$47))</f>
        <v/>
      </c>
      <c r="J91" s="58" t="str">
        <f t="shared" si="3"/>
        <v/>
      </c>
    </row>
    <row r="92" spans="2:10">
      <c r="B92" s="12">
        <v>25</v>
      </c>
      <c r="C92" s="55" t="str">
        <f>UPPER(IF('INPUT DATA'!R35="","",'INPUT DATA'!R35))</f>
        <v/>
      </c>
      <c r="D92" s="383" t="str">
        <f>UPPER(IF('INPUT DATA'!S35="","",'INPUT DATA'!S35))</f>
        <v/>
      </c>
      <c r="E92" s="56" t="str">
        <f>IF(E$16=1,IF(AND($C92&lt;&gt;"",'Term 1'!$AH92&lt;&gt;""),'Term 1'!$AH92,""),"")</f>
        <v/>
      </c>
      <c r="F92" s="615" t="str">
        <f>IF(F$16=1,IF(AND($C92&lt;&gt;"",'Term 2'!$AH92&lt;&gt;""),'Term 2'!$AH92,""),"")</f>
        <v/>
      </c>
      <c r="G92" s="616" t="str">
        <f>IF(G$16=1,IF(AND($C92&lt;&gt;"",'Term 3'!$AH92&lt;&gt;""),'Term 2'!$AH92,""),"")</f>
        <v/>
      </c>
      <c r="H92" s="379" t="str">
        <f t="shared" si="2"/>
        <v/>
      </c>
      <c r="I92" s="378" t="str">
        <f>IF(H92="","",_xlfn.XLOOKUP(H92,HELPER!$AG$7:$AG$47,HELPER!$AH$7:$AH$47))</f>
        <v/>
      </c>
      <c r="J92" s="58" t="str">
        <f t="shared" si="3"/>
        <v/>
      </c>
    </row>
    <row r="93" spans="2:10">
      <c r="B93" s="12">
        <v>26</v>
      </c>
      <c r="C93" s="55" t="str">
        <f>UPPER(IF('INPUT DATA'!R36="","",'INPUT DATA'!R36))</f>
        <v/>
      </c>
      <c r="D93" s="383" t="str">
        <f>UPPER(IF('INPUT DATA'!S36="","",'INPUT DATA'!S36))</f>
        <v/>
      </c>
      <c r="E93" s="56" t="str">
        <f>IF(E$16=1,IF(AND($C93&lt;&gt;"",'Term 1'!$AH93&lt;&gt;""),'Term 1'!$AH93,""),"")</f>
        <v/>
      </c>
      <c r="F93" s="615" t="str">
        <f>IF(F$16=1,IF(AND($C93&lt;&gt;"",'Term 2'!$AH93&lt;&gt;""),'Term 2'!$AH93,""),"")</f>
        <v/>
      </c>
      <c r="G93" s="616" t="str">
        <f>IF(G$16=1,IF(AND($C93&lt;&gt;"",'Term 3'!$AH93&lt;&gt;""),'Term 2'!$AH93,""),"")</f>
        <v/>
      </c>
      <c r="H93" s="379" t="str">
        <f t="shared" si="2"/>
        <v/>
      </c>
      <c r="I93" s="378" t="str">
        <f>IF(H93="","",_xlfn.XLOOKUP(H93,HELPER!$AG$7:$AG$47,HELPER!$AH$7:$AH$47))</f>
        <v/>
      </c>
      <c r="J93" s="58" t="str">
        <f t="shared" si="3"/>
        <v/>
      </c>
    </row>
    <row r="94" spans="2:10">
      <c r="B94" s="12">
        <v>27</v>
      </c>
      <c r="C94" s="55" t="str">
        <f>UPPER(IF('INPUT DATA'!R37="","",'INPUT DATA'!R37))</f>
        <v/>
      </c>
      <c r="D94" s="383" t="str">
        <f>UPPER(IF('INPUT DATA'!S37="","",'INPUT DATA'!S37))</f>
        <v/>
      </c>
      <c r="E94" s="56" t="str">
        <f>IF(E$16=1,IF(AND($C94&lt;&gt;"",'Term 1'!$AH94&lt;&gt;""),'Term 1'!$AH94,""),"")</f>
        <v/>
      </c>
      <c r="F94" s="615" t="str">
        <f>IF(F$16=1,IF(AND($C94&lt;&gt;"",'Term 2'!$AH94&lt;&gt;""),'Term 2'!$AH94,""),"")</f>
        <v/>
      </c>
      <c r="G94" s="616" t="str">
        <f>IF(G$16=1,IF(AND($C94&lt;&gt;"",'Term 3'!$AH94&lt;&gt;""),'Term 2'!$AH94,""),"")</f>
        <v/>
      </c>
      <c r="H94" s="379" t="str">
        <f t="shared" si="2"/>
        <v/>
      </c>
      <c r="I94" s="378" t="str">
        <f>IF(H94="","",_xlfn.XLOOKUP(H94,HELPER!$AG$7:$AG$47,HELPER!$AH$7:$AH$47))</f>
        <v/>
      </c>
      <c r="J94" s="58" t="str">
        <f t="shared" si="3"/>
        <v/>
      </c>
    </row>
    <row r="95" spans="2:10">
      <c r="B95" s="12">
        <v>28</v>
      </c>
      <c r="C95" s="55" t="str">
        <f>UPPER(IF('INPUT DATA'!R38="","",'INPUT DATA'!R38))</f>
        <v/>
      </c>
      <c r="D95" s="383" t="str">
        <f>UPPER(IF('INPUT DATA'!S38="","",'INPUT DATA'!S38))</f>
        <v/>
      </c>
      <c r="E95" s="56" t="str">
        <f>IF(E$16=1,IF(AND($C95&lt;&gt;"",'Term 1'!$AH95&lt;&gt;""),'Term 1'!$AH95,""),"")</f>
        <v/>
      </c>
      <c r="F95" s="615" t="str">
        <f>IF(F$16=1,IF(AND($C95&lt;&gt;"",'Term 2'!$AH95&lt;&gt;""),'Term 2'!$AH95,""),"")</f>
        <v/>
      </c>
      <c r="G95" s="616" t="str">
        <f>IF(G$16=1,IF(AND($C95&lt;&gt;"",'Term 3'!$AH95&lt;&gt;""),'Term 2'!$AH95,""),"")</f>
        <v/>
      </c>
      <c r="H95" s="379" t="str">
        <f t="shared" si="2"/>
        <v/>
      </c>
      <c r="I95" s="378" t="str">
        <f>IF(H95="","",_xlfn.XLOOKUP(H95,HELPER!$AG$7:$AG$47,HELPER!$AH$7:$AH$47))</f>
        <v/>
      </c>
      <c r="J95" s="58" t="str">
        <f t="shared" si="3"/>
        <v/>
      </c>
    </row>
    <row r="96" spans="2:10">
      <c r="B96" s="12">
        <v>29</v>
      </c>
      <c r="C96" s="55" t="str">
        <f>UPPER(IF('INPUT DATA'!R39="","",'INPUT DATA'!R39))</f>
        <v/>
      </c>
      <c r="D96" s="383" t="str">
        <f>UPPER(IF('INPUT DATA'!S39="","",'INPUT DATA'!S39))</f>
        <v/>
      </c>
      <c r="E96" s="56" t="str">
        <f>IF(E$16=1,IF(AND($C96&lt;&gt;"",'Term 1'!$AH96&lt;&gt;""),'Term 1'!$AH96,""),"")</f>
        <v/>
      </c>
      <c r="F96" s="615" t="str">
        <f>IF(F$16=1,IF(AND($C96&lt;&gt;"",'Term 2'!$AH96&lt;&gt;""),'Term 2'!$AH96,""),"")</f>
        <v/>
      </c>
      <c r="G96" s="616" t="str">
        <f>IF(G$16=1,IF(AND($C96&lt;&gt;"",'Term 3'!$AH96&lt;&gt;""),'Term 2'!$AH96,""),"")</f>
        <v/>
      </c>
      <c r="H96" s="379" t="str">
        <f t="shared" si="2"/>
        <v/>
      </c>
      <c r="I96" s="378" t="str">
        <f>IF(H96="","",_xlfn.XLOOKUP(H96,HELPER!$AG$7:$AG$47,HELPER!$AH$7:$AH$47))</f>
        <v/>
      </c>
      <c r="J96" s="58" t="str">
        <f t="shared" si="3"/>
        <v/>
      </c>
    </row>
    <row r="97" spans="2:10">
      <c r="B97" s="12">
        <v>30</v>
      </c>
      <c r="C97" s="55" t="str">
        <f>UPPER(IF('INPUT DATA'!R40="","",'INPUT DATA'!R40))</f>
        <v/>
      </c>
      <c r="D97" s="383" t="str">
        <f>UPPER(IF('INPUT DATA'!S40="","",'INPUT DATA'!S40))</f>
        <v/>
      </c>
      <c r="E97" s="56" t="str">
        <f>IF(E$16=1,IF(AND($C97&lt;&gt;"",'Term 1'!$AH97&lt;&gt;""),'Term 1'!$AH97,""),"")</f>
        <v/>
      </c>
      <c r="F97" s="615" t="str">
        <f>IF(F$16=1,IF(AND($C97&lt;&gt;"",'Term 2'!$AH97&lt;&gt;""),'Term 2'!$AH97,""),"")</f>
        <v/>
      </c>
      <c r="G97" s="616" t="str">
        <f>IF(G$16=1,IF(AND($C97&lt;&gt;"",'Term 3'!$AH97&lt;&gt;""),'Term 2'!$AH97,""),"")</f>
        <v/>
      </c>
      <c r="H97" s="379" t="str">
        <f t="shared" si="2"/>
        <v/>
      </c>
      <c r="I97" s="378" t="str">
        <f>IF(H97="","",_xlfn.XLOOKUP(H97,HELPER!$AG$7:$AG$47,HELPER!$AH$7:$AH$47))</f>
        <v/>
      </c>
      <c r="J97" s="58" t="str">
        <f t="shared" si="3"/>
        <v/>
      </c>
    </row>
    <row r="98" spans="2:10">
      <c r="B98" s="12">
        <v>31</v>
      </c>
      <c r="C98" s="55" t="str">
        <f>UPPER(IF('INPUT DATA'!R41="","",'INPUT DATA'!R41))</f>
        <v/>
      </c>
      <c r="D98" s="383" t="str">
        <f>UPPER(IF('INPUT DATA'!S41="","",'INPUT DATA'!S41))</f>
        <v/>
      </c>
      <c r="E98" s="56" t="str">
        <f>IF(E$16=1,IF(AND($C98&lt;&gt;"",'Term 1'!$AH98&lt;&gt;""),'Term 1'!$AH98,""),"")</f>
        <v/>
      </c>
      <c r="F98" s="615" t="str">
        <f>IF(F$16=1,IF(AND($C98&lt;&gt;"",'Term 2'!$AH98&lt;&gt;""),'Term 2'!$AH98,""),"")</f>
        <v/>
      </c>
      <c r="G98" s="616" t="str">
        <f>IF(G$16=1,IF(AND($C98&lt;&gt;"",'Term 3'!$AH98&lt;&gt;""),'Term 2'!$AH98,""),"")</f>
        <v/>
      </c>
      <c r="H98" s="379" t="str">
        <f t="shared" si="2"/>
        <v/>
      </c>
      <c r="I98" s="378" t="str">
        <f>IF(H98="","",_xlfn.XLOOKUP(H98,HELPER!$AG$7:$AG$47,HELPER!$AH$7:$AH$47))</f>
        <v/>
      </c>
      <c r="J98" s="58" t="str">
        <f t="shared" si="3"/>
        <v/>
      </c>
    </row>
    <row r="99" spans="2:10">
      <c r="B99" s="12">
        <v>32</v>
      </c>
      <c r="C99" s="55" t="str">
        <f>UPPER(IF('INPUT DATA'!R42="","",'INPUT DATA'!R42))</f>
        <v/>
      </c>
      <c r="D99" s="383" t="str">
        <f>UPPER(IF('INPUT DATA'!S42="","",'INPUT DATA'!S42))</f>
        <v/>
      </c>
      <c r="E99" s="56" t="str">
        <f>IF(E$16=1,IF(AND($C99&lt;&gt;"",'Term 1'!$AH99&lt;&gt;""),'Term 1'!$AH99,""),"")</f>
        <v/>
      </c>
      <c r="F99" s="615" t="str">
        <f>IF(F$16=1,IF(AND($C99&lt;&gt;"",'Term 2'!$AH99&lt;&gt;""),'Term 2'!$AH99,""),"")</f>
        <v/>
      </c>
      <c r="G99" s="616" t="str">
        <f>IF(G$16=1,IF(AND($C99&lt;&gt;"",'Term 3'!$AH99&lt;&gt;""),'Term 2'!$AH99,""),"")</f>
        <v/>
      </c>
      <c r="H99" s="379" t="str">
        <f t="shared" si="2"/>
        <v/>
      </c>
      <c r="I99" s="378" t="str">
        <f>IF(H99="","",_xlfn.XLOOKUP(H99,HELPER!$AG$7:$AG$47,HELPER!$AH$7:$AH$47))</f>
        <v/>
      </c>
      <c r="J99" s="58" t="str">
        <f t="shared" si="3"/>
        <v/>
      </c>
    </row>
    <row r="100" spans="2:10">
      <c r="B100" s="12">
        <v>33</v>
      </c>
      <c r="C100" s="55" t="str">
        <f>UPPER(IF('INPUT DATA'!R43="","",'INPUT DATA'!R43))</f>
        <v/>
      </c>
      <c r="D100" s="383" t="str">
        <f>UPPER(IF('INPUT DATA'!S43="","",'INPUT DATA'!S43))</f>
        <v/>
      </c>
      <c r="E100" s="56" t="str">
        <f>IF(E$16=1,IF(AND($C100&lt;&gt;"",'Term 1'!$AH100&lt;&gt;""),'Term 1'!$AH100,""),"")</f>
        <v/>
      </c>
      <c r="F100" s="615" t="str">
        <f>IF(F$16=1,IF(AND($C100&lt;&gt;"",'Term 2'!$AH100&lt;&gt;""),'Term 2'!$AH100,""),"")</f>
        <v/>
      </c>
      <c r="G100" s="616" t="str">
        <f>IF(G$16=1,IF(AND($C100&lt;&gt;"",'Term 3'!$AH100&lt;&gt;""),'Term 2'!$AH100,""),"")</f>
        <v/>
      </c>
      <c r="H100" s="379" t="str">
        <f t="shared" si="2"/>
        <v/>
      </c>
      <c r="I100" s="378" t="str">
        <f>IF(H100="","",_xlfn.XLOOKUP(H100,HELPER!$AG$7:$AG$47,HELPER!$AH$7:$AH$47))</f>
        <v/>
      </c>
      <c r="J100" s="58" t="str">
        <f t="shared" si="3"/>
        <v/>
      </c>
    </row>
    <row r="101" spans="2:10">
      <c r="B101" s="12">
        <v>34</v>
      </c>
      <c r="C101" s="55" t="str">
        <f>UPPER(IF('INPUT DATA'!R44="","",'INPUT DATA'!R44))</f>
        <v/>
      </c>
      <c r="D101" s="383" t="str">
        <f>UPPER(IF('INPUT DATA'!S44="","",'INPUT DATA'!S44))</f>
        <v/>
      </c>
      <c r="E101" s="56" t="str">
        <f>IF(E$16=1,IF(AND($C101&lt;&gt;"",'Term 1'!$AH101&lt;&gt;""),'Term 1'!$AH101,""),"")</f>
        <v/>
      </c>
      <c r="F101" s="615" t="str">
        <f>IF(F$16=1,IF(AND($C101&lt;&gt;"",'Term 2'!$AH101&lt;&gt;""),'Term 2'!$AH101,""),"")</f>
        <v/>
      </c>
      <c r="G101" s="616" t="str">
        <f>IF(G$16=1,IF(AND($C101&lt;&gt;"",'Term 3'!$AH101&lt;&gt;""),'Term 2'!$AH101,""),"")</f>
        <v/>
      </c>
      <c r="H101" s="379" t="str">
        <f t="shared" si="2"/>
        <v/>
      </c>
      <c r="I101" s="378" t="str">
        <f>IF(H101="","",_xlfn.XLOOKUP(H101,HELPER!$AG$7:$AG$47,HELPER!$AH$7:$AH$47))</f>
        <v/>
      </c>
      <c r="J101" s="58" t="str">
        <f t="shared" si="3"/>
        <v/>
      </c>
    </row>
    <row r="102" spans="2:10">
      <c r="B102" s="12">
        <v>35</v>
      </c>
      <c r="C102" s="55" t="str">
        <f>UPPER(IF('INPUT DATA'!R45="","",'INPUT DATA'!R45))</f>
        <v/>
      </c>
      <c r="D102" s="383" t="str">
        <f>UPPER(IF('INPUT DATA'!S45="","",'INPUT DATA'!S45))</f>
        <v/>
      </c>
      <c r="E102" s="56" t="str">
        <f>IF(E$16=1,IF(AND($C102&lt;&gt;"",'Term 1'!$AH102&lt;&gt;""),'Term 1'!$AH102,""),"")</f>
        <v/>
      </c>
      <c r="F102" s="615" t="str">
        <f>IF(F$16=1,IF(AND($C102&lt;&gt;"",'Term 2'!$AH102&lt;&gt;""),'Term 2'!$AH102,""),"")</f>
        <v/>
      </c>
      <c r="G102" s="616" t="str">
        <f>IF(G$16=1,IF(AND($C102&lt;&gt;"",'Term 3'!$AH102&lt;&gt;""),'Term 2'!$AH102,""),"")</f>
        <v/>
      </c>
      <c r="H102" s="379" t="str">
        <f t="shared" si="2"/>
        <v/>
      </c>
      <c r="I102" s="378" t="str">
        <f>IF(H102="","",_xlfn.XLOOKUP(H102,HELPER!$AG$7:$AG$47,HELPER!$AH$7:$AH$47))</f>
        <v/>
      </c>
      <c r="J102" s="58" t="str">
        <f t="shared" si="3"/>
        <v/>
      </c>
    </row>
    <row r="103" spans="2:10">
      <c r="B103" s="12">
        <v>36</v>
      </c>
      <c r="C103" s="55" t="str">
        <f>UPPER(IF('INPUT DATA'!R46="","",'INPUT DATA'!R46))</f>
        <v/>
      </c>
      <c r="D103" s="383" t="str">
        <f>UPPER(IF('INPUT DATA'!S46="","",'INPUT DATA'!S46))</f>
        <v/>
      </c>
      <c r="E103" s="56" t="str">
        <f>IF(E$16=1,IF(AND($C103&lt;&gt;"",'Term 1'!$AH103&lt;&gt;""),'Term 1'!$AH103,""),"")</f>
        <v/>
      </c>
      <c r="F103" s="615" t="str">
        <f>IF(F$16=1,IF(AND($C103&lt;&gt;"",'Term 2'!$AH103&lt;&gt;""),'Term 2'!$AH103,""),"")</f>
        <v/>
      </c>
      <c r="G103" s="616" t="str">
        <f>IF(G$16=1,IF(AND($C103&lt;&gt;"",'Term 3'!$AH103&lt;&gt;""),'Term 2'!$AH103,""),"")</f>
        <v/>
      </c>
      <c r="H103" s="379" t="str">
        <f t="shared" si="2"/>
        <v/>
      </c>
      <c r="I103" s="378" t="str">
        <f>IF(H103="","",_xlfn.XLOOKUP(H103,HELPER!$AG$7:$AG$47,HELPER!$AH$7:$AH$47))</f>
        <v/>
      </c>
      <c r="J103" s="58" t="str">
        <f t="shared" si="3"/>
        <v/>
      </c>
    </row>
    <row r="104" spans="2:10">
      <c r="B104" s="12">
        <v>37</v>
      </c>
      <c r="C104" s="55" t="str">
        <f>UPPER(IF('INPUT DATA'!R47="","",'INPUT DATA'!R47))</f>
        <v/>
      </c>
      <c r="D104" s="383" t="str">
        <f>UPPER(IF('INPUT DATA'!S47="","",'INPUT DATA'!S47))</f>
        <v/>
      </c>
      <c r="E104" s="56" t="str">
        <f>IF(E$16=1,IF(AND($C104&lt;&gt;"",'Term 1'!$AH104&lt;&gt;""),'Term 1'!$AH104,""),"")</f>
        <v/>
      </c>
      <c r="F104" s="615" t="str">
        <f>IF(F$16=1,IF(AND($C104&lt;&gt;"",'Term 2'!$AH104&lt;&gt;""),'Term 2'!$AH104,""),"")</f>
        <v/>
      </c>
      <c r="G104" s="616" t="str">
        <f>IF(G$16=1,IF(AND($C104&lt;&gt;"",'Term 3'!$AH104&lt;&gt;""),'Term 2'!$AH104,""),"")</f>
        <v/>
      </c>
      <c r="H104" s="379" t="str">
        <f t="shared" si="2"/>
        <v/>
      </c>
      <c r="I104" s="378" t="str">
        <f>IF(H104="","",_xlfn.XLOOKUP(H104,HELPER!$AG$7:$AG$47,HELPER!$AH$7:$AH$47))</f>
        <v/>
      </c>
      <c r="J104" s="58" t="str">
        <f t="shared" si="3"/>
        <v/>
      </c>
    </row>
    <row r="105" spans="2:10">
      <c r="B105" s="12">
        <v>38</v>
      </c>
      <c r="C105" s="55" t="str">
        <f>UPPER(IF('INPUT DATA'!R48="","",'INPUT DATA'!R48))</f>
        <v/>
      </c>
      <c r="D105" s="383" t="str">
        <f>UPPER(IF('INPUT DATA'!S48="","",'INPUT DATA'!S48))</f>
        <v/>
      </c>
      <c r="E105" s="56" t="str">
        <f>IF(E$16=1,IF(AND($C105&lt;&gt;"",'Term 1'!$AH105&lt;&gt;""),'Term 1'!$AH105,""),"")</f>
        <v/>
      </c>
      <c r="F105" s="615" t="str">
        <f>IF(F$16=1,IF(AND($C105&lt;&gt;"",'Term 2'!$AH105&lt;&gt;""),'Term 2'!$AH105,""),"")</f>
        <v/>
      </c>
      <c r="G105" s="616" t="str">
        <f>IF(G$16=1,IF(AND($C105&lt;&gt;"",'Term 3'!$AH105&lt;&gt;""),'Term 2'!$AH105,""),"")</f>
        <v/>
      </c>
      <c r="H105" s="379" t="str">
        <f t="shared" si="2"/>
        <v/>
      </c>
      <c r="I105" s="378" t="str">
        <f>IF(H105="","",_xlfn.XLOOKUP(H105,HELPER!$AG$7:$AG$47,HELPER!$AH$7:$AH$47))</f>
        <v/>
      </c>
      <c r="J105" s="58" t="str">
        <f t="shared" si="3"/>
        <v/>
      </c>
    </row>
    <row r="106" spans="2:10">
      <c r="B106" s="12">
        <v>39</v>
      </c>
      <c r="C106" s="55" t="str">
        <f>UPPER(IF('INPUT DATA'!R49="","",'INPUT DATA'!R49))</f>
        <v/>
      </c>
      <c r="D106" s="383" t="str">
        <f>UPPER(IF('INPUT DATA'!S49="","",'INPUT DATA'!S49))</f>
        <v/>
      </c>
      <c r="E106" s="56" t="str">
        <f>IF(E$16=1,IF(AND($C106&lt;&gt;"",'Term 1'!$AH106&lt;&gt;""),'Term 1'!$AH106,""),"")</f>
        <v/>
      </c>
      <c r="F106" s="615" t="str">
        <f>IF(F$16=1,IF(AND($C106&lt;&gt;"",'Term 2'!$AH106&lt;&gt;""),'Term 2'!$AH106,""),"")</f>
        <v/>
      </c>
      <c r="G106" s="616" t="str">
        <f>IF(G$16=1,IF(AND($C106&lt;&gt;"",'Term 3'!$AH106&lt;&gt;""),'Term 2'!$AH106,""),"")</f>
        <v/>
      </c>
      <c r="H106" s="379" t="str">
        <f t="shared" si="2"/>
        <v/>
      </c>
      <c r="I106" s="378" t="str">
        <f>IF(H106="","",_xlfn.XLOOKUP(H106,HELPER!$AG$7:$AG$47,HELPER!$AH$7:$AH$47))</f>
        <v/>
      </c>
      <c r="J106" s="58" t="str">
        <f t="shared" si="3"/>
        <v/>
      </c>
    </row>
    <row r="107" spans="2:10">
      <c r="B107" s="12">
        <v>40</v>
      </c>
      <c r="C107" s="55" t="str">
        <f>UPPER(IF('INPUT DATA'!R50="","",'INPUT DATA'!R50))</f>
        <v/>
      </c>
      <c r="D107" s="383" t="str">
        <f>UPPER(IF('INPUT DATA'!S50="","",'INPUT DATA'!S50))</f>
        <v/>
      </c>
      <c r="E107" s="56" t="str">
        <f>IF(E$16=1,IF(AND($C107&lt;&gt;"",'Term 1'!$AH107&lt;&gt;""),'Term 1'!$AH107,""),"")</f>
        <v/>
      </c>
      <c r="F107" s="615" t="str">
        <f>IF(F$16=1,IF(AND($C107&lt;&gt;"",'Term 2'!$AH107&lt;&gt;""),'Term 2'!$AH107,""),"")</f>
        <v/>
      </c>
      <c r="G107" s="616" t="str">
        <f>IF(G$16=1,IF(AND($C107&lt;&gt;"",'Term 3'!$AH107&lt;&gt;""),'Term 2'!$AH107,""),"")</f>
        <v/>
      </c>
      <c r="H107" s="379" t="str">
        <f t="shared" si="2"/>
        <v/>
      </c>
      <c r="I107" s="378" t="str">
        <f>IF(H107="","",_xlfn.XLOOKUP(H107,HELPER!$AG$7:$AG$47,HELPER!$AH$7:$AH$47))</f>
        <v/>
      </c>
      <c r="J107" s="58" t="str">
        <f t="shared" si="3"/>
        <v/>
      </c>
    </row>
    <row r="108" spans="2:10">
      <c r="B108" s="12">
        <v>41</v>
      </c>
      <c r="C108" s="55" t="str">
        <f>UPPER(IF('INPUT DATA'!R51="","",'INPUT DATA'!R51))</f>
        <v/>
      </c>
      <c r="D108" s="383" t="str">
        <f>UPPER(IF('INPUT DATA'!S51="","",'INPUT DATA'!S51))</f>
        <v/>
      </c>
      <c r="E108" s="56" t="str">
        <f>IF(E$16=1,IF(AND($C108&lt;&gt;"",'Term 1'!$AH108&lt;&gt;""),'Term 1'!$AH108,""),"")</f>
        <v/>
      </c>
      <c r="F108" s="615" t="str">
        <f>IF(F$16=1,IF(AND($C108&lt;&gt;"",'Term 2'!$AH108&lt;&gt;""),'Term 2'!$AH108,""),"")</f>
        <v/>
      </c>
      <c r="G108" s="616" t="str">
        <f>IF(G$16=1,IF(AND($C108&lt;&gt;"",'Term 3'!$AH108&lt;&gt;""),'Term 2'!$AH108,""),"")</f>
        <v/>
      </c>
      <c r="H108" s="379" t="str">
        <f t="shared" si="2"/>
        <v/>
      </c>
      <c r="I108" s="378" t="str">
        <f>IF(H108="","",_xlfn.XLOOKUP(H108,HELPER!$AG$7:$AG$47,HELPER!$AH$7:$AH$47))</f>
        <v/>
      </c>
      <c r="J108" s="58" t="str">
        <f t="shared" si="3"/>
        <v/>
      </c>
    </row>
    <row r="109" spans="2:10">
      <c r="B109" s="12">
        <v>42</v>
      </c>
      <c r="C109" s="55" t="str">
        <f>UPPER(IF('INPUT DATA'!R52="","",'INPUT DATA'!R52))</f>
        <v/>
      </c>
      <c r="D109" s="383" t="str">
        <f>UPPER(IF('INPUT DATA'!S52="","",'INPUT DATA'!S52))</f>
        <v/>
      </c>
      <c r="E109" s="56" t="str">
        <f>IF(E$16=1,IF(AND($C109&lt;&gt;"",'Term 1'!$AH109&lt;&gt;""),'Term 1'!$AH109,""),"")</f>
        <v/>
      </c>
      <c r="F109" s="615" t="str">
        <f>IF(F$16=1,IF(AND($C109&lt;&gt;"",'Term 2'!$AH109&lt;&gt;""),'Term 2'!$AH109,""),"")</f>
        <v/>
      </c>
      <c r="G109" s="616" t="str">
        <f>IF(G$16=1,IF(AND($C109&lt;&gt;"",'Term 3'!$AH109&lt;&gt;""),'Term 2'!$AH109,""),"")</f>
        <v/>
      </c>
      <c r="H109" s="379" t="str">
        <f t="shared" si="2"/>
        <v/>
      </c>
      <c r="I109" s="378" t="str">
        <f>IF(H109="","",_xlfn.XLOOKUP(H109,HELPER!$AG$7:$AG$47,HELPER!$AH$7:$AH$47))</f>
        <v/>
      </c>
      <c r="J109" s="58" t="str">
        <f t="shared" si="3"/>
        <v/>
      </c>
    </row>
    <row r="110" spans="2:10">
      <c r="B110" s="12">
        <v>43</v>
      </c>
      <c r="C110" s="55" t="str">
        <f>UPPER(IF('INPUT DATA'!R53="","",'INPUT DATA'!R53))</f>
        <v/>
      </c>
      <c r="D110" s="383" t="str">
        <f>UPPER(IF('INPUT DATA'!S53="","",'INPUT DATA'!S53))</f>
        <v/>
      </c>
      <c r="E110" s="56" t="str">
        <f>IF(E$16=1,IF(AND($C110&lt;&gt;"",'Term 1'!$AH110&lt;&gt;""),'Term 1'!$AH110,""),"")</f>
        <v/>
      </c>
      <c r="F110" s="615" t="str">
        <f>IF(F$16=1,IF(AND($C110&lt;&gt;"",'Term 2'!$AH110&lt;&gt;""),'Term 2'!$AH110,""),"")</f>
        <v/>
      </c>
      <c r="G110" s="616" t="str">
        <f>IF(G$16=1,IF(AND($C110&lt;&gt;"",'Term 3'!$AH110&lt;&gt;""),'Term 2'!$AH110,""),"")</f>
        <v/>
      </c>
      <c r="H110" s="379" t="str">
        <f t="shared" si="2"/>
        <v/>
      </c>
      <c r="I110" s="378" t="str">
        <f>IF(H110="","",_xlfn.XLOOKUP(H110,HELPER!$AG$7:$AG$47,HELPER!$AH$7:$AH$47))</f>
        <v/>
      </c>
      <c r="J110" s="58" t="str">
        <f t="shared" si="3"/>
        <v/>
      </c>
    </row>
    <row r="111" spans="2:10">
      <c r="B111" s="12">
        <v>44</v>
      </c>
      <c r="C111" s="55" t="str">
        <f>UPPER(IF('INPUT DATA'!R54="","",'INPUT DATA'!R54))</f>
        <v/>
      </c>
      <c r="D111" s="383" t="str">
        <f>UPPER(IF('INPUT DATA'!S54="","",'INPUT DATA'!S54))</f>
        <v/>
      </c>
      <c r="E111" s="56" t="str">
        <f>IF(E$16=1,IF(AND($C111&lt;&gt;"",'Term 1'!$AH111&lt;&gt;""),'Term 1'!$AH111,""),"")</f>
        <v/>
      </c>
      <c r="F111" s="615" t="str">
        <f>IF(F$16=1,IF(AND($C111&lt;&gt;"",'Term 2'!$AH111&lt;&gt;""),'Term 2'!$AH111,""),"")</f>
        <v/>
      </c>
      <c r="G111" s="616" t="str">
        <f>IF(G$16=1,IF(AND($C111&lt;&gt;"",'Term 3'!$AH111&lt;&gt;""),'Term 2'!$AH111,""),"")</f>
        <v/>
      </c>
      <c r="H111" s="379" t="str">
        <f t="shared" si="2"/>
        <v/>
      </c>
      <c r="I111" s="378" t="str">
        <f>IF(H111="","",_xlfn.XLOOKUP(H111,HELPER!$AG$7:$AG$47,HELPER!$AH$7:$AH$47))</f>
        <v/>
      </c>
      <c r="J111" s="58" t="str">
        <f t="shared" si="3"/>
        <v/>
      </c>
    </row>
    <row r="112" spans="2:10">
      <c r="B112" s="12">
        <v>45</v>
      </c>
      <c r="C112" s="55" t="str">
        <f>UPPER(IF('INPUT DATA'!R55="","",'INPUT DATA'!R55))</f>
        <v/>
      </c>
      <c r="D112" s="383" t="str">
        <f>UPPER(IF('INPUT DATA'!S55="","",'INPUT DATA'!S55))</f>
        <v/>
      </c>
      <c r="E112" s="56" t="str">
        <f>IF(E$16=1,IF(AND($C112&lt;&gt;"",'Term 1'!$AH112&lt;&gt;""),'Term 1'!$AH112,""),"")</f>
        <v/>
      </c>
      <c r="F112" s="615" t="str">
        <f>IF(F$16=1,IF(AND($C112&lt;&gt;"",'Term 2'!$AH112&lt;&gt;""),'Term 2'!$AH112,""),"")</f>
        <v/>
      </c>
      <c r="G112" s="616" t="str">
        <f>IF(G$16=1,IF(AND($C112&lt;&gt;"",'Term 3'!$AH112&lt;&gt;""),'Term 2'!$AH112,""),"")</f>
        <v/>
      </c>
      <c r="H112" s="379" t="str">
        <f t="shared" si="2"/>
        <v/>
      </c>
      <c r="I112" s="378" t="str">
        <f>IF(H112="","",_xlfn.XLOOKUP(H112,HELPER!$AG$7:$AG$47,HELPER!$AH$7:$AH$47))</f>
        <v/>
      </c>
      <c r="J112" s="58" t="str">
        <f t="shared" si="3"/>
        <v/>
      </c>
    </row>
    <row r="113" spans="2:10">
      <c r="B113" s="12">
        <v>46</v>
      </c>
      <c r="C113" s="55" t="str">
        <f>UPPER(IF('INPUT DATA'!R56="","",'INPUT DATA'!R56))</f>
        <v/>
      </c>
      <c r="D113" s="383" t="str">
        <f>UPPER(IF('INPUT DATA'!S56="","",'INPUT DATA'!S56))</f>
        <v/>
      </c>
      <c r="E113" s="56" t="str">
        <f>IF(E$16=1,IF(AND($C113&lt;&gt;"",'Term 1'!$AH113&lt;&gt;""),'Term 1'!$AH113,""),"")</f>
        <v/>
      </c>
      <c r="F113" s="615" t="str">
        <f>IF(F$16=1,IF(AND($C113&lt;&gt;"",'Term 2'!$AH113&lt;&gt;""),'Term 2'!$AH113,""),"")</f>
        <v/>
      </c>
      <c r="G113" s="616" t="str">
        <f>IF(G$16=1,IF(AND($C113&lt;&gt;"",'Term 3'!$AH113&lt;&gt;""),'Term 2'!$AH113,""),"")</f>
        <v/>
      </c>
      <c r="H113" s="379" t="str">
        <f t="shared" si="2"/>
        <v/>
      </c>
      <c r="I113" s="378" t="str">
        <f>IF(H113="","",_xlfn.XLOOKUP(H113,HELPER!$AG$7:$AG$47,HELPER!$AH$7:$AH$47))</f>
        <v/>
      </c>
      <c r="J113" s="58" t="str">
        <f t="shared" si="3"/>
        <v/>
      </c>
    </row>
    <row r="114" spans="2:10">
      <c r="B114" s="12">
        <v>47</v>
      </c>
      <c r="C114" s="55" t="str">
        <f>UPPER(IF('INPUT DATA'!R57="","",'INPUT DATA'!R57))</f>
        <v/>
      </c>
      <c r="D114" s="383" t="str">
        <f>UPPER(IF('INPUT DATA'!S57="","",'INPUT DATA'!S57))</f>
        <v/>
      </c>
      <c r="E114" s="56" t="str">
        <f>IF(E$16=1,IF(AND($C114&lt;&gt;"",'Term 1'!$AH114&lt;&gt;""),'Term 1'!$AH114,""),"")</f>
        <v/>
      </c>
      <c r="F114" s="615" t="str">
        <f>IF(F$16=1,IF(AND($C114&lt;&gt;"",'Term 2'!$AH114&lt;&gt;""),'Term 2'!$AH114,""),"")</f>
        <v/>
      </c>
      <c r="G114" s="616" t="str">
        <f>IF(G$16=1,IF(AND($C114&lt;&gt;"",'Term 3'!$AH114&lt;&gt;""),'Term 2'!$AH114,""),"")</f>
        <v/>
      </c>
      <c r="H114" s="379" t="str">
        <f t="shared" si="2"/>
        <v/>
      </c>
      <c r="I114" s="378" t="str">
        <f>IF(H114="","",_xlfn.XLOOKUP(H114,HELPER!$AG$7:$AG$47,HELPER!$AH$7:$AH$47))</f>
        <v/>
      </c>
      <c r="J114" s="58" t="str">
        <f t="shared" si="3"/>
        <v/>
      </c>
    </row>
    <row r="115" spans="2:10">
      <c r="B115" s="12">
        <v>48</v>
      </c>
      <c r="C115" s="55" t="str">
        <f>UPPER(IF('INPUT DATA'!R58="","",'INPUT DATA'!R58))</f>
        <v/>
      </c>
      <c r="D115" s="383" t="str">
        <f>UPPER(IF('INPUT DATA'!S58="","",'INPUT DATA'!S58))</f>
        <v/>
      </c>
      <c r="E115" s="56" t="str">
        <f>IF(E$16=1,IF(AND($C115&lt;&gt;"",'Term 1'!$AH115&lt;&gt;""),'Term 1'!$AH115,""),"")</f>
        <v/>
      </c>
      <c r="F115" s="615" t="str">
        <f>IF(F$16=1,IF(AND($C115&lt;&gt;"",'Term 2'!$AH115&lt;&gt;""),'Term 2'!$AH115,""),"")</f>
        <v/>
      </c>
      <c r="G115" s="616" t="str">
        <f>IF(G$16=1,IF(AND($C115&lt;&gt;"",'Term 3'!$AH115&lt;&gt;""),'Term 2'!$AH115,""),"")</f>
        <v/>
      </c>
      <c r="H115" s="379" t="str">
        <f t="shared" si="2"/>
        <v/>
      </c>
      <c r="I115" s="378" t="str">
        <f>IF(H115="","",_xlfn.XLOOKUP(H115,HELPER!$AG$7:$AG$47,HELPER!$AH$7:$AH$47))</f>
        <v/>
      </c>
      <c r="J115" s="58" t="str">
        <f t="shared" si="3"/>
        <v/>
      </c>
    </row>
    <row r="116" spans="2:10">
      <c r="B116" s="12">
        <v>49</v>
      </c>
      <c r="C116" s="55" t="str">
        <f>UPPER(IF('INPUT DATA'!R59="","",'INPUT DATA'!R59))</f>
        <v/>
      </c>
      <c r="D116" s="383" t="str">
        <f>UPPER(IF('INPUT DATA'!S59="","",'INPUT DATA'!S59))</f>
        <v/>
      </c>
      <c r="E116" s="56" t="str">
        <f>IF(E$16=1,IF(AND($C116&lt;&gt;"",'Term 1'!$AH116&lt;&gt;""),'Term 1'!$AH116,""),"")</f>
        <v/>
      </c>
      <c r="F116" s="615" t="str">
        <f>IF(F$16=1,IF(AND($C116&lt;&gt;"",'Term 2'!$AH116&lt;&gt;""),'Term 2'!$AH116,""),"")</f>
        <v/>
      </c>
      <c r="G116" s="616" t="str">
        <f>IF(G$16=1,IF(AND($C116&lt;&gt;"",'Term 3'!$AH116&lt;&gt;""),'Term 2'!$AH116,""),"")</f>
        <v/>
      </c>
      <c r="H116" s="379" t="str">
        <f t="shared" si="2"/>
        <v/>
      </c>
      <c r="I116" s="378" t="str">
        <f>IF(H116="","",_xlfn.XLOOKUP(H116,HELPER!$AG$7:$AG$47,HELPER!$AH$7:$AH$47))</f>
        <v/>
      </c>
      <c r="J116" s="58" t="str">
        <f t="shared" si="3"/>
        <v/>
      </c>
    </row>
    <row r="117" spans="2:10" ht="17.25" thickBot="1">
      <c r="B117" s="13">
        <v>50</v>
      </c>
      <c r="C117" s="620" t="str">
        <f>UPPER(IF('INPUT DATA'!R60="","",'INPUT DATA'!R60))</f>
        <v/>
      </c>
      <c r="D117" s="621" t="str">
        <f>UPPER(IF('INPUT DATA'!S60="","",'INPUT DATA'!S60))</f>
        <v/>
      </c>
      <c r="E117" s="617" t="str">
        <f>IF(E$16=1,IF(AND($C117&lt;&gt;"",'Term 1'!$AH117&lt;&gt;""),'Term 1'!$AH117,""),"")</f>
        <v/>
      </c>
      <c r="F117" s="618" t="str">
        <f>IF(F$16=1,IF(AND($C117&lt;&gt;"",'Term 2'!$AH117&lt;&gt;""),'Term 2'!$AH117,""),"")</f>
        <v/>
      </c>
      <c r="G117" s="619" t="str">
        <f>IF(G$16=1,IF(AND($C117&lt;&gt;"",'Term 3'!$AH117&lt;&gt;""),'Term 2'!$AH117,""),"")</f>
        <v/>
      </c>
      <c r="H117" s="445" t="str">
        <f t="shared" si="2"/>
        <v/>
      </c>
      <c r="I117" s="622" t="str">
        <f>IF(H117="","",_xlfn.XLOOKUP(H117,HELPER!$AG$7:$AG$47,HELPER!$AH$7:$AH$47))</f>
        <v/>
      </c>
      <c r="J117" s="623" t="str">
        <f t="shared" si="3"/>
        <v/>
      </c>
    </row>
    <row r="118" spans="2:10"/>
    <row r="119" spans="2:10">
      <c r="B119" s="416"/>
      <c r="C119" s="420" t="s">
        <v>168</v>
      </c>
      <c r="D119" s="417" t="s">
        <v>169</v>
      </c>
      <c r="E119" s="417" t="s">
        <v>170</v>
      </c>
      <c r="F119" s="417"/>
      <c r="G119" s="418"/>
      <c r="H119" s="418"/>
      <c r="I119" s="418"/>
      <c r="J119" s="419"/>
    </row>
    <row r="120" spans="2:10">
      <c r="B120" s="413"/>
      <c r="C120" s="6" t="s">
        <v>171</v>
      </c>
      <c r="D120" s="414" t="s">
        <v>172</v>
      </c>
      <c r="E120" s="414" t="s">
        <v>173</v>
      </c>
      <c r="F120" s="414"/>
      <c r="G120" s="414"/>
      <c r="H120" s="414"/>
      <c r="I120" s="414"/>
      <c r="J120" s="415"/>
    </row>
    <row r="121" spans="2:10">
      <c r="B121" s="413"/>
      <c r="C121" s="6" t="s">
        <v>174</v>
      </c>
      <c r="D121" s="414" t="s">
        <v>175</v>
      </c>
      <c r="E121" s="414" t="s">
        <v>176</v>
      </c>
      <c r="F121" s="414"/>
      <c r="G121" s="414"/>
      <c r="H121" s="414"/>
      <c r="I121" s="414"/>
      <c r="J121" s="415"/>
    </row>
    <row r="122" spans="2:10">
      <c r="B122" s="413"/>
      <c r="C122" s="6" t="s">
        <v>177</v>
      </c>
      <c r="D122" s="414" t="s">
        <v>178</v>
      </c>
      <c r="E122" s="414" t="s">
        <v>179</v>
      </c>
      <c r="F122" s="414"/>
      <c r="G122" s="414"/>
      <c r="H122" s="414"/>
      <c r="I122" s="414"/>
      <c r="J122" s="415"/>
    </row>
    <row r="123" spans="2:10">
      <c r="B123" s="421"/>
      <c r="C123" s="422" t="s">
        <v>180</v>
      </c>
      <c r="D123" s="423" t="s">
        <v>181</v>
      </c>
      <c r="E123" s="423" t="s">
        <v>182</v>
      </c>
      <c r="F123" s="423"/>
      <c r="G123" s="423"/>
      <c r="H123" s="423"/>
      <c r="I123" s="423"/>
      <c r="J123" s="424"/>
    </row>
    <row r="124" spans="2:10">
      <c r="B124" s="425"/>
      <c r="C124" s="426" t="s">
        <v>183</v>
      </c>
      <c r="D124" s="427" t="s">
        <v>184</v>
      </c>
      <c r="E124" s="427" t="s">
        <v>185</v>
      </c>
      <c r="F124" s="428"/>
      <c r="G124" s="428"/>
      <c r="H124" s="428"/>
      <c r="I124" s="428"/>
      <c r="J124" s="429"/>
    </row>
    <row r="125" spans="2:10"/>
  </sheetData>
  <sheetProtection algorithmName="SHA-512" hashValue="usghZfTog/P8PiHM0pUpigouKJTL1NrikZiRdbJIiVmsn4gL87w2RW/9KgQnp8wX5YNc87liqpRoqNGaCy43zA==" saltValue="kqzMVS7Dgk/co5gdmpAW4A==" spinCount="100000" sheet="1" objects="1" scenarios="1" formatCells="0" formatColumns="0" formatRows="0" autoFilter="0"/>
  <mergeCells count="14">
    <mergeCell ref="F11:F12"/>
    <mergeCell ref="E6:G6"/>
    <mergeCell ref="E14:G14"/>
    <mergeCell ref="H14:H15"/>
    <mergeCell ref="J14:J15"/>
    <mergeCell ref="G9:J10"/>
    <mergeCell ref="D9:E9"/>
    <mergeCell ref="B14:D15"/>
    <mergeCell ref="D10:E11"/>
    <mergeCell ref="D12:E13"/>
    <mergeCell ref="F9:F10"/>
    <mergeCell ref="I14:I15"/>
    <mergeCell ref="I13:J13"/>
    <mergeCell ref="G11:J12"/>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Normal="100" workbookViewId="0">
      <pane ySplit="6" topLeftCell="A7" activePane="bottomLeft" state="frozen"/>
      <selection pane="bottomLeft" activeCell="E7" sqref="E7"/>
    </sheetView>
  </sheetViews>
  <sheetFormatPr defaultColWidth="9.140625" defaultRowHeight="16.5"/>
  <cols>
    <col min="1" max="1" width="3.7109375" style="2" customWidth="1"/>
    <col min="2" max="4" width="9.140625" style="3"/>
    <col min="5" max="5" width="9.140625" style="2"/>
    <col min="6" max="6" width="22.140625" style="2" customWidth="1"/>
    <col min="7" max="7" width="30.140625" style="2" customWidth="1"/>
    <col min="8" max="8" width="9.140625" style="6"/>
    <col min="9" max="9" width="9.140625" style="3"/>
    <col min="10" max="11" width="20.7109375" style="222" customWidth="1"/>
    <col min="12" max="12" width="49.42578125" style="222" bestFit="1" customWidth="1"/>
    <col min="13" max="29" width="9.140625" style="224"/>
    <col min="30" max="30" width="9.140625" style="222"/>
    <col min="31" max="31" width="9.140625" style="231"/>
    <col min="32" max="32" width="9.140625" style="222"/>
    <col min="33" max="33" width="13.5703125" style="224" bestFit="1" customWidth="1"/>
    <col min="34" max="34" width="11.5703125" style="222" bestFit="1" customWidth="1"/>
    <col min="35" max="16384" width="9.140625" style="222"/>
  </cols>
  <sheetData>
    <row r="1" spans="1:34" ht="16.5" customHeight="1">
      <c r="B1" s="2"/>
      <c r="C1" s="2"/>
      <c r="D1" s="2"/>
      <c r="I1" s="234"/>
      <c r="J1" s="223"/>
      <c r="K1" s="223"/>
      <c r="L1" s="223"/>
      <c r="M1" s="223"/>
      <c r="N1" s="223"/>
      <c r="O1" s="223"/>
      <c r="P1" s="223"/>
    </row>
    <row r="2" spans="1:34" ht="27">
      <c r="A2" s="45"/>
      <c r="B2" s="235" t="s">
        <v>186</v>
      </c>
      <c r="C2" s="2"/>
      <c r="D2" s="2"/>
      <c r="I2" s="66"/>
      <c r="J2" s="223"/>
      <c r="K2" s="223"/>
      <c r="L2" s="223"/>
      <c r="M2" s="223"/>
      <c r="N2" s="223"/>
      <c r="O2" s="223"/>
      <c r="P2" s="223"/>
    </row>
    <row r="3" spans="1:34">
      <c r="B3" s="236" t="s">
        <v>187</v>
      </c>
      <c r="C3" s="2"/>
      <c r="D3" s="2"/>
      <c r="I3" s="66"/>
      <c r="J3" s="223"/>
      <c r="K3" s="223"/>
      <c r="L3" s="223"/>
      <c r="M3" s="223"/>
      <c r="N3" s="223"/>
      <c r="O3" s="223"/>
      <c r="P3" s="223"/>
    </row>
    <row r="4" spans="1:34">
      <c r="B4" s="502" t="s">
        <v>188</v>
      </c>
      <c r="C4" s="434"/>
      <c r="D4" s="434"/>
    </row>
    <row r="5" spans="1:34" s="225" customFormat="1">
      <c r="A5" s="20"/>
      <c r="B5" s="20" t="s">
        <v>189</v>
      </c>
      <c r="C5" s="20"/>
      <c r="D5" s="20"/>
      <c r="E5" s="20"/>
      <c r="F5" s="20" t="s">
        <v>190</v>
      </c>
      <c r="G5" s="11"/>
      <c r="H5" s="20"/>
      <c r="I5" s="18"/>
      <c r="J5" s="225" t="s">
        <v>191</v>
      </c>
      <c r="N5" s="226"/>
      <c r="O5" s="226"/>
      <c r="P5" s="226"/>
      <c r="Q5" s="226"/>
      <c r="R5" s="226"/>
      <c r="S5" s="226"/>
      <c r="T5" s="226"/>
      <c r="U5" s="226"/>
      <c r="V5" s="226"/>
      <c r="W5" s="225" t="s">
        <v>192</v>
      </c>
      <c r="X5" s="226"/>
      <c r="Y5" s="226"/>
      <c r="Z5" s="226"/>
      <c r="AA5" s="225" t="s">
        <v>193</v>
      </c>
      <c r="AE5" s="227"/>
      <c r="AG5" s="880" t="s">
        <v>161</v>
      </c>
      <c r="AH5" s="881"/>
    </row>
    <row r="6" spans="1:34" ht="33">
      <c r="B6" s="260" t="s">
        <v>194</v>
      </c>
      <c r="C6" s="360" t="s">
        <v>195</v>
      </c>
      <c r="D6" s="361" t="s">
        <v>107</v>
      </c>
      <c r="F6" s="237" t="s">
        <v>196</v>
      </c>
      <c r="G6" s="38"/>
      <c r="I6" s="253" t="s">
        <v>197</v>
      </c>
      <c r="J6" s="254" t="s">
        <v>198</v>
      </c>
      <c r="K6" s="255" t="s">
        <v>35</v>
      </c>
      <c r="L6" s="255" t="s">
        <v>199</v>
      </c>
      <c r="M6" s="321" t="s">
        <v>200</v>
      </c>
      <c r="N6" s="324" t="s">
        <v>201</v>
      </c>
      <c r="O6" s="313" t="s">
        <v>202</v>
      </c>
      <c r="P6" s="255" t="s">
        <v>203</v>
      </c>
      <c r="Q6" s="255" t="s">
        <v>204</v>
      </c>
      <c r="R6" s="314" t="s">
        <v>205</v>
      </c>
      <c r="S6" s="313" t="s">
        <v>206</v>
      </c>
      <c r="T6" s="255" t="s">
        <v>207</v>
      </c>
      <c r="U6" s="255" t="s">
        <v>204</v>
      </c>
      <c r="V6" s="314" t="s">
        <v>205</v>
      </c>
      <c r="W6" s="302" t="s">
        <v>98</v>
      </c>
      <c r="X6" s="256" t="s">
        <v>101</v>
      </c>
      <c r="Y6" s="256" t="s">
        <v>88</v>
      </c>
      <c r="Z6" s="330" t="s">
        <v>208</v>
      </c>
      <c r="AA6" s="291" t="s">
        <v>209</v>
      </c>
      <c r="AB6" s="291" t="s">
        <v>210</v>
      </c>
      <c r="AC6" s="257" t="s">
        <v>88</v>
      </c>
      <c r="AF6" s="247"/>
      <c r="AG6" s="231" t="s">
        <v>168</v>
      </c>
      <c r="AH6" s="409" t="s">
        <v>211</v>
      </c>
    </row>
    <row r="7" spans="1:34">
      <c r="A7" s="263"/>
      <c r="B7" s="362">
        <v>99.5</v>
      </c>
      <c r="C7" s="252">
        <v>100</v>
      </c>
      <c r="D7" s="363">
        <v>100</v>
      </c>
      <c r="F7" s="238">
        <f>'INPUT DATA'!F24</f>
        <v>12</v>
      </c>
      <c r="G7" s="239" t="s">
        <v>212</v>
      </c>
      <c r="I7" s="338">
        <f>IF(COUNTIF($N7,"*"&amp;$F$7&amp;"*")&gt;0,1,0)</f>
        <v>1</v>
      </c>
      <c r="J7" s="339" t="s">
        <v>32</v>
      </c>
      <c r="K7" s="339" t="s">
        <v>29</v>
      </c>
      <c r="L7" s="340" t="str">
        <f>IFERROR(IF(HELPER!$G$9=HELPER!K7,HELPER!$G$10,""),"")</f>
        <v/>
      </c>
      <c r="M7" s="341"/>
      <c r="N7" s="342" t="s">
        <v>213</v>
      </c>
      <c r="O7" s="343"/>
      <c r="P7" s="344"/>
      <c r="Q7" s="344"/>
      <c r="R7" s="345"/>
      <c r="S7" s="343">
        <v>12</v>
      </c>
      <c r="T7" s="344"/>
      <c r="U7" s="344"/>
      <c r="V7" s="345"/>
      <c r="W7" s="346">
        <v>25</v>
      </c>
      <c r="X7" s="347">
        <v>50</v>
      </c>
      <c r="Y7" s="347">
        <v>25</v>
      </c>
      <c r="Z7" s="348">
        <f>SUM(W7:Y7)</f>
        <v>100</v>
      </c>
      <c r="AA7" s="349"/>
      <c r="AB7" s="349"/>
      <c r="AC7" s="350"/>
      <c r="AG7" s="410">
        <v>100</v>
      </c>
      <c r="AH7" s="409" t="s">
        <v>172</v>
      </c>
    </row>
    <row r="8" spans="1:34" ht="15.6" customHeight="1">
      <c r="A8" s="263"/>
      <c r="B8" s="362">
        <v>98.32</v>
      </c>
      <c r="C8" s="18">
        <v>99.49</v>
      </c>
      <c r="D8" s="363">
        <v>99</v>
      </c>
      <c r="F8" s="40" t="str" cm="1">
        <f t="array" ref="F8">$B$2&amp;"!"&amp;
ADDRESS(MATCH(1,I:I,0),COLUMN(J:J),4)
&amp;":"&amp;
ADDRESS(LOOKUP(2,1/(I:I=1),ROW(J:J)),COLUMN(J:J),4)</f>
        <v>HELPER!J7:J10</v>
      </c>
      <c r="G8" s="240" t="str">
        <f>'INPUT DATA'!F28</f>
        <v>SHS</v>
      </c>
      <c r="I8" s="338">
        <f>IF(COUNTIF($N8,"*"&amp;$F$7&amp;"*")&gt;0,1,0)</f>
        <v>1</v>
      </c>
      <c r="J8" s="339" t="s">
        <v>32</v>
      </c>
      <c r="K8" s="339" t="s">
        <v>33</v>
      </c>
      <c r="L8" s="340" t="str">
        <f>IFERROR(IF(HELPER!$G$9=HELPER!K8,HELPER!$G$10,""),"")</f>
        <v>Title</v>
      </c>
      <c r="M8" s="341"/>
      <c r="N8" s="342" t="s">
        <v>213</v>
      </c>
      <c r="O8" s="343"/>
      <c r="P8" s="344"/>
      <c r="Q8" s="344"/>
      <c r="R8" s="345"/>
      <c r="S8" s="343">
        <v>12</v>
      </c>
      <c r="T8" s="344"/>
      <c r="U8" s="344"/>
      <c r="V8" s="345"/>
      <c r="W8" s="346">
        <v>25</v>
      </c>
      <c r="X8" s="347">
        <v>45</v>
      </c>
      <c r="Y8" s="347">
        <v>30</v>
      </c>
      <c r="Z8" s="348">
        <f>SUM(W8:Y8)</f>
        <v>100</v>
      </c>
      <c r="AA8" s="349"/>
      <c r="AB8" s="349"/>
      <c r="AC8" s="350"/>
      <c r="AG8" s="410">
        <v>99</v>
      </c>
      <c r="AH8" s="409" t="s">
        <v>172</v>
      </c>
    </row>
    <row r="9" spans="1:34">
      <c r="A9" s="263"/>
      <c r="B9" s="362">
        <v>97.14</v>
      </c>
      <c r="C9" s="252">
        <v>98.309999999999988</v>
      </c>
      <c r="D9" s="363">
        <v>98</v>
      </c>
      <c r="F9" s="40" t="str" cm="1">
        <f t="array" ref="F9">$B$2&amp;"!"&amp;ADDRESS(MATCH($G8,$J:$J,0),COLUMN($K:$K),4)&amp;":"&amp;ADDRESS(LOOKUP(2,1/($J:$J=G8),ROW($K:$K)),COLUMN($K:$K),4)</f>
        <v>HELPER!K7:K10</v>
      </c>
      <c r="G9" s="240" t="str">
        <f>'INPUT DATA'!F29</f>
        <v>ACADEMIC TRACK (EXCEPT IMMERSION)</v>
      </c>
      <c r="I9" s="338">
        <f>IF(COUNTIF($N9,"*"&amp;$F$7&amp;"*")&gt;0,1,0)</f>
        <v>1</v>
      </c>
      <c r="J9" s="339" t="s">
        <v>32</v>
      </c>
      <c r="K9" s="339" t="s">
        <v>113</v>
      </c>
      <c r="L9" s="340" t="str">
        <f>IFERROR(IF(HELPER!$G$9=HELPER!K9,HELPER!$G$10,""),"")</f>
        <v/>
      </c>
      <c r="M9" s="341"/>
      <c r="N9" s="342" t="s">
        <v>213</v>
      </c>
      <c r="O9" s="343"/>
      <c r="P9" s="344"/>
      <c r="Q9" s="344"/>
      <c r="R9" s="345"/>
      <c r="S9" s="343">
        <v>12</v>
      </c>
      <c r="T9" s="344"/>
      <c r="U9" s="344"/>
      <c r="V9" s="345"/>
      <c r="W9" s="346">
        <v>35</v>
      </c>
      <c r="X9" s="347">
        <v>40</v>
      </c>
      <c r="Y9" s="347">
        <v>25</v>
      </c>
      <c r="Z9" s="348">
        <f>SUM(W9:Y9)</f>
        <v>100</v>
      </c>
      <c r="AA9" s="349"/>
      <c r="AB9" s="349"/>
      <c r="AC9" s="350"/>
      <c r="AG9" s="410">
        <v>98</v>
      </c>
      <c r="AH9" s="409" t="s">
        <v>172</v>
      </c>
    </row>
    <row r="10" spans="1:34">
      <c r="A10" s="263"/>
      <c r="B10" s="362">
        <v>95.96</v>
      </c>
      <c r="C10" s="252">
        <v>97.13</v>
      </c>
      <c r="D10" s="363">
        <v>97</v>
      </c>
      <c r="F10" s="241" t="str" cm="1">
        <f t="array" ref="F10">$B$2&amp;"!"&amp;ADDRESS(MATCH(1,(J:J=G8)*(K:K=G9)*(I:I=1),0),COLUMN(L:L),4)&amp;":"&amp;
ADDRESS(LOOKUP(2,1/((J:J=G8)*(K:K=G9)*(I:I=1)),ROW(L:L)),COLUMN(L:L),4)</f>
        <v>HELPER!L8:L8</v>
      </c>
      <c r="G10" s="242" t="str">
        <f>IF(G9="OTHER ELECTIVE / SPECIAL CURRICULAR PROGRAM",'INPUT DATA'!#REF!,'INPUT DATA'!F30)</f>
        <v>Title</v>
      </c>
      <c r="I10" s="338">
        <f>IF(COUNTIF($N10,"*"&amp;$F$7&amp;"*")&gt;0,1,0)</f>
        <v>1</v>
      </c>
      <c r="J10" s="339" t="s">
        <v>32</v>
      </c>
      <c r="K10" s="339" t="s">
        <v>34</v>
      </c>
      <c r="L10" s="340" t="str">
        <f>IFERROR(IF(HELPER!$G$9=HELPER!K10,HELPER!$G$10,""),"")</f>
        <v/>
      </c>
      <c r="M10" s="341"/>
      <c r="N10" s="342" t="s">
        <v>213</v>
      </c>
      <c r="O10" s="343"/>
      <c r="P10" s="344"/>
      <c r="Q10" s="344"/>
      <c r="R10" s="345"/>
      <c r="S10" s="343">
        <v>12</v>
      </c>
      <c r="T10" s="344"/>
      <c r="U10" s="344"/>
      <c r="V10" s="345"/>
      <c r="W10" s="346">
        <v>20</v>
      </c>
      <c r="X10" s="347">
        <v>60</v>
      </c>
      <c r="Y10" s="347">
        <v>20</v>
      </c>
      <c r="Z10" s="348">
        <f>SUM(W10:Y10)</f>
        <v>100</v>
      </c>
      <c r="AA10" s="349"/>
      <c r="AB10" s="349"/>
      <c r="AC10" s="350"/>
      <c r="AG10" s="410">
        <v>97</v>
      </c>
      <c r="AH10" s="409" t="s">
        <v>172</v>
      </c>
    </row>
    <row r="11" spans="1:34">
      <c r="A11" s="263"/>
      <c r="B11" s="362">
        <v>94.78</v>
      </c>
      <c r="C11" s="252">
        <v>95.949999999999989</v>
      </c>
      <c r="D11" s="363">
        <v>96</v>
      </c>
      <c r="I11" s="4"/>
      <c r="J11" s="271"/>
      <c r="K11" s="271"/>
      <c r="L11" s="271"/>
      <c r="M11" s="303"/>
      <c r="N11" s="325"/>
      <c r="O11" s="305"/>
      <c r="P11" s="298"/>
      <c r="Q11" s="296"/>
      <c r="R11" s="315"/>
      <c r="S11" s="305"/>
      <c r="T11" s="298"/>
      <c r="U11" s="296"/>
      <c r="V11" s="315"/>
      <c r="W11" s="303"/>
      <c r="X11" s="296"/>
      <c r="Z11" s="292"/>
      <c r="AA11" s="292"/>
      <c r="AB11" s="292"/>
      <c r="AC11" s="258"/>
      <c r="AG11" s="410">
        <v>96</v>
      </c>
      <c r="AH11" s="409" t="s">
        <v>172</v>
      </c>
    </row>
    <row r="12" spans="1:34">
      <c r="A12" s="263"/>
      <c r="B12" s="364">
        <v>93.6</v>
      </c>
      <c r="C12" s="365">
        <v>94.77</v>
      </c>
      <c r="D12" s="363">
        <v>95</v>
      </c>
      <c r="F12" s="11" t="s">
        <v>214</v>
      </c>
      <c r="I12" s="4"/>
      <c r="J12" s="271"/>
      <c r="K12" s="271"/>
      <c r="L12" s="271"/>
      <c r="M12" s="303"/>
      <c r="N12" s="325"/>
      <c r="O12" s="305"/>
      <c r="P12" s="298"/>
      <c r="Q12" s="296"/>
      <c r="R12" s="315"/>
      <c r="S12" s="305"/>
      <c r="T12" s="298"/>
      <c r="U12" s="296"/>
      <c r="V12" s="315"/>
      <c r="W12" s="303"/>
      <c r="X12" s="296"/>
      <c r="Z12" s="292"/>
      <c r="AA12" s="292"/>
      <c r="AB12" s="292"/>
      <c r="AC12" s="258"/>
      <c r="AG12" s="410">
        <v>95</v>
      </c>
      <c r="AH12" s="409" t="s">
        <v>172</v>
      </c>
    </row>
    <row r="13" spans="1:34">
      <c r="A13" s="263"/>
      <c r="B13" s="362">
        <v>92.42</v>
      </c>
      <c r="C13" s="252">
        <v>93.589999999999989</v>
      </c>
      <c r="D13" s="363">
        <v>94</v>
      </c>
      <c r="F13" s="42" t="s">
        <v>94</v>
      </c>
      <c r="G13" s="243" cm="1">
        <f t="array" ref="G13">_xlfn.IFNA(_xlfn.XLOOKUP(1,(HELPER!$I$7:$I$161=1)*(HELPER!$L$7:$L$161=$G$10)*(HELPER!$K$7:$K$161=$G$9),HELPER!$W$7:$W$161),"")</f>
        <v>25</v>
      </c>
      <c r="I13" s="260"/>
      <c r="J13" s="272"/>
      <c r="K13" s="272"/>
      <c r="L13" s="272"/>
      <c r="M13" s="309"/>
      <c r="N13" s="326"/>
      <c r="O13" s="304"/>
      <c r="P13" s="275"/>
      <c r="Q13" s="273"/>
      <c r="R13" s="316"/>
      <c r="S13" s="304"/>
      <c r="T13" s="275"/>
      <c r="U13" s="273"/>
      <c r="V13" s="316"/>
      <c r="W13" s="304"/>
      <c r="X13" s="274"/>
      <c r="Y13" s="230"/>
      <c r="Z13" s="293"/>
      <c r="AA13" s="293"/>
      <c r="AB13" s="292"/>
      <c r="AC13" s="258"/>
      <c r="AG13" s="410">
        <v>94</v>
      </c>
      <c r="AH13" s="409" t="s">
        <v>172</v>
      </c>
    </row>
    <row r="14" spans="1:34">
      <c r="A14" s="263"/>
      <c r="B14" s="362">
        <v>91.24</v>
      </c>
      <c r="C14" s="252">
        <v>92.41</v>
      </c>
      <c r="D14" s="363">
        <v>93</v>
      </c>
      <c r="F14" s="43" t="s">
        <v>101</v>
      </c>
      <c r="G14" s="5" cm="1">
        <f t="array" ref="G14">_xlfn.IFNA(_xlfn.XLOOKUP(1,(HELPER!$I$7:$I$161=1)*(HELPER!$L$7:$L$161=$G$10)*(HELPER!$K$7:$K$161=$G$9),HELPER!$X$7:$X$161),"")</f>
        <v>45</v>
      </c>
      <c r="I14" s="4"/>
      <c r="J14" s="271"/>
      <c r="K14" s="271"/>
      <c r="L14" s="271"/>
      <c r="M14" s="303"/>
      <c r="N14" s="325"/>
      <c r="O14" s="305"/>
      <c r="P14" s="298"/>
      <c r="Q14" s="296"/>
      <c r="R14" s="315"/>
      <c r="S14" s="305"/>
      <c r="T14" s="298"/>
      <c r="U14" s="296"/>
      <c r="V14" s="315"/>
      <c r="W14" s="305"/>
      <c r="X14" s="297"/>
      <c r="Y14" s="306"/>
      <c r="Z14" s="292"/>
      <c r="AA14" s="292"/>
      <c r="AB14" s="292"/>
      <c r="AC14" s="258"/>
      <c r="AG14" s="410">
        <v>93</v>
      </c>
      <c r="AH14" s="409" t="s">
        <v>172</v>
      </c>
    </row>
    <row r="15" spans="1:34">
      <c r="A15" s="263"/>
      <c r="B15" s="362">
        <v>90.06</v>
      </c>
      <c r="C15" s="252">
        <v>91.22999999999999</v>
      </c>
      <c r="D15" s="363">
        <v>92</v>
      </c>
      <c r="F15" s="244" t="s">
        <v>215</v>
      </c>
      <c r="G15" s="8" cm="1">
        <f t="array" ref="G15">_xlfn.IFNA(_xlfn.XLOOKUP(1,(HELPER!$I$7:$I$161=1)*(HELPER!$L$7:$L$161=$G$10)*(HELPER!$K$7:$K$161=$G$9),HELPER!$Y$7:$Y$161),"")</f>
        <v>30</v>
      </c>
      <c r="I15" s="4"/>
      <c r="J15" s="271"/>
      <c r="K15" s="271"/>
      <c r="L15" s="271"/>
      <c r="M15" s="303"/>
      <c r="N15" s="325"/>
      <c r="O15" s="305"/>
      <c r="P15" s="298"/>
      <c r="Q15" s="296"/>
      <c r="R15" s="315"/>
      <c r="S15" s="305"/>
      <c r="T15" s="298"/>
      <c r="U15" s="296"/>
      <c r="V15" s="315"/>
      <c r="W15" s="305"/>
      <c r="X15" s="297"/>
      <c r="Y15" s="306"/>
      <c r="Z15" s="292"/>
      <c r="AA15" s="292"/>
      <c r="AB15" s="292"/>
      <c r="AC15" s="258"/>
      <c r="AG15" s="410">
        <v>92</v>
      </c>
      <c r="AH15" s="409" t="s">
        <v>172</v>
      </c>
    </row>
    <row r="16" spans="1:34">
      <c r="A16" s="263"/>
      <c r="B16" s="362">
        <v>88.88</v>
      </c>
      <c r="C16" s="252">
        <v>90.05</v>
      </c>
      <c r="D16" s="363">
        <v>91</v>
      </c>
      <c r="I16" s="4"/>
      <c r="J16" s="271"/>
      <c r="K16" s="271"/>
      <c r="L16" s="271"/>
      <c r="M16" s="303"/>
      <c r="N16" s="325"/>
      <c r="O16" s="305"/>
      <c r="P16" s="298"/>
      <c r="Q16" s="296"/>
      <c r="R16" s="315"/>
      <c r="S16" s="305"/>
      <c r="T16" s="298"/>
      <c r="U16" s="296"/>
      <c r="V16" s="315"/>
      <c r="W16" s="305"/>
      <c r="X16" s="297"/>
      <c r="Y16" s="306"/>
      <c r="Z16" s="292"/>
      <c r="AA16" s="292"/>
      <c r="AB16" s="292"/>
      <c r="AC16" s="258"/>
      <c r="AG16" s="410">
        <v>91</v>
      </c>
      <c r="AH16" s="409" t="s">
        <v>172</v>
      </c>
    </row>
    <row r="17" spans="1:34">
      <c r="A17" s="263"/>
      <c r="B17" s="362">
        <v>87.7</v>
      </c>
      <c r="C17" s="252">
        <v>88.86999999999999</v>
      </c>
      <c r="D17" s="363">
        <v>90</v>
      </c>
      <c r="F17" s="55" t="s">
        <v>209</v>
      </c>
      <c r="G17" s="246" cm="1">
        <f t="array" ref="G17">_xlfn.IFNA(_xlfn.XLOOKUP(1,(HELPER!$I$7:$I$161=1)*(HELPER!$L$7:$L$161=$G$10)*(HELPER!$K$7:$K$161=$G$9),HELPER!$AA$7:$AA$161),"")</f>
        <v>0</v>
      </c>
      <c r="I17" s="4"/>
      <c r="J17" s="271"/>
      <c r="K17" s="271"/>
      <c r="L17" s="271"/>
      <c r="M17" s="303"/>
      <c r="N17" s="325"/>
      <c r="O17" s="305"/>
      <c r="P17" s="298"/>
      <c r="Q17" s="296"/>
      <c r="R17" s="315"/>
      <c r="S17" s="305"/>
      <c r="T17" s="298"/>
      <c r="U17" s="296"/>
      <c r="V17" s="315"/>
      <c r="W17" s="305"/>
      <c r="X17" s="297"/>
      <c r="Y17" s="306"/>
      <c r="Z17" s="292"/>
      <c r="AA17" s="292"/>
      <c r="AB17" s="292"/>
      <c r="AC17" s="258"/>
      <c r="AG17" s="410">
        <v>90</v>
      </c>
      <c r="AH17" s="409" t="s">
        <v>172</v>
      </c>
    </row>
    <row r="18" spans="1:34">
      <c r="A18" s="263"/>
      <c r="B18" s="362">
        <v>86.52</v>
      </c>
      <c r="C18" s="252">
        <v>87.69</v>
      </c>
      <c r="D18" s="363">
        <v>89</v>
      </c>
      <c r="F18" s="55" t="s">
        <v>210</v>
      </c>
      <c r="G18" s="246" cm="1">
        <f t="array" ref="G18">_xlfn.IFNA(_xlfn.XLOOKUP(1,(HELPER!$I$7:$I$161=1)*(HELPER!$L$7:$L$161=$G$10)*(HELPER!$K$7:$K$161=$G$9),HELPER!$AB$7:$AB$161),"")</f>
        <v>0</v>
      </c>
      <c r="I18" s="4"/>
      <c r="J18" s="271"/>
      <c r="K18" s="271"/>
      <c r="L18" s="271"/>
      <c r="M18" s="303"/>
      <c r="N18" s="325"/>
      <c r="O18" s="305"/>
      <c r="P18" s="298"/>
      <c r="Q18" s="296"/>
      <c r="R18" s="315"/>
      <c r="S18" s="305"/>
      <c r="T18" s="298"/>
      <c r="U18" s="296"/>
      <c r="V18" s="315"/>
      <c r="W18" s="305"/>
      <c r="X18" s="297"/>
      <c r="Y18" s="306"/>
      <c r="Z18" s="292"/>
      <c r="AA18" s="292"/>
      <c r="AB18" s="292"/>
      <c r="AC18" s="258"/>
      <c r="AG18" s="410">
        <v>89</v>
      </c>
      <c r="AH18" s="409" t="s">
        <v>175</v>
      </c>
    </row>
    <row r="19" spans="1:34" ht="15.6" customHeight="1">
      <c r="A19" s="263"/>
      <c r="B19" s="362">
        <v>85.34</v>
      </c>
      <c r="C19" s="252">
        <v>86.509999999999991</v>
      </c>
      <c r="D19" s="363">
        <v>88</v>
      </c>
      <c r="F19" s="55" t="s">
        <v>88</v>
      </c>
      <c r="G19" s="246" cm="1">
        <f t="array" ref="G19">_xlfn.IFNA(_xlfn.XLOOKUP(1,(HELPER!$I$7:$I$161=1)*(HELPER!$L$7:$L$161=$G$10)*(HELPER!$K$7:$K$161=$G$9),HELPER!$AC$7:$AC$161),"")</f>
        <v>0</v>
      </c>
      <c r="I19" s="4"/>
      <c r="J19" s="271"/>
      <c r="K19" s="271"/>
      <c r="L19" s="271"/>
      <c r="M19" s="303"/>
      <c r="N19" s="325"/>
      <c r="O19" s="305"/>
      <c r="P19" s="298"/>
      <c r="Q19" s="296"/>
      <c r="R19" s="315"/>
      <c r="S19" s="305"/>
      <c r="T19" s="298"/>
      <c r="U19" s="296"/>
      <c r="V19" s="315"/>
      <c r="W19" s="305"/>
      <c r="X19" s="297"/>
      <c r="Y19" s="307"/>
      <c r="Z19" s="292"/>
      <c r="AA19" s="292"/>
      <c r="AB19" s="292"/>
      <c r="AC19" s="258"/>
      <c r="AG19" s="410">
        <v>88</v>
      </c>
      <c r="AH19" s="409" t="s">
        <v>175</v>
      </c>
    </row>
    <row r="20" spans="1:34">
      <c r="A20" s="263"/>
      <c r="B20" s="362">
        <v>84.16</v>
      </c>
      <c r="C20" s="252">
        <v>85.33</v>
      </c>
      <c r="D20" s="363">
        <v>87</v>
      </c>
      <c r="F20" s="11" t="s">
        <v>216</v>
      </c>
      <c r="I20" s="4"/>
      <c r="J20" s="271"/>
      <c r="K20" s="271"/>
      <c r="L20" s="271"/>
      <c r="M20" s="303"/>
      <c r="N20" s="325"/>
      <c r="O20" s="305"/>
      <c r="P20" s="298"/>
      <c r="Q20" s="296"/>
      <c r="R20" s="315"/>
      <c r="S20" s="305"/>
      <c r="T20" s="298"/>
      <c r="U20" s="296"/>
      <c r="V20" s="315"/>
      <c r="W20" s="305"/>
      <c r="X20" s="297"/>
      <c r="Y20" s="307"/>
      <c r="Z20" s="292"/>
      <c r="AA20" s="292"/>
      <c r="AB20" s="292"/>
      <c r="AC20" s="258"/>
      <c r="AG20" s="410">
        <v>87</v>
      </c>
      <c r="AH20" s="409" t="s">
        <v>175</v>
      </c>
    </row>
    <row r="21" spans="1:34">
      <c r="A21" s="263"/>
      <c r="B21" s="362">
        <v>82.98</v>
      </c>
      <c r="C21" s="252">
        <v>84.149999999999991</v>
      </c>
      <c r="D21" s="363">
        <v>86</v>
      </c>
      <c r="F21" s="265" t="s">
        <v>217</v>
      </c>
      <c r="G21" s="501">
        <f>IF('INPUT DATA'!F29="OTHER ELECTIVE / SPECIAL CURRICULAR PROGRAM",2,1)</f>
        <v>1</v>
      </c>
      <c r="I21" s="4"/>
      <c r="J21" s="271"/>
      <c r="K21" s="271"/>
      <c r="L21" s="271"/>
      <c r="M21" s="303"/>
      <c r="N21" s="325"/>
      <c r="O21" s="305"/>
      <c r="P21" s="298"/>
      <c r="Q21" s="296"/>
      <c r="R21" s="315"/>
      <c r="S21" s="305"/>
      <c r="T21" s="298"/>
      <c r="U21" s="296"/>
      <c r="V21" s="315"/>
      <c r="W21" s="305"/>
      <c r="X21" s="297"/>
      <c r="Y21" s="307"/>
      <c r="Z21" s="292"/>
      <c r="AA21" s="292"/>
      <c r="AB21" s="292"/>
      <c r="AC21" s="258"/>
      <c r="AG21" s="410">
        <v>86</v>
      </c>
      <c r="AH21" s="409" t="s">
        <v>175</v>
      </c>
    </row>
    <row r="22" spans="1:34">
      <c r="A22" s="263"/>
      <c r="B22" s="362">
        <v>81.8</v>
      </c>
      <c r="C22" s="252">
        <v>82.97</v>
      </c>
      <c r="D22" s="363">
        <v>85</v>
      </c>
      <c r="F22" s="265" t="s">
        <v>218</v>
      </c>
      <c r="G22" s="501">
        <f>IF(HELPER!$G$21=1,'INPUT DATA'!$F$33,IF(HELPER!$G$21=2,'INPUT DATA'!F$51,""))</f>
        <v>2</v>
      </c>
      <c r="I22" s="4"/>
      <c r="J22" s="271"/>
      <c r="K22" s="271"/>
      <c r="L22" s="271"/>
      <c r="M22" s="303"/>
      <c r="N22" s="325"/>
      <c r="O22" s="305"/>
      <c r="P22" s="298"/>
      <c r="Q22" s="296"/>
      <c r="R22" s="315"/>
      <c r="S22" s="305"/>
      <c r="T22" s="298"/>
      <c r="U22" s="296"/>
      <c r="V22" s="315"/>
      <c r="W22" s="305"/>
      <c r="X22" s="297"/>
      <c r="Y22" s="307"/>
      <c r="Z22" s="292"/>
      <c r="AA22" s="292"/>
      <c r="AB22" s="292"/>
      <c r="AC22" s="258"/>
      <c r="AG22" s="410">
        <v>85</v>
      </c>
      <c r="AH22" s="409" t="s">
        <v>175</v>
      </c>
    </row>
    <row r="23" spans="1:34">
      <c r="A23" s="263"/>
      <c r="B23" s="362">
        <v>80.62</v>
      </c>
      <c r="C23" s="252">
        <v>81.789999999999992</v>
      </c>
      <c r="D23" s="363">
        <v>84</v>
      </c>
      <c r="F23" s="354">
        <f>IF($G$21=1,'INPUT DATA'!I$34,IF($G$21=2,'INPUT DATA'!I$52,""))</f>
        <v>21</v>
      </c>
      <c r="G23" s="355" t="str">
        <f>_xlfn.IFNA(_xlfn.XLOOKUP(F23,F38:F43,G38:G43),"")</f>
        <v>1ST &amp; 2ND</v>
      </c>
      <c r="I23" s="4"/>
      <c r="J23" s="271"/>
      <c r="K23" s="271"/>
      <c r="L23" s="271"/>
      <c r="M23" s="303"/>
      <c r="N23" s="325"/>
      <c r="O23" s="305"/>
      <c r="P23" s="298"/>
      <c r="Q23" s="296"/>
      <c r="R23" s="315"/>
      <c r="S23" s="305"/>
      <c r="T23" s="298"/>
      <c r="U23" s="296"/>
      <c r="V23" s="315"/>
      <c r="W23" s="305"/>
      <c r="X23" s="297"/>
      <c r="Y23" s="307"/>
      <c r="Z23" s="292"/>
      <c r="AA23" s="292"/>
      <c r="AB23" s="292"/>
      <c r="AC23" s="258"/>
      <c r="AG23" s="410">
        <v>84</v>
      </c>
      <c r="AH23" s="409" t="s">
        <v>175</v>
      </c>
    </row>
    <row r="24" spans="1:34">
      <c r="A24" s="263"/>
      <c r="B24" s="362">
        <v>79.44</v>
      </c>
      <c r="C24" s="252">
        <v>80.61</v>
      </c>
      <c r="D24" s="363">
        <v>83</v>
      </c>
      <c r="F24" s="287">
        <v>1</v>
      </c>
      <c r="G24" s="288" t="s">
        <v>219</v>
      </c>
      <c r="I24" s="4"/>
      <c r="J24" s="271"/>
      <c r="K24" s="271"/>
      <c r="L24" s="271"/>
      <c r="M24" s="303"/>
      <c r="N24" s="325"/>
      <c r="O24" s="305"/>
      <c r="P24" s="298"/>
      <c r="Q24" s="296"/>
      <c r="R24" s="315"/>
      <c r="S24" s="305"/>
      <c r="T24" s="298"/>
      <c r="U24" s="296"/>
      <c r="V24" s="315"/>
      <c r="W24" s="305"/>
      <c r="X24" s="297"/>
      <c r="Y24" s="307"/>
      <c r="Z24" s="292"/>
      <c r="AA24" s="292"/>
      <c r="AB24" s="292"/>
      <c r="AC24" s="258"/>
      <c r="AG24" s="410">
        <v>83</v>
      </c>
      <c r="AH24" s="409" t="s">
        <v>175</v>
      </c>
    </row>
    <row r="25" spans="1:34">
      <c r="A25" s="263"/>
      <c r="B25" s="362">
        <v>78.259999999999991</v>
      </c>
      <c r="C25" s="252">
        <v>79.429999999999993</v>
      </c>
      <c r="D25" s="363">
        <v>82</v>
      </c>
      <c r="F25" s="266">
        <v>2</v>
      </c>
      <c r="G25" s="289" t="s">
        <v>220</v>
      </c>
      <c r="I25" s="4"/>
      <c r="J25" s="271"/>
      <c r="K25" s="271"/>
      <c r="L25" s="271"/>
      <c r="M25" s="303"/>
      <c r="N25" s="325"/>
      <c r="O25" s="305"/>
      <c r="P25" s="298"/>
      <c r="Q25" s="296"/>
      <c r="R25" s="315"/>
      <c r="S25" s="305"/>
      <c r="T25" s="298"/>
      <c r="U25" s="296"/>
      <c r="V25" s="315"/>
      <c r="W25" s="305"/>
      <c r="X25" s="297"/>
      <c r="Y25" s="307"/>
      <c r="Z25" s="292"/>
      <c r="AA25" s="292"/>
      <c r="AB25" s="292"/>
      <c r="AC25" s="258"/>
      <c r="AG25" s="410">
        <v>82</v>
      </c>
      <c r="AH25" s="409" t="s">
        <v>175</v>
      </c>
    </row>
    <row r="26" spans="1:34">
      <c r="A26" s="263"/>
      <c r="B26" s="362">
        <v>77.079999999999984</v>
      </c>
      <c r="C26" s="252">
        <v>78.249999999999986</v>
      </c>
      <c r="D26" s="363">
        <v>81</v>
      </c>
      <c r="F26" s="267">
        <v>3</v>
      </c>
      <c r="G26" s="290" t="s">
        <v>221</v>
      </c>
      <c r="I26" s="4"/>
      <c r="J26" s="271"/>
      <c r="K26" s="271"/>
      <c r="L26" s="271"/>
      <c r="M26" s="303"/>
      <c r="N26" s="325"/>
      <c r="O26" s="305"/>
      <c r="P26" s="298"/>
      <c r="Q26" s="296"/>
      <c r="R26" s="315"/>
      <c r="S26" s="305"/>
      <c r="T26" s="298"/>
      <c r="U26" s="296"/>
      <c r="V26" s="315"/>
      <c r="W26" s="305"/>
      <c r="X26" s="297"/>
      <c r="Y26" s="306"/>
      <c r="Z26" s="292"/>
      <c r="AA26" s="292"/>
      <c r="AB26" s="292"/>
      <c r="AC26" s="258"/>
      <c r="AG26" s="410">
        <v>81</v>
      </c>
      <c r="AH26" s="409" t="s">
        <v>175</v>
      </c>
    </row>
    <row r="27" spans="1:34">
      <c r="A27" s="263"/>
      <c r="B27" s="366">
        <v>75.899999999999977</v>
      </c>
      <c r="C27" s="367">
        <v>77.069999999999979</v>
      </c>
      <c r="D27" s="368">
        <v>80</v>
      </c>
      <c r="F27" s="268" t="s">
        <v>222</v>
      </c>
      <c r="G27" s="38" cm="1">
        <f t="array" ref="G27">_xlfn.IFNA(IF('INPUT DATA'!$F$24=11,_xlfn.XLOOKUP(1,(HELPER!$I$7:$I$161=1)*(HELPER!$L$7:$L$161=G10),HELPER!Q$7:Q$161),
IF('INPUT DATA'!$F$24=12,(_xlfn.XLOOKUP(1,(HELPER!$I$7:$I$161=1)*(HELPER!$L$7:$L$161=G10),HELPER!U$7:U$161)),"")),"")</f>
        <v>0</v>
      </c>
      <c r="I27" s="4"/>
      <c r="J27" s="271"/>
      <c r="K27" s="271"/>
      <c r="L27" s="271"/>
      <c r="M27" s="303"/>
      <c r="N27" s="325"/>
      <c r="O27" s="305"/>
      <c r="P27" s="298"/>
      <c r="Q27" s="296"/>
      <c r="R27" s="315"/>
      <c r="S27" s="305"/>
      <c r="T27" s="298"/>
      <c r="U27" s="296"/>
      <c r="V27" s="315"/>
      <c r="W27" s="305"/>
      <c r="X27" s="297"/>
      <c r="Y27" s="306"/>
      <c r="Z27" s="292"/>
      <c r="AA27" s="292"/>
      <c r="AB27" s="292"/>
      <c r="AC27" s="258"/>
      <c r="AG27" s="410">
        <v>80</v>
      </c>
      <c r="AH27" s="409" t="s">
        <v>175</v>
      </c>
    </row>
    <row r="28" spans="1:34">
      <c r="A28" s="263"/>
      <c r="B28" s="362">
        <v>74.71999999999997</v>
      </c>
      <c r="C28" s="252">
        <v>75.889999999999972</v>
      </c>
      <c r="D28" s="363">
        <v>79</v>
      </c>
      <c r="F28" s="112" t="s">
        <v>223</v>
      </c>
      <c r="G28" s="115"/>
      <c r="I28" s="4"/>
      <c r="J28" s="271"/>
      <c r="K28" s="271"/>
      <c r="L28" s="271"/>
      <c r="M28" s="303"/>
      <c r="N28" s="325"/>
      <c r="O28" s="305"/>
      <c r="P28" s="298"/>
      <c r="Q28" s="296"/>
      <c r="R28" s="315"/>
      <c r="S28" s="305"/>
      <c r="T28" s="298"/>
      <c r="U28" s="296"/>
      <c r="V28" s="315"/>
      <c r="W28" s="305"/>
      <c r="X28" s="297"/>
      <c r="Y28" s="306"/>
      <c r="Z28" s="292"/>
      <c r="AA28" s="292"/>
      <c r="AB28" s="292"/>
      <c r="AC28" s="258"/>
      <c r="AG28" s="410">
        <v>79</v>
      </c>
      <c r="AH28" s="409" t="s">
        <v>178</v>
      </c>
    </row>
    <row r="29" spans="1:34" ht="15.6" customHeight="1">
      <c r="A29" s="263"/>
      <c r="B29" s="362">
        <v>73.539999999999964</v>
      </c>
      <c r="C29" s="252">
        <v>74.709999999999965</v>
      </c>
      <c r="D29" s="363">
        <v>78</v>
      </c>
      <c r="I29" s="4"/>
      <c r="J29" s="271"/>
      <c r="K29" s="271"/>
      <c r="L29" s="271"/>
      <c r="M29" s="303"/>
      <c r="N29" s="325"/>
      <c r="O29" s="305"/>
      <c r="P29" s="298"/>
      <c r="Q29" s="296"/>
      <c r="R29" s="315"/>
      <c r="S29" s="305"/>
      <c r="T29" s="298"/>
      <c r="U29" s="296"/>
      <c r="V29" s="315"/>
      <c r="W29" s="305"/>
      <c r="X29" s="297"/>
      <c r="Y29" s="306"/>
      <c r="Z29" s="292"/>
      <c r="AA29" s="292"/>
      <c r="AB29" s="292"/>
      <c r="AC29" s="258"/>
      <c r="AG29" s="410">
        <v>78</v>
      </c>
      <c r="AH29" s="409" t="s">
        <v>178</v>
      </c>
    </row>
    <row r="30" spans="1:34">
      <c r="A30" s="263"/>
      <c r="B30" s="362">
        <v>72.359999999999957</v>
      </c>
      <c r="C30" s="252">
        <v>73.529999999999959</v>
      </c>
      <c r="D30" s="363">
        <v>77</v>
      </c>
      <c r="F30" s="2" t="s">
        <v>224</v>
      </c>
      <c r="I30" s="4"/>
      <c r="J30" s="271"/>
      <c r="K30" s="271"/>
      <c r="L30" s="271"/>
      <c r="M30" s="303"/>
      <c r="N30" s="325"/>
      <c r="O30" s="305"/>
      <c r="P30" s="298"/>
      <c r="Q30" s="296"/>
      <c r="R30" s="315"/>
      <c r="S30" s="305"/>
      <c r="T30" s="298"/>
      <c r="U30" s="296"/>
      <c r="V30" s="315"/>
      <c r="W30" s="305"/>
      <c r="X30" s="297"/>
      <c r="Y30" s="306"/>
      <c r="Z30" s="292"/>
      <c r="AA30" s="292"/>
      <c r="AB30" s="292"/>
      <c r="AC30" s="258"/>
      <c r="AG30" s="410">
        <v>77</v>
      </c>
      <c r="AH30" s="409" t="s">
        <v>178</v>
      </c>
    </row>
    <row r="31" spans="1:34">
      <c r="A31" s="263"/>
      <c r="B31" s="362">
        <v>71.17999999999995</v>
      </c>
      <c r="C31" s="252">
        <v>72.349999999999952</v>
      </c>
      <c r="D31" s="363">
        <v>76</v>
      </c>
      <c r="F31" s="42">
        <v>1</v>
      </c>
      <c r="G31" s="38" t="s">
        <v>140</v>
      </c>
      <c r="I31" s="4"/>
      <c r="J31" s="271"/>
      <c r="K31" s="271"/>
      <c r="L31" s="271"/>
      <c r="M31" s="303"/>
      <c r="N31" s="325"/>
      <c r="O31" s="305"/>
      <c r="P31" s="298"/>
      <c r="Q31" s="296"/>
      <c r="R31" s="315"/>
      <c r="S31" s="305"/>
      <c r="T31" s="298"/>
      <c r="U31" s="296"/>
      <c r="V31" s="315"/>
      <c r="W31" s="305"/>
      <c r="X31" s="297"/>
      <c r="Y31" s="306"/>
      <c r="Z31" s="292"/>
      <c r="AA31" s="292"/>
      <c r="AB31" s="292"/>
      <c r="AC31" s="258"/>
      <c r="AG31" s="410">
        <v>76</v>
      </c>
      <c r="AH31" s="409" t="s">
        <v>178</v>
      </c>
    </row>
    <row r="32" spans="1:34">
      <c r="A32" s="263"/>
      <c r="B32" s="369">
        <v>69.999999999999943</v>
      </c>
      <c r="C32" s="370">
        <v>71.169999999999945</v>
      </c>
      <c r="D32" s="371">
        <v>75</v>
      </c>
      <c r="F32" s="43">
        <v>2</v>
      </c>
      <c r="G32" s="130" t="s">
        <v>155</v>
      </c>
      <c r="I32" s="4"/>
      <c r="J32" s="271"/>
      <c r="K32" s="271"/>
      <c r="L32" s="271"/>
      <c r="M32" s="303"/>
      <c r="N32" s="325"/>
      <c r="O32" s="305"/>
      <c r="P32" s="298"/>
      <c r="Q32" s="296"/>
      <c r="R32" s="315"/>
      <c r="S32" s="305"/>
      <c r="T32" s="298"/>
      <c r="U32" s="296"/>
      <c r="V32" s="315"/>
      <c r="W32" s="305"/>
      <c r="X32" s="297"/>
      <c r="Y32" s="306"/>
      <c r="Z32" s="292"/>
      <c r="AA32" s="292"/>
      <c r="AB32" s="292"/>
      <c r="AC32" s="258"/>
      <c r="AG32" s="410">
        <v>75</v>
      </c>
      <c r="AH32" s="409" t="s">
        <v>178</v>
      </c>
    </row>
    <row r="33" spans="1:34">
      <c r="A33" s="263"/>
      <c r="B33" s="372">
        <v>65.34</v>
      </c>
      <c r="C33" s="373">
        <v>69.989999999999938</v>
      </c>
      <c r="D33" s="374">
        <v>74</v>
      </c>
      <c r="F33" s="244">
        <v>3</v>
      </c>
      <c r="G33" s="115" t="s">
        <v>156</v>
      </c>
      <c r="I33" s="4"/>
      <c r="J33" s="271"/>
      <c r="K33" s="271"/>
      <c r="L33" s="271"/>
      <c r="M33" s="303"/>
      <c r="N33" s="325"/>
      <c r="O33" s="305"/>
      <c r="P33" s="298"/>
      <c r="Q33" s="296"/>
      <c r="R33" s="315"/>
      <c r="S33" s="305"/>
      <c r="T33" s="298"/>
      <c r="U33" s="296"/>
      <c r="V33" s="315"/>
      <c r="W33" s="305"/>
      <c r="X33" s="297"/>
      <c r="Y33" s="306"/>
      <c r="Z33" s="292"/>
      <c r="AA33" s="292"/>
      <c r="AB33" s="292"/>
      <c r="AC33" s="258"/>
      <c r="AG33" s="410">
        <v>74</v>
      </c>
      <c r="AH33" s="409" t="s">
        <v>181</v>
      </c>
    </row>
    <row r="34" spans="1:34" ht="15.6" customHeight="1">
      <c r="A34" s="263"/>
      <c r="B34" s="372">
        <v>60.67</v>
      </c>
      <c r="C34" s="373">
        <v>65.33</v>
      </c>
      <c r="D34" s="374">
        <v>73</v>
      </c>
      <c r="F34" s="245">
        <v>4</v>
      </c>
      <c r="G34" s="264" t="s">
        <v>225</v>
      </c>
      <c r="I34" s="4"/>
      <c r="J34" s="271"/>
      <c r="K34" s="271"/>
      <c r="L34" s="271"/>
      <c r="M34" s="303"/>
      <c r="N34" s="325"/>
      <c r="O34" s="305"/>
      <c r="P34" s="298"/>
      <c r="Q34" s="296"/>
      <c r="R34" s="315"/>
      <c r="S34" s="305"/>
      <c r="T34" s="298"/>
      <c r="U34" s="296"/>
      <c r="V34" s="315"/>
      <c r="W34" s="305"/>
      <c r="X34" s="297"/>
      <c r="Y34" s="306"/>
      <c r="Z34" s="292"/>
      <c r="AA34" s="292"/>
      <c r="AB34" s="292"/>
      <c r="AC34" s="258"/>
      <c r="AG34" s="410">
        <v>73</v>
      </c>
      <c r="AH34" s="409" t="s">
        <v>181</v>
      </c>
    </row>
    <row r="35" spans="1:34">
      <c r="A35" s="263"/>
      <c r="B35" s="372">
        <v>56.01</v>
      </c>
      <c r="C35" s="373">
        <v>60.660000000000004</v>
      </c>
      <c r="D35" s="374">
        <v>72</v>
      </c>
      <c r="F35" s="245"/>
      <c r="G35" s="264"/>
      <c r="I35" s="4"/>
      <c r="J35" s="271"/>
      <c r="K35" s="271"/>
      <c r="L35" s="271"/>
      <c r="M35" s="303"/>
      <c r="N35" s="325"/>
      <c r="O35" s="305"/>
      <c r="P35" s="298"/>
      <c r="Q35" s="296"/>
      <c r="R35" s="315"/>
      <c r="S35" s="305"/>
      <c r="T35" s="298"/>
      <c r="U35" s="296"/>
      <c r="V35" s="315"/>
      <c r="W35" s="305"/>
      <c r="X35" s="297"/>
      <c r="Y35" s="306"/>
      <c r="Z35" s="292"/>
      <c r="AA35" s="292"/>
      <c r="AB35" s="292"/>
      <c r="AC35" s="258"/>
      <c r="AG35" s="410">
        <v>72</v>
      </c>
      <c r="AH35" s="409" t="s">
        <v>181</v>
      </c>
    </row>
    <row r="36" spans="1:34">
      <c r="A36" s="263"/>
      <c r="B36" s="372">
        <v>51.339999999999996</v>
      </c>
      <c r="C36" s="373">
        <v>56</v>
      </c>
      <c r="D36" s="374">
        <v>71</v>
      </c>
      <c r="I36" s="4"/>
      <c r="J36" s="271"/>
      <c r="K36" s="271"/>
      <c r="L36" s="271"/>
      <c r="M36" s="303"/>
      <c r="N36" s="325"/>
      <c r="O36" s="305"/>
      <c r="P36" s="298"/>
      <c r="Q36" s="296"/>
      <c r="R36" s="315"/>
      <c r="S36" s="305"/>
      <c r="T36" s="298"/>
      <c r="U36" s="296"/>
      <c r="V36" s="315"/>
      <c r="W36" s="305"/>
      <c r="X36" s="297"/>
      <c r="Y36" s="306"/>
      <c r="Z36" s="292"/>
      <c r="AA36" s="292"/>
      <c r="AB36" s="292"/>
      <c r="AC36" s="258"/>
      <c r="AG36" s="410">
        <v>71</v>
      </c>
      <c r="AH36" s="409" t="s">
        <v>181</v>
      </c>
    </row>
    <row r="37" spans="1:34">
      <c r="A37" s="263"/>
      <c r="B37" s="372">
        <v>46.669999999999995</v>
      </c>
      <c r="C37" s="373">
        <v>51.33</v>
      </c>
      <c r="D37" s="374">
        <v>70</v>
      </c>
      <c r="F37" s="356" t="s">
        <v>226</v>
      </c>
      <c r="G37" s="357"/>
      <c r="I37" s="7"/>
      <c r="J37" s="276"/>
      <c r="K37" s="276"/>
      <c r="L37" s="276"/>
      <c r="M37" s="308"/>
      <c r="N37" s="327"/>
      <c r="O37" s="311"/>
      <c r="P37" s="279"/>
      <c r="Q37" s="277"/>
      <c r="R37" s="317"/>
      <c r="S37" s="311"/>
      <c r="T37" s="279"/>
      <c r="U37" s="277"/>
      <c r="V37" s="317"/>
      <c r="W37" s="308"/>
      <c r="X37" s="277"/>
      <c r="Y37" s="229"/>
      <c r="Z37" s="294"/>
      <c r="AA37" s="294"/>
      <c r="AB37" s="292"/>
      <c r="AC37" s="258"/>
      <c r="AG37" s="410">
        <v>70</v>
      </c>
      <c r="AH37" s="409" t="s">
        <v>181</v>
      </c>
    </row>
    <row r="38" spans="1:34">
      <c r="A38" s="263"/>
      <c r="B38" s="372">
        <v>42.01</v>
      </c>
      <c r="C38" s="373">
        <v>46.66</v>
      </c>
      <c r="D38" s="374">
        <v>69</v>
      </c>
      <c r="F38" s="43">
        <v>11</v>
      </c>
      <c r="G38" s="130" t="s">
        <v>227</v>
      </c>
      <c r="I38" s="260"/>
      <c r="J38" s="272"/>
      <c r="K38" s="272"/>
      <c r="L38" s="272"/>
      <c r="M38" s="309"/>
      <c r="N38" s="326"/>
      <c r="O38" s="304"/>
      <c r="P38" s="275"/>
      <c r="Q38" s="273"/>
      <c r="R38" s="316"/>
      <c r="S38" s="304"/>
      <c r="T38" s="275"/>
      <c r="U38" s="273"/>
      <c r="V38" s="316"/>
      <c r="W38" s="309"/>
      <c r="X38" s="273"/>
      <c r="Y38" s="228"/>
      <c r="Z38" s="293"/>
      <c r="AA38" s="293"/>
      <c r="AB38" s="292"/>
      <c r="AC38" s="258"/>
      <c r="AG38" s="410">
        <v>69</v>
      </c>
      <c r="AH38" s="409" t="s">
        <v>181</v>
      </c>
    </row>
    <row r="39" spans="1:34">
      <c r="A39" s="263"/>
      <c r="B39" s="372">
        <v>37.339999999999996</v>
      </c>
      <c r="C39" s="373">
        <v>42</v>
      </c>
      <c r="D39" s="374">
        <v>68</v>
      </c>
      <c r="F39" s="43">
        <v>12</v>
      </c>
      <c r="G39" s="130" t="s">
        <v>228</v>
      </c>
      <c r="I39" s="4"/>
      <c r="J39" s="271"/>
      <c r="K39" s="271"/>
      <c r="L39" s="271"/>
      <c r="M39" s="303"/>
      <c r="N39" s="325"/>
      <c r="O39" s="305"/>
      <c r="P39" s="298"/>
      <c r="Q39" s="296"/>
      <c r="R39" s="315"/>
      <c r="S39" s="305"/>
      <c r="T39" s="298"/>
      <c r="U39" s="296"/>
      <c r="V39" s="315"/>
      <c r="W39" s="303"/>
      <c r="X39" s="296"/>
      <c r="Z39" s="292"/>
      <c r="AA39" s="292"/>
      <c r="AB39" s="292"/>
      <c r="AC39" s="258"/>
      <c r="AG39" s="410">
        <v>68</v>
      </c>
      <c r="AH39" s="409" t="s">
        <v>181</v>
      </c>
    </row>
    <row r="40" spans="1:34">
      <c r="A40" s="263"/>
      <c r="B40" s="372">
        <v>32.68</v>
      </c>
      <c r="C40" s="373">
        <v>37.33</v>
      </c>
      <c r="D40" s="374">
        <v>67</v>
      </c>
      <c r="F40" s="43">
        <v>13</v>
      </c>
      <c r="G40" s="130" t="s">
        <v>229</v>
      </c>
      <c r="I40" s="4"/>
      <c r="J40" s="271"/>
      <c r="K40" s="271"/>
      <c r="L40" s="271"/>
      <c r="M40" s="303"/>
      <c r="N40" s="325"/>
      <c r="O40" s="305"/>
      <c r="P40" s="298"/>
      <c r="Q40" s="296"/>
      <c r="R40" s="315"/>
      <c r="S40" s="305"/>
      <c r="T40" s="298"/>
      <c r="U40" s="296"/>
      <c r="V40" s="315"/>
      <c r="W40" s="303"/>
      <c r="X40" s="296"/>
      <c r="Z40" s="292"/>
      <c r="AA40" s="292"/>
      <c r="AB40" s="292"/>
      <c r="AC40" s="258"/>
      <c r="AG40" s="410">
        <v>67</v>
      </c>
      <c r="AH40" s="409" t="s">
        <v>181</v>
      </c>
    </row>
    <row r="41" spans="1:34">
      <c r="A41" s="263"/>
      <c r="B41" s="372">
        <v>28.009999999999998</v>
      </c>
      <c r="C41" s="373">
        <v>32.67</v>
      </c>
      <c r="D41" s="374">
        <v>66</v>
      </c>
      <c r="F41" s="43">
        <v>21</v>
      </c>
      <c r="G41" s="130" t="s">
        <v>230</v>
      </c>
      <c r="I41" s="4"/>
      <c r="J41" s="271"/>
      <c r="K41" s="271"/>
      <c r="L41" s="271"/>
      <c r="M41" s="303"/>
      <c r="N41" s="325"/>
      <c r="O41" s="305"/>
      <c r="P41" s="298"/>
      <c r="Q41" s="296"/>
      <c r="R41" s="315"/>
      <c r="S41" s="305"/>
      <c r="T41" s="298"/>
      <c r="U41" s="296"/>
      <c r="V41" s="315"/>
      <c r="W41" s="303"/>
      <c r="X41" s="296"/>
      <c r="Z41" s="292"/>
      <c r="AA41" s="292"/>
      <c r="AB41" s="292"/>
      <c r="AC41" s="258"/>
      <c r="AG41" s="410">
        <v>66</v>
      </c>
      <c r="AH41" s="409" t="s">
        <v>181</v>
      </c>
    </row>
    <row r="42" spans="1:34">
      <c r="A42" s="263"/>
      <c r="B42" s="372">
        <v>23.35</v>
      </c>
      <c r="C42" s="373">
        <v>27.999999999999996</v>
      </c>
      <c r="D42" s="374">
        <v>65</v>
      </c>
      <c r="F42" s="43">
        <v>22</v>
      </c>
      <c r="G42" s="130" t="s">
        <v>231</v>
      </c>
      <c r="I42" s="4"/>
      <c r="J42" s="271"/>
      <c r="K42" s="271"/>
      <c r="L42" s="271"/>
      <c r="M42" s="303"/>
      <c r="N42" s="325"/>
      <c r="O42" s="305"/>
      <c r="P42" s="298"/>
      <c r="Q42" s="296"/>
      <c r="R42" s="315"/>
      <c r="S42" s="305"/>
      <c r="T42" s="298"/>
      <c r="U42" s="296"/>
      <c r="V42" s="315"/>
      <c r="W42" s="303"/>
      <c r="X42" s="296"/>
      <c r="Z42" s="292"/>
      <c r="AA42" s="292"/>
      <c r="AB42" s="292"/>
      <c r="AC42" s="258"/>
      <c r="AG42" s="410">
        <v>65</v>
      </c>
      <c r="AH42" s="409" t="s">
        <v>181</v>
      </c>
    </row>
    <row r="43" spans="1:34">
      <c r="A43" s="263"/>
      <c r="B43" s="372">
        <v>18.68</v>
      </c>
      <c r="C43" s="373">
        <v>23.34</v>
      </c>
      <c r="D43" s="374">
        <v>64</v>
      </c>
      <c r="F43" s="244">
        <v>33</v>
      </c>
      <c r="G43" s="115" t="s">
        <v>232</v>
      </c>
      <c r="I43" s="7"/>
      <c r="J43" s="276"/>
      <c r="K43" s="276"/>
      <c r="L43" s="276"/>
      <c r="M43" s="308"/>
      <c r="N43" s="327"/>
      <c r="O43" s="311"/>
      <c r="P43" s="279"/>
      <c r="Q43" s="277"/>
      <c r="R43" s="317"/>
      <c r="S43" s="311"/>
      <c r="T43" s="279"/>
      <c r="U43" s="277"/>
      <c r="V43" s="317"/>
      <c r="W43" s="308"/>
      <c r="X43" s="277"/>
      <c r="Y43" s="229"/>
      <c r="Z43" s="294"/>
      <c r="AA43" s="294"/>
      <c r="AB43" s="292"/>
      <c r="AC43" s="258"/>
      <c r="AG43" s="410">
        <v>64</v>
      </c>
      <c r="AH43" s="409" t="s">
        <v>184</v>
      </c>
    </row>
    <row r="44" spans="1:34" ht="15.6" customHeight="1">
      <c r="A44" s="263"/>
      <c r="B44" s="372">
        <v>14.01</v>
      </c>
      <c r="C44" s="373">
        <v>18.669999999999998</v>
      </c>
      <c r="D44" s="374">
        <v>63</v>
      </c>
      <c r="F44" s="358" t="s">
        <v>233</v>
      </c>
      <c r="I44" s="260"/>
      <c r="J44" s="272"/>
      <c r="K44" s="272"/>
      <c r="L44" s="272"/>
      <c r="M44" s="309"/>
      <c r="N44" s="326"/>
      <c r="O44" s="304"/>
      <c r="P44" s="275"/>
      <c r="Q44" s="273"/>
      <c r="R44" s="316"/>
      <c r="S44" s="304"/>
      <c r="T44" s="275"/>
      <c r="U44" s="273"/>
      <c r="V44" s="316"/>
      <c r="W44" s="309"/>
      <c r="X44" s="273"/>
      <c r="Y44" s="228"/>
      <c r="Z44" s="293"/>
      <c r="AA44" s="293"/>
      <c r="AB44" s="292"/>
      <c r="AC44" s="258"/>
      <c r="AG44" s="410">
        <v>63</v>
      </c>
      <c r="AH44" s="409" t="s">
        <v>184</v>
      </c>
    </row>
    <row r="45" spans="1:34">
      <c r="A45" s="263"/>
      <c r="B45" s="372">
        <v>9.35</v>
      </c>
      <c r="C45" s="373">
        <v>14</v>
      </c>
      <c r="D45" s="374">
        <v>62</v>
      </c>
      <c r="I45" s="4"/>
      <c r="J45" s="271"/>
      <c r="K45" s="271"/>
      <c r="L45" s="271"/>
      <c r="M45" s="303"/>
      <c r="N45" s="325"/>
      <c r="O45" s="305"/>
      <c r="P45" s="298"/>
      <c r="Q45" s="296"/>
      <c r="R45" s="315"/>
      <c r="S45" s="305"/>
      <c r="T45" s="298"/>
      <c r="U45" s="296"/>
      <c r="V45" s="315"/>
      <c r="W45" s="303"/>
      <c r="X45" s="296"/>
      <c r="Z45" s="292"/>
      <c r="AA45" s="292"/>
      <c r="AB45" s="292"/>
      <c r="AC45" s="258"/>
      <c r="AG45" s="410">
        <v>62</v>
      </c>
      <c r="AH45" s="409" t="s">
        <v>184</v>
      </c>
    </row>
    <row r="46" spans="1:34">
      <c r="A46" s="263"/>
      <c r="B46" s="372">
        <v>4.68</v>
      </c>
      <c r="C46" s="373">
        <v>9.34</v>
      </c>
      <c r="D46" s="374">
        <v>61</v>
      </c>
      <c r="I46" s="4"/>
      <c r="J46" s="271"/>
      <c r="K46" s="271"/>
      <c r="L46" s="271"/>
      <c r="M46" s="303"/>
      <c r="N46" s="325"/>
      <c r="O46" s="305"/>
      <c r="P46" s="298"/>
      <c r="Q46" s="296"/>
      <c r="R46" s="315"/>
      <c r="S46" s="305"/>
      <c r="T46" s="298"/>
      <c r="U46" s="296"/>
      <c r="V46" s="315"/>
      <c r="W46" s="303"/>
      <c r="X46" s="296"/>
      <c r="Z46" s="292"/>
      <c r="AA46" s="292"/>
      <c r="AB46" s="292"/>
      <c r="AC46" s="258"/>
      <c r="AG46" s="410">
        <v>61</v>
      </c>
      <c r="AH46" s="409" t="s">
        <v>184</v>
      </c>
    </row>
    <row r="47" spans="1:34">
      <c r="A47" s="263"/>
      <c r="B47" s="375">
        <v>0</v>
      </c>
      <c r="C47" s="376">
        <v>4.67</v>
      </c>
      <c r="D47" s="377">
        <v>60</v>
      </c>
      <c r="I47" s="4"/>
      <c r="J47" s="271"/>
      <c r="K47" s="271"/>
      <c r="L47" s="271"/>
      <c r="M47" s="303"/>
      <c r="N47" s="325"/>
      <c r="O47" s="305"/>
      <c r="P47" s="298"/>
      <c r="Q47" s="296"/>
      <c r="R47" s="315"/>
      <c r="S47" s="305"/>
      <c r="T47" s="298"/>
      <c r="U47" s="296"/>
      <c r="V47" s="315"/>
      <c r="W47" s="303"/>
      <c r="X47" s="296"/>
      <c r="Z47" s="292"/>
      <c r="AA47" s="292"/>
      <c r="AB47" s="292"/>
      <c r="AC47" s="258"/>
      <c r="AG47" s="411">
        <v>60</v>
      </c>
      <c r="AH47" s="412" t="s">
        <v>184</v>
      </c>
    </row>
    <row r="48" spans="1:34">
      <c r="A48" s="263"/>
      <c r="B48" s="252"/>
      <c r="C48" s="252"/>
      <c r="D48" s="18"/>
      <c r="I48" s="4"/>
      <c r="J48" s="271"/>
      <c r="K48" s="271"/>
      <c r="L48" s="271"/>
      <c r="M48" s="303"/>
      <c r="N48" s="325"/>
      <c r="O48" s="305"/>
      <c r="P48" s="298"/>
      <c r="Q48" s="296"/>
      <c r="R48" s="315"/>
      <c r="S48" s="305"/>
      <c r="T48" s="298"/>
      <c r="U48" s="296"/>
      <c r="V48" s="315"/>
      <c r="W48" s="303"/>
      <c r="X48" s="296"/>
      <c r="Z48" s="292"/>
      <c r="AA48" s="292"/>
      <c r="AB48" s="292"/>
      <c r="AC48" s="258"/>
    </row>
    <row r="49" spans="1:29">
      <c r="A49" s="263"/>
      <c r="B49" s="252"/>
      <c r="I49" s="4"/>
      <c r="J49" s="271"/>
      <c r="K49" s="271"/>
      <c r="L49" s="271"/>
      <c r="M49" s="303"/>
      <c r="N49" s="325"/>
      <c r="O49" s="305"/>
      <c r="P49" s="298"/>
      <c r="Q49" s="296"/>
      <c r="R49" s="315"/>
      <c r="S49" s="305"/>
      <c r="T49" s="298"/>
      <c r="U49" s="296"/>
      <c r="V49" s="315"/>
      <c r="W49" s="303"/>
      <c r="X49" s="296"/>
      <c r="Z49" s="292"/>
      <c r="AA49" s="292"/>
      <c r="AB49" s="292"/>
      <c r="AC49" s="258"/>
    </row>
    <row r="50" spans="1:29">
      <c r="A50" s="263"/>
      <c r="B50" s="252"/>
      <c r="I50" s="4"/>
      <c r="J50" s="271"/>
      <c r="K50" s="271"/>
      <c r="L50" s="271"/>
      <c r="M50" s="303"/>
      <c r="N50" s="325"/>
      <c r="O50" s="305"/>
      <c r="P50" s="298"/>
      <c r="Q50" s="296"/>
      <c r="R50" s="315"/>
      <c r="S50" s="305"/>
      <c r="T50" s="298"/>
      <c r="U50" s="296"/>
      <c r="V50" s="315"/>
      <c r="W50" s="303"/>
      <c r="X50" s="296"/>
      <c r="Z50" s="292"/>
      <c r="AA50" s="292"/>
      <c r="AB50" s="292"/>
      <c r="AC50" s="258"/>
    </row>
    <row r="51" spans="1:29">
      <c r="A51" s="263"/>
      <c r="B51" s="252"/>
      <c r="I51" s="4"/>
      <c r="J51" s="271"/>
      <c r="K51" s="271"/>
      <c r="L51" s="271"/>
      <c r="M51" s="303"/>
      <c r="N51" s="325"/>
      <c r="O51" s="305"/>
      <c r="P51" s="298"/>
      <c r="Q51" s="296"/>
      <c r="R51" s="315"/>
      <c r="S51" s="305"/>
      <c r="T51" s="298"/>
      <c r="U51" s="296"/>
      <c r="V51" s="315"/>
      <c r="W51" s="303"/>
      <c r="X51" s="296"/>
      <c r="Z51" s="292"/>
      <c r="AA51" s="292"/>
      <c r="AB51" s="292"/>
      <c r="AC51" s="258"/>
    </row>
    <row r="52" spans="1:29">
      <c r="B52" s="252"/>
      <c r="I52" s="4"/>
      <c r="J52" s="271"/>
      <c r="K52" s="271"/>
      <c r="L52" s="271"/>
      <c r="M52" s="303"/>
      <c r="N52" s="325"/>
      <c r="O52" s="305"/>
      <c r="P52" s="298"/>
      <c r="Q52" s="296"/>
      <c r="R52" s="315"/>
      <c r="S52" s="305"/>
      <c r="T52" s="298"/>
      <c r="U52" s="296"/>
      <c r="V52" s="315"/>
      <c r="W52" s="303"/>
      <c r="X52" s="296"/>
      <c r="Z52" s="292"/>
      <c r="AA52" s="292"/>
      <c r="AB52" s="292"/>
      <c r="AC52" s="258"/>
    </row>
    <row r="53" spans="1:29">
      <c r="B53" s="252"/>
      <c r="I53" s="4"/>
      <c r="J53" s="271"/>
      <c r="K53" s="271"/>
      <c r="L53" s="271"/>
      <c r="M53" s="303"/>
      <c r="N53" s="325"/>
      <c r="O53" s="305"/>
      <c r="P53" s="298"/>
      <c r="Q53" s="296"/>
      <c r="R53" s="315"/>
      <c r="S53" s="305"/>
      <c r="T53" s="298"/>
      <c r="U53" s="296"/>
      <c r="V53" s="315"/>
      <c r="W53" s="303"/>
      <c r="X53" s="296"/>
      <c r="Z53" s="292"/>
      <c r="AA53" s="292"/>
      <c r="AB53" s="292"/>
      <c r="AC53" s="258"/>
    </row>
    <row r="54" spans="1:29">
      <c r="I54" s="4"/>
      <c r="J54" s="271"/>
      <c r="K54" s="271"/>
      <c r="L54" s="271"/>
      <c r="M54" s="303"/>
      <c r="N54" s="325"/>
      <c r="O54" s="305"/>
      <c r="P54" s="298"/>
      <c r="Q54" s="296"/>
      <c r="R54" s="315"/>
      <c r="S54" s="305"/>
      <c r="T54" s="298"/>
      <c r="U54" s="296"/>
      <c r="V54" s="315"/>
      <c r="W54" s="303"/>
      <c r="X54" s="296"/>
      <c r="Z54" s="292"/>
      <c r="AA54" s="292"/>
      <c r="AB54" s="292"/>
      <c r="AC54" s="258"/>
    </row>
    <row r="55" spans="1:29">
      <c r="I55" s="4"/>
      <c r="J55" s="271"/>
      <c r="K55" s="271"/>
      <c r="L55" s="271"/>
      <c r="M55" s="303"/>
      <c r="N55" s="325"/>
      <c r="O55" s="305"/>
      <c r="P55" s="298"/>
      <c r="Q55" s="296"/>
      <c r="R55" s="315"/>
      <c r="S55" s="305"/>
      <c r="T55" s="298"/>
      <c r="U55" s="296"/>
      <c r="V55" s="315"/>
      <c r="W55" s="303"/>
      <c r="X55" s="296"/>
      <c r="Z55" s="292"/>
      <c r="AA55" s="292"/>
      <c r="AB55" s="292"/>
      <c r="AC55" s="258"/>
    </row>
    <row r="56" spans="1:29">
      <c r="I56" s="286"/>
      <c r="J56" s="261"/>
      <c r="K56" s="261"/>
      <c r="L56" s="261"/>
      <c r="M56" s="322"/>
      <c r="N56" s="328"/>
      <c r="O56" s="310"/>
      <c r="P56" s="233"/>
      <c r="Q56" s="233"/>
      <c r="R56" s="318"/>
      <c r="S56" s="310"/>
      <c r="T56" s="233"/>
      <c r="U56" s="233"/>
      <c r="V56" s="318"/>
      <c r="W56" s="310"/>
      <c r="X56" s="262"/>
      <c r="Y56" s="262"/>
      <c r="Z56" s="331"/>
      <c r="AA56" s="294"/>
      <c r="AB56" s="292"/>
      <c r="AC56" s="258"/>
    </row>
    <row r="57" spans="1:29">
      <c r="I57" s="260"/>
      <c r="J57" s="272"/>
      <c r="K57" s="272"/>
      <c r="L57" s="272"/>
      <c r="M57" s="309"/>
      <c r="N57" s="326"/>
      <c r="O57" s="304"/>
      <c r="P57" s="275"/>
      <c r="Q57" s="273"/>
      <c r="R57" s="316"/>
      <c r="S57" s="304"/>
      <c r="T57" s="275"/>
      <c r="U57" s="273"/>
      <c r="V57" s="316"/>
      <c r="W57" s="309"/>
      <c r="X57" s="273"/>
      <c r="Y57" s="228"/>
      <c r="Z57" s="293"/>
      <c r="AA57" s="293"/>
      <c r="AB57" s="292"/>
      <c r="AC57" s="258"/>
    </row>
    <row r="58" spans="1:29">
      <c r="I58" s="4"/>
      <c r="J58" s="271"/>
      <c r="K58" s="271"/>
      <c r="L58" s="271"/>
      <c r="M58" s="303"/>
      <c r="N58" s="325"/>
      <c r="O58" s="305"/>
      <c r="P58" s="298"/>
      <c r="Q58" s="296"/>
      <c r="R58" s="315"/>
      <c r="S58" s="305"/>
      <c r="T58" s="298"/>
      <c r="U58" s="296"/>
      <c r="V58" s="315"/>
      <c r="W58" s="303"/>
      <c r="X58" s="296"/>
      <c r="Z58" s="292"/>
      <c r="AA58" s="292"/>
      <c r="AB58" s="292"/>
      <c r="AC58" s="258"/>
    </row>
    <row r="59" spans="1:29">
      <c r="I59" s="4"/>
      <c r="J59" s="271"/>
      <c r="K59" s="271"/>
      <c r="L59" s="271"/>
      <c r="M59" s="303"/>
      <c r="N59" s="325"/>
      <c r="O59" s="305"/>
      <c r="P59" s="298"/>
      <c r="Q59" s="296"/>
      <c r="R59" s="315"/>
      <c r="S59" s="305"/>
      <c r="T59" s="298"/>
      <c r="U59" s="296"/>
      <c r="V59" s="315"/>
      <c r="W59" s="303"/>
      <c r="X59" s="296"/>
      <c r="Z59" s="292"/>
      <c r="AA59" s="292"/>
      <c r="AB59" s="292"/>
      <c r="AC59" s="258"/>
    </row>
    <row r="60" spans="1:29">
      <c r="I60" s="4"/>
      <c r="J60" s="271"/>
      <c r="K60" s="271"/>
      <c r="L60" s="271"/>
      <c r="M60" s="303"/>
      <c r="N60" s="325"/>
      <c r="O60" s="305"/>
      <c r="P60" s="298"/>
      <c r="Q60" s="296"/>
      <c r="R60" s="315"/>
      <c r="S60" s="305"/>
      <c r="T60" s="298"/>
      <c r="U60" s="296"/>
      <c r="V60" s="315"/>
      <c r="W60" s="303"/>
      <c r="X60" s="296"/>
      <c r="Z60" s="292"/>
      <c r="AA60" s="292"/>
      <c r="AB60" s="292"/>
      <c r="AC60" s="258"/>
    </row>
    <row r="61" spans="1:29">
      <c r="I61" s="4"/>
      <c r="J61" s="271"/>
      <c r="K61" s="271"/>
      <c r="L61" s="271"/>
      <c r="M61" s="303"/>
      <c r="N61" s="325"/>
      <c r="O61" s="305"/>
      <c r="P61" s="298"/>
      <c r="Q61" s="296"/>
      <c r="R61" s="315"/>
      <c r="S61" s="305"/>
      <c r="T61" s="298"/>
      <c r="U61" s="296"/>
      <c r="V61" s="315"/>
      <c r="W61" s="303"/>
      <c r="X61" s="296"/>
      <c r="Z61" s="292"/>
      <c r="AA61" s="292"/>
      <c r="AB61" s="292"/>
      <c r="AC61" s="258"/>
    </row>
    <row r="62" spans="1:29">
      <c r="I62" s="4"/>
      <c r="J62" s="271"/>
      <c r="K62" s="271"/>
      <c r="L62" s="271"/>
      <c r="M62" s="303"/>
      <c r="N62" s="325"/>
      <c r="O62" s="305"/>
      <c r="P62" s="298"/>
      <c r="Q62" s="296"/>
      <c r="R62" s="315"/>
      <c r="S62" s="305"/>
      <c r="T62" s="298"/>
      <c r="U62" s="296"/>
      <c r="V62" s="315"/>
      <c r="W62" s="303"/>
      <c r="X62" s="296"/>
      <c r="Z62" s="292"/>
      <c r="AA62" s="292"/>
      <c r="AB62" s="292"/>
      <c r="AC62" s="258"/>
    </row>
    <row r="63" spans="1:29">
      <c r="I63" s="4"/>
      <c r="J63" s="271"/>
      <c r="K63" s="271"/>
      <c r="L63" s="271"/>
      <c r="M63" s="303"/>
      <c r="N63" s="325"/>
      <c r="O63" s="305"/>
      <c r="P63" s="298"/>
      <c r="Q63" s="296"/>
      <c r="R63" s="315"/>
      <c r="S63" s="305"/>
      <c r="T63" s="298"/>
      <c r="U63" s="296"/>
      <c r="V63" s="315"/>
      <c r="W63" s="303"/>
      <c r="X63" s="296"/>
      <c r="Z63" s="292"/>
      <c r="AA63" s="292"/>
      <c r="AB63" s="292"/>
      <c r="AC63" s="258"/>
    </row>
    <row r="64" spans="1:29">
      <c r="I64" s="4"/>
      <c r="J64" s="271"/>
      <c r="K64" s="271"/>
      <c r="L64" s="271"/>
      <c r="M64" s="303"/>
      <c r="N64" s="325"/>
      <c r="O64" s="305"/>
      <c r="P64" s="298"/>
      <c r="Q64" s="296"/>
      <c r="R64" s="315"/>
      <c r="S64" s="305"/>
      <c r="T64" s="298"/>
      <c r="U64" s="296"/>
      <c r="V64" s="315"/>
      <c r="W64" s="303"/>
      <c r="X64" s="296"/>
      <c r="Z64" s="292"/>
      <c r="AA64" s="292"/>
      <c r="AB64" s="292"/>
      <c r="AC64" s="258"/>
    </row>
    <row r="65" spans="9:29">
      <c r="I65" s="4"/>
      <c r="J65" s="271"/>
      <c r="K65" s="271"/>
      <c r="L65" s="271"/>
      <c r="M65" s="303"/>
      <c r="N65" s="325"/>
      <c r="O65" s="305"/>
      <c r="P65" s="298"/>
      <c r="Q65" s="296"/>
      <c r="R65" s="315"/>
      <c r="S65" s="305"/>
      <c r="T65" s="298"/>
      <c r="U65" s="296"/>
      <c r="V65" s="315"/>
      <c r="W65" s="303"/>
      <c r="X65" s="296"/>
      <c r="Z65" s="292"/>
      <c r="AA65" s="292"/>
      <c r="AB65" s="292"/>
      <c r="AC65" s="258"/>
    </row>
    <row r="66" spans="9:29">
      <c r="I66" s="4"/>
      <c r="J66" s="271"/>
      <c r="K66" s="271"/>
      <c r="L66" s="271"/>
      <c r="M66" s="303"/>
      <c r="N66" s="325"/>
      <c r="O66" s="305"/>
      <c r="P66" s="298"/>
      <c r="Q66" s="296"/>
      <c r="R66" s="315"/>
      <c r="S66" s="305"/>
      <c r="T66" s="298"/>
      <c r="U66" s="296"/>
      <c r="V66" s="315"/>
      <c r="W66" s="303"/>
      <c r="X66" s="296"/>
      <c r="Z66" s="292"/>
      <c r="AA66" s="292"/>
      <c r="AB66" s="292"/>
      <c r="AC66" s="258"/>
    </row>
    <row r="67" spans="9:29">
      <c r="I67" s="4"/>
      <c r="J67" s="271"/>
      <c r="K67" s="271"/>
      <c r="L67" s="271"/>
      <c r="M67" s="303"/>
      <c r="N67" s="325"/>
      <c r="O67" s="305"/>
      <c r="P67" s="298"/>
      <c r="Q67" s="296"/>
      <c r="R67" s="315"/>
      <c r="S67" s="305"/>
      <c r="T67" s="298"/>
      <c r="U67" s="296"/>
      <c r="V67" s="315"/>
      <c r="W67" s="303"/>
      <c r="X67" s="296"/>
      <c r="Z67" s="292"/>
      <c r="AA67" s="292"/>
      <c r="AB67" s="292"/>
      <c r="AC67" s="258"/>
    </row>
    <row r="68" spans="9:29">
      <c r="I68" s="4"/>
      <c r="J68" s="271"/>
      <c r="K68" s="271"/>
      <c r="L68" s="271"/>
      <c r="M68" s="303"/>
      <c r="N68" s="325"/>
      <c r="O68" s="305"/>
      <c r="P68" s="298"/>
      <c r="Q68" s="296"/>
      <c r="R68" s="315"/>
      <c r="S68" s="305"/>
      <c r="T68" s="298"/>
      <c r="U68" s="296"/>
      <c r="V68" s="315"/>
      <c r="W68" s="303"/>
      <c r="X68" s="296"/>
      <c r="Z68" s="292"/>
      <c r="AA68" s="292"/>
      <c r="AB68" s="292"/>
      <c r="AC68" s="258"/>
    </row>
    <row r="69" spans="9:29">
      <c r="I69" s="4"/>
      <c r="J69" s="271"/>
      <c r="K69" s="271"/>
      <c r="L69" s="271"/>
      <c r="M69" s="303"/>
      <c r="N69" s="325"/>
      <c r="O69" s="305"/>
      <c r="P69" s="298"/>
      <c r="Q69" s="296"/>
      <c r="R69" s="315"/>
      <c r="S69" s="305"/>
      <c r="T69" s="298"/>
      <c r="U69" s="296"/>
      <c r="V69" s="315"/>
      <c r="W69" s="303"/>
      <c r="X69" s="296"/>
      <c r="Z69" s="292"/>
      <c r="AA69" s="292"/>
      <c r="AB69" s="292"/>
      <c r="AC69" s="258"/>
    </row>
    <row r="70" spans="9:29">
      <c r="I70" s="4"/>
      <c r="J70" s="271"/>
      <c r="K70" s="271"/>
      <c r="L70" s="271"/>
      <c r="M70" s="303"/>
      <c r="N70" s="325"/>
      <c r="O70" s="305"/>
      <c r="P70" s="298"/>
      <c r="Q70" s="296"/>
      <c r="R70" s="315"/>
      <c r="S70" s="305"/>
      <c r="T70" s="298"/>
      <c r="U70" s="296"/>
      <c r="V70" s="315"/>
      <c r="W70" s="303"/>
      <c r="X70" s="296"/>
      <c r="Z70" s="292"/>
      <c r="AA70" s="292"/>
      <c r="AB70" s="292"/>
      <c r="AC70" s="258"/>
    </row>
    <row r="71" spans="9:29">
      <c r="I71" s="4"/>
      <c r="J71" s="271"/>
      <c r="K71" s="271"/>
      <c r="L71" s="271"/>
      <c r="M71" s="303"/>
      <c r="N71" s="325"/>
      <c r="O71" s="305"/>
      <c r="P71" s="298"/>
      <c r="Q71" s="296"/>
      <c r="R71" s="315"/>
      <c r="S71" s="305"/>
      <c r="T71" s="298"/>
      <c r="U71" s="296"/>
      <c r="V71" s="315"/>
      <c r="W71" s="303"/>
      <c r="X71" s="296"/>
      <c r="Z71" s="292"/>
      <c r="AA71" s="292"/>
      <c r="AB71" s="292"/>
      <c r="AC71" s="258"/>
    </row>
    <row r="72" spans="9:29">
      <c r="I72" s="4"/>
      <c r="J72" s="271"/>
      <c r="K72" s="271"/>
      <c r="L72" s="271"/>
      <c r="M72" s="303"/>
      <c r="N72" s="325"/>
      <c r="O72" s="305"/>
      <c r="P72" s="298"/>
      <c r="Q72" s="296"/>
      <c r="R72" s="315"/>
      <c r="S72" s="305"/>
      <c r="T72" s="298"/>
      <c r="U72" s="296"/>
      <c r="V72" s="315"/>
      <c r="W72" s="303"/>
      <c r="X72" s="296"/>
      <c r="Z72" s="292"/>
      <c r="AA72" s="292"/>
      <c r="AB72" s="292"/>
      <c r="AC72" s="258"/>
    </row>
    <row r="73" spans="9:29">
      <c r="I73" s="4"/>
      <c r="J73" s="271"/>
      <c r="K73" s="271"/>
      <c r="L73" s="271"/>
      <c r="M73" s="303"/>
      <c r="N73" s="325"/>
      <c r="O73" s="305"/>
      <c r="P73" s="298"/>
      <c r="Q73" s="296"/>
      <c r="R73" s="315"/>
      <c r="S73" s="305"/>
      <c r="T73" s="298"/>
      <c r="U73" s="296"/>
      <c r="V73" s="315"/>
      <c r="W73" s="303"/>
      <c r="X73" s="296"/>
      <c r="Z73" s="292"/>
      <c r="AA73" s="292"/>
      <c r="AB73" s="292"/>
      <c r="AC73" s="258"/>
    </row>
    <row r="74" spans="9:29">
      <c r="I74" s="4"/>
      <c r="J74" s="271"/>
      <c r="K74" s="271"/>
      <c r="L74" s="271"/>
      <c r="M74" s="303"/>
      <c r="N74" s="325"/>
      <c r="O74" s="305"/>
      <c r="P74" s="298"/>
      <c r="Q74" s="296"/>
      <c r="R74" s="315"/>
      <c r="S74" s="305"/>
      <c r="T74" s="298"/>
      <c r="U74" s="296"/>
      <c r="V74" s="315"/>
      <c r="W74" s="303"/>
      <c r="X74" s="296"/>
      <c r="Z74" s="292"/>
      <c r="AA74" s="292"/>
      <c r="AB74" s="292"/>
      <c r="AC74" s="258"/>
    </row>
    <row r="75" spans="9:29">
      <c r="I75" s="4"/>
      <c r="J75" s="271"/>
      <c r="K75" s="271"/>
      <c r="L75" s="271"/>
      <c r="M75" s="303"/>
      <c r="N75" s="325"/>
      <c r="O75" s="305"/>
      <c r="P75" s="298"/>
      <c r="Q75" s="296"/>
      <c r="R75" s="315"/>
      <c r="S75" s="305"/>
      <c r="T75" s="298"/>
      <c r="U75" s="296"/>
      <c r="V75" s="315"/>
      <c r="W75" s="303"/>
      <c r="X75" s="296"/>
      <c r="Z75" s="292"/>
      <c r="AA75" s="292"/>
      <c r="AB75" s="292"/>
      <c r="AC75" s="258"/>
    </row>
    <row r="76" spans="9:29">
      <c r="I76" s="4"/>
      <c r="J76" s="271"/>
      <c r="K76" s="271"/>
      <c r="L76" s="271"/>
      <c r="M76" s="303"/>
      <c r="N76" s="325"/>
      <c r="O76" s="305"/>
      <c r="P76" s="298"/>
      <c r="Q76" s="296"/>
      <c r="R76" s="315"/>
      <c r="S76" s="305"/>
      <c r="T76" s="298"/>
      <c r="U76" s="296"/>
      <c r="V76" s="315"/>
      <c r="W76" s="303"/>
      <c r="X76" s="296"/>
      <c r="Z76" s="292"/>
      <c r="AA76" s="292"/>
      <c r="AB76" s="292"/>
      <c r="AC76" s="258"/>
    </row>
    <row r="77" spans="9:29">
      <c r="I77" s="4"/>
      <c r="J77" s="271"/>
      <c r="K77" s="271"/>
      <c r="L77" s="271"/>
      <c r="M77" s="303"/>
      <c r="N77" s="325"/>
      <c r="O77" s="305"/>
      <c r="P77" s="298"/>
      <c r="Q77" s="296"/>
      <c r="R77" s="315"/>
      <c r="S77" s="305"/>
      <c r="T77" s="298"/>
      <c r="U77" s="296"/>
      <c r="V77" s="315"/>
      <c r="W77" s="303"/>
      <c r="X77" s="296"/>
      <c r="Z77" s="292"/>
      <c r="AA77" s="292"/>
      <c r="AB77" s="292"/>
      <c r="AC77" s="258"/>
    </row>
    <row r="78" spans="9:29">
      <c r="I78" s="4"/>
      <c r="J78" s="271"/>
      <c r="K78" s="271"/>
      <c r="L78" s="271"/>
      <c r="M78" s="303"/>
      <c r="N78" s="325"/>
      <c r="O78" s="305"/>
      <c r="P78" s="298"/>
      <c r="Q78" s="296"/>
      <c r="R78" s="315"/>
      <c r="S78" s="305"/>
      <c r="T78" s="298"/>
      <c r="U78" s="296"/>
      <c r="V78" s="315"/>
      <c r="W78" s="303"/>
      <c r="X78" s="296"/>
      <c r="Z78" s="292"/>
      <c r="AA78" s="292"/>
      <c r="AB78" s="292"/>
      <c r="AC78" s="258"/>
    </row>
    <row r="79" spans="9:29">
      <c r="I79" s="4"/>
      <c r="J79" s="271"/>
      <c r="K79" s="271"/>
      <c r="L79" s="271"/>
      <c r="M79" s="303"/>
      <c r="N79" s="325"/>
      <c r="O79" s="305"/>
      <c r="P79" s="298"/>
      <c r="Q79" s="296"/>
      <c r="R79" s="315"/>
      <c r="S79" s="305"/>
      <c r="T79" s="298"/>
      <c r="U79" s="296"/>
      <c r="V79" s="315"/>
      <c r="W79" s="303"/>
      <c r="X79" s="296"/>
      <c r="Z79" s="292"/>
      <c r="AA79" s="292"/>
      <c r="AB79" s="292"/>
      <c r="AC79" s="258"/>
    </row>
    <row r="80" spans="9:29">
      <c r="I80" s="4"/>
      <c r="J80" s="271"/>
      <c r="K80" s="271"/>
      <c r="L80" s="271"/>
      <c r="M80" s="303"/>
      <c r="N80" s="325"/>
      <c r="O80" s="305"/>
      <c r="P80" s="298"/>
      <c r="Q80" s="296"/>
      <c r="R80" s="315"/>
      <c r="S80" s="305"/>
      <c r="T80" s="298"/>
      <c r="U80" s="296"/>
      <c r="V80" s="315"/>
      <c r="W80" s="303"/>
      <c r="X80" s="296"/>
      <c r="Z80" s="292"/>
      <c r="AA80" s="292"/>
      <c r="AB80" s="292"/>
      <c r="AC80" s="258"/>
    </row>
    <row r="81" spans="9:29">
      <c r="I81" s="4"/>
      <c r="J81" s="271"/>
      <c r="K81" s="271"/>
      <c r="L81" s="271"/>
      <c r="M81" s="303"/>
      <c r="N81" s="325"/>
      <c r="O81" s="305"/>
      <c r="P81" s="298"/>
      <c r="Q81" s="296"/>
      <c r="R81" s="315"/>
      <c r="S81" s="305"/>
      <c r="T81" s="298"/>
      <c r="U81" s="296"/>
      <c r="V81" s="315"/>
      <c r="W81" s="303"/>
      <c r="X81" s="296"/>
      <c r="Z81" s="292"/>
      <c r="AA81" s="292"/>
      <c r="AB81" s="292"/>
      <c r="AC81" s="258"/>
    </row>
    <row r="82" spans="9:29">
      <c r="I82" s="7"/>
      <c r="J82" s="276"/>
      <c r="K82" s="276"/>
      <c r="L82" s="276"/>
      <c r="M82" s="308"/>
      <c r="N82" s="327"/>
      <c r="O82" s="311"/>
      <c r="P82" s="279"/>
      <c r="Q82" s="277"/>
      <c r="R82" s="317"/>
      <c r="S82" s="311"/>
      <c r="T82" s="279"/>
      <c r="U82" s="277"/>
      <c r="V82" s="317"/>
      <c r="W82" s="308"/>
      <c r="X82" s="277"/>
      <c r="Y82" s="229"/>
      <c r="Z82" s="294"/>
      <c r="AA82" s="294"/>
      <c r="AB82" s="292"/>
      <c r="AC82" s="258"/>
    </row>
    <row r="83" spans="9:29">
      <c r="I83" s="260"/>
      <c r="J83" s="272"/>
      <c r="K83" s="272"/>
      <c r="L83" s="272"/>
      <c r="M83" s="309"/>
      <c r="N83" s="326"/>
      <c r="O83" s="304"/>
      <c r="P83" s="275"/>
      <c r="Q83" s="273"/>
      <c r="R83" s="316"/>
      <c r="S83" s="304"/>
      <c r="T83" s="275"/>
      <c r="U83" s="273"/>
      <c r="V83" s="316"/>
      <c r="W83" s="304"/>
      <c r="X83" s="274"/>
      <c r="Y83" s="230"/>
      <c r="Z83" s="293"/>
      <c r="AA83" s="293"/>
      <c r="AB83" s="292"/>
      <c r="AC83" s="258"/>
    </row>
    <row r="84" spans="9:29">
      <c r="I84" s="4"/>
      <c r="J84" s="271"/>
      <c r="K84" s="271"/>
      <c r="L84" s="271"/>
      <c r="M84" s="303"/>
      <c r="N84" s="325"/>
      <c r="O84" s="305"/>
      <c r="P84" s="298"/>
      <c r="Q84" s="296"/>
      <c r="R84" s="315"/>
      <c r="S84" s="305"/>
      <c r="T84" s="298"/>
      <c r="U84" s="296"/>
      <c r="V84" s="315"/>
      <c r="W84" s="305"/>
      <c r="X84" s="297"/>
      <c r="Y84" s="307"/>
      <c r="Z84" s="292"/>
      <c r="AA84" s="292"/>
      <c r="AB84" s="292"/>
      <c r="AC84" s="258"/>
    </row>
    <row r="85" spans="9:29">
      <c r="I85" s="4"/>
      <c r="J85" s="271"/>
      <c r="K85" s="271"/>
      <c r="L85" s="271"/>
      <c r="M85" s="303"/>
      <c r="N85" s="325"/>
      <c r="O85" s="305"/>
      <c r="P85" s="298"/>
      <c r="Q85" s="296"/>
      <c r="R85" s="315"/>
      <c r="S85" s="305"/>
      <c r="T85" s="298"/>
      <c r="U85" s="296"/>
      <c r="V85" s="315"/>
      <c r="W85" s="305"/>
      <c r="X85" s="297"/>
      <c r="Y85" s="307"/>
      <c r="Z85" s="292"/>
      <c r="AA85" s="292"/>
      <c r="AB85" s="292"/>
      <c r="AC85" s="258"/>
    </row>
    <row r="86" spans="9:29">
      <c r="I86" s="4"/>
      <c r="J86" s="271"/>
      <c r="K86" s="271"/>
      <c r="L86" s="271"/>
      <c r="M86" s="303"/>
      <c r="N86" s="325"/>
      <c r="O86" s="305"/>
      <c r="P86" s="298"/>
      <c r="Q86" s="296"/>
      <c r="R86" s="315"/>
      <c r="S86" s="305"/>
      <c r="T86" s="298"/>
      <c r="U86" s="296"/>
      <c r="V86" s="315"/>
      <c r="W86" s="305"/>
      <c r="X86" s="297"/>
      <c r="Y86" s="307"/>
      <c r="Z86" s="292"/>
      <c r="AA86" s="292"/>
      <c r="AB86" s="292"/>
      <c r="AC86" s="258"/>
    </row>
    <row r="87" spans="9:29">
      <c r="I87" s="4"/>
      <c r="J87" s="271"/>
      <c r="K87" s="271"/>
      <c r="L87" s="271"/>
      <c r="M87" s="303"/>
      <c r="N87" s="325"/>
      <c r="O87" s="305"/>
      <c r="P87" s="298"/>
      <c r="Q87" s="296"/>
      <c r="R87" s="315"/>
      <c r="S87" s="305"/>
      <c r="T87" s="298"/>
      <c r="U87" s="296"/>
      <c r="V87" s="315"/>
      <c r="W87" s="305"/>
      <c r="X87" s="297"/>
      <c r="Y87" s="307"/>
      <c r="Z87" s="292"/>
      <c r="AA87" s="292"/>
      <c r="AB87" s="292"/>
      <c r="AC87" s="258"/>
    </row>
    <row r="88" spans="9:29">
      <c r="I88" s="4"/>
      <c r="J88" s="271"/>
      <c r="K88" s="271"/>
      <c r="L88" s="271"/>
      <c r="M88" s="303"/>
      <c r="N88" s="325"/>
      <c r="O88" s="305"/>
      <c r="P88" s="298"/>
      <c r="Q88" s="296"/>
      <c r="R88" s="315"/>
      <c r="S88" s="305"/>
      <c r="T88" s="298"/>
      <c r="U88" s="296"/>
      <c r="V88" s="315"/>
      <c r="W88" s="305"/>
      <c r="X88" s="297"/>
      <c r="Y88" s="307"/>
      <c r="Z88" s="292"/>
      <c r="AA88" s="292"/>
      <c r="AB88" s="292"/>
      <c r="AC88" s="258"/>
    </row>
    <row r="89" spans="9:29">
      <c r="I89" s="4"/>
      <c r="J89" s="271"/>
      <c r="K89" s="271"/>
      <c r="L89" s="271"/>
      <c r="M89" s="303"/>
      <c r="N89" s="325"/>
      <c r="O89" s="305"/>
      <c r="P89" s="298"/>
      <c r="Q89" s="296"/>
      <c r="R89" s="315"/>
      <c r="S89" s="305"/>
      <c r="T89" s="298"/>
      <c r="U89" s="296"/>
      <c r="V89" s="315"/>
      <c r="W89" s="305"/>
      <c r="X89" s="297"/>
      <c r="Y89" s="307"/>
      <c r="Z89" s="292"/>
      <c r="AA89" s="292"/>
      <c r="AB89" s="292"/>
      <c r="AC89" s="258"/>
    </row>
    <row r="90" spans="9:29">
      <c r="I90" s="4"/>
      <c r="J90" s="271"/>
      <c r="K90" s="271"/>
      <c r="L90" s="271"/>
      <c r="M90" s="303"/>
      <c r="N90" s="325"/>
      <c r="O90" s="305"/>
      <c r="P90" s="298"/>
      <c r="Q90" s="296"/>
      <c r="R90" s="315"/>
      <c r="S90" s="305"/>
      <c r="T90" s="298"/>
      <c r="U90" s="296"/>
      <c r="V90" s="315"/>
      <c r="W90" s="305"/>
      <c r="X90" s="297"/>
      <c r="Y90" s="307"/>
      <c r="Z90" s="292"/>
      <c r="AA90" s="292"/>
      <c r="AB90" s="292"/>
      <c r="AC90" s="258"/>
    </row>
    <row r="91" spans="9:29">
      <c r="I91" s="4"/>
      <c r="J91" s="271"/>
      <c r="K91" s="271"/>
      <c r="L91" s="271"/>
      <c r="M91" s="303"/>
      <c r="N91" s="325"/>
      <c r="O91" s="305"/>
      <c r="P91" s="298"/>
      <c r="Q91" s="296"/>
      <c r="R91" s="315"/>
      <c r="S91" s="305"/>
      <c r="T91" s="298"/>
      <c r="U91" s="296"/>
      <c r="V91" s="315"/>
      <c r="W91" s="305"/>
      <c r="X91" s="297"/>
      <c r="Y91" s="307"/>
      <c r="Z91" s="292"/>
      <c r="AA91" s="292"/>
      <c r="AB91" s="292"/>
      <c r="AC91" s="258"/>
    </row>
    <row r="92" spans="9:29">
      <c r="I92" s="7"/>
      <c r="J92" s="276"/>
      <c r="K92" s="276"/>
      <c r="L92" s="276"/>
      <c r="M92" s="308"/>
      <c r="N92" s="327"/>
      <c r="O92" s="311"/>
      <c r="P92" s="279"/>
      <c r="Q92" s="277"/>
      <c r="R92" s="317"/>
      <c r="S92" s="311"/>
      <c r="T92" s="279"/>
      <c r="U92" s="277"/>
      <c r="V92" s="317"/>
      <c r="W92" s="311"/>
      <c r="X92" s="278"/>
      <c r="Y92" s="248"/>
      <c r="Z92" s="294"/>
      <c r="AA92" s="294"/>
      <c r="AB92" s="292"/>
      <c r="AC92" s="258"/>
    </row>
    <row r="93" spans="9:29">
      <c r="I93" s="280"/>
      <c r="J93" s="281"/>
      <c r="K93" s="281"/>
      <c r="L93" s="282"/>
      <c r="M93" s="323"/>
      <c r="N93" s="329"/>
      <c r="O93" s="319"/>
      <c r="P93" s="283"/>
      <c r="Q93" s="283"/>
      <c r="R93" s="320"/>
      <c r="S93" s="319"/>
      <c r="T93" s="283"/>
      <c r="U93" s="283"/>
      <c r="V93" s="320"/>
      <c r="W93" s="312"/>
      <c r="X93" s="284"/>
      <c r="Y93" s="284"/>
      <c r="Z93" s="332"/>
      <c r="AA93" s="301"/>
      <c r="AB93" s="301"/>
      <c r="AC93" s="295"/>
    </row>
    <row r="94" spans="9:29">
      <c r="I94" s="260"/>
      <c r="J94" s="272"/>
      <c r="K94" s="272"/>
      <c r="L94" s="272"/>
      <c r="M94" s="309"/>
      <c r="N94" s="326"/>
      <c r="O94" s="304"/>
      <c r="P94" s="275"/>
      <c r="Q94" s="273"/>
      <c r="R94" s="316"/>
      <c r="S94" s="304"/>
      <c r="T94" s="275"/>
      <c r="U94" s="273"/>
      <c r="V94" s="316"/>
      <c r="W94" s="309"/>
      <c r="X94" s="273"/>
      <c r="Y94" s="228"/>
      <c r="Z94" s="293"/>
      <c r="AA94" s="293"/>
      <c r="AB94" s="292"/>
      <c r="AC94" s="258"/>
    </row>
    <row r="95" spans="9:29">
      <c r="I95" s="4"/>
      <c r="J95" s="271"/>
      <c r="K95" s="271"/>
      <c r="L95" s="271"/>
      <c r="M95" s="303"/>
      <c r="N95" s="325"/>
      <c r="O95" s="305"/>
      <c r="P95" s="298"/>
      <c r="Q95" s="296"/>
      <c r="R95" s="315"/>
      <c r="S95" s="305"/>
      <c r="T95" s="298"/>
      <c r="U95" s="296"/>
      <c r="V95" s="315"/>
      <c r="W95" s="303"/>
      <c r="X95" s="296"/>
      <c r="Z95" s="292"/>
      <c r="AA95" s="292"/>
      <c r="AB95" s="292"/>
      <c r="AC95" s="258"/>
    </row>
    <row r="96" spans="9:29">
      <c r="I96" s="4"/>
      <c r="J96" s="271"/>
      <c r="K96" s="271"/>
      <c r="L96" s="271"/>
      <c r="M96" s="303"/>
      <c r="N96" s="325"/>
      <c r="O96" s="305"/>
      <c r="P96" s="298"/>
      <c r="Q96" s="296"/>
      <c r="R96" s="315"/>
      <c r="S96" s="305"/>
      <c r="T96" s="298"/>
      <c r="U96" s="296"/>
      <c r="V96" s="315"/>
      <c r="W96" s="303"/>
      <c r="X96" s="296"/>
      <c r="Z96" s="292"/>
      <c r="AA96" s="292"/>
      <c r="AB96" s="292"/>
      <c r="AC96" s="258"/>
    </row>
    <row r="97" spans="9:29">
      <c r="I97" s="7"/>
      <c r="J97" s="276"/>
      <c r="K97" s="276"/>
      <c r="L97" s="276"/>
      <c r="M97" s="308"/>
      <c r="N97" s="327"/>
      <c r="O97" s="311"/>
      <c r="P97" s="279"/>
      <c r="Q97" s="277"/>
      <c r="R97" s="317"/>
      <c r="S97" s="311"/>
      <c r="T97" s="279"/>
      <c r="U97" s="277"/>
      <c r="V97" s="317"/>
      <c r="W97" s="308"/>
      <c r="X97" s="277"/>
      <c r="Y97" s="229"/>
      <c r="Z97" s="294"/>
      <c r="AA97" s="292"/>
      <c r="AB97" s="292"/>
      <c r="AC97" s="258"/>
    </row>
    <row r="98" spans="9:29">
      <c r="I98" s="260"/>
      <c r="J98" s="272"/>
      <c r="K98" s="272"/>
      <c r="L98" s="272"/>
      <c r="M98" s="309"/>
      <c r="N98" s="326"/>
      <c r="O98" s="304"/>
      <c r="P98" s="275"/>
      <c r="Q98" s="273"/>
      <c r="R98" s="316"/>
      <c r="S98" s="304"/>
      <c r="T98" s="275"/>
      <c r="U98" s="273"/>
      <c r="V98" s="316"/>
      <c r="W98" s="309"/>
      <c r="X98" s="273"/>
      <c r="Y98" s="228"/>
      <c r="Z98" s="293"/>
      <c r="AA98" s="293"/>
      <c r="AB98" s="292"/>
      <c r="AC98" s="258"/>
    </row>
    <row r="99" spans="9:29">
      <c r="I99" s="4"/>
      <c r="J99" s="271"/>
      <c r="K99" s="271"/>
      <c r="L99" s="271"/>
      <c r="M99" s="303"/>
      <c r="N99" s="325"/>
      <c r="O99" s="305"/>
      <c r="P99" s="298"/>
      <c r="Q99" s="296"/>
      <c r="R99" s="315"/>
      <c r="S99" s="305"/>
      <c r="T99" s="298"/>
      <c r="U99" s="296"/>
      <c r="V99" s="315"/>
      <c r="W99" s="303"/>
      <c r="X99" s="296"/>
      <c r="Z99" s="292"/>
      <c r="AA99" s="292"/>
      <c r="AB99" s="292"/>
      <c r="AC99" s="258"/>
    </row>
    <row r="100" spans="9:29">
      <c r="I100" s="4"/>
      <c r="J100" s="271"/>
      <c r="K100" s="271"/>
      <c r="L100" s="271"/>
      <c r="M100" s="303"/>
      <c r="N100" s="325"/>
      <c r="O100" s="305"/>
      <c r="P100" s="298"/>
      <c r="Q100" s="296"/>
      <c r="R100" s="315"/>
      <c r="S100" s="305"/>
      <c r="T100" s="298"/>
      <c r="U100" s="296"/>
      <c r="V100" s="315"/>
      <c r="W100" s="303"/>
      <c r="X100" s="296"/>
      <c r="Z100" s="292"/>
      <c r="AA100" s="292"/>
      <c r="AB100" s="292"/>
      <c r="AC100" s="258"/>
    </row>
    <row r="101" spans="9:29">
      <c r="I101" s="4"/>
      <c r="J101" s="271"/>
      <c r="K101" s="271"/>
      <c r="L101" s="271"/>
      <c r="M101" s="303"/>
      <c r="N101" s="325"/>
      <c r="O101" s="305"/>
      <c r="P101" s="298"/>
      <c r="Q101" s="296"/>
      <c r="R101" s="315"/>
      <c r="S101" s="305"/>
      <c r="T101" s="298"/>
      <c r="U101" s="296"/>
      <c r="V101" s="315"/>
      <c r="W101" s="303"/>
      <c r="X101" s="296"/>
      <c r="Z101" s="292"/>
      <c r="AA101" s="292"/>
      <c r="AB101" s="292"/>
      <c r="AC101" s="258"/>
    </row>
    <row r="102" spans="9:29">
      <c r="I102" s="4"/>
      <c r="J102" s="271"/>
      <c r="K102" s="271"/>
      <c r="L102" s="271"/>
      <c r="M102" s="303"/>
      <c r="N102" s="325"/>
      <c r="O102" s="305"/>
      <c r="P102" s="298"/>
      <c r="Q102" s="296"/>
      <c r="R102" s="315"/>
      <c r="S102" s="305"/>
      <c r="T102" s="298"/>
      <c r="U102" s="296"/>
      <c r="V102" s="315"/>
      <c r="W102" s="303"/>
      <c r="X102" s="296"/>
      <c r="Z102" s="292"/>
      <c r="AA102" s="292"/>
      <c r="AB102" s="292"/>
      <c r="AC102" s="258"/>
    </row>
    <row r="103" spans="9:29">
      <c r="I103" s="4"/>
      <c r="J103" s="271"/>
      <c r="K103" s="271"/>
      <c r="L103" s="271"/>
      <c r="M103" s="303"/>
      <c r="N103" s="325"/>
      <c r="O103" s="305"/>
      <c r="P103" s="298"/>
      <c r="Q103" s="296"/>
      <c r="R103" s="315"/>
      <c r="S103" s="305"/>
      <c r="T103" s="298"/>
      <c r="U103" s="296"/>
      <c r="V103" s="315"/>
      <c r="W103" s="303"/>
      <c r="X103" s="296"/>
      <c r="Z103" s="292"/>
      <c r="AA103" s="292"/>
      <c r="AB103" s="292"/>
      <c r="AC103" s="258"/>
    </row>
    <row r="104" spans="9:29">
      <c r="I104" s="4"/>
      <c r="J104" s="271"/>
      <c r="K104" s="271"/>
      <c r="L104" s="271"/>
      <c r="M104" s="303"/>
      <c r="N104" s="325"/>
      <c r="O104" s="305"/>
      <c r="P104" s="298"/>
      <c r="Q104" s="296"/>
      <c r="R104" s="315"/>
      <c r="S104" s="305"/>
      <c r="T104" s="298"/>
      <c r="U104" s="296"/>
      <c r="V104" s="315"/>
      <c r="W104" s="303"/>
      <c r="X104" s="296"/>
      <c r="Z104" s="292"/>
      <c r="AA104" s="292"/>
      <c r="AB104" s="292"/>
      <c r="AC104" s="258"/>
    </row>
    <row r="105" spans="9:29">
      <c r="I105" s="4"/>
      <c r="J105" s="271"/>
      <c r="K105" s="271"/>
      <c r="L105" s="271"/>
      <c r="M105" s="303"/>
      <c r="N105" s="325"/>
      <c r="O105" s="305"/>
      <c r="P105" s="298"/>
      <c r="Q105" s="296"/>
      <c r="R105" s="315"/>
      <c r="S105" s="305"/>
      <c r="T105" s="298"/>
      <c r="U105" s="296"/>
      <c r="V105" s="315"/>
      <c r="W105" s="303"/>
      <c r="X105" s="296"/>
      <c r="Z105" s="292"/>
      <c r="AA105" s="292"/>
      <c r="AB105" s="292"/>
      <c r="AC105" s="258"/>
    </row>
    <row r="106" spans="9:29">
      <c r="I106" s="7"/>
      <c r="J106" s="276"/>
      <c r="K106" s="276"/>
      <c r="L106" s="276"/>
      <c r="M106" s="308"/>
      <c r="N106" s="327"/>
      <c r="O106" s="311"/>
      <c r="P106" s="279"/>
      <c r="Q106" s="277"/>
      <c r="R106" s="317"/>
      <c r="S106" s="311"/>
      <c r="T106" s="279"/>
      <c r="U106" s="277"/>
      <c r="V106" s="317"/>
      <c r="W106" s="308"/>
      <c r="X106" s="277"/>
      <c r="Y106" s="229"/>
      <c r="Z106" s="294"/>
      <c r="AA106" s="294"/>
      <c r="AB106" s="292"/>
      <c r="AC106" s="258"/>
    </row>
    <row r="107" spans="9:29">
      <c r="I107" s="260"/>
      <c r="J107" s="272"/>
      <c r="K107" s="272"/>
      <c r="L107" s="272"/>
      <c r="M107" s="309"/>
      <c r="N107" s="326"/>
      <c r="O107" s="304"/>
      <c r="P107" s="275"/>
      <c r="Q107" s="273"/>
      <c r="R107" s="316"/>
      <c r="S107" s="304"/>
      <c r="T107" s="275"/>
      <c r="U107" s="273"/>
      <c r="V107" s="316"/>
      <c r="W107" s="309"/>
      <c r="X107" s="273"/>
      <c r="Y107" s="228"/>
      <c r="Z107" s="293"/>
      <c r="AA107" s="293"/>
      <c r="AB107" s="292"/>
      <c r="AC107" s="258"/>
    </row>
    <row r="108" spans="9:29">
      <c r="I108" s="7"/>
      <c r="J108" s="276"/>
      <c r="K108" s="276"/>
      <c r="L108" s="276"/>
      <c r="M108" s="308"/>
      <c r="N108" s="327"/>
      <c r="O108" s="311"/>
      <c r="P108" s="279"/>
      <c r="Q108" s="277"/>
      <c r="R108" s="317"/>
      <c r="S108" s="311"/>
      <c r="T108" s="279"/>
      <c r="U108" s="277"/>
      <c r="V108" s="317"/>
      <c r="W108" s="308"/>
      <c r="X108" s="277"/>
      <c r="Y108" s="229"/>
      <c r="Z108" s="294"/>
      <c r="AA108" s="294"/>
      <c r="AB108" s="292"/>
      <c r="AC108" s="258"/>
    </row>
    <row r="109" spans="9:29">
      <c r="I109" s="260"/>
      <c r="J109" s="272"/>
      <c r="K109" s="272"/>
      <c r="L109" s="272"/>
      <c r="M109" s="309"/>
      <c r="N109" s="326"/>
      <c r="O109" s="304"/>
      <c r="P109" s="275"/>
      <c r="Q109" s="273"/>
      <c r="R109" s="316"/>
      <c r="S109" s="304"/>
      <c r="T109" s="275"/>
      <c r="U109" s="273"/>
      <c r="V109" s="316"/>
      <c r="W109" s="309"/>
      <c r="X109" s="273"/>
      <c r="Y109" s="228"/>
      <c r="Z109" s="293"/>
      <c r="AA109" s="293"/>
      <c r="AB109" s="292"/>
      <c r="AC109" s="258"/>
    </row>
    <row r="110" spans="9:29">
      <c r="I110" s="4"/>
      <c r="J110" s="271"/>
      <c r="K110" s="271"/>
      <c r="L110" s="271"/>
      <c r="M110" s="303"/>
      <c r="N110" s="325"/>
      <c r="O110" s="305"/>
      <c r="P110" s="298"/>
      <c r="Q110" s="296"/>
      <c r="R110" s="315"/>
      <c r="S110" s="305"/>
      <c r="T110" s="298"/>
      <c r="U110" s="296"/>
      <c r="V110" s="315"/>
      <c r="W110" s="303"/>
      <c r="X110" s="296"/>
      <c r="Z110" s="292"/>
      <c r="AA110" s="292"/>
      <c r="AB110" s="292"/>
      <c r="AC110" s="258"/>
    </row>
    <row r="111" spans="9:29">
      <c r="I111" s="4"/>
      <c r="J111" s="271"/>
      <c r="K111" s="271"/>
      <c r="L111" s="271"/>
      <c r="M111" s="303"/>
      <c r="N111" s="325"/>
      <c r="O111" s="305"/>
      <c r="P111" s="298"/>
      <c r="Q111" s="296"/>
      <c r="R111" s="315"/>
      <c r="S111" s="305"/>
      <c r="T111" s="298"/>
      <c r="U111" s="296"/>
      <c r="V111" s="315"/>
      <c r="W111" s="303"/>
      <c r="X111" s="296"/>
      <c r="Z111" s="292"/>
      <c r="AA111" s="292"/>
      <c r="AB111" s="292"/>
      <c r="AC111" s="258"/>
    </row>
    <row r="112" spans="9:29">
      <c r="I112" s="7"/>
      <c r="J112" s="276"/>
      <c r="K112" s="276"/>
      <c r="L112" s="276"/>
      <c r="M112" s="308"/>
      <c r="N112" s="327"/>
      <c r="O112" s="311"/>
      <c r="P112" s="279"/>
      <c r="Q112" s="277"/>
      <c r="R112" s="317"/>
      <c r="S112" s="311"/>
      <c r="T112" s="279"/>
      <c r="U112" s="277"/>
      <c r="V112" s="317"/>
      <c r="W112" s="308"/>
      <c r="X112" s="277"/>
      <c r="Y112" s="229"/>
      <c r="Z112" s="294"/>
      <c r="AA112" s="294"/>
      <c r="AB112" s="292"/>
      <c r="AC112" s="258"/>
    </row>
    <row r="113" spans="9:29">
      <c r="I113" s="260"/>
      <c r="J113" s="272"/>
      <c r="K113" s="272"/>
      <c r="L113" s="272"/>
      <c r="M113" s="309"/>
      <c r="N113" s="326"/>
      <c r="O113" s="304"/>
      <c r="P113" s="275"/>
      <c r="Q113" s="273"/>
      <c r="R113" s="316"/>
      <c r="S113" s="304"/>
      <c r="T113" s="275"/>
      <c r="U113" s="273"/>
      <c r="V113" s="316"/>
      <c r="W113" s="309"/>
      <c r="X113" s="273"/>
      <c r="Y113" s="228"/>
      <c r="Z113" s="293"/>
      <c r="AA113" s="293"/>
      <c r="AB113" s="292"/>
      <c r="AC113" s="258"/>
    </row>
    <row r="114" spans="9:29">
      <c r="I114" s="4"/>
      <c r="J114" s="271"/>
      <c r="K114" s="271"/>
      <c r="L114" s="271"/>
      <c r="M114" s="303"/>
      <c r="N114" s="325"/>
      <c r="O114" s="305"/>
      <c r="P114" s="298"/>
      <c r="Q114" s="296"/>
      <c r="R114" s="315"/>
      <c r="S114" s="305"/>
      <c r="T114" s="298"/>
      <c r="U114" s="296"/>
      <c r="V114" s="315"/>
      <c r="W114" s="303"/>
      <c r="X114" s="296"/>
      <c r="Z114" s="292"/>
      <c r="AA114" s="292"/>
      <c r="AB114" s="292"/>
      <c r="AC114" s="258"/>
    </row>
    <row r="115" spans="9:29">
      <c r="I115" s="4"/>
      <c r="J115" s="271"/>
      <c r="K115" s="271"/>
      <c r="L115" s="271"/>
      <c r="M115" s="303"/>
      <c r="N115" s="325"/>
      <c r="O115" s="305"/>
      <c r="P115" s="298"/>
      <c r="Q115" s="296"/>
      <c r="R115" s="315"/>
      <c r="S115" s="305"/>
      <c r="T115" s="298"/>
      <c r="U115" s="296"/>
      <c r="V115" s="315"/>
      <c r="W115" s="303"/>
      <c r="X115" s="296"/>
      <c r="Z115" s="292"/>
      <c r="AA115" s="292"/>
      <c r="AB115" s="292"/>
      <c r="AC115" s="258"/>
    </row>
    <row r="116" spans="9:29">
      <c r="I116" s="7"/>
      <c r="J116" s="276"/>
      <c r="K116" s="276"/>
      <c r="L116" s="276"/>
      <c r="M116" s="308"/>
      <c r="N116" s="327"/>
      <c r="O116" s="311"/>
      <c r="P116" s="279"/>
      <c r="Q116" s="277"/>
      <c r="R116" s="317"/>
      <c r="S116" s="311"/>
      <c r="T116" s="279"/>
      <c r="U116" s="277"/>
      <c r="V116" s="317"/>
      <c r="W116" s="308"/>
      <c r="X116" s="277"/>
      <c r="Y116" s="229"/>
      <c r="Z116" s="294"/>
      <c r="AA116" s="294"/>
      <c r="AB116" s="292"/>
      <c r="AC116" s="258"/>
    </row>
    <row r="117" spans="9:29">
      <c r="I117" s="260"/>
      <c r="J117" s="272"/>
      <c r="K117" s="272"/>
      <c r="L117" s="272"/>
      <c r="M117" s="309"/>
      <c r="N117" s="326"/>
      <c r="O117" s="304"/>
      <c r="P117" s="275"/>
      <c r="Q117" s="273"/>
      <c r="R117" s="316"/>
      <c r="S117" s="304"/>
      <c r="T117" s="275"/>
      <c r="U117" s="273"/>
      <c r="V117" s="316"/>
      <c r="W117" s="309"/>
      <c r="X117" s="273"/>
      <c r="Y117" s="228"/>
      <c r="Z117" s="293"/>
      <c r="AA117" s="293"/>
      <c r="AB117" s="292"/>
      <c r="AC117" s="258"/>
    </row>
    <row r="118" spans="9:29">
      <c r="I118" s="4"/>
      <c r="J118" s="271"/>
      <c r="K118" s="271"/>
      <c r="L118" s="271"/>
      <c r="M118" s="303"/>
      <c r="N118" s="325"/>
      <c r="O118" s="305"/>
      <c r="P118" s="298"/>
      <c r="Q118" s="296"/>
      <c r="R118" s="315"/>
      <c r="S118" s="305"/>
      <c r="T118" s="298"/>
      <c r="U118" s="296"/>
      <c r="V118" s="315"/>
      <c r="W118" s="303"/>
      <c r="X118" s="296"/>
      <c r="Z118" s="292"/>
      <c r="AA118" s="292"/>
      <c r="AB118" s="292"/>
      <c r="AC118" s="258"/>
    </row>
    <row r="119" spans="9:29">
      <c r="I119" s="7"/>
      <c r="J119" s="276"/>
      <c r="K119" s="276"/>
      <c r="L119" s="276"/>
      <c r="M119" s="308"/>
      <c r="N119" s="327"/>
      <c r="O119" s="311"/>
      <c r="P119" s="279"/>
      <c r="Q119" s="277"/>
      <c r="R119" s="317"/>
      <c r="S119" s="311"/>
      <c r="T119" s="279"/>
      <c r="U119" s="277"/>
      <c r="V119" s="317"/>
      <c r="W119" s="308"/>
      <c r="X119" s="277"/>
      <c r="Y119" s="229"/>
      <c r="Z119" s="294"/>
      <c r="AA119" s="294"/>
      <c r="AB119" s="292"/>
      <c r="AC119" s="258"/>
    </row>
    <row r="120" spans="9:29">
      <c r="I120" s="260"/>
      <c r="J120" s="272"/>
      <c r="K120" s="272"/>
      <c r="L120" s="272"/>
      <c r="M120" s="309"/>
      <c r="N120" s="326"/>
      <c r="O120" s="304"/>
      <c r="P120" s="275"/>
      <c r="Q120" s="273"/>
      <c r="R120" s="316"/>
      <c r="S120" s="304"/>
      <c r="T120" s="275"/>
      <c r="U120" s="273"/>
      <c r="V120" s="316"/>
      <c r="W120" s="309"/>
      <c r="X120" s="273"/>
      <c r="Y120" s="228"/>
      <c r="Z120" s="293"/>
      <c r="AA120" s="293"/>
      <c r="AB120" s="292"/>
      <c r="AC120" s="258"/>
    </row>
    <row r="121" spans="9:29">
      <c r="I121" s="4"/>
      <c r="J121" s="271"/>
      <c r="K121" s="271"/>
      <c r="L121" s="271"/>
      <c r="M121" s="303"/>
      <c r="N121" s="325"/>
      <c r="O121" s="305"/>
      <c r="P121" s="298"/>
      <c r="Q121" s="296"/>
      <c r="R121" s="315"/>
      <c r="S121" s="305"/>
      <c r="T121" s="298"/>
      <c r="U121" s="296"/>
      <c r="V121" s="315"/>
      <c r="W121" s="303"/>
      <c r="X121" s="296"/>
      <c r="Z121" s="292"/>
      <c r="AA121" s="292"/>
      <c r="AB121" s="292"/>
      <c r="AC121" s="258"/>
    </row>
    <row r="122" spans="9:29">
      <c r="I122" s="4"/>
      <c r="J122" s="271"/>
      <c r="K122" s="271"/>
      <c r="L122" s="271"/>
      <c r="M122" s="303"/>
      <c r="N122" s="325"/>
      <c r="O122" s="305"/>
      <c r="P122" s="298"/>
      <c r="Q122" s="296"/>
      <c r="R122" s="315"/>
      <c r="S122" s="305"/>
      <c r="T122" s="298"/>
      <c r="U122" s="296"/>
      <c r="V122" s="315"/>
      <c r="W122" s="303"/>
      <c r="X122" s="296"/>
      <c r="Z122" s="292"/>
      <c r="AA122" s="292"/>
      <c r="AB122" s="292"/>
      <c r="AC122" s="258"/>
    </row>
    <row r="123" spans="9:29">
      <c r="I123" s="4"/>
      <c r="J123" s="271"/>
      <c r="K123" s="271"/>
      <c r="L123" s="271"/>
      <c r="M123" s="303"/>
      <c r="N123" s="325"/>
      <c r="O123" s="305"/>
      <c r="P123" s="298"/>
      <c r="Q123" s="296"/>
      <c r="R123" s="315"/>
      <c r="S123" s="305"/>
      <c r="T123" s="298"/>
      <c r="U123" s="296"/>
      <c r="V123" s="315"/>
      <c r="W123" s="303"/>
      <c r="X123" s="296"/>
      <c r="Z123" s="292"/>
      <c r="AA123" s="292"/>
      <c r="AB123" s="292"/>
      <c r="AC123" s="258"/>
    </row>
    <row r="124" spans="9:29">
      <c r="I124" s="4"/>
      <c r="J124" s="271"/>
      <c r="K124" s="271"/>
      <c r="L124" s="271"/>
      <c r="M124" s="303"/>
      <c r="N124" s="325"/>
      <c r="O124" s="305"/>
      <c r="P124" s="298"/>
      <c r="Q124" s="296"/>
      <c r="R124" s="315"/>
      <c r="S124" s="305"/>
      <c r="T124" s="298"/>
      <c r="U124" s="296"/>
      <c r="V124" s="315"/>
      <c r="W124" s="303"/>
      <c r="X124" s="296"/>
      <c r="Z124" s="292"/>
      <c r="AA124" s="292"/>
      <c r="AB124" s="292"/>
      <c r="AC124" s="258"/>
    </row>
    <row r="125" spans="9:29">
      <c r="I125" s="4"/>
      <c r="J125" s="271"/>
      <c r="K125" s="271"/>
      <c r="L125" s="271"/>
      <c r="M125" s="303"/>
      <c r="N125" s="325"/>
      <c r="O125" s="305"/>
      <c r="P125" s="298"/>
      <c r="Q125" s="296"/>
      <c r="R125" s="315"/>
      <c r="S125" s="305"/>
      <c r="T125" s="298"/>
      <c r="U125" s="296"/>
      <c r="V125" s="315"/>
      <c r="W125" s="303"/>
      <c r="X125" s="296"/>
      <c r="Z125" s="292"/>
      <c r="AA125" s="292"/>
      <c r="AB125" s="292"/>
      <c r="AC125" s="258"/>
    </row>
    <row r="126" spans="9:29">
      <c r="I126" s="7"/>
      <c r="J126" s="276"/>
      <c r="K126" s="276"/>
      <c r="L126" s="276"/>
      <c r="M126" s="308"/>
      <c r="N126" s="327"/>
      <c r="O126" s="311"/>
      <c r="P126" s="279"/>
      <c r="Q126" s="277"/>
      <c r="R126" s="317"/>
      <c r="S126" s="311"/>
      <c r="T126" s="279"/>
      <c r="U126" s="277"/>
      <c r="V126" s="317"/>
      <c r="W126" s="308"/>
      <c r="X126" s="277"/>
      <c r="Y126" s="229"/>
      <c r="Z126" s="294"/>
      <c r="AA126" s="294"/>
      <c r="AB126" s="292"/>
      <c r="AC126" s="258"/>
    </row>
    <row r="127" spans="9:29">
      <c r="I127" s="260"/>
      <c r="J127" s="272"/>
      <c r="K127" s="272"/>
      <c r="L127" s="272"/>
      <c r="M127" s="309"/>
      <c r="N127" s="326"/>
      <c r="O127" s="304"/>
      <c r="P127" s="275"/>
      <c r="Q127" s="273"/>
      <c r="R127" s="316"/>
      <c r="S127" s="304"/>
      <c r="T127" s="275"/>
      <c r="U127" s="273"/>
      <c r="V127" s="316"/>
      <c r="W127" s="309"/>
      <c r="X127" s="273"/>
      <c r="Y127" s="228"/>
      <c r="Z127" s="293"/>
      <c r="AA127" s="293"/>
      <c r="AB127" s="292"/>
      <c r="AC127" s="258"/>
    </row>
    <row r="128" spans="9:29">
      <c r="I128" s="4"/>
      <c r="J128" s="271"/>
      <c r="K128" s="271"/>
      <c r="L128" s="271"/>
      <c r="M128" s="303"/>
      <c r="N128" s="325"/>
      <c r="O128" s="305"/>
      <c r="P128" s="298"/>
      <c r="Q128" s="296"/>
      <c r="R128" s="315"/>
      <c r="S128" s="305"/>
      <c r="T128" s="298"/>
      <c r="U128" s="296"/>
      <c r="V128" s="315"/>
      <c r="W128" s="303"/>
      <c r="X128" s="296"/>
      <c r="Z128" s="292"/>
      <c r="AA128" s="292"/>
      <c r="AB128" s="292"/>
      <c r="AC128" s="258"/>
    </row>
    <row r="129" spans="9:29">
      <c r="I129" s="4"/>
      <c r="J129" s="271"/>
      <c r="K129" s="271"/>
      <c r="L129" s="271"/>
      <c r="M129" s="303"/>
      <c r="N129" s="325"/>
      <c r="O129" s="305"/>
      <c r="P129" s="298"/>
      <c r="Q129" s="296"/>
      <c r="R129" s="315"/>
      <c r="S129" s="305"/>
      <c r="T129" s="298"/>
      <c r="U129" s="296"/>
      <c r="V129" s="315"/>
      <c r="W129" s="303"/>
      <c r="X129" s="296"/>
      <c r="Z129" s="292"/>
      <c r="AA129" s="292"/>
      <c r="AB129" s="292"/>
      <c r="AC129" s="258"/>
    </row>
    <row r="130" spans="9:29">
      <c r="I130" s="4"/>
      <c r="J130" s="271"/>
      <c r="K130" s="271"/>
      <c r="L130" s="271"/>
      <c r="M130" s="303"/>
      <c r="N130" s="325"/>
      <c r="O130" s="305"/>
      <c r="P130" s="298"/>
      <c r="Q130" s="296"/>
      <c r="R130" s="315"/>
      <c r="S130" s="305"/>
      <c r="T130" s="298"/>
      <c r="U130" s="296"/>
      <c r="V130" s="315"/>
      <c r="W130" s="303"/>
      <c r="X130" s="296"/>
      <c r="Z130" s="292"/>
      <c r="AA130" s="292"/>
      <c r="AB130" s="292"/>
      <c r="AC130" s="258"/>
    </row>
    <row r="131" spans="9:29">
      <c r="I131" s="4"/>
      <c r="J131" s="271"/>
      <c r="K131" s="271"/>
      <c r="L131" s="271"/>
      <c r="M131" s="303"/>
      <c r="N131" s="325"/>
      <c r="O131" s="305"/>
      <c r="P131" s="298"/>
      <c r="Q131" s="296"/>
      <c r="R131" s="315"/>
      <c r="S131" s="305"/>
      <c r="T131" s="298"/>
      <c r="U131" s="296"/>
      <c r="V131" s="315"/>
      <c r="W131" s="303"/>
      <c r="X131" s="296"/>
      <c r="Z131" s="292"/>
      <c r="AA131" s="292"/>
      <c r="AB131" s="292"/>
      <c r="AC131" s="258"/>
    </row>
    <row r="132" spans="9:29">
      <c r="I132" s="7"/>
      <c r="J132" s="276"/>
      <c r="K132" s="276"/>
      <c r="L132" s="276"/>
      <c r="M132" s="308"/>
      <c r="N132" s="327"/>
      <c r="O132" s="311"/>
      <c r="P132" s="279"/>
      <c r="Q132" s="277"/>
      <c r="R132" s="317"/>
      <c r="S132" s="311"/>
      <c r="T132" s="279"/>
      <c r="U132" s="277"/>
      <c r="V132" s="317"/>
      <c r="W132" s="308"/>
      <c r="X132" s="277"/>
      <c r="Y132" s="229"/>
      <c r="Z132" s="294"/>
      <c r="AA132" s="294"/>
      <c r="AB132" s="292"/>
      <c r="AC132" s="258"/>
    </row>
    <row r="133" spans="9:29">
      <c r="I133" s="260"/>
      <c r="J133" s="272"/>
      <c r="K133" s="272"/>
      <c r="L133" s="272"/>
      <c r="M133" s="309"/>
      <c r="N133" s="326"/>
      <c r="O133" s="304"/>
      <c r="P133" s="275"/>
      <c r="Q133" s="273"/>
      <c r="R133" s="316"/>
      <c r="S133" s="304"/>
      <c r="T133" s="275"/>
      <c r="U133" s="273"/>
      <c r="V133" s="316"/>
      <c r="W133" s="309"/>
      <c r="X133" s="273"/>
      <c r="Y133" s="228"/>
      <c r="Z133" s="293"/>
      <c r="AA133" s="293"/>
      <c r="AB133" s="292"/>
      <c r="AC133" s="258"/>
    </row>
    <row r="134" spans="9:29">
      <c r="I134" s="4"/>
      <c r="J134" s="271"/>
      <c r="K134" s="271"/>
      <c r="L134" s="271"/>
      <c r="M134" s="303"/>
      <c r="N134" s="325"/>
      <c r="O134" s="305"/>
      <c r="P134" s="298"/>
      <c r="Q134" s="296"/>
      <c r="R134" s="315"/>
      <c r="S134" s="305"/>
      <c r="T134" s="298"/>
      <c r="U134" s="296"/>
      <c r="V134" s="315"/>
      <c r="W134" s="303"/>
      <c r="X134" s="296"/>
      <c r="Z134" s="292"/>
      <c r="AA134" s="292"/>
      <c r="AB134" s="292"/>
      <c r="AC134" s="258"/>
    </row>
    <row r="135" spans="9:29">
      <c r="I135" s="4"/>
      <c r="J135" s="271"/>
      <c r="K135" s="271"/>
      <c r="L135" s="271"/>
      <c r="M135" s="303"/>
      <c r="N135" s="325"/>
      <c r="O135" s="305"/>
      <c r="P135" s="298"/>
      <c r="Q135" s="296"/>
      <c r="R135" s="315"/>
      <c r="S135" s="305"/>
      <c r="T135" s="298"/>
      <c r="U135" s="296"/>
      <c r="V135" s="315"/>
      <c r="W135" s="303"/>
      <c r="X135" s="296"/>
      <c r="Z135" s="292"/>
      <c r="AA135" s="292"/>
      <c r="AB135" s="292"/>
      <c r="AC135" s="258"/>
    </row>
    <row r="136" spans="9:29">
      <c r="I136" s="4"/>
      <c r="J136" s="271"/>
      <c r="K136" s="271"/>
      <c r="L136" s="271"/>
      <c r="M136" s="303"/>
      <c r="N136" s="325"/>
      <c r="O136" s="305"/>
      <c r="P136" s="298"/>
      <c r="Q136" s="296"/>
      <c r="R136" s="315"/>
      <c r="S136" s="305"/>
      <c r="T136" s="298"/>
      <c r="U136" s="296"/>
      <c r="V136" s="315"/>
      <c r="W136" s="303"/>
      <c r="X136" s="296"/>
      <c r="Z136" s="292"/>
      <c r="AA136" s="292"/>
      <c r="AB136" s="292"/>
      <c r="AC136" s="258"/>
    </row>
    <row r="137" spans="9:29">
      <c r="I137" s="4"/>
      <c r="J137" s="271"/>
      <c r="K137" s="271"/>
      <c r="L137" s="271"/>
      <c r="M137" s="303"/>
      <c r="N137" s="325"/>
      <c r="O137" s="305"/>
      <c r="P137" s="298"/>
      <c r="Q137" s="296"/>
      <c r="R137" s="315"/>
      <c r="S137" s="305"/>
      <c r="T137" s="298"/>
      <c r="U137" s="296"/>
      <c r="V137" s="315"/>
      <c r="W137" s="303"/>
      <c r="X137" s="296"/>
      <c r="Z137" s="292"/>
      <c r="AA137" s="292"/>
      <c r="AB137" s="292"/>
      <c r="AC137" s="258"/>
    </row>
    <row r="138" spans="9:29">
      <c r="I138" s="7"/>
      <c r="J138" s="276"/>
      <c r="K138" s="276"/>
      <c r="L138" s="276"/>
      <c r="M138" s="308"/>
      <c r="N138" s="327"/>
      <c r="O138" s="311"/>
      <c r="P138" s="279"/>
      <c r="Q138" s="277"/>
      <c r="R138" s="317"/>
      <c r="S138" s="311"/>
      <c r="T138" s="279"/>
      <c r="U138" s="277"/>
      <c r="V138" s="317"/>
      <c r="W138" s="308"/>
      <c r="X138" s="277"/>
      <c r="Y138" s="229"/>
      <c r="Z138" s="294"/>
      <c r="AA138" s="294"/>
      <c r="AB138" s="292"/>
      <c r="AC138" s="258"/>
    </row>
    <row r="139" spans="9:29">
      <c r="I139" s="260"/>
      <c r="J139" s="272"/>
      <c r="K139" s="272"/>
      <c r="L139" s="272"/>
      <c r="M139" s="309"/>
      <c r="N139" s="326"/>
      <c r="O139" s="304"/>
      <c r="P139" s="275"/>
      <c r="Q139" s="273"/>
      <c r="R139" s="316"/>
      <c r="S139" s="304"/>
      <c r="T139" s="275"/>
      <c r="U139" s="273"/>
      <c r="V139" s="316"/>
      <c r="W139" s="309"/>
      <c r="X139" s="273"/>
      <c r="Y139" s="228"/>
      <c r="Z139" s="293"/>
      <c r="AA139" s="293"/>
      <c r="AB139" s="292"/>
      <c r="AC139" s="258"/>
    </row>
    <row r="140" spans="9:29">
      <c r="I140" s="4"/>
      <c r="J140" s="271"/>
      <c r="K140" s="271"/>
      <c r="L140" s="271"/>
      <c r="M140" s="303"/>
      <c r="N140" s="325"/>
      <c r="O140" s="305"/>
      <c r="P140" s="298"/>
      <c r="Q140" s="296"/>
      <c r="R140" s="315"/>
      <c r="S140" s="305"/>
      <c r="T140" s="298"/>
      <c r="U140" s="296"/>
      <c r="V140" s="315"/>
      <c r="W140" s="303"/>
      <c r="X140" s="296"/>
      <c r="Z140" s="292"/>
      <c r="AA140" s="292"/>
      <c r="AB140" s="292"/>
      <c r="AC140" s="258"/>
    </row>
    <row r="141" spans="9:29">
      <c r="I141" s="7"/>
      <c r="J141" s="276"/>
      <c r="K141" s="276"/>
      <c r="L141" s="276"/>
      <c r="M141" s="308"/>
      <c r="N141" s="327"/>
      <c r="O141" s="311"/>
      <c r="P141" s="279"/>
      <c r="Q141" s="277"/>
      <c r="R141" s="317"/>
      <c r="S141" s="311"/>
      <c r="T141" s="279"/>
      <c r="U141" s="277"/>
      <c r="V141" s="317"/>
      <c r="W141" s="308"/>
      <c r="X141" s="277"/>
      <c r="Y141" s="229"/>
      <c r="Z141" s="294"/>
      <c r="AA141" s="294"/>
      <c r="AB141" s="292"/>
      <c r="AC141" s="258"/>
    </row>
    <row r="142" spans="9:29">
      <c r="I142" s="260"/>
      <c r="J142" s="272"/>
      <c r="K142" s="272"/>
      <c r="L142" s="272"/>
      <c r="M142" s="309"/>
      <c r="N142" s="326"/>
      <c r="O142" s="304"/>
      <c r="P142" s="275"/>
      <c r="Q142" s="273"/>
      <c r="R142" s="316"/>
      <c r="S142" s="304"/>
      <c r="T142" s="275"/>
      <c r="U142" s="273"/>
      <c r="V142" s="316"/>
      <c r="W142" s="309"/>
      <c r="X142" s="273"/>
      <c r="Y142" s="228"/>
      <c r="Z142" s="293"/>
      <c r="AA142" s="293"/>
      <c r="AB142" s="292"/>
      <c r="AC142" s="258"/>
    </row>
    <row r="143" spans="9:29">
      <c r="I143" s="4"/>
      <c r="J143" s="271"/>
      <c r="K143" s="271"/>
      <c r="L143" s="271"/>
      <c r="M143" s="303"/>
      <c r="N143" s="325"/>
      <c r="O143" s="305"/>
      <c r="P143" s="298"/>
      <c r="Q143" s="296"/>
      <c r="R143" s="315"/>
      <c r="S143" s="305"/>
      <c r="T143" s="298"/>
      <c r="U143" s="296"/>
      <c r="V143" s="315"/>
      <c r="W143" s="303"/>
      <c r="X143" s="296"/>
      <c r="Z143" s="292"/>
      <c r="AA143" s="292"/>
      <c r="AB143" s="292"/>
      <c r="AC143" s="258"/>
    </row>
    <row r="144" spans="9:29">
      <c r="I144" s="4"/>
      <c r="J144" s="271"/>
      <c r="K144" s="271"/>
      <c r="L144" s="271"/>
      <c r="M144" s="303"/>
      <c r="N144" s="325"/>
      <c r="O144" s="305"/>
      <c r="P144" s="298"/>
      <c r="Q144" s="296"/>
      <c r="R144" s="315"/>
      <c r="S144" s="305"/>
      <c r="T144" s="298"/>
      <c r="U144" s="296"/>
      <c r="V144" s="315"/>
      <c r="W144" s="303"/>
      <c r="X144" s="296"/>
      <c r="Z144" s="292"/>
      <c r="AA144" s="292"/>
      <c r="AB144" s="292"/>
      <c r="AC144" s="258"/>
    </row>
    <row r="145" spans="9:29">
      <c r="I145" s="4"/>
      <c r="J145" s="271"/>
      <c r="K145" s="271"/>
      <c r="L145" s="271"/>
      <c r="M145" s="303"/>
      <c r="N145" s="325"/>
      <c r="O145" s="305"/>
      <c r="P145" s="298"/>
      <c r="Q145" s="296"/>
      <c r="R145" s="315"/>
      <c r="S145" s="305"/>
      <c r="T145" s="298"/>
      <c r="U145" s="299"/>
      <c r="V145" s="315"/>
      <c r="W145" s="303"/>
      <c r="X145" s="296"/>
      <c r="Z145" s="292"/>
      <c r="AA145" s="292"/>
      <c r="AB145" s="292"/>
      <c r="AC145" s="258"/>
    </row>
    <row r="146" spans="9:29">
      <c r="I146" s="7"/>
      <c r="J146" s="276"/>
      <c r="K146" s="276"/>
      <c r="L146" s="276"/>
      <c r="M146" s="308"/>
      <c r="N146" s="327"/>
      <c r="O146" s="311"/>
      <c r="P146" s="279"/>
      <c r="Q146" s="277"/>
      <c r="R146" s="317"/>
      <c r="S146" s="311"/>
      <c r="T146" s="279"/>
      <c r="U146" s="300"/>
      <c r="V146" s="317"/>
      <c r="W146" s="308"/>
      <c r="X146" s="277"/>
      <c r="Y146" s="229"/>
      <c r="Z146" s="294"/>
      <c r="AA146" s="294"/>
      <c r="AB146" s="294"/>
      <c r="AC146" s="259"/>
    </row>
    <row r="147" spans="9:29">
      <c r="I147" s="280"/>
      <c r="J147" s="281"/>
      <c r="K147" s="281"/>
      <c r="L147" s="282"/>
      <c r="M147" s="323"/>
      <c r="N147" s="329"/>
      <c r="O147" s="319"/>
      <c r="P147" s="283"/>
      <c r="Q147" s="283"/>
      <c r="R147" s="320"/>
      <c r="S147" s="319"/>
      <c r="T147" s="283"/>
      <c r="U147" s="283"/>
      <c r="V147" s="320"/>
      <c r="W147" s="312"/>
      <c r="X147" s="284"/>
      <c r="Y147" s="284"/>
      <c r="Z147" s="332"/>
      <c r="AA147" s="301"/>
      <c r="AB147" s="301"/>
      <c r="AC147" s="285"/>
    </row>
    <row r="148" spans="9:29">
      <c r="I148" s="338"/>
      <c r="J148" s="339"/>
      <c r="K148" s="339"/>
      <c r="L148" s="340"/>
      <c r="M148" s="341"/>
      <c r="N148" s="342"/>
      <c r="O148" s="343"/>
      <c r="P148" s="344"/>
      <c r="Q148" s="344"/>
      <c r="R148" s="345"/>
      <c r="S148" s="343"/>
      <c r="T148" s="344"/>
      <c r="U148" s="344"/>
      <c r="V148" s="345"/>
      <c r="W148" s="346"/>
      <c r="X148" s="347"/>
      <c r="Y148" s="347"/>
      <c r="Z148" s="348"/>
      <c r="AA148" s="349"/>
      <c r="AB148" s="349"/>
      <c r="AC148" s="350"/>
    </row>
    <row r="149" spans="9:29">
      <c r="I149" s="338"/>
      <c r="J149" s="339"/>
      <c r="K149" s="339"/>
      <c r="L149" s="340"/>
      <c r="M149" s="341"/>
      <c r="N149" s="342"/>
      <c r="O149" s="343"/>
      <c r="P149" s="344"/>
      <c r="Q149" s="344"/>
      <c r="R149" s="345"/>
      <c r="S149" s="343"/>
      <c r="T149" s="344"/>
      <c r="U149" s="344"/>
      <c r="V149" s="345"/>
      <c r="W149" s="346"/>
      <c r="X149" s="347"/>
      <c r="Y149" s="347"/>
      <c r="Z149" s="348"/>
      <c r="AA149" s="349"/>
      <c r="AB149" s="349"/>
      <c r="AC149" s="350"/>
    </row>
    <row r="150" spans="9:29">
      <c r="I150" s="338"/>
      <c r="J150" s="339"/>
      <c r="K150" s="339"/>
      <c r="L150" s="340"/>
      <c r="M150" s="341"/>
      <c r="N150" s="342"/>
      <c r="O150" s="343"/>
      <c r="P150" s="344"/>
      <c r="Q150" s="344"/>
      <c r="R150" s="345"/>
      <c r="S150" s="343"/>
      <c r="T150" s="344"/>
      <c r="U150" s="344"/>
      <c r="V150" s="345"/>
      <c r="W150" s="346"/>
      <c r="X150" s="347"/>
      <c r="Y150" s="347"/>
      <c r="Z150" s="348"/>
      <c r="AA150" s="349"/>
      <c r="AB150" s="349"/>
      <c r="AC150" s="350"/>
    </row>
    <row r="151" spans="9:29">
      <c r="I151" s="338"/>
      <c r="J151" s="339"/>
      <c r="K151" s="339"/>
      <c r="L151" s="340"/>
      <c r="M151" s="341"/>
      <c r="N151" s="342"/>
      <c r="O151" s="343"/>
      <c r="P151" s="344"/>
      <c r="Q151" s="344"/>
      <c r="R151" s="345"/>
      <c r="S151" s="343"/>
      <c r="T151" s="344"/>
      <c r="U151" s="344"/>
      <c r="V151" s="345"/>
      <c r="W151" s="346"/>
      <c r="X151" s="347"/>
      <c r="Y151" s="347"/>
      <c r="Z151" s="348"/>
      <c r="AA151" s="349"/>
      <c r="AB151" s="349"/>
      <c r="AC151" s="350"/>
    </row>
    <row r="152" spans="9:29">
      <c r="I152" s="338"/>
      <c r="J152" s="339"/>
      <c r="K152" s="339"/>
      <c r="L152" s="340"/>
      <c r="M152" s="341"/>
      <c r="N152" s="342"/>
      <c r="O152" s="343"/>
      <c r="P152" s="344"/>
      <c r="Q152" s="344"/>
      <c r="R152" s="345"/>
      <c r="S152" s="343"/>
      <c r="T152" s="344"/>
      <c r="U152" s="344"/>
      <c r="V152" s="345"/>
      <c r="W152" s="346"/>
      <c r="X152" s="347"/>
      <c r="Y152" s="347"/>
      <c r="Z152" s="351"/>
      <c r="AA152" s="352"/>
      <c r="AB152" s="352"/>
      <c r="AC152" s="353"/>
    </row>
    <row r="153" spans="9:29">
      <c r="I153" s="338"/>
      <c r="J153" s="339"/>
      <c r="K153" s="339"/>
      <c r="L153" s="340"/>
      <c r="M153" s="341"/>
      <c r="N153" s="342"/>
      <c r="O153" s="343"/>
      <c r="P153" s="344"/>
      <c r="Q153" s="344"/>
      <c r="R153" s="345"/>
      <c r="S153" s="343"/>
      <c r="T153" s="344"/>
      <c r="U153" s="344"/>
      <c r="V153" s="345"/>
      <c r="W153" s="346"/>
      <c r="X153" s="347"/>
      <c r="Y153" s="347"/>
      <c r="Z153" s="351"/>
      <c r="AA153" s="352"/>
      <c r="AB153" s="352"/>
      <c r="AC153" s="353"/>
    </row>
    <row r="154" spans="9:29">
      <c r="I154" s="338"/>
      <c r="J154" s="339"/>
      <c r="K154" s="339"/>
      <c r="L154" s="340"/>
      <c r="M154" s="341"/>
      <c r="N154" s="342"/>
      <c r="O154" s="343"/>
      <c r="P154" s="344"/>
      <c r="Q154" s="344"/>
      <c r="R154" s="345"/>
      <c r="S154" s="343"/>
      <c r="T154" s="344"/>
      <c r="U154" s="344"/>
      <c r="V154" s="345"/>
      <c r="W154" s="346"/>
      <c r="X154" s="347"/>
      <c r="Y154" s="347"/>
      <c r="Z154" s="351"/>
      <c r="AA154" s="352"/>
      <c r="AB154" s="352"/>
      <c r="AC154" s="353"/>
    </row>
    <row r="155" spans="9:29">
      <c r="I155" s="338"/>
      <c r="J155" s="339"/>
      <c r="K155" s="339"/>
      <c r="L155" s="340"/>
      <c r="M155" s="341"/>
      <c r="N155" s="342"/>
      <c r="O155" s="343"/>
      <c r="P155" s="344"/>
      <c r="Q155" s="344"/>
      <c r="R155" s="345"/>
      <c r="S155" s="343"/>
      <c r="T155" s="344"/>
      <c r="U155" s="344"/>
      <c r="V155" s="345"/>
      <c r="W155" s="346"/>
      <c r="X155" s="347"/>
      <c r="Y155" s="347"/>
      <c r="Z155" s="351"/>
      <c r="AA155" s="352"/>
      <c r="AB155" s="352"/>
      <c r="AC155" s="353"/>
    </row>
    <row r="156" spans="9:29">
      <c r="I156" s="232"/>
      <c r="J156" s="232"/>
      <c r="K156" s="232"/>
      <c r="L156" s="232"/>
      <c r="M156" s="232"/>
      <c r="N156" s="232"/>
      <c r="O156" s="232"/>
      <c r="P156" s="232"/>
      <c r="Q156" s="232"/>
      <c r="R156" s="232"/>
      <c r="S156" s="232"/>
      <c r="T156" s="232"/>
      <c r="U156" s="232"/>
      <c r="V156" s="232"/>
      <c r="W156" s="232"/>
      <c r="X156" s="232"/>
      <c r="Y156" s="232"/>
      <c r="Z156" s="232"/>
      <c r="AA156" s="232"/>
      <c r="AB156" s="232"/>
      <c r="AC156" s="232"/>
    </row>
    <row r="157" spans="9:29">
      <c r="I157" s="232"/>
      <c r="J157" s="232"/>
      <c r="K157" s="232"/>
      <c r="L157" s="232"/>
      <c r="M157" s="232"/>
      <c r="N157" s="232"/>
      <c r="O157" s="232"/>
      <c r="P157" s="232"/>
      <c r="Q157" s="232"/>
      <c r="R157" s="232"/>
      <c r="S157" s="232"/>
      <c r="T157" s="232"/>
      <c r="U157" s="232"/>
      <c r="V157" s="232"/>
      <c r="W157" s="232"/>
      <c r="X157" s="232"/>
      <c r="Y157" s="232"/>
      <c r="Z157" s="232"/>
      <c r="AA157" s="232"/>
      <c r="AB157" s="232"/>
      <c r="AC157" s="232"/>
    </row>
    <row r="158" spans="9:29">
      <c r="I158" s="232"/>
      <c r="J158" s="232"/>
      <c r="K158" s="232"/>
      <c r="L158" s="232"/>
      <c r="M158" s="232"/>
      <c r="N158" s="232"/>
      <c r="O158" s="232"/>
      <c r="P158" s="232"/>
      <c r="Q158" s="232"/>
      <c r="R158" s="232"/>
      <c r="S158" s="232"/>
      <c r="T158" s="232"/>
      <c r="U158" s="232"/>
      <c r="V158" s="232"/>
      <c r="W158" s="232"/>
      <c r="X158" s="232"/>
      <c r="Y158" s="232"/>
      <c r="Z158" s="232"/>
      <c r="AA158" s="232"/>
      <c r="AB158" s="232"/>
      <c r="AC158" s="232"/>
    </row>
    <row r="159" spans="9:29">
      <c r="I159" s="232"/>
      <c r="J159" s="232"/>
      <c r="K159" s="232"/>
      <c r="L159" s="232"/>
      <c r="M159" s="232"/>
      <c r="N159" s="232"/>
      <c r="O159" s="232"/>
      <c r="P159" s="232"/>
      <c r="Q159" s="232"/>
      <c r="R159" s="232"/>
      <c r="S159" s="232"/>
      <c r="T159" s="232"/>
      <c r="U159" s="232"/>
      <c r="V159" s="232"/>
      <c r="W159" s="232"/>
      <c r="X159" s="232"/>
      <c r="Y159" s="232"/>
      <c r="Z159" s="232"/>
      <c r="AA159" s="232"/>
      <c r="AB159" s="232"/>
      <c r="AC159" s="232"/>
    </row>
    <row r="160" spans="9:29">
      <c r="I160" s="232"/>
      <c r="J160" s="232"/>
      <c r="K160" s="232"/>
      <c r="L160" s="232"/>
      <c r="M160" s="232"/>
      <c r="N160" s="232"/>
      <c r="O160" s="232"/>
      <c r="P160" s="232"/>
      <c r="Q160" s="232"/>
      <c r="R160" s="232"/>
      <c r="S160" s="232"/>
      <c r="T160" s="232"/>
      <c r="U160" s="232"/>
      <c r="V160" s="232"/>
      <c r="W160" s="232"/>
      <c r="X160" s="232"/>
      <c r="Y160" s="232"/>
      <c r="Z160" s="232"/>
      <c r="AA160" s="232"/>
      <c r="AB160" s="232"/>
      <c r="AC160" s="232"/>
    </row>
    <row r="161" spans="9:16383">
      <c r="I161" s="232"/>
      <c r="J161" s="232"/>
      <c r="K161" s="232"/>
      <c r="L161" s="232"/>
      <c r="M161" s="232"/>
      <c r="N161" s="232"/>
      <c r="O161" s="232"/>
      <c r="P161" s="232"/>
      <c r="Q161" s="232"/>
      <c r="R161" s="232"/>
      <c r="S161" s="232"/>
      <c r="T161" s="232"/>
      <c r="U161" s="232"/>
      <c r="V161" s="232"/>
      <c r="W161" s="232"/>
      <c r="X161" s="232"/>
      <c r="Y161" s="232"/>
      <c r="Z161" s="232"/>
      <c r="AA161" s="232"/>
      <c r="AB161" s="232"/>
      <c r="AC161" s="232"/>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qEfVkTrlfVGcDcJzGz6QXLvHa/60Niwz1bNJwpSuA9gC0WsZ/J9R/q1Ehp3ULaPNgk2FFV906NogdYcODiBJhQ==" saltValue="vekH/bTxDrQwOL9kvT4/7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D57AB5-3FEB-4902-B975-83CA9FF1FC0B}"/>
</file>

<file path=customXml/itemProps2.xml><?xml version="1.0" encoding="utf-8"?>
<ds:datastoreItem xmlns:ds="http://schemas.openxmlformats.org/officeDocument/2006/customXml" ds:itemID="{AAAB09D3-F6C9-4EEC-BBC6-95D374D1F11F}"/>
</file>

<file path=customXml/itemProps3.xml><?xml version="1.0" encoding="utf-8"?>
<ds:datastoreItem xmlns:ds="http://schemas.openxmlformats.org/officeDocument/2006/customXml" ds:itemID="{D52003EF-95FF-4FE3-817C-85BC98C4FD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
  <cp:revision/>
  <dcterms:created xsi:type="dcterms:W3CDTF">2015-06-02T20:29:55Z</dcterms:created>
  <dcterms:modified xsi:type="dcterms:W3CDTF">2026-09-08T00:30:37Z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ies>
</file>